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8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general" vertical="bottom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6">
      <alignment horizontal="general" vertical="bottom"/>
    </xf>
    <xf numFmtId="0" fontId="27" fillId="11" borderId="16" applyAlignment="1" pivotButton="0" quotePrefix="0" xfId="4">
      <alignment horizontal="general" vertical="bottom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general" vertical="bottom"/>
    </xf>
    <xf numFmtId="0" fontId="29" fillId="11" borderId="16" pivotButton="0" quotePrefix="0" xfId="0"/>
    <xf numFmtId="3" fontId="29" fillId="11" borderId="16" pivotButton="0" quotePrefix="0" xfId="0"/>
    <xf numFmtId="0" fontId="0" fillId="10" borderId="16" pivotButton="0" quotePrefix="0" xfId="0"/>
    <xf numFmtId="0" fontId="25" fillId="10" borderId="16" pivotButton="0" quotePrefix="0" xfId="0"/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76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8.7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8.75" customHeight="1">
      <c r="B9" s="249" t="n">
        <v>45302</v>
      </c>
      <c r="C9" s="15" t="n">
        <v>2</v>
      </c>
      <c r="D9" s="113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8.75" customHeight="1">
      <c r="B10" s="249" t="n">
        <v>45302</v>
      </c>
      <c r="C10" s="15" t="n">
        <v>3</v>
      </c>
      <c r="D10" s="113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8.75" customHeight="1">
      <c r="B11" s="249" t="n">
        <v>45302</v>
      </c>
      <c r="C11" s="15" t="n">
        <v>4</v>
      </c>
      <c r="D11" s="113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8.75" customHeight="1">
      <c r="B12" s="249" t="n">
        <v>45302</v>
      </c>
      <c r="C12" s="15" t="n">
        <v>5</v>
      </c>
      <c r="D12" s="113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8.75" customHeight="1">
      <c r="B13" s="249" t="n">
        <v>45302</v>
      </c>
      <c r="C13" s="15" t="n">
        <v>6</v>
      </c>
      <c r="D13" s="113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8.75" customHeight="1">
      <c r="B14" s="249" t="n">
        <v>45302</v>
      </c>
      <c r="C14" s="15" t="n">
        <v>7</v>
      </c>
      <c r="D14" s="113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8.75" customHeight="1">
      <c r="B15" s="249" t="n">
        <v>45302</v>
      </c>
      <c r="C15" s="15" t="n">
        <v>8</v>
      </c>
      <c r="D15" s="113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8.75" customHeight="1">
      <c r="B16" s="249" t="n">
        <v>45302</v>
      </c>
      <c r="C16" s="15" t="n">
        <v>9</v>
      </c>
      <c r="D16" s="113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8.75" customHeight="1">
      <c r="B17" s="249" t="n">
        <v>45302</v>
      </c>
      <c r="C17" s="15" t="n">
        <v>10</v>
      </c>
      <c r="D17" s="113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8.75" customHeight="1">
      <c r="B18" s="249" t="n">
        <v>45302</v>
      </c>
      <c r="C18" s="15" t="n">
        <v>11</v>
      </c>
      <c r="D18" s="113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8.75" customHeight="1">
      <c r="B19" s="249" t="n">
        <v>45302</v>
      </c>
      <c r="C19" s="15" t="n">
        <v>12</v>
      </c>
      <c r="D19" s="113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8.75" customHeight="1">
      <c r="B20" s="249" t="n">
        <v>45302</v>
      </c>
      <c r="C20" s="15" t="n">
        <v>13</v>
      </c>
      <c r="D20" s="113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8.75" customHeight="1">
      <c r="B21" s="249" t="n">
        <v>45302</v>
      </c>
      <c r="C21" s="15" t="n">
        <v>14</v>
      </c>
      <c r="D21" s="113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8.75" customHeight="1">
      <c r="B22" s="249" t="n">
        <v>45302</v>
      </c>
      <c r="C22" s="15" t="n">
        <v>15</v>
      </c>
      <c r="D22" s="113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8.75" customHeight="1">
      <c r="B23" s="249" t="n">
        <v>45302</v>
      </c>
      <c r="C23" s="15" t="n">
        <v>16</v>
      </c>
      <c r="D23" s="113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8.75" customHeight="1">
      <c r="B24" s="249" t="n">
        <v>45302</v>
      </c>
      <c r="C24" s="15" t="n">
        <v>17</v>
      </c>
      <c r="D24" s="113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8.75" customHeight="1">
      <c r="B25" s="249" t="n">
        <v>45302</v>
      </c>
      <c r="C25" s="15" t="n">
        <v>18</v>
      </c>
      <c r="D25" s="113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18.75" customHeight="1">
      <c r="B26" s="249" t="n">
        <v>45302</v>
      </c>
      <c r="C26" s="15" t="n">
        <v>19</v>
      </c>
      <c r="D26" s="113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8.75" customHeight="1">
      <c r="B27" s="249" t="n">
        <v>45302</v>
      </c>
      <c r="C27" s="15" t="n">
        <v>20</v>
      </c>
      <c r="D27" s="113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8.75" customHeight="1">
      <c r="B28" s="249" t="n">
        <v>45302</v>
      </c>
      <c r="C28" s="15" t="n">
        <v>21</v>
      </c>
      <c r="D28" s="113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34.5" customHeight="1">
      <c r="B29" s="249" t="n">
        <v>45301</v>
      </c>
      <c r="C29" s="15" t="n">
        <v>22</v>
      </c>
      <c r="D29" s="113" t="inlineStr">
        <is>
          <t>Revenue data procesing MTD_Tomori_111111111111111111111111111111111111111111111111111111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8.75" customHeight="1">
      <c r="B30" s="249" t="n">
        <v>45301</v>
      </c>
      <c r="C30" s="15" t="n">
        <v>23</v>
      </c>
      <c r="D30" s="113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8.75" customHeight="1">
      <c r="B31" s="249" t="n">
        <v>45301</v>
      </c>
      <c r="C31" s="15" t="n">
        <v>24</v>
      </c>
      <c r="D31" s="113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8.75" customHeight="1">
      <c r="B32" s="249" t="n">
        <v>45301</v>
      </c>
      <c r="C32" s="15" t="n">
        <v>25</v>
      </c>
      <c r="D32" s="113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8.75" customHeight="1">
      <c r="B33" s="249" t="n">
        <v>45301</v>
      </c>
      <c r="C33" s="15" t="n">
        <v>26</v>
      </c>
      <c r="D33" s="113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8.75" customHeight="1">
      <c r="B34" s="249" t="n">
        <v>45301</v>
      </c>
      <c r="C34" s="15" t="n">
        <v>27</v>
      </c>
      <c r="D34" s="113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8.75" customHeight="1">
      <c r="B35" s="249" t="n">
        <v>45301</v>
      </c>
      <c r="C35" s="15" t="n">
        <v>28</v>
      </c>
      <c r="D35" s="113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8.75" customHeight="1">
      <c r="B36" s="249" t="n">
        <v>45301</v>
      </c>
      <c r="C36" s="15" t="n">
        <v>29</v>
      </c>
      <c r="D36" s="113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8.75" customHeight="1">
      <c r="B37" s="249" t="n">
        <v>45301</v>
      </c>
      <c r="C37" s="15" t="n">
        <v>30</v>
      </c>
      <c r="D37" s="113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8.75" customHeight="1">
      <c r="B38" s="249" t="n">
        <v>45301</v>
      </c>
      <c r="C38" s="15" t="n">
        <v>31</v>
      </c>
      <c r="D38" s="113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8.75" customHeight="1">
      <c r="B39" s="249" t="n">
        <v>45301</v>
      </c>
      <c r="C39" s="15" t="n">
        <v>32</v>
      </c>
      <c r="D39" s="113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8.75" customFormat="1" customHeight="1" s="49">
      <c r="B40" s="249" t="n">
        <v>45301</v>
      </c>
      <c r="C40" s="15" t="n">
        <v>33</v>
      </c>
      <c r="D40" s="113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18.75" customHeight="1">
      <c r="B41" s="249" t="n">
        <v>45301</v>
      </c>
      <c r="C41" s="15" t="n">
        <v>34</v>
      </c>
      <c r="D41" s="113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8.75" customHeight="1">
      <c r="B42" s="249" t="n">
        <v>45301</v>
      </c>
      <c r="C42" s="15" t="n">
        <v>35</v>
      </c>
      <c r="D42" s="113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8.75" customHeight="1">
      <c r="B43" s="249" t="n">
        <v>45301</v>
      </c>
      <c r="C43" s="15" t="n">
        <v>36</v>
      </c>
      <c r="D43" s="113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8.75" customHeight="1">
      <c r="B44" s="249" t="n">
        <v>45301</v>
      </c>
      <c r="C44" s="15" t="n">
        <v>37</v>
      </c>
      <c r="D44" s="113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8.75" customHeight="1">
      <c r="B45" s="249" t="n">
        <v>45301</v>
      </c>
      <c r="C45" s="15" t="n">
        <v>38</v>
      </c>
      <c r="D45" s="113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8.75" customHeight="1">
      <c r="B46" s="249" t="n">
        <v>45301</v>
      </c>
      <c r="C46" s="15" t="n">
        <v>39</v>
      </c>
      <c r="D46" s="113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8.75" customHeight="1">
      <c r="A47" s="66" t="n"/>
      <c r="B47" s="249" t="n">
        <v>45301</v>
      </c>
      <c r="C47" s="15" t="n">
        <v>40</v>
      </c>
      <c r="D47" s="113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8.75" customHeight="1">
      <c r="B48" s="249" t="n">
        <v>45301</v>
      </c>
      <c r="C48" s="15" t="n">
        <v>41</v>
      </c>
      <c r="D48" s="113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8.75" customHeight="1">
      <c r="B49" s="249" t="n">
        <v>45301</v>
      </c>
      <c r="C49" s="15" t="n">
        <v>42</v>
      </c>
      <c r="D49" s="113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8.75" customHeight="1">
      <c r="B50" s="249" t="n">
        <v>45302</v>
      </c>
      <c r="C50" s="15" t="n">
        <v>43</v>
      </c>
      <c r="D50" s="113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8.75" customHeight="1">
      <c r="B51" s="249" t="n">
        <v>45302</v>
      </c>
      <c r="C51" s="15" t="n">
        <v>44</v>
      </c>
      <c r="D51" s="113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8.75" customFormat="1" customHeight="1" s="66">
      <c r="B52" s="249" t="n">
        <v>45302</v>
      </c>
      <c r="C52" s="15" t="n">
        <v>45</v>
      </c>
      <c r="D52" s="113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8.75" customFormat="1" customHeight="1" s="66">
      <c r="B53" s="249" t="n">
        <v>45302</v>
      </c>
      <c r="C53" s="15" t="n">
        <v>46</v>
      </c>
      <c r="D53" s="113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8.75" customFormat="1" customHeight="1" s="66">
      <c r="B54" s="249" t="n">
        <v>45302</v>
      </c>
      <c r="C54" s="15" t="n">
        <v>47</v>
      </c>
      <c r="D54" s="113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8.75" customFormat="1" customHeight="1" s="66">
      <c r="B55" s="249" t="n">
        <v>45302</v>
      </c>
      <c r="C55" s="15" t="n">
        <v>48</v>
      </c>
      <c r="D55" s="113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8.75" customFormat="1" customHeight="1" s="66">
      <c r="B56" s="249" t="n">
        <v>45302</v>
      </c>
      <c r="C56" s="15" t="n">
        <v>49</v>
      </c>
      <c r="D56" s="113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8.75" customFormat="1" customHeight="1" s="66">
      <c r="B57" s="249" t="n">
        <v>45302</v>
      </c>
      <c r="C57" s="15" t="n">
        <v>50</v>
      </c>
      <c r="D57" s="113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8.75" customFormat="1" customHeight="1" s="66">
      <c r="B58" s="249" t="n">
        <v>45302</v>
      </c>
      <c r="C58" s="15" t="n">
        <v>51</v>
      </c>
      <c r="D58" s="113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8.75" customFormat="1" customHeight="1" s="66">
      <c r="B59" s="249" t="n">
        <v>45302</v>
      </c>
      <c r="C59" s="15" t="n">
        <v>52</v>
      </c>
      <c r="D59" s="113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8.75" customFormat="1" customHeight="1" s="66">
      <c r="B60" s="249" t="n">
        <v>45302</v>
      </c>
      <c r="C60" s="15" t="n">
        <v>53</v>
      </c>
      <c r="D60" s="113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8.75" customFormat="1" customHeight="1" s="66">
      <c r="B61" s="249" t="n">
        <v>45302</v>
      </c>
      <c r="C61" s="15" t="n">
        <v>54</v>
      </c>
      <c r="D61" s="113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8.75" customFormat="1" customHeight="1" s="66">
      <c r="B62" s="249" t="n">
        <v>45302</v>
      </c>
      <c r="C62" s="15" t="n">
        <v>55</v>
      </c>
      <c r="D62" s="113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8.75" customFormat="1" customHeight="1" s="66">
      <c r="B63" s="249" t="n">
        <v>45302</v>
      </c>
      <c r="C63" s="15" t="n">
        <v>56</v>
      </c>
      <c r="D63" s="113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18.75" customFormat="1" customHeight="1" s="66">
      <c r="B64" s="249" t="n">
        <v>45302</v>
      </c>
      <c r="C64" s="15" t="n">
        <v>57</v>
      </c>
      <c r="D64" s="113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8.75" customFormat="1" customHeight="1" s="66">
      <c r="B65" s="249" t="n">
        <v>45302</v>
      </c>
      <c r="C65" s="15" t="n">
        <v>58</v>
      </c>
      <c r="D65" s="113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8.75" customFormat="1" customHeight="1" s="66">
      <c r="B66" s="249" t="n">
        <v>45302</v>
      </c>
      <c r="C66" s="15" t="n">
        <v>59</v>
      </c>
      <c r="D66" s="113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8.75" customHeight="1">
      <c r="B67" s="249" t="n">
        <v>45302</v>
      </c>
      <c r="C67" s="15" t="n">
        <v>60</v>
      </c>
      <c r="D67" s="113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8.75" customHeight="1">
      <c r="A68" s="66" t="n"/>
      <c r="B68" s="249" t="n">
        <v>45302</v>
      </c>
      <c r="C68" s="15" t="n">
        <v>61</v>
      </c>
      <c r="D68" s="113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8.75" customHeight="1">
      <c r="A69" s="66" t="n"/>
      <c r="B69" s="249" t="n">
        <v>45302</v>
      </c>
      <c r="C69" s="15" t="n">
        <v>62</v>
      </c>
      <c r="D69" s="113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18.75" customHeight="1">
      <c r="B70" s="249" t="n">
        <v>45302</v>
      </c>
      <c r="C70" s="15" t="n">
        <v>63</v>
      </c>
      <c r="D70" s="113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8.75" customHeight="1">
      <c r="B71" s="249" t="n">
        <v>45302</v>
      </c>
      <c r="C71" s="15" t="n">
        <v>64</v>
      </c>
      <c r="D71" s="113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8.75" customHeight="1">
      <c r="B72" s="249" t="n">
        <v>45302</v>
      </c>
      <c r="C72" s="15" t="n">
        <v>65</v>
      </c>
      <c r="D72" s="113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8.75" customHeight="1">
      <c r="B73" s="249" t="n">
        <v>45302</v>
      </c>
      <c r="C73" s="15" t="n">
        <v>66</v>
      </c>
      <c r="D73" s="113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8.75" customHeight="1">
      <c r="A74" s="66" t="n"/>
      <c r="B74" s="249" t="n">
        <v>45302</v>
      </c>
      <c r="C74" s="15" t="n">
        <v>67</v>
      </c>
      <c r="D74" s="113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18.75" customHeight="1">
      <c r="A75" s="66" t="n"/>
      <c r="B75" s="249" t="n">
        <v>45302</v>
      </c>
      <c r="C75" s="15" t="n">
        <v>68</v>
      </c>
      <c r="D75" s="113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8.75" customHeight="1">
      <c r="B76" s="249" t="n">
        <v>45302</v>
      </c>
      <c r="C76" s="15" t="n">
        <v>69</v>
      </c>
      <c r="D76" s="113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8.75" customHeight="1">
      <c r="B77" s="249" t="n">
        <v>45302</v>
      </c>
      <c r="C77" s="15" t="n">
        <v>70</v>
      </c>
      <c r="D77" s="113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8.75" customHeight="1">
      <c r="B78" s="249" t="n">
        <v>45302</v>
      </c>
      <c r="C78" s="15" t="n">
        <v>71</v>
      </c>
      <c r="D78" s="113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8.75" customHeight="1">
      <c r="B79" s="249" t="n">
        <v>45302</v>
      </c>
      <c r="C79" s="15" t="n">
        <v>72</v>
      </c>
      <c r="D79" s="113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8.75" customHeight="1">
      <c r="B80" s="249" t="n">
        <v>45302</v>
      </c>
      <c r="C80" s="15" t="n">
        <v>73</v>
      </c>
      <c r="D80" s="113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8.75" customHeight="1">
      <c r="B81" s="249" t="n">
        <v>45302</v>
      </c>
      <c r="C81" s="15" t="n">
        <v>74</v>
      </c>
      <c r="D81" s="113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8.75" customHeight="1">
      <c r="B82" s="249" t="n">
        <v>45302</v>
      </c>
      <c r="C82" s="15" t="n">
        <v>75</v>
      </c>
      <c r="D82" s="113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8.75" customHeight="1">
      <c r="B83" s="249" t="n">
        <v>45302</v>
      </c>
      <c r="C83" s="15" t="n">
        <v>76</v>
      </c>
      <c r="D83" s="113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8.75" customHeight="1">
      <c r="A84" s="66" t="n"/>
      <c r="B84" s="249" t="n">
        <v>45302</v>
      </c>
      <c r="C84" s="15" t="n">
        <v>77</v>
      </c>
      <c r="D84" s="113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8.75" customHeight="1">
      <c r="B85" s="249" t="n">
        <v>45302</v>
      </c>
      <c r="C85" s="15" t="n">
        <v>78</v>
      </c>
      <c r="D85" s="113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8.75" customHeight="1">
      <c r="B86" s="249" t="n">
        <v>45302</v>
      </c>
      <c r="C86" s="15" t="n">
        <v>79</v>
      </c>
      <c r="D86" s="113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8.75" customHeight="1">
      <c r="A87" s="66" t="n"/>
      <c r="B87" s="249" t="n">
        <v>45302</v>
      </c>
      <c r="C87" s="15" t="n">
        <v>80</v>
      </c>
      <c r="D87" s="113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18.75" customHeight="1">
      <c r="B88" s="249" t="n">
        <v>45302</v>
      </c>
      <c r="C88" s="15" t="n">
        <v>81</v>
      </c>
      <c r="D88" s="113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8.75" customHeight="1">
      <c r="B89" s="249" t="n">
        <v>45302</v>
      </c>
      <c r="C89" s="15" t="n">
        <v>82</v>
      </c>
      <c r="D89" s="113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8.75" customHeight="1">
      <c r="A90" s="66" t="n"/>
      <c r="B90" s="249" t="n">
        <v>45302</v>
      </c>
      <c r="C90" s="15" t="n">
        <v>83</v>
      </c>
      <c r="D90" s="113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8.75" customHeight="1">
      <c r="B91" s="249" t="n">
        <v>45302</v>
      </c>
      <c r="C91" s="15" t="n">
        <v>84</v>
      </c>
      <c r="D91" s="113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8.75" customHeight="1">
      <c r="B92" s="249" t="n">
        <v>45446</v>
      </c>
      <c r="C92" s="15" t="n">
        <v>85</v>
      </c>
      <c r="D92" s="113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8.75" customHeight="1">
      <c r="B93" s="249" t="n">
        <v>45446</v>
      </c>
      <c r="C93" s="15" t="n">
        <v>86</v>
      </c>
      <c r="D93" s="113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8.75" customHeight="1">
      <c r="A94" s="66" t="n"/>
      <c r="B94" s="249" t="n">
        <v>45446</v>
      </c>
      <c r="C94" s="15" t="n">
        <v>87</v>
      </c>
      <c r="D94" s="113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8.75" customHeight="1">
      <c r="B95" s="249" t="n">
        <v>45446</v>
      </c>
      <c r="C95" s="15" t="n">
        <v>88</v>
      </c>
      <c r="D95" s="113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8.75" customHeight="1">
      <c r="B96" s="249" t="n">
        <v>45446</v>
      </c>
      <c r="C96" s="15" t="n">
        <v>89</v>
      </c>
      <c r="D96" s="113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8.75" customHeight="1">
      <c r="B97" s="249" t="n">
        <v>45446</v>
      </c>
      <c r="C97" s="15" t="n">
        <v>90</v>
      </c>
      <c r="D97" s="113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8.75" customHeight="1">
      <c r="B98" s="249" t="n">
        <v>45446</v>
      </c>
      <c r="C98" s="15" t="n">
        <v>91</v>
      </c>
      <c r="D98" s="113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8.75" customHeight="1">
      <c r="B99" s="249" t="n">
        <v>45446</v>
      </c>
      <c r="C99" s="15" t="n">
        <v>92</v>
      </c>
      <c r="D99" s="113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8.75" customHeight="1">
      <c r="B100" s="249" t="n">
        <v>45446</v>
      </c>
      <c r="C100" s="15" t="n">
        <v>93</v>
      </c>
      <c r="D100" s="113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8.75" customHeight="1">
      <c r="B101" s="249" t="n">
        <v>45446</v>
      </c>
      <c r="C101" s="15" t="n">
        <v>94</v>
      </c>
      <c r="D101" s="113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8.75" customHeight="1">
      <c r="B102" s="249" t="n">
        <v>45446</v>
      </c>
      <c r="C102" s="15" t="n">
        <v>95</v>
      </c>
      <c r="D102" s="113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8.75" customHeight="1">
      <c r="B103" s="249" t="n">
        <v>45446</v>
      </c>
      <c r="C103" s="15" t="n">
        <v>96</v>
      </c>
      <c r="D103" s="113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8.75" customHeight="1">
      <c r="B104" s="249" t="n">
        <v>45446</v>
      </c>
      <c r="C104" s="15" t="n">
        <v>97</v>
      </c>
      <c r="D104" s="113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8.75" customHeight="1">
      <c r="B105" s="249" t="n">
        <v>45446</v>
      </c>
      <c r="C105" s="15" t="n">
        <v>98</v>
      </c>
      <c r="D105" s="113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8.75" customHeight="1">
      <c r="B106" s="249" t="n">
        <v>45446</v>
      </c>
      <c r="C106" s="15" t="n">
        <v>99</v>
      </c>
      <c r="D106" s="113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8.75" customHeight="1">
      <c r="B107" s="249" t="n">
        <v>45446</v>
      </c>
      <c r="C107" s="15" t="n">
        <v>100</v>
      </c>
      <c r="D107" s="113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8.75" customHeight="1">
      <c r="B108" s="249" t="n">
        <v>45446</v>
      </c>
      <c r="C108" s="15" t="n">
        <v>101</v>
      </c>
      <c r="D108" s="113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8.75" customHeight="1">
      <c r="B109" s="249" t="n">
        <v>45446</v>
      </c>
      <c r="C109" s="15" t="n">
        <v>102</v>
      </c>
      <c r="D109" s="113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8.75" customHeight="1">
      <c r="B110" s="249" t="n">
        <v>45446</v>
      </c>
      <c r="C110" s="15" t="n">
        <v>103</v>
      </c>
      <c r="D110" s="113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8.75" customHeight="1">
      <c r="B111" s="249" t="n">
        <v>45446</v>
      </c>
      <c r="C111" s="15" t="n">
        <v>104</v>
      </c>
      <c r="D111" s="113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8.75" customHeight="1">
      <c r="B112" s="249" t="n">
        <v>45446</v>
      </c>
      <c r="C112" s="15" t="n">
        <v>105</v>
      </c>
      <c r="D112" s="113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8.75" customHeight="1">
      <c r="B113" s="249" t="n">
        <v>45447</v>
      </c>
      <c r="C113" s="15" t="n">
        <v>106</v>
      </c>
      <c r="D113" s="113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8.75" customHeight="1">
      <c r="B114" s="249" t="n">
        <v>45447</v>
      </c>
      <c r="C114" s="15" t="n">
        <v>107</v>
      </c>
      <c r="D114" s="113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8.75" customHeight="1">
      <c r="B115" s="249" t="n">
        <v>45447</v>
      </c>
      <c r="C115" s="15" t="n">
        <v>108</v>
      </c>
      <c r="D115" s="113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8.75" customHeight="1">
      <c r="B116" s="249" t="n">
        <v>45447</v>
      </c>
      <c r="C116" s="15" t="n">
        <v>109</v>
      </c>
      <c r="D116" s="113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8.75" customHeight="1">
      <c r="B117" s="249" t="n">
        <v>45447</v>
      </c>
      <c r="C117" s="15" t="n">
        <v>110</v>
      </c>
      <c r="D117" s="113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8.75" customHeight="1">
      <c r="B118" s="249" t="n">
        <v>45447</v>
      </c>
      <c r="C118" s="15" t="n">
        <v>111</v>
      </c>
      <c r="D118" s="113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8.75" customHeight="1">
      <c r="B119" s="249" t="n">
        <v>45447</v>
      </c>
      <c r="C119" s="15" t="n">
        <v>112</v>
      </c>
      <c r="D119" s="113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8.75" customHeight="1">
      <c r="B120" s="249" t="n">
        <v>45447</v>
      </c>
      <c r="C120" s="15" t="n">
        <v>113</v>
      </c>
      <c r="D120" s="113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8.75" customHeight="1">
      <c r="B121" s="249" t="n">
        <v>45447</v>
      </c>
      <c r="C121" s="15" t="n">
        <v>114</v>
      </c>
      <c r="D121" s="113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8.75" customHeight="1">
      <c r="B122" s="249" t="n">
        <v>45447</v>
      </c>
      <c r="C122" s="15" t="n">
        <v>115</v>
      </c>
      <c r="D122" s="113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8.75" customHeight="1">
      <c r="B123" s="249" t="n">
        <v>45447</v>
      </c>
      <c r="C123" s="15" t="n">
        <v>116</v>
      </c>
      <c r="D123" s="113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8.75" customHeight="1">
      <c r="B124" s="249" t="n">
        <v>45447</v>
      </c>
      <c r="C124" s="15" t="n">
        <v>117</v>
      </c>
      <c r="D124" s="113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8.75" customHeight="1">
      <c r="B125" s="249" t="n">
        <v>45447</v>
      </c>
      <c r="C125" s="15" t="n">
        <v>118</v>
      </c>
      <c r="D125" s="113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8.75" customHeight="1">
      <c r="B126" s="249" t="n">
        <v>45447</v>
      </c>
      <c r="C126" s="15" t="n">
        <v>119</v>
      </c>
      <c r="D126" s="113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8.75" customHeight="1">
      <c r="B127" s="249" t="n">
        <v>45447</v>
      </c>
      <c r="C127" s="15" t="n">
        <v>120</v>
      </c>
      <c r="D127" s="113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8.75" customHeight="1">
      <c r="B128" s="249" t="n">
        <v>45447</v>
      </c>
      <c r="C128" s="15" t="n">
        <v>121</v>
      </c>
      <c r="D128" s="113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8.75" customHeight="1">
      <c r="B129" s="249" t="n">
        <v>45447</v>
      </c>
      <c r="C129" s="15" t="n">
        <v>122</v>
      </c>
      <c r="D129" s="113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8.75" customHeight="1">
      <c r="B130" s="249" t="n">
        <v>45447</v>
      </c>
      <c r="C130" s="15" t="n">
        <v>123</v>
      </c>
      <c r="D130" s="113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8.75" customHeight="1">
      <c r="B131" s="249" t="n">
        <v>45447</v>
      </c>
      <c r="C131" s="15" t="n">
        <v>124</v>
      </c>
      <c r="D131" s="113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8.75" customHeight="1">
      <c r="B132" s="249" t="n">
        <v>45447</v>
      </c>
      <c r="C132" s="15" t="n">
        <v>125</v>
      </c>
      <c r="D132" s="113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8.75" customHeight="1">
      <c r="B133" s="249" t="n">
        <v>45447</v>
      </c>
      <c r="C133" s="15" t="n">
        <v>126</v>
      </c>
      <c r="D133" s="113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34.5" customHeight="1">
      <c r="B134" s="249" t="n">
        <v>45539</v>
      </c>
      <c r="C134" s="15" t="n">
        <v>127</v>
      </c>
      <c r="D134" s="113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34.5" customHeight="1">
      <c r="B135" s="249" t="n">
        <v>45539</v>
      </c>
      <c r="C135" s="15" t="n">
        <v>128</v>
      </c>
      <c r="D135" s="113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34.5" customHeight="1">
      <c r="B136" s="249" t="n">
        <v>45539</v>
      </c>
      <c r="C136" s="15" t="n">
        <v>129</v>
      </c>
      <c r="D136" s="113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34.5" customHeight="1">
      <c r="B137" s="249" t="n">
        <v>45539</v>
      </c>
      <c r="C137" s="15" t="n">
        <v>130</v>
      </c>
      <c r="D137" s="113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34.5" customHeight="1">
      <c r="B138" s="249" t="n">
        <v>45539</v>
      </c>
      <c r="C138" s="15" t="n">
        <v>131</v>
      </c>
      <c r="D138" s="113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34.5" customHeight="1">
      <c r="B139" s="249" t="n">
        <v>45539</v>
      </c>
      <c r="C139" s="15" t="n">
        <v>132</v>
      </c>
      <c r="D139" s="113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34.5" customHeight="1">
      <c r="B140" s="249" t="n">
        <v>45539</v>
      </c>
      <c r="C140" s="15" t="n">
        <v>133</v>
      </c>
      <c r="D140" s="113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34.5" customHeight="1">
      <c r="B141" s="249" t="n">
        <v>45539</v>
      </c>
      <c r="C141" s="15" t="n">
        <v>134</v>
      </c>
      <c r="D141" s="113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34.5" customHeight="1">
      <c r="B142" s="249" t="n">
        <v>45539</v>
      </c>
      <c r="C142" s="15" t="n">
        <v>135</v>
      </c>
      <c r="D142" s="113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34.5" customHeight="1">
      <c r="B143" s="249" t="n">
        <v>45539</v>
      </c>
      <c r="C143" s="15" t="n">
        <v>136</v>
      </c>
      <c r="D143" s="113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34.5" customHeight="1">
      <c r="B144" s="249" t="n">
        <v>45539</v>
      </c>
      <c r="C144" s="15" t="n">
        <v>137</v>
      </c>
      <c r="D144" s="113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34.5" customHeight="1">
      <c r="B145" s="249" t="n">
        <v>45539</v>
      </c>
      <c r="C145" s="15" t="n">
        <v>138</v>
      </c>
      <c r="D145" s="113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34.5" customHeight="1">
      <c r="B146" s="249" t="n">
        <v>45539</v>
      </c>
      <c r="C146" s="15" t="n">
        <v>139</v>
      </c>
      <c r="D146" s="113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34.5" customHeight="1">
      <c r="B147" s="249" t="n">
        <v>45539</v>
      </c>
      <c r="C147" s="15" t="n">
        <v>140</v>
      </c>
      <c r="D147" s="113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34.5" customHeight="1">
      <c r="B148" s="249" t="n">
        <v>45539</v>
      </c>
      <c r="C148" s="15" t="n">
        <v>141</v>
      </c>
      <c r="D148" s="113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34.5" customHeight="1">
      <c r="B149" s="249" t="n">
        <v>45539</v>
      </c>
      <c r="C149" s="15" t="n">
        <v>142</v>
      </c>
      <c r="D149" s="113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34.5" customHeight="1">
      <c r="B150" s="249" t="n">
        <v>45539</v>
      </c>
      <c r="C150" s="15" t="n">
        <v>143</v>
      </c>
      <c r="D150" s="113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34.5" customHeight="1">
      <c r="B151" s="249" t="n">
        <v>45539</v>
      </c>
      <c r="C151" s="15" t="n">
        <v>144</v>
      </c>
      <c r="D151" s="113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34.5" customHeight="1">
      <c r="B152" s="249" t="n">
        <v>45539</v>
      </c>
      <c r="C152" s="15" t="n">
        <v>145</v>
      </c>
      <c r="D152" s="113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34.5" customHeight="1">
      <c r="B153" s="249" t="n">
        <v>45539</v>
      </c>
      <c r="C153" s="15" t="n">
        <v>146</v>
      </c>
      <c r="D153" s="113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34.5" customHeight="1">
      <c r="B154" s="249" t="n">
        <v>45539</v>
      </c>
      <c r="C154" s="15" t="n">
        <v>147</v>
      </c>
      <c r="D154" s="113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8.75" customHeight="1">
      <c r="B155" s="249" t="n">
        <v>45537</v>
      </c>
      <c r="C155" s="15" t="n">
        <v>148</v>
      </c>
      <c r="D155" s="113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8.75" customHeight="1">
      <c r="B156" s="249" t="n">
        <v>45537</v>
      </c>
      <c r="C156" s="15" t="n">
        <v>149</v>
      </c>
      <c r="D156" s="113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8.75" customHeight="1">
      <c r="B157" s="249" t="n">
        <v>45537</v>
      </c>
      <c r="C157" s="15" t="n">
        <v>150</v>
      </c>
      <c r="D157" s="113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8.75" customHeight="1">
      <c r="B158" s="249" t="n">
        <v>45537</v>
      </c>
      <c r="C158" s="15" t="n">
        <v>151</v>
      </c>
      <c r="D158" s="113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8.75" customHeight="1">
      <c r="B159" s="249" t="n">
        <v>45537</v>
      </c>
      <c r="C159" s="15" t="n">
        <v>152</v>
      </c>
      <c r="D159" s="113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8.75" customHeight="1">
      <c r="B160" s="249" t="n">
        <v>45537</v>
      </c>
      <c r="C160" s="15" t="n">
        <v>153</v>
      </c>
      <c r="D160" s="113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8.75" customHeight="1">
      <c r="B161" s="249" t="n">
        <v>45537</v>
      </c>
      <c r="C161" s="15" t="n">
        <v>154</v>
      </c>
      <c r="D161" s="113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8.75" customHeight="1">
      <c r="B162" s="249" t="n">
        <v>45537</v>
      </c>
      <c r="C162" s="15" t="n">
        <v>155</v>
      </c>
      <c r="D162" s="113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8.75" customHeight="1">
      <c r="B163" s="249" t="n">
        <v>45537</v>
      </c>
      <c r="C163" s="15" t="n">
        <v>156</v>
      </c>
      <c r="D163" s="113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8.75" customHeight="1">
      <c r="B164" s="249" t="n">
        <v>45537</v>
      </c>
      <c r="C164" s="15" t="n">
        <v>157</v>
      </c>
      <c r="D164" s="113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8.75" customHeight="1">
      <c r="B165" s="249" t="n">
        <v>45537</v>
      </c>
      <c r="C165" s="15" t="n">
        <v>158</v>
      </c>
      <c r="D165" s="113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8.75" customHeight="1">
      <c r="B166" s="249" t="n">
        <v>45537</v>
      </c>
      <c r="C166" s="15" t="n">
        <v>159</v>
      </c>
      <c r="D166" s="113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8.75" customHeight="1">
      <c r="B167" s="249" t="n">
        <v>45537</v>
      </c>
      <c r="C167" s="15" t="n">
        <v>160</v>
      </c>
      <c r="D167" s="113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8.75" customHeight="1">
      <c r="B168" s="249" t="n">
        <v>45537</v>
      </c>
      <c r="C168" s="15" t="n">
        <v>161</v>
      </c>
      <c r="D168" s="113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8.75" customHeight="1">
      <c r="B169" s="249" t="n">
        <v>45537</v>
      </c>
      <c r="C169" s="15" t="n">
        <v>162</v>
      </c>
      <c r="D169" s="113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8.75" customHeight="1">
      <c r="B170" s="249" t="n">
        <v>45537</v>
      </c>
      <c r="C170" s="15" t="n">
        <v>163</v>
      </c>
      <c r="D170" s="113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8.75" customHeight="1">
      <c r="B171" s="249" t="n">
        <v>45537</v>
      </c>
      <c r="C171" s="15" t="n">
        <v>164</v>
      </c>
      <c r="D171" s="113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8.75" customHeight="1">
      <c r="B172" s="249" t="n">
        <v>45537</v>
      </c>
      <c r="C172" s="15" t="n">
        <v>165</v>
      </c>
      <c r="D172" s="113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8.75" customHeight="1">
      <c r="B173" s="249" t="n">
        <v>45537</v>
      </c>
      <c r="C173" s="15" t="n">
        <v>166</v>
      </c>
      <c r="D173" s="113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8.75" customHeight="1">
      <c r="B174" s="249" t="n">
        <v>45537</v>
      </c>
      <c r="C174" s="15" t="n">
        <v>167</v>
      </c>
      <c r="D174" s="113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8.75" customHeight="1">
      <c r="B175" s="249" t="n">
        <v>45537</v>
      </c>
      <c r="C175" s="15" t="n">
        <v>168</v>
      </c>
      <c r="D175" s="113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8.75" customHeight="1">
      <c r="B176" s="249" t="n">
        <v>45576</v>
      </c>
      <c r="C176" s="15" t="n">
        <v>169</v>
      </c>
      <c r="D176" s="113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8.75" customHeight="1">
      <c r="B177" s="249" t="n">
        <v>45576</v>
      </c>
      <c r="C177" s="15" t="n">
        <v>170</v>
      </c>
      <c r="D177" s="113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8.75" customHeight="1">
      <c r="B178" s="249" t="n">
        <v>45576</v>
      </c>
      <c r="C178" s="15" t="n">
        <v>171</v>
      </c>
      <c r="D178" s="113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8.75" customHeight="1">
      <c r="B179" s="249" t="n">
        <v>45576</v>
      </c>
      <c r="C179" s="15" t="n">
        <v>172</v>
      </c>
      <c r="D179" s="113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8.75" customHeight="1">
      <c r="B180" s="249" t="n">
        <v>45576</v>
      </c>
      <c r="C180" s="15" t="n">
        <v>173</v>
      </c>
      <c r="D180" s="113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8.75" customHeight="1">
      <c r="B181" s="249" t="n">
        <v>45576</v>
      </c>
      <c r="C181" s="15" t="n">
        <v>174</v>
      </c>
      <c r="D181" s="113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8.75" customHeight="1">
      <c r="B182" s="249" t="n">
        <v>45576</v>
      </c>
      <c r="C182" s="15" t="n">
        <v>175</v>
      </c>
      <c r="D182" s="113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8.75" customHeight="1">
      <c r="B183" s="249" t="n">
        <v>45576</v>
      </c>
      <c r="C183" s="15" t="n">
        <v>176</v>
      </c>
      <c r="D183" s="113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8.75" customHeight="1">
      <c r="B184" s="249" t="n">
        <v>45576</v>
      </c>
      <c r="C184" s="15" t="n">
        <v>177</v>
      </c>
      <c r="D184" s="113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8.75" customHeight="1">
      <c r="B185" s="249" t="n">
        <v>45576</v>
      </c>
      <c r="C185" s="15" t="n">
        <v>178</v>
      </c>
      <c r="D185" s="113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8.75" customHeight="1">
      <c r="B186" s="249" t="n">
        <v>45576</v>
      </c>
      <c r="C186" s="15" t="n">
        <v>179</v>
      </c>
      <c r="D186" s="113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8.75" customHeight="1">
      <c r="B187" s="249" t="n">
        <v>45576</v>
      </c>
      <c r="C187" s="15" t="n">
        <v>180</v>
      </c>
      <c r="D187" s="113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8.75" customHeight="1">
      <c r="B188" s="249" t="n">
        <v>45576</v>
      </c>
      <c r="C188" s="15" t="n">
        <v>181</v>
      </c>
      <c r="D188" s="113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8.75" customHeight="1">
      <c r="B189" s="249" t="n">
        <v>45576</v>
      </c>
      <c r="C189" s="15" t="n">
        <v>182</v>
      </c>
      <c r="D189" s="113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8.75" customHeight="1">
      <c r="B190" s="249" t="n">
        <v>45576</v>
      </c>
      <c r="C190" s="15" t="n">
        <v>183</v>
      </c>
      <c r="D190" s="113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8.75" customHeight="1">
      <c r="B191" s="249" t="n">
        <v>45576</v>
      </c>
      <c r="C191" s="15" t="n">
        <v>184</v>
      </c>
      <c r="D191" s="113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8.75" customHeight="1">
      <c r="B192" s="249" t="n">
        <v>45576</v>
      </c>
      <c r="C192" s="15" t="n">
        <v>185</v>
      </c>
      <c r="D192" s="113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8.75" customHeight="1">
      <c r="B193" s="249" t="n">
        <v>45576</v>
      </c>
      <c r="C193" s="15" t="n">
        <v>186</v>
      </c>
      <c r="D193" s="113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8.75" customHeight="1">
      <c r="B194" s="249" t="n">
        <v>45576</v>
      </c>
      <c r="C194" s="15" t="n">
        <v>187</v>
      </c>
      <c r="D194" s="113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8.75" customHeight="1">
      <c r="B195" s="249" t="n">
        <v>45576</v>
      </c>
      <c r="C195" s="15" t="n">
        <v>188</v>
      </c>
      <c r="D195" s="113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8.75" customHeight="1">
      <c r="B196" s="249" t="n">
        <v>45576</v>
      </c>
      <c r="C196" s="15" t="n">
        <v>189</v>
      </c>
      <c r="D196" s="113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8.75" customHeight="1">
      <c r="B197" s="249" t="n">
        <v>45572</v>
      </c>
      <c r="C197" s="15" t="n">
        <v>190</v>
      </c>
      <c r="D197" s="113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8.75" customHeight="1">
      <c r="B198" s="249" t="n">
        <v>45572</v>
      </c>
      <c r="C198" s="15" t="n">
        <v>191</v>
      </c>
      <c r="D198" s="113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8.75" customHeight="1">
      <c r="B199" s="249" t="n">
        <v>45572</v>
      </c>
      <c r="C199" s="15" t="n">
        <v>192</v>
      </c>
      <c r="D199" s="113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8.75" customHeight="1">
      <c r="B200" s="249" t="n">
        <v>45572</v>
      </c>
      <c r="C200" s="15" t="n">
        <v>193</v>
      </c>
      <c r="D200" s="113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8.75" customHeight="1">
      <c r="B201" s="249" t="n">
        <v>45572</v>
      </c>
      <c r="C201" s="15" t="n">
        <v>194</v>
      </c>
      <c r="D201" s="113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8.75" customHeight="1">
      <c r="B202" s="249" t="n">
        <v>45572</v>
      </c>
      <c r="C202" s="15" t="n">
        <v>195</v>
      </c>
      <c r="D202" s="113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8.75" customHeight="1">
      <c r="B203" s="249" t="n">
        <v>45572</v>
      </c>
      <c r="C203" s="15" t="n">
        <v>196</v>
      </c>
      <c r="D203" s="113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8.75" customHeight="1">
      <c r="B204" s="249" t="n">
        <v>45572</v>
      </c>
      <c r="C204" s="15" t="n">
        <v>197</v>
      </c>
      <c r="D204" s="113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8.75" customHeight="1">
      <c r="B205" s="249" t="n">
        <v>45572</v>
      </c>
      <c r="C205" s="15" t="n">
        <v>198</v>
      </c>
      <c r="D205" s="113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8.75" customHeight="1">
      <c r="B206" s="249" t="n">
        <v>45572</v>
      </c>
      <c r="C206" s="15" t="n">
        <v>199</v>
      </c>
      <c r="D206" s="113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8.75" customHeight="1">
      <c r="B207" s="249" t="n">
        <v>45572</v>
      </c>
      <c r="C207" s="15" t="n">
        <v>200</v>
      </c>
      <c r="D207" s="113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8.75" customHeight="1">
      <c r="B208" s="249" t="n">
        <v>45572</v>
      </c>
      <c r="C208" s="15" t="n">
        <v>201</v>
      </c>
      <c r="D208" s="113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8.75" customHeight="1">
      <c r="B209" s="249" t="n">
        <v>45572</v>
      </c>
      <c r="C209" s="15" t="n">
        <v>202</v>
      </c>
      <c r="D209" s="113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8.75" customHeight="1">
      <c r="B210" s="249" t="n">
        <v>45572</v>
      </c>
      <c r="C210" s="15" t="n">
        <v>203</v>
      </c>
      <c r="D210" s="113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8.75" customHeight="1">
      <c r="B211" s="249" t="n">
        <v>45572</v>
      </c>
      <c r="C211" s="15" t="n">
        <v>204</v>
      </c>
      <c r="D211" s="113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8.75" customHeight="1">
      <c r="B212" s="249" t="n">
        <v>45572</v>
      </c>
      <c r="C212" s="15" t="n">
        <v>205</v>
      </c>
      <c r="D212" s="113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8.75" customHeight="1">
      <c r="B213" s="249" t="n">
        <v>45572</v>
      </c>
      <c r="C213" s="15" t="n">
        <v>206</v>
      </c>
      <c r="D213" s="113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8.75" customHeight="1">
      <c r="B214" s="249" t="n">
        <v>45572</v>
      </c>
      <c r="C214" s="15" t="n">
        <v>207</v>
      </c>
      <c r="D214" s="113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8.75" customHeight="1">
      <c r="B215" s="249" t="n">
        <v>45572</v>
      </c>
      <c r="C215" s="15" t="n">
        <v>208</v>
      </c>
      <c r="D215" s="113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8.75" customHeight="1">
      <c r="B216" s="249" t="n">
        <v>45572</v>
      </c>
      <c r="C216" s="15" t="n">
        <v>209</v>
      </c>
      <c r="D216" s="113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8.75" customHeight="1">
      <c r="B217" s="249" t="n">
        <v>45572</v>
      </c>
      <c r="C217" s="15" t="n">
        <v>210</v>
      </c>
      <c r="D217" s="113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8.75" customHeight="1">
      <c r="B218" s="249" t="n">
        <v>45569</v>
      </c>
      <c r="C218" s="15" t="n">
        <v>211</v>
      </c>
      <c r="D218" s="113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8.75" customHeight="1">
      <c r="B219" s="249" t="n">
        <v>45569</v>
      </c>
      <c r="C219" s="15" t="n">
        <v>212</v>
      </c>
      <c r="D219" s="113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8.75" customHeight="1">
      <c r="B220" s="249" t="n">
        <v>45569</v>
      </c>
      <c r="C220" s="15" t="n">
        <v>213</v>
      </c>
      <c r="D220" s="113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8.75" customHeight="1">
      <c r="B221" s="249" t="n">
        <v>45569</v>
      </c>
      <c r="C221" s="15" t="n">
        <v>214</v>
      </c>
      <c r="D221" s="113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8.75" customHeight="1">
      <c r="B222" s="249" t="n">
        <v>45569</v>
      </c>
      <c r="C222" s="15" t="n">
        <v>215</v>
      </c>
      <c r="D222" s="113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8.75" customHeight="1">
      <c r="B223" s="249" t="n">
        <v>45569</v>
      </c>
      <c r="C223" s="15" t="n">
        <v>216</v>
      </c>
      <c r="D223" s="113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8.75" customHeight="1">
      <c r="B224" s="249" t="n">
        <v>45569</v>
      </c>
      <c r="C224" s="15" t="n">
        <v>217</v>
      </c>
      <c r="D224" s="113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8.75" customHeight="1">
      <c r="B225" s="249" t="n">
        <v>45569</v>
      </c>
      <c r="C225" s="15" t="n">
        <v>218</v>
      </c>
      <c r="D225" s="113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8.75" customHeight="1">
      <c r="B226" s="249" t="n">
        <v>45569</v>
      </c>
      <c r="C226" s="15" t="n">
        <v>219</v>
      </c>
      <c r="D226" s="113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8.75" customHeight="1">
      <c r="B227" s="249" t="n">
        <v>45569</v>
      </c>
      <c r="C227" s="15" t="n">
        <v>220</v>
      </c>
      <c r="D227" s="113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8.75" customHeight="1">
      <c r="B228" s="249" t="n">
        <v>45569</v>
      </c>
      <c r="C228" s="15" t="n">
        <v>221</v>
      </c>
      <c r="D228" s="113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8.75" customHeight="1">
      <c r="B229" s="249" t="n">
        <v>45569</v>
      </c>
      <c r="C229" s="15" t="n">
        <v>222</v>
      </c>
      <c r="D229" s="113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8.75" customHeight="1">
      <c r="B230" s="249" t="n">
        <v>45569</v>
      </c>
      <c r="C230" s="15" t="n">
        <v>223</v>
      </c>
      <c r="D230" s="113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8.75" customHeight="1">
      <c r="B231" s="249" t="n">
        <v>45569</v>
      </c>
      <c r="C231" s="15" t="n">
        <v>224</v>
      </c>
      <c r="D231" s="113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8.75" customHeight="1">
      <c r="B232" s="249" t="n">
        <v>45569</v>
      </c>
      <c r="C232" s="15" t="n">
        <v>225</v>
      </c>
      <c r="D232" s="113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8.75" customHeight="1">
      <c r="B233" s="249" t="n">
        <v>45569</v>
      </c>
      <c r="C233" s="15" t="n">
        <v>226</v>
      </c>
      <c r="D233" s="113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8.75" customHeight="1">
      <c r="B234" s="249" t="n">
        <v>45569</v>
      </c>
      <c r="C234" s="15" t="n">
        <v>227</v>
      </c>
      <c r="D234" s="113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8.75" customHeight="1">
      <c r="B235" s="249" t="n">
        <v>45569</v>
      </c>
      <c r="C235" s="15" t="n">
        <v>228</v>
      </c>
      <c r="D235" s="113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8.75" customHeight="1">
      <c r="B236" s="249" t="n">
        <v>45569</v>
      </c>
      <c r="C236" s="15" t="n">
        <v>229</v>
      </c>
      <c r="D236" s="113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8.75" customHeight="1">
      <c r="B237" s="249" t="n">
        <v>45569</v>
      </c>
      <c r="C237" s="15" t="n">
        <v>230</v>
      </c>
      <c r="D237" s="113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8.75" customHeight="1">
      <c r="B238" s="249" t="n">
        <v>45569</v>
      </c>
      <c r="C238" s="15" t="n">
        <v>231</v>
      </c>
      <c r="D238" s="113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8.75" customHeight="1">
      <c r="B239" s="249" t="n">
        <v>45569</v>
      </c>
      <c r="C239" s="15" t="n">
        <v>232</v>
      </c>
      <c r="D239" s="113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8.75" customHeight="1">
      <c r="B240" s="249" t="n">
        <v>45569</v>
      </c>
      <c r="C240" s="15" t="n">
        <v>233</v>
      </c>
      <c r="D240" s="113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8.75" customHeight="1">
      <c r="B241" s="249" t="n">
        <v>45569</v>
      </c>
      <c r="C241" s="15" t="n">
        <v>234</v>
      </c>
      <c r="D241" s="113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8.75" customHeight="1">
      <c r="B242" s="249" t="n">
        <v>45569</v>
      </c>
      <c r="C242" s="15" t="n">
        <v>235</v>
      </c>
      <c r="D242" s="113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8.75" customHeight="1">
      <c r="B243" s="249" t="n">
        <v>45569</v>
      </c>
      <c r="C243" s="15" t="n">
        <v>236</v>
      </c>
      <c r="D243" s="113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8.75" customHeight="1">
      <c r="B244" s="249" t="n">
        <v>45569</v>
      </c>
      <c r="C244" s="15" t="n">
        <v>237</v>
      </c>
      <c r="D244" s="113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8.75" customHeight="1">
      <c r="B245" s="249" t="n">
        <v>45569</v>
      </c>
      <c r="C245" s="15" t="n">
        <v>238</v>
      </c>
      <c r="D245" s="113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8.75" customHeight="1">
      <c r="B246" s="249" t="n">
        <v>45569</v>
      </c>
      <c r="C246" s="15" t="n">
        <v>239</v>
      </c>
      <c r="D246" s="113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8.75" customHeight="1">
      <c r="B247" s="249" t="n">
        <v>45569</v>
      </c>
      <c r="C247" s="15" t="n">
        <v>240</v>
      </c>
      <c r="D247" s="113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8.75" customHeight="1">
      <c r="B248" s="249" t="n">
        <v>45569</v>
      </c>
      <c r="C248" s="15" t="n">
        <v>241</v>
      </c>
      <c r="D248" s="113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8.75" customHeight="1">
      <c r="B249" s="249" t="n">
        <v>45569</v>
      </c>
      <c r="C249" s="15" t="n">
        <v>242</v>
      </c>
      <c r="D249" s="113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8.75" customHeight="1">
      <c r="B250" s="249" t="n">
        <v>45569</v>
      </c>
      <c r="C250" s="15" t="n">
        <v>243</v>
      </c>
      <c r="D250" s="113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8.75" customHeight="1">
      <c r="B251" s="249" t="n">
        <v>45569</v>
      </c>
      <c r="C251" s="15" t="n">
        <v>244</v>
      </c>
      <c r="D251" s="113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8.75" customHeight="1">
      <c r="B252" s="249" t="n">
        <v>45569</v>
      </c>
      <c r="C252" s="15" t="n">
        <v>245</v>
      </c>
      <c r="D252" s="113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8.75" customHeight="1">
      <c r="B253" s="249" t="n">
        <v>45569</v>
      </c>
      <c r="C253" s="15" t="n">
        <v>246</v>
      </c>
      <c r="D253" s="113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8.75" customHeight="1">
      <c r="B254" s="249" t="n">
        <v>45569</v>
      </c>
      <c r="C254" s="15" t="n">
        <v>247</v>
      </c>
      <c r="D254" s="113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8.75" customHeight="1">
      <c r="B255" s="249" t="n">
        <v>45569</v>
      </c>
      <c r="C255" s="15" t="n">
        <v>248</v>
      </c>
      <c r="D255" s="113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8.75" customHeight="1">
      <c r="B256" s="249" t="n">
        <v>45569</v>
      </c>
      <c r="C256" s="15" t="n">
        <v>249</v>
      </c>
      <c r="D256" s="113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8.75" customHeight="1">
      <c r="B257" s="249" t="n">
        <v>45569</v>
      </c>
      <c r="C257" s="15" t="n">
        <v>250</v>
      </c>
      <c r="D257" s="113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8.75" customHeight="1">
      <c r="B258" s="249" t="n">
        <v>45569</v>
      </c>
      <c r="C258" s="15" t="n">
        <v>251</v>
      </c>
      <c r="D258" s="113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8.75" customHeight="1">
      <c r="B259" s="249" t="n">
        <v>45569</v>
      </c>
      <c r="C259" s="15" t="n">
        <v>252</v>
      </c>
      <c r="D259" s="113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8.75" customHeight="1">
      <c r="B260" s="249" t="n">
        <v>45569</v>
      </c>
      <c r="C260" s="15" t="n">
        <v>253</v>
      </c>
      <c r="D260" s="113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8.75" customHeight="1">
      <c r="B261" s="249" t="n">
        <v>45569</v>
      </c>
      <c r="C261" s="15" t="n">
        <v>254</v>
      </c>
      <c r="D261" s="113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8.75" customHeight="1">
      <c r="B262" s="249" t="n">
        <v>45569</v>
      </c>
      <c r="C262" s="15" t="n">
        <v>255</v>
      </c>
      <c r="D262" s="113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8.75" customHeight="1">
      <c r="B263" s="249" t="n">
        <v>45569</v>
      </c>
      <c r="C263" s="15" t="n">
        <v>256</v>
      </c>
      <c r="D263" s="113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8.75" customHeight="1">
      <c r="B264" s="249" t="n">
        <v>45569</v>
      </c>
      <c r="C264" s="15" t="n">
        <v>257</v>
      </c>
      <c r="D264" s="113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8.75" customHeight="1">
      <c r="B265" s="249" t="n">
        <v>45569</v>
      </c>
      <c r="C265" s="15" t="n">
        <v>258</v>
      </c>
      <c r="D265" s="113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8.75" customHeight="1">
      <c r="B266" s="249" t="n">
        <v>45569</v>
      </c>
      <c r="C266" s="15" t="n">
        <v>259</v>
      </c>
      <c r="D266" s="113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8.75" customHeight="1">
      <c r="B267" s="249" t="n">
        <v>45569</v>
      </c>
      <c r="C267" s="15" t="n">
        <v>260</v>
      </c>
      <c r="D267" s="113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8.75" customHeight="1">
      <c r="B268" s="249" t="n">
        <v>45569</v>
      </c>
      <c r="C268" s="15" t="n">
        <v>261</v>
      </c>
      <c r="D268" s="113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8.75" customHeight="1">
      <c r="B269" s="249" t="n">
        <v>45569</v>
      </c>
      <c r="C269" s="15" t="n">
        <v>262</v>
      </c>
      <c r="D269" s="113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8.75" customHeight="1">
      <c r="B270" s="249" t="n">
        <v>45569</v>
      </c>
      <c r="C270" s="15" t="n">
        <v>263</v>
      </c>
      <c r="D270" s="113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8.75" customHeight="1">
      <c r="B271" s="249" t="n">
        <v>45569</v>
      </c>
      <c r="C271" s="15" t="n">
        <v>264</v>
      </c>
      <c r="D271" s="113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8.75" customHeight="1">
      <c r="B272" s="249" t="n">
        <v>45569</v>
      </c>
      <c r="C272" s="15" t="n">
        <v>265</v>
      </c>
      <c r="D272" s="113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8.75" customHeight="1">
      <c r="B273" s="249" t="n">
        <v>45569</v>
      </c>
      <c r="C273" s="15" t="n">
        <v>266</v>
      </c>
      <c r="D273" s="113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8.75" customHeight="1">
      <c r="B274" s="249" t="n">
        <v>45569</v>
      </c>
      <c r="C274" s="15" t="n">
        <v>267</v>
      </c>
      <c r="D274" s="113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8.75" customHeight="1">
      <c r="B275" s="249" t="n">
        <v>45569</v>
      </c>
      <c r="C275" s="15" t="n">
        <v>268</v>
      </c>
      <c r="D275" s="113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8.75" customHeight="1">
      <c r="B276" s="249" t="n">
        <v>45569</v>
      </c>
      <c r="C276" s="15" t="n">
        <v>269</v>
      </c>
      <c r="D276" s="113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8.75" customHeight="1">
      <c r="B277" s="249" t="n">
        <v>45569</v>
      </c>
      <c r="C277" s="15" t="n">
        <v>270</v>
      </c>
      <c r="D277" s="113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8.75" customHeight="1">
      <c r="B278" s="249" t="n">
        <v>45569</v>
      </c>
      <c r="C278" s="15" t="n">
        <v>271</v>
      </c>
      <c r="D278" s="113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8.75" customHeight="1">
      <c r="B279" s="249" t="n">
        <v>45569</v>
      </c>
      <c r="C279" s="15" t="n">
        <v>272</v>
      </c>
      <c r="D279" s="113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8.75" customHeight="1">
      <c r="B280" s="249" t="n">
        <v>45569</v>
      </c>
      <c r="C280" s="15" t="n">
        <v>273</v>
      </c>
      <c r="D280" s="113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8.75" customHeight="1">
      <c r="B281" s="249" t="n">
        <v>45657</v>
      </c>
      <c r="C281" s="15" t="n">
        <v>274</v>
      </c>
      <c r="D281" s="113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8.75" customHeight="1">
      <c r="B282" s="249" t="n">
        <v>45657</v>
      </c>
      <c r="C282" s="15" t="n">
        <v>275</v>
      </c>
      <c r="D282" s="113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8.75" customHeight="1">
      <c r="B283" s="249" t="n">
        <v>45657</v>
      </c>
      <c r="C283" s="15" t="n">
        <v>276</v>
      </c>
      <c r="D283" s="113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8.75" customHeight="1">
      <c r="B284" s="249" t="n">
        <v>45657</v>
      </c>
      <c r="C284" s="15" t="n">
        <v>277</v>
      </c>
      <c r="D284" s="113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8.75" customHeight="1">
      <c r="B285" s="249" t="n">
        <v>45657</v>
      </c>
      <c r="C285" s="15" t="n">
        <v>278</v>
      </c>
      <c r="D285" s="113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8.75" customHeight="1">
      <c r="B286" s="249" t="n">
        <v>45657</v>
      </c>
      <c r="C286" s="15" t="n">
        <v>279</v>
      </c>
      <c r="D286" s="113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8.75" customHeight="1">
      <c r="B287" s="249" t="n">
        <v>45657</v>
      </c>
      <c r="C287" s="15" t="n">
        <v>280</v>
      </c>
      <c r="D287" s="113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8.75" customHeight="1">
      <c r="B288" s="249" t="n">
        <v>45657</v>
      </c>
      <c r="C288" s="15" t="n">
        <v>281</v>
      </c>
      <c r="D288" s="113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8.75" customHeight="1">
      <c r="B289" s="249" t="n">
        <v>45657</v>
      </c>
      <c r="C289" s="15" t="n">
        <v>282</v>
      </c>
      <c r="D289" s="113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8.75" customHeight="1">
      <c r="B290" s="249" t="n">
        <v>45657</v>
      </c>
      <c r="C290" s="15" t="n">
        <v>283</v>
      </c>
      <c r="D290" s="113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8.75" customHeight="1">
      <c r="B291" s="249" t="n">
        <v>45657</v>
      </c>
      <c r="C291" s="15" t="n">
        <v>284</v>
      </c>
      <c r="D291" s="113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8.75" customHeight="1">
      <c r="B292" s="249" t="n">
        <v>45657</v>
      </c>
      <c r="C292" s="15" t="n">
        <v>285</v>
      </c>
      <c r="D292" s="113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8.75" customHeight="1">
      <c r="B293" s="249" t="n">
        <v>45657</v>
      </c>
      <c r="C293" s="15" t="n">
        <v>286</v>
      </c>
      <c r="D293" s="113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8.75" customHeight="1">
      <c r="B294" s="249" t="n">
        <v>45657</v>
      </c>
      <c r="C294" s="15" t="n">
        <v>287</v>
      </c>
      <c r="D294" s="113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8.75" customHeight="1">
      <c r="B295" s="249" t="n">
        <v>45657</v>
      </c>
      <c r="C295" s="15" t="n">
        <v>288</v>
      </c>
      <c r="D295" s="113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8.75" customHeight="1">
      <c r="B296" s="249" t="n">
        <v>45657</v>
      </c>
      <c r="C296" s="15" t="n">
        <v>289</v>
      </c>
      <c r="D296" s="113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8.75" customHeight="1">
      <c r="B297" s="249" t="n">
        <v>45657</v>
      </c>
      <c r="C297" s="15" t="n">
        <v>290</v>
      </c>
      <c r="D297" s="113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8.75" customHeight="1">
      <c r="B298" s="249" t="n">
        <v>45657</v>
      </c>
      <c r="C298" s="15" t="n">
        <v>291</v>
      </c>
      <c r="D298" s="113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8.75" customHeight="1">
      <c r="B299" s="249" t="n">
        <v>45657</v>
      </c>
      <c r="C299" s="15" t="n">
        <v>292</v>
      </c>
      <c r="D299" s="113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8.75" customHeight="1">
      <c r="B300" s="249" t="n">
        <v>45657</v>
      </c>
      <c r="C300" s="15" t="n">
        <v>293</v>
      </c>
      <c r="D300" s="113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8.75" customHeight="1">
      <c r="B301" s="249" t="n">
        <v>45657</v>
      </c>
      <c r="C301" s="15" t="n">
        <v>294</v>
      </c>
      <c r="D301" s="113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</row>
    <row r="304" ht="25" customHeight="1">
      <c r="B304" s="8" t="inlineStr">
        <is>
          <t>PAJAK PENGELUARAN</t>
        </is>
      </c>
      <c r="C304" s="262" t="n"/>
      <c r="D304" s="262" t="n"/>
      <c r="E304" s="262" t="n"/>
      <c r="F304" s="263" t="n"/>
      <c r="G304" s="262" t="n"/>
      <c r="H304" s="262" t="n"/>
      <c r="I304" s="264" t="n"/>
      <c r="J304" s="262" t="n"/>
      <c r="K304" s="262" t="n"/>
      <c r="L304" s="8" t="n"/>
      <c r="M304" s="262" t="n"/>
      <c r="N304" s="262" t="n"/>
      <c r="O304" s="262" t="n"/>
      <c r="P304" s="262" t="n"/>
      <c r="Q304" s="262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5" t="inlineStr">
        <is>
          <t>Detail/Description</t>
        </is>
      </c>
      <c r="E305" s="221" t="n"/>
      <c r="F305" s="218" t="inlineStr">
        <is>
          <t>Transaction Value</t>
        </is>
      </c>
      <c r="G305" s="55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224" t="n"/>
      <c r="G306" s="224" t="n"/>
      <c r="H306" s="224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34.5" customHeight="1">
      <c r="B307" s="249" t="n">
        <v>45289</v>
      </c>
      <c r="C307" s="15" t="n">
        <v>1</v>
      </c>
      <c r="D307" s="113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5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34.5" customHeight="1">
      <c r="B308" s="249" t="n">
        <v>45289</v>
      </c>
      <c r="C308" s="15" t="n">
        <v>2</v>
      </c>
      <c r="D308" s="113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5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34.5" customHeight="1">
      <c r="B309" s="249" t="n">
        <v>45289</v>
      </c>
      <c r="C309" s="15" t="n">
        <v>3</v>
      </c>
      <c r="D309" s="113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5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34.5" customHeight="1">
      <c r="B310" s="249" t="n">
        <v>45289</v>
      </c>
      <c r="C310" s="15" t="n">
        <v>4</v>
      </c>
      <c r="D310" s="113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5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34.5" customHeight="1">
      <c r="B311" s="249" t="n">
        <v>45289</v>
      </c>
      <c r="C311" s="15" t="n">
        <v>5</v>
      </c>
      <c r="D311" s="113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5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34.5" customHeight="1">
      <c r="B312" s="249" t="n">
        <v>45289</v>
      </c>
      <c r="C312" s="15" t="n">
        <v>6</v>
      </c>
      <c r="D312" s="113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5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34.5" customHeight="1">
      <c r="B313" s="249" t="n">
        <v>45289</v>
      </c>
      <c r="C313" s="15" t="n">
        <v>7</v>
      </c>
      <c r="D313" s="113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5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34.5" customHeight="1">
      <c r="B314" s="249" t="n">
        <v>45289</v>
      </c>
      <c r="C314" s="15" t="n">
        <v>8</v>
      </c>
      <c r="D314" s="113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5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34.5" customHeight="1">
      <c r="B315" s="249" t="n">
        <v>45289</v>
      </c>
      <c r="C315" s="15" t="n">
        <v>9</v>
      </c>
      <c r="D315" s="113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5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34.5" customHeight="1">
      <c r="B316" s="249" t="n">
        <v>45289</v>
      </c>
      <c r="C316" s="15" t="n">
        <v>10</v>
      </c>
      <c r="D316" s="113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5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34.5" customHeight="1">
      <c r="B317" s="249" t="n">
        <v>45289</v>
      </c>
      <c r="C317" s="15" t="n">
        <v>11</v>
      </c>
      <c r="D317" s="113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5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34.5" customHeight="1">
      <c r="B318" s="249" t="n">
        <v>45289</v>
      </c>
      <c r="C318" s="15" t="n">
        <v>12</v>
      </c>
      <c r="D318" s="113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5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34.5" customHeight="1">
      <c r="B319" s="249" t="n">
        <v>45289</v>
      </c>
      <c r="C319" s="15" t="n">
        <v>13</v>
      </c>
      <c r="D319" s="113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5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34.5" customHeight="1">
      <c r="B320" s="249" t="n">
        <v>45289</v>
      </c>
      <c r="C320" s="15" t="n">
        <v>14</v>
      </c>
      <c r="D320" s="113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5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34.5" customHeight="1">
      <c r="B321" s="249" t="n">
        <v>45289</v>
      </c>
      <c r="C321" s="15" t="n">
        <v>15</v>
      </c>
      <c r="D321" s="113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5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34.5" customHeight="1">
      <c r="B322" s="249" t="n">
        <v>45289</v>
      </c>
      <c r="C322" s="15" t="n">
        <v>16</v>
      </c>
      <c r="D322" s="113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5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34.5" customHeight="1">
      <c r="B323" s="249" t="n">
        <v>45289</v>
      </c>
      <c r="C323" s="15" t="n">
        <v>17</v>
      </c>
      <c r="D323" s="113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5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34.5" customHeight="1">
      <c r="B324" s="249" t="n">
        <v>45289</v>
      </c>
      <c r="C324" s="15" t="n">
        <v>18</v>
      </c>
      <c r="D324" s="113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5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34.5" customHeight="1">
      <c r="B325" s="249" t="n">
        <v>45289</v>
      </c>
      <c r="C325" s="15" t="n">
        <v>19</v>
      </c>
      <c r="D325" s="113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5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34.5" customHeight="1">
      <c r="B326" s="249" t="n">
        <v>45289</v>
      </c>
      <c r="C326" s="15" t="n">
        <v>20</v>
      </c>
      <c r="D326" s="113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5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34.5" customHeight="1">
      <c r="B327" s="249" t="n">
        <v>45289</v>
      </c>
      <c r="C327" s="15" t="n">
        <v>21</v>
      </c>
      <c r="D327" s="113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5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34.5" customHeight="1">
      <c r="B328" s="249" t="n">
        <v>45302</v>
      </c>
      <c r="C328" s="15" t="n">
        <v>22</v>
      </c>
      <c r="D328" s="113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5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34.5" customHeight="1">
      <c r="B329" s="249" t="n">
        <v>45302</v>
      </c>
      <c r="C329" s="15" t="n">
        <v>23</v>
      </c>
      <c r="D329" s="113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5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34.5" customHeight="1">
      <c r="B330" s="249" t="n">
        <v>45302</v>
      </c>
      <c r="C330" s="15" t="n">
        <v>24</v>
      </c>
      <c r="D330" s="113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5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34.5" customHeight="1">
      <c r="B331" s="249" t="n">
        <v>45302</v>
      </c>
      <c r="C331" s="15" t="n">
        <v>25</v>
      </c>
      <c r="D331" s="113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5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34.5" customHeight="1">
      <c r="B332" s="249" t="n">
        <v>45302</v>
      </c>
      <c r="C332" s="15" t="n">
        <v>26</v>
      </c>
      <c r="D332" s="113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5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34.5" customHeight="1">
      <c r="B333" s="249" t="n">
        <v>45302</v>
      </c>
      <c r="C333" s="15" t="n">
        <v>27</v>
      </c>
      <c r="D333" s="113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5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34.5" customHeight="1">
      <c r="B334" s="249" t="n">
        <v>45302</v>
      </c>
      <c r="C334" s="15" t="n">
        <v>28</v>
      </c>
      <c r="D334" s="113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5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34.5" customHeight="1">
      <c r="B335" s="249" t="n">
        <v>45302</v>
      </c>
      <c r="C335" s="15" t="n">
        <v>29</v>
      </c>
      <c r="D335" s="113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5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34.5" customHeight="1">
      <c r="B336" s="249" t="n">
        <v>45302</v>
      </c>
      <c r="C336" s="15" t="n">
        <v>30</v>
      </c>
      <c r="D336" s="113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5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34.5" customHeight="1">
      <c r="B337" s="249" t="n">
        <v>45302</v>
      </c>
      <c r="C337" s="15" t="n">
        <v>31</v>
      </c>
      <c r="D337" s="113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5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34.5" customHeight="1">
      <c r="B338" s="249" t="n">
        <v>45302</v>
      </c>
      <c r="C338" s="15" t="n">
        <v>32</v>
      </c>
      <c r="D338" s="113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5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34.5" customHeight="1">
      <c r="B339" s="249" t="n">
        <v>45302</v>
      </c>
      <c r="C339" s="15" t="n">
        <v>33</v>
      </c>
      <c r="D339" s="113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5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34.5" customHeight="1">
      <c r="B340" s="249" t="n">
        <v>45302</v>
      </c>
      <c r="C340" s="15" t="n">
        <v>34</v>
      </c>
      <c r="D340" s="113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5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34.5" customHeight="1">
      <c r="B341" s="249" t="n">
        <v>45302</v>
      </c>
      <c r="C341" s="15" t="n">
        <v>35</v>
      </c>
      <c r="D341" s="113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5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34.5" customHeight="1">
      <c r="B342" s="249" t="n">
        <v>45302</v>
      </c>
      <c r="C342" s="15" t="n">
        <v>36</v>
      </c>
      <c r="D342" s="113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5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34.5" customHeight="1">
      <c r="B343" s="249" t="n">
        <v>45302</v>
      </c>
      <c r="C343" s="15" t="n">
        <v>37</v>
      </c>
      <c r="D343" s="113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5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34.5" customHeight="1">
      <c r="B344" s="249" t="n">
        <v>45302</v>
      </c>
      <c r="C344" s="15" t="n">
        <v>38</v>
      </c>
      <c r="D344" s="113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5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34.5" customHeight="1">
      <c r="B345" s="249" t="n">
        <v>45302</v>
      </c>
      <c r="C345" s="15" t="n">
        <v>39</v>
      </c>
      <c r="D345" s="113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5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34.5" customHeight="1">
      <c r="B346" s="249" t="n">
        <v>45302</v>
      </c>
      <c r="C346" s="15" t="n">
        <v>40</v>
      </c>
      <c r="D346" s="113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5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34.5" customHeight="1">
      <c r="B347" s="249" t="n">
        <v>45302</v>
      </c>
      <c r="C347" s="15" t="n">
        <v>41</v>
      </c>
      <c r="D347" s="113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5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34.5" customHeight="1">
      <c r="B348" s="249" t="n">
        <v>45302</v>
      </c>
      <c r="C348" s="15" t="n">
        <v>42</v>
      </c>
      <c r="D348" s="113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5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18.75" customHeight="1">
      <c r="B349" s="249" t="n">
        <v>45351</v>
      </c>
      <c r="C349" s="15" t="n">
        <v>43</v>
      </c>
      <c r="D349" s="113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5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18.75" customHeight="1">
      <c r="B350" s="249" t="n">
        <v>45351</v>
      </c>
      <c r="C350" s="15" t="n">
        <v>44</v>
      </c>
      <c r="D350" s="113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5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18.75" customHeight="1">
      <c r="B351" s="249" t="n">
        <v>45351</v>
      </c>
      <c r="C351" s="15" t="n">
        <v>45</v>
      </c>
      <c r="D351" s="113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5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18.75" customHeight="1">
      <c r="B352" s="249" t="n">
        <v>45351</v>
      </c>
      <c r="C352" s="15" t="n">
        <v>46</v>
      </c>
      <c r="D352" s="113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5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18.75" customHeight="1">
      <c r="B353" s="249" t="n">
        <v>45351</v>
      </c>
      <c r="C353" s="15" t="n">
        <v>47</v>
      </c>
      <c r="D353" s="113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5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18.75" customHeight="1">
      <c r="B354" s="249" t="n">
        <v>45351</v>
      </c>
      <c r="C354" s="15" t="n">
        <v>48</v>
      </c>
      <c r="D354" s="113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5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18.75" customHeight="1">
      <c r="B355" s="249" t="n">
        <v>45351</v>
      </c>
      <c r="C355" s="15" t="n">
        <v>49</v>
      </c>
      <c r="D355" s="113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5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18.75" customHeight="1">
      <c r="B356" s="249" t="n">
        <v>45351</v>
      </c>
      <c r="C356" s="15" t="n">
        <v>50</v>
      </c>
      <c r="D356" s="113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5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18.75" customHeight="1">
      <c r="B357" s="249" t="n">
        <v>45351</v>
      </c>
      <c r="C357" s="15" t="n">
        <v>51</v>
      </c>
      <c r="D357" s="113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5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18.75" customHeight="1">
      <c r="B358" s="249" t="n">
        <v>45351</v>
      </c>
      <c r="C358" s="15" t="n">
        <v>52</v>
      </c>
      <c r="D358" s="113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5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18.75" customHeight="1">
      <c r="B359" s="249" t="n">
        <v>45351</v>
      </c>
      <c r="C359" s="15" t="n">
        <v>53</v>
      </c>
      <c r="D359" s="113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5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18.75" customHeight="1">
      <c r="B360" s="249" t="n">
        <v>45351</v>
      </c>
      <c r="C360" s="15" t="n">
        <v>54</v>
      </c>
      <c r="D360" s="113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5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18.75" customHeight="1">
      <c r="B361" s="249" t="n">
        <v>45351</v>
      </c>
      <c r="C361" s="15" t="n">
        <v>55</v>
      </c>
      <c r="D361" s="113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5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18.75" customHeight="1">
      <c r="B362" s="249" t="n">
        <v>45351</v>
      </c>
      <c r="C362" s="15" t="n">
        <v>56</v>
      </c>
      <c r="D362" s="113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5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18.75" customHeight="1">
      <c r="B363" s="249" t="n">
        <v>45351</v>
      </c>
      <c r="C363" s="15" t="n">
        <v>57</v>
      </c>
      <c r="D363" s="113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5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18.75" customHeight="1">
      <c r="B364" s="249" t="n">
        <v>45351</v>
      </c>
      <c r="C364" s="15" t="n">
        <v>58</v>
      </c>
      <c r="D364" s="113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5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18.75" customHeight="1">
      <c r="B365" s="249" t="n">
        <v>45351</v>
      </c>
      <c r="C365" s="15" t="n">
        <v>59</v>
      </c>
      <c r="D365" s="113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5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18.75" customHeight="1">
      <c r="B366" s="249" t="n">
        <v>45351</v>
      </c>
      <c r="C366" s="15" t="n">
        <v>60</v>
      </c>
      <c r="D366" s="113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5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18.75" customHeight="1">
      <c r="B367" s="249" t="n">
        <v>45351</v>
      </c>
      <c r="C367" s="15" t="n">
        <v>61</v>
      </c>
      <c r="D367" s="113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5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18.75" customHeight="1">
      <c r="B368" s="249" t="n">
        <v>45351</v>
      </c>
      <c r="C368" s="15" t="n">
        <v>62</v>
      </c>
      <c r="D368" s="113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5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18.75" customHeight="1">
      <c r="B369" s="249" t="n">
        <v>45351</v>
      </c>
      <c r="C369" s="15" t="n">
        <v>63</v>
      </c>
      <c r="D369" s="113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5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18.75" customHeight="1">
      <c r="B370" s="249" t="n">
        <v>45546</v>
      </c>
      <c r="C370" s="15" t="n">
        <v>64</v>
      </c>
      <c r="D370" s="113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6" t="n">
        <v>25439666</v>
      </c>
      <c r="L370" s="255" t="n">
        <v>25439666</v>
      </c>
      <c r="M370" s="41" t="n"/>
      <c r="N370" s="21" t="n"/>
      <c r="O370" s="41" t="n"/>
      <c r="P370" s="21" t="n"/>
      <c r="Q370" s="42" t="n"/>
    </row>
    <row r="371" ht="34.5" customHeight="1">
      <c r="B371" s="249" t="n">
        <v>45546</v>
      </c>
      <c r="C371" s="15" t="n">
        <v>65</v>
      </c>
      <c r="D371" s="113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5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18.75" customHeight="1">
      <c r="B372" s="249" t="n">
        <v>45546</v>
      </c>
      <c r="C372" s="15" t="n">
        <v>66</v>
      </c>
      <c r="D372" s="113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6" t="n">
        <v>25439666</v>
      </c>
      <c r="L372" s="255" t="n">
        <v>25439666</v>
      </c>
      <c r="M372" s="41" t="n"/>
      <c r="N372" s="21" t="n"/>
      <c r="O372" s="41" t="n"/>
      <c r="P372" s="21" t="n"/>
      <c r="Q372" s="42" t="n"/>
    </row>
    <row r="373" ht="34.5" customHeight="1">
      <c r="B373" s="249" t="n">
        <v>45546</v>
      </c>
      <c r="C373" s="15" t="n">
        <v>67</v>
      </c>
      <c r="D373" s="113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5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18.75" customHeight="1">
      <c r="B374" s="249" t="n">
        <v>45546</v>
      </c>
      <c r="C374" s="15" t="n">
        <v>68</v>
      </c>
      <c r="D374" s="113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6" t="n">
        <v>25439666</v>
      </c>
      <c r="L374" s="255" t="n">
        <v>25439666</v>
      </c>
      <c r="M374" s="41" t="n"/>
      <c r="N374" s="21" t="n"/>
      <c r="O374" s="41" t="n"/>
      <c r="P374" s="21" t="n"/>
      <c r="Q374" s="42" t="n"/>
    </row>
    <row r="375" ht="34.5" customHeight="1">
      <c r="B375" s="249" t="n">
        <v>45546</v>
      </c>
      <c r="C375" s="15" t="n">
        <v>69</v>
      </c>
      <c r="D375" s="113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5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18.75" customHeight="1">
      <c r="B376" s="249" t="n">
        <v>45546</v>
      </c>
      <c r="C376" s="15" t="n">
        <v>70</v>
      </c>
      <c r="D376" s="113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6" t="n">
        <v>25439666</v>
      </c>
      <c r="L376" s="255" t="n">
        <v>25439666</v>
      </c>
      <c r="M376" s="41" t="n"/>
      <c r="N376" s="21" t="n"/>
      <c r="O376" s="41" t="n"/>
      <c r="P376" s="21" t="n"/>
      <c r="Q376" s="42" t="n"/>
    </row>
    <row r="377" ht="34.5" customHeight="1">
      <c r="B377" s="249" t="n">
        <v>45546</v>
      </c>
      <c r="C377" s="15" t="n">
        <v>71</v>
      </c>
      <c r="D377" s="113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5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18.75" customHeight="1">
      <c r="B378" s="249" t="n">
        <v>45546</v>
      </c>
      <c r="C378" s="15" t="n">
        <v>72</v>
      </c>
      <c r="D378" s="113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6" t="n">
        <v>25439666</v>
      </c>
      <c r="L378" s="255" t="n">
        <v>25439666</v>
      </c>
      <c r="M378" s="41" t="n"/>
      <c r="N378" s="21" t="n"/>
      <c r="O378" s="41" t="n"/>
      <c r="P378" s="21" t="n"/>
      <c r="Q378" s="42" t="n"/>
    </row>
    <row r="379" ht="34.5" customHeight="1">
      <c r="B379" s="249" t="n">
        <v>45546</v>
      </c>
      <c r="C379" s="15" t="n">
        <v>73</v>
      </c>
      <c r="D379" s="113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5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18.75" customHeight="1">
      <c r="B380" s="249" t="n">
        <v>45546</v>
      </c>
      <c r="C380" s="15" t="n">
        <v>74</v>
      </c>
      <c r="D380" s="113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6" t="n">
        <v>25439666</v>
      </c>
      <c r="L380" s="255" t="n">
        <v>25439666</v>
      </c>
      <c r="M380" s="41" t="n"/>
      <c r="N380" s="21" t="n"/>
      <c r="O380" s="41" t="n"/>
      <c r="P380" s="21" t="n"/>
      <c r="Q380" s="42" t="n"/>
    </row>
    <row r="381" ht="34.5" customFormat="1" customHeight="1" s="122">
      <c r="B381" s="249" t="n">
        <v>45546</v>
      </c>
      <c r="C381" s="15" t="n">
        <v>75</v>
      </c>
      <c r="D381" s="113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5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18.75" customHeight="1">
      <c r="B382" s="249" t="n">
        <v>45546</v>
      </c>
      <c r="C382" s="15" t="n">
        <v>76</v>
      </c>
      <c r="D382" s="113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6" t="n">
        <v>25439666</v>
      </c>
      <c r="L382" s="255" t="n">
        <v>25439666</v>
      </c>
      <c r="M382" s="41" t="n"/>
      <c r="N382" s="21" t="n"/>
      <c r="O382" s="41" t="n"/>
      <c r="P382" s="21" t="n"/>
      <c r="Q382" s="42" t="n"/>
    </row>
    <row r="383" ht="34.5" customHeight="1">
      <c r="B383" s="249" t="n">
        <v>45546</v>
      </c>
      <c r="C383" s="15" t="n">
        <v>77</v>
      </c>
      <c r="D383" s="113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5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18.75" customHeight="1">
      <c r="B384" s="249" t="n">
        <v>45546</v>
      </c>
      <c r="C384" s="15" t="n">
        <v>78</v>
      </c>
      <c r="D384" s="113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6" t="n">
        <v>25439666</v>
      </c>
      <c r="L384" s="255" t="n">
        <v>25439666</v>
      </c>
      <c r="M384" s="41" t="n"/>
      <c r="N384" s="21" t="n"/>
      <c r="O384" s="41" t="n"/>
      <c r="P384" s="21" t="n"/>
      <c r="Q384" s="42" t="n"/>
    </row>
    <row r="385" ht="34.5" customHeight="1">
      <c r="B385" s="249" t="n">
        <v>45546</v>
      </c>
      <c r="C385" s="15" t="n">
        <v>79</v>
      </c>
      <c r="D385" s="113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5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18.75" customHeight="1">
      <c r="B386" s="249" t="n">
        <v>45546</v>
      </c>
      <c r="C386" s="15" t="n">
        <v>80</v>
      </c>
      <c r="D386" s="113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6" t="n">
        <v>25439666</v>
      </c>
      <c r="L386" s="255" t="n">
        <v>25439666</v>
      </c>
      <c r="M386" s="41" t="n"/>
      <c r="N386" s="21" t="n"/>
      <c r="O386" s="41" t="n"/>
      <c r="P386" s="21" t="n"/>
      <c r="Q386" s="42" t="n"/>
    </row>
    <row r="387" ht="34.5" customHeight="1">
      <c r="B387" s="249" t="n">
        <v>45546</v>
      </c>
      <c r="C387" s="15" t="n">
        <v>81</v>
      </c>
      <c r="D387" s="113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5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18.75" customHeight="1">
      <c r="B388" s="249" t="n">
        <v>45546</v>
      </c>
      <c r="C388" s="15" t="n">
        <v>82</v>
      </c>
      <c r="D388" s="113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6" t="n">
        <v>25439666</v>
      </c>
      <c r="L388" s="255" t="n">
        <v>25439666</v>
      </c>
      <c r="M388" s="41" t="n"/>
      <c r="N388" s="21" t="n"/>
      <c r="O388" s="41" t="n"/>
      <c r="P388" s="21" t="n"/>
      <c r="Q388" s="42" t="n"/>
    </row>
    <row r="389" ht="34.5" customHeight="1">
      <c r="B389" s="249" t="n">
        <v>45546</v>
      </c>
      <c r="C389" s="15" t="n">
        <v>83</v>
      </c>
      <c r="D389" s="113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5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18.75" customHeight="1">
      <c r="B390" s="249" t="n">
        <v>45546</v>
      </c>
      <c r="C390" s="15" t="n">
        <v>84</v>
      </c>
      <c r="D390" s="113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6" t="n">
        <v>25439666</v>
      </c>
      <c r="L390" s="255" t="n">
        <v>25439666</v>
      </c>
      <c r="M390" s="41" t="n"/>
      <c r="N390" s="21" t="n"/>
      <c r="O390" s="41" t="n"/>
      <c r="P390" s="21" t="n"/>
      <c r="Q390" s="42" t="n"/>
    </row>
    <row r="391" ht="34.5" customHeight="1">
      <c r="B391" s="249" t="n">
        <v>45546</v>
      </c>
      <c r="C391" s="15" t="n">
        <v>85</v>
      </c>
      <c r="D391" s="113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5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18.75" customHeight="1">
      <c r="B392" s="249" t="n">
        <v>45546</v>
      </c>
      <c r="C392" s="15" t="n">
        <v>86</v>
      </c>
      <c r="D392" s="113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6" t="n">
        <v>25439666</v>
      </c>
      <c r="L392" s="255" t="n">
        <v>25439666</v>
      </c>
      <c r="M392" s="41" t="n"/>
      <c r="N392" s="21" t="n"/>
      <c r="O392" s="41" t="n"/>
      <c r="P392" s="21" t="n"/>
      <c r="Q392" s="42" t="n"/>
    </row>
    <row r="393" ht="34.5" customHeight="1">
      <c r="B393" s="249" t="n">
        <v>45546</v>
      </c>
      <c r="C393" s="15" t="n">
        <v>87</v>
      </c>
      <c r="D393" s="113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5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18.75" customHeight="1">
      <c r="B394" s="249" t="n">
        <v>45546</v>
      </c>
      <c r="C394" s="15" t="n">
        <v>88</v>
      </c>
      <c r="D394" s="113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6" t="n">
        <v>25439666</v>
      </c>
      <c r="L394" s="255" t="n">
        <v>25439666</v>
      </c>
      <c r="M394" s="41" t="n"/>
      <c r="N394" s="21" t="n"/>
      <c r="O394" s="41" t="n"/>
      <c r="P394" s="21" t="n"/>
      <c r="Q394" s="42" t="n"/>
    </row>
    <row r="395" ht="34.5" customHeight="1">
      <c r="B395" s="249" t="n">
        <v>45546</v>
      </c>
      <c r="C395" s="15" t="n">
        <v>89</v>
      </c>
      <c r="D395" s="113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5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18.75" customHeight="1">
      <c r="B396" s="249" t="n">
        <v>45546</v>
      </c>
      <c r="C396" s="15" t="n">
        <v>90</v>
      </c>
      <c r="D396" s="113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6" t="n">
        <v>25439666</v>
      </c>
      <c r="L396" s="255" t="n">
        <v>25439666</v>
      </c>
      <c r="M396" s="41" t="n"/>
      <c r="N396" s="21" t="n"/>
      <c r="O396" s="41" t="n"/>
      <c r="P396" s="21" t="n"/>
      <c r="Q396" s="42" t="n"/>
    </row>
    <row r="397" ht="34.5" customHeight="1">
      <c r="B397" s="249" t="n">
        <v>45546</v>
      </c>
      <c r="C397" s="15" t="n">
        <v>91</v>
      </c>
      <c r="D397" s="113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5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18.75" customHeight="1">
      <c r="B398" s="249" t="n">
        <v>45546</v>
      </c>
      <c r="C398" s="15" t="n">
        <v>92</v>
      </c>
      <c r="D398" s="113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6" t="n">
        <v>25439666</v>
      </c>
      <c r="L398" s="255" t="n">
        <v>25439666</v>
      </c>
      <c r="M398" s="41" t="n"/>
      <c r="N398" s="21" t="n"/>
      <c r="O398" s="41" t="n"/>
      <c r="P398" s="21" t="n"/>
      <c r="Q398" s="42" t="n"/>
    </row>
    <row r="399" ht="34.5" customHeight="1">
      <c r="B399" s="249" t="n">
        <v>45546</v>
      </c>
      <c r="C399" s="15" t="n">
        <v>93</v>
      </c>
      <c r="D399" s="113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5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18.75" customHeight="1">
      <c r="B400" s="249" t="n">
        <v>45546</v>
      </c>
      <c r="C400" s="15" t="n">
        <v>94</v>
      </c>
      <c r="D400" s="113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6" t="n">
        <v>25439666</v>
      </c>
      <c r="L400" s="255" t="n">
        <v>25439666</v>
      </c>
      <c r="M400" s="41" t="n"/>
      <c r="N400" s="21" t="n"/>
      <c r="O400" s="41" t="n"/>
      <c r="P400" s="21" t="n"/>
      <c r="Q400" s="42" t="n"/>
    </row>
    <row r="401" ht="34.5" customHeight="1">
      <c r="B401" s="249" t="n">
        <v>45546</v>
      </c>
      <c r="C401" s="15" t="n">
        <v>95</v>
      </c>
      <c r="D401" s="113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5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18.75" customHeight="1">
      <c r="B402" s="249" t="n">
        <v>45546</v>
      </c>
      <c r="C402" s="15" t="n">
        <v>96</v>
      </c>
      <c r="D402" s="113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6" t="n">
        <v>25439666</v>
      </c>
      <c r="L402" s="255" t="n">
        <v>25439666</v>
      </c>
      <c r="M402" s="41" t="n"/>
      <c r="N402" s="21" t="n"/>
      <c r="O402" s="41" t="n"/>
      <c r="P402" s="21" t="n"/>
      <c r="Q402" s="42" t="n"/>
    </row>
    <row r="403" ht="34.5" customHeight="1">
      <c r="B403" s="249" t="n">
        <v>45546</v>
      </c>
      <c r="C403" s="15" t="n">
        <v>97</v>
      </c>
      <c r="D403" s="113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5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18.75" customHeight="1">
      <c r="B404" s="249" t="n">
        <v>45546</v>
      </c>
      <c r="C404" s="15" t="n">
        <v>98</v>
      </c>
      <c r="D404" s="113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6" t="n">
        <v>25439666</v>
      </c>
      <c r="L404" s="255" t="n">
        <v>25439666</v>
      </c>
      <c r="M404" s="41" t="n"/>
      <c r="N404" s="21" t="n"/>
      <c r="O404" s="41" t="n"/>
      <c r="P404" s="21" t="n"/>
      <c r="Q404" s="42" t="n"/>
    </row>
    <row r="405" ht="34.5" customHeight="1">
      <c r="B405" s="249" t="n">
        <v>45546</v>
      </c>
      <c r="C405" s="15" t="n">
        <v>99</v>
      </c>
      <c r="D405" s="113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5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18.75" customHeight="1">
      <c r="B406" s="249" t="n">
        <v>45546</v>
      </c>
      <c r="C406" s="15" t="n">
        <v>100</v>
      </c>
      <c r="D406" s="113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6" t="n">
        <v>25439666</v>
      </c>
      <c r="L406" s="255" t="n">
        <v>25439666</v>
      </c>
      <c r="M406" s="41" t="n"/>
      <c r="N406" s="21" t="n"/>
      <c r="O406" s="41" t="n"/>
      <c r="P406" s="21" t="n"/>
      <c r="Q406" s="42" t="n"/>
    </row>
    <row r="407" ht="34.5" customHeight="1">
      <c r="B407" s="249" t="n">
        <v>45546</v>
      </c>
      <c r="C407" s="15" t="n">
        <v>101</v>
      </c>
      <c r="D407" s="113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5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18.75" customHeight="1">
      <c r="B408" s="249" t="n">
        <v>45546</v>
      </c>
      <c r="C408" s="15" t="n">
        <v>102</v>
      </c>
      <c r="D408" s="113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6" t="n">
        <v>25439666</v>
      </c>
      <c r="L408" s="255" t="n">
        <v>25439666</v>
      </c>
      <c r="M408" s="41" t="n"/>
      <c r="N408" s="21" t="n"/>
      <c r="O408" s="41" t="n"/>
      <c r="P408" s="21" t="n"/>
      <c r="Q408" s="42" t="n"/>
    </row>
    <row r="409" ht="34.5" customHeight="1">
      <c r="B409" s="249" t="n">
        <v>45546</v>
      </c>
      <c r="C409" s="15" t="n">
        <v>103</v>
      </c>
      <c r="D409" s="113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5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18.75" customHeight="1">
      <c r="B410" s="249" t="n">
        <v>45546</v>
      </c>
      <c r="C410" s="15" t="n">
        <v>104</v>
      </c>
      <c r="D410" s="113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6" t="n">
        <v>25439666</v>
      </c>
      <c r="L410" s="255" t="n">
        <v>25439666</v>
      </c>
      <c r="M410" s="41" t="n"/>
      <c r="N410" s="21" t="n"/>
      <c r="O410" s="41" t="n"/>
      <c r="P410" s="21" t="n"/>
      <c r="Q410" s="42" t="n"/>
    </row>
    <row r="411" ht="34.5" customHeight="1">
      <c r="B411" s="249" t="n">
        <v>45546</v>
      </c>
      <c r="C411" s="15" t="n">
        <v>105</v>
      </c>
      <c r="D411" s="113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5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34.5" customHeight="1">
      <c r="B412" s="249" t="n">
        <v>45567</v>
      </c>
      <c r="C412" s="15" t="n">
        <v>106</v>
      </c>
      <c r="D412" s="113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5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34.5" customHeight="1">
      <c r="B413" s="249" t="n">
        <v>45567</v>
      </c>
      <c r="C413" s="15" t="n">
        <v>107</v>
      </c>
      <c r="D413" s="113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5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34.5" customHeight="1">
      <c r="B414" s="249" t="n">
        <v>45567</v>
      </c>
      <c r="C414" s="15" t="n">
        <v>108</v>
      </c>
      <c r="D414" s="113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5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34.5" customHeight="1">
      <c r="B415" s="249" t="n">
        <v>45567</v>
      </c>
      <c r="C415" s="15" t="n">
        <v>109</v>
      </c>
      <c r="D415" s="113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5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34.5" customHeight="1">
      <c r="B416" s="249" t="n">
        <v>45567</v>
      </c>
      <c r="C416" s="15" t="n">
        <v>110</v>
      </c>
      <c r="D416" s="113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5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34.5" customHeight="1">
      <c r="B417" s="249" t="n">
        <v>45567</v>
      </c>
      <c r="C417" s="15" t="n">
        <v>111</v>
      </c>
      <c r="D417" s="113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5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34.5" customHeight="1">
      <c r="B418" s="249" t="n">
        <v>45567</v>
      </c>
      <c r="C418" s="15" t="n">
        <v>112</v>
      </c>
      <c r="D418" s="113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5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34.5" customHeight="1">
      <c r="B419" s="249" t="n">
        <v>45567</v>
      </c>
      <c r="C419" s="15" t="n">
        <v>113</v>
      </c>
      <c r="D419" s="113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5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34.5" customHeight="1">
      <c r="B420" s="249" t="n">
        <v>45567</v>
      </c>
      <c r="C420" s="15" t="n">
        <v>114</v>
      </c>
      <c r="D420" s="113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5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34.5" customHeight="1">
      <c r="B421" s="249" t="n">
        <v>45567</v>
      </c>
      <c r="C421" s="15" t="n">
        <v>115</v>
      </c>
      <c r="D421" s="113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5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34.5" customHeight="1">
      <c r="B422" s="249" t="n">
        <v>45567</v>
      </c>
      <c r="C422" s="15" t="n">
        <v>116</v>
      </c>
      <c r="D422" s="113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5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34.5" customHeight="1">
      <c r="B423" s="249" t="n">
        <v>45567</v>
      </c>
      <c r="C423" s="15" t="n">
        <v>117</v>
      </c>
      <c r="D423" s="113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5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34.5" customHeight="1">
      <c r="B424" s="249" t="n">
        <v>45567</v>
      </c>
      <c r="C424" s="15" t="n">
        <v>118</v>
      </c>
      <c r="D424" s="113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5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34.5" customHeight="1">
      <c r="B425" s="249" t="n">
        <v>45567</v>
      </c>
      <c r="C425" s="15" t="n">
        <v>119</v>
      </c>
      <c r="D425" s="113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5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34.5" customHeight="1">
      <c r="B426" s="249" t="n">
        <v>45567</v>
      </c>
      <c r="C426" s="15" t="n">
        <v>120</v>
      </c>
      <c r="D426" s="113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5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34.5" customHeight="1">
      <c r="B427" s="249" t="n">
        <v>45567</v>
      </c>
      <c r="C427" s="15" t="n">
        <v>121</v>
      </c>
      <c r="D427" s="113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5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34.5" customHeight="1">
      <c r="B428" s="249" t="n">
        <v>45567</v>
      </c>
      <c r="C428" s="15" t="n">
        <v>122</v>
      </c>
      <c r="D428" s="113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5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34.5" customHeight="1">
      <c r="B429" s="249" t="n">
        <v>45567</v>
      </c>
      <c r="C429" s="15" t="n">
        <v>123</v>
      </c>
      <c r="D429" s="113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5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34.5" customHeight="1">
      <c r="B430" s="249" t="n">
        <v>45567</v>
      </c>
      <c r="C430" s="15" t="n">
        <v>124</v>
      </c>
      <c r="D430" s="113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5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34.5" customHeight="1">
      <c r="B431" s="249" t="n">
        <v>45567</v>
      </c>
      <c r="C431" s="15" t="n">
        <v>125</v>
      </c>
      <c r="D431" s="113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5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34.5" customHeight="1">
      <c r="B432" s="249" t="n">
        <v>45567</v>
      </c>
      <c r="C432" s="15" t="n">
        <v>126</v>
      </c>
      <c r="D432" s="113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5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34.5" customHeight="1">
      <c r="B433" s="249" t="n">
        <v>45589</v>
      </c>
      <c r="C433" s="15" t="n">
        <v>127</v>
      </c>
      <c r="D433" s="113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34.5" customHeight="1">
      <c r="B434" s="249" t="n">
        <v>45589</v>
      </c>
      <c r="C434" s="15" t="n">
        <v>128</v>
      </c>
      <c r="D434" s="113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34.5" customHeight="1">
      <c r="B435" s="249" t="n">
        <v>45589</v>
      </c>
      <c r="C435" s="15" t="n">
        <v>129</v>
      </c>
      <c r="D435" s="113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34.5" customHeight="1">
      <c r="B436" s="249" t="n">
        <v>45589</v>
      </c>
      <c r="C436" s="15" t="n">
        <v>130</v>
      </c>
      <c r="D436" s="113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34.5" customHeight="1">
      <c r="B437" s="249" t="n">
        <v>45589</v>
      </c>
      <c r="C437" s="15" t="n">
        <v>131</v>
      </c>
      <c r="D437" s="113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34.5" customHeight="1">
      <c r="B438" s="249" t="n">
        <v>45589</v>
      </c>
      <c r="C438" s="15" t="n">
        <v>132</v>
      </c>
      <c r="D438" s="113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34.5" customHeight="1">
      <c r="B439" s="249" t="n">
        <v>45589</v>
      </c>
      <c r="C439" s="15" t="n">
        <v>133</v>
      </c>
      <c r="D439" s="113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34.5" customHeight="1">
      <c r="B440" s="249" t="n">
        <v>45589</v>
      </c>
      <c r="C440" s="15" t="n">
        <v>134</v>
      </c>
      <c r="D440" s="113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34.5" customHeight="1">
      <c r="B441" s="249" t="n">
        <v>45589</v>
      </c>
      <c r="C441" s="15" t="n">
        <v>135</v>
      </c>
      <c r="D441" s="113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34.5" customHeight="1">
      <c r="B442" s="249" t="n">
        <v>45589</v>
      </c>
      <c r="C442" s="15" t="n">
        <v>136</v>
      </c>
      <c r="D442" s="113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34.5" customHeight="1">
      <c r="B443" s="249" t="n">
        <v>45589</v>
      </c>
      <c r="C443" s="15" t="n">
        <v>137</v>
      </c>
      <c r="D443" s="113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34.5" customHeight="1">
      <c r="B444" s="249" t="n">
        <v>45589</v>
      </c>
      <c r="C444" s="15" t="n">
        <v>138</v>
      </c>
      <c r="D444" s="113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34.5" customHeight="1">
      <c r="B445" s="249" t="n">
        <v>45589</v>
      </c>
      <c r="C445" s="15" t="n">
        <v>139</v>
      </c>
      <c r="D445" s="113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34.5" customHeight="1">
      <c r="B446" s="249" t="n">
        <v>45589</v>
      </c>
      <c r="C446" s="15" t="n">
        <v>140</v>
      </c>
      <c r="D446" s="113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34.5" customHeight="1">
      <c r="B447" s="249" t="n">
        <v>45589</v>
      </c>
      <c r="C447" s="15" t="n">
        <v>141</v>
      </c>
      <c r="D447" s="113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34.5" customHeight="1">
      <c r="B448" s="249" t="n">
        <v>45589</v>
      </c>
      <c r="C448" s="15" t="n">
        <v>142</v>
      </c>
      <c r="D448" s="113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34.5" customHeight="1">
      <c r="B449" s="249" t="n">
        <v>45589</v>
      </c>
      <c r="C449" s="15" t="n">
        <v>143</v>
      </c>
      <c r="D449" s="113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34.5" customHeight="1">
      <c r="B450" s="249" t="n">
        <v>45589</v>
      </c>
      <c r="C450" s="15" t="n">
        <v>144</v>
      </c>
      <c r="D450" s="113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34.5" customHeight="1">
      <c r="B451" s="249" t="n">
        <v>45589</v>
      </c>
      <c r="C451" s="15" t="n">
        <v>145</v>
      </c>
      <c r="D451" s="113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34.5" customHeight="1">
      <c r="B452" s="249" t="n">
        <v>45589</v>
      </c>
      <c r="C452" s="15" t="n">
        <v>146</v>
      </c>
      <c r="D452" s="113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34.5" customHeight="1">
      <c r="B453" s="249" t="n">
        <v>45589</v>
      </c>
      <c r="C453" s="15" t="n">
        <v>147</v>
      </c>
      <c r="D453" s="113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34.5" customHeight="1">
      <c r="B454" s="249" t="n">
        <v>45593</v>
      </c>
      <c r="C454" s="15" t="n">
        <v>148</v>
      </c>
      <c r="D454" s="113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5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34.5" customHeight="1">
      <c r="B455" s="249" t="n">
        <v>45593</v>
      </c>
      <c r="C455" s="15" t="n">
        <v>149</v>
      </c>
      <c r="D455" s="113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5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34.5" customHeight="1">
      <c r="B456" s="249" t="n">
        <v>45593</v>
      </c>
      <c r="C456" s="15" t="n">
        <v>150</v>
      </c>
      <c r="D456" s="113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5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34.5" customHeight="1">
      <c r="B457" s="249" t="n">
        <v>45593</v>
      </c>
      <c r="C457" s="15" t="n">
        <v>151</v>
      </c>
      <c r="D457" s="113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5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34.5" customHeight="1">
      <c r="B458" s="249" t="n">
        <v>45593</v>
      </c>
      <c r="C458" s="15" t="n">
        <v>152</v>
      </c>
      <c r="D458" s="113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5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34.5" customHeight="1">
      <c r="B459" s="249" t="n">
        <v>45593</v>
      </c>
      <c r="C459" s="15" t="n">
        <v>153</v>
      </c>
      <c r="D459" s="113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5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34.5" customHeight="1">
      <c r="B460" s="249" t="n">
        <v>45593</v>
      </c>
      <c r="C460" s="15" t="n">
        <v>154</v>
      </c>
      <c r="D460" s="113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5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34.5" customHeight="1">
      <c r="B461" s="249" t="n">
        <v>45593</v>
      </c>
      <c r="C461" s="15" t="n">
        <v>155</v>
      </c>
      <c r="D461" s="113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5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34.5" customHeight="1">
      <c r="B462" s="249" t="n">
        <v>45593</v>
      </c>
      <c r="C462" s="15" t="n">
        <v>156</v>
      </c>
      <c r="D462" s="113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5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34.5" customHeight="1">
      <c r="B463" s="249" t="n">
        <v>45593</v>
      </c>
      <c r="C463" s="15" t="n">
        <v>157</v>
      </c>
      <c r="D463" s="113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5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34.5" customHeight="1">
      <c r="B464" s="249" t="n">
        <v>45593</v>
      </c>
      <c r="C464" s="15" t="n">
        <v>158</v>
      </c>
      <c r="D464" s="113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5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34.5" customHeight="1">
      <c r="B465" s="249" t="n">
        <v>45593</v>
      </c>
      <c r="C465" s="15" t="n">
        <v>159</v>
      </c>
      <c r="D465" s="113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5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34.5" customHeight="1">
      <c r="B466" s="249" t="n">
        <v>45593</v>
      </c>
      <c r="C466" s="15" t="n">
        <v>160</v>
      </c>
      <c r="D466" s="113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5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34.5" customHeight="1">
      <c r="B467" s="249" t="n">
        <v>45593</v>
      </c>
      <c r="C467" s="15" t="n">
        <v>161</v>
      </c>
      <c r="D467" s="113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5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34.5" customHeight="1">
      <c r="B468" s="249" t="n">
        <v>45593</v>
      </c>
      <c r="C468" s="15" t="n">
        <v>162</v>
      </c>
      <c r="D468" s="113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5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34.5" customHeight="1">
      <c r="B469" s="249" t="n">
        <v>45593</v>
      </c>
      <c r="C469" s="15" t="n">
        <v>163</v>
      </c>
      <c r="D469" s="113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5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34.5" customHeight="1">
      <c r="B470" s="249" t="n">
        <v>45593</v>
      </c>
      <c r="C470" s="15" t="n">
        <v>164</v>
      </c>
      <c r="D470" s="113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5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34.5" customHeight="1">
      <c r="B471" s="249" t="n">
        <v>45593</v>
      </c>
      <c r="C471" s="15" t="n">
        <v>165</v>
      </c>
      <c r="D471" s="113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5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34.5" customHeight="1">
      <c r="B472" s="249" t="n">
        <v>45593</v>
      </c>
      <c r="C472" s="15" t="n">
        <v>166</v>
      </c>
      <c r="D472" s="113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5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34.5" customHeight="1">
      <c r="B473" s="249" t="n">
        <v>45593</v>
      </c>
      <c r="C473" s="15" t="n">
        <v>167</v>
      </c>
      <c r="D473" s="113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5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34.5" customHeight="1">
      <c r="B474" s="249" t="n">
        <v>45593</v>
      </c>
      <c r="C474" s="15" t="n">
        <v>168</v>
      </c>
      <c r="D474" s="113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5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34.5" customHeight="1">
      <c r="B475" s="249" t="n">
        <v>45607</v>
      </c>
      <c r="C475" s="15" t="n">
        <v>169</v>
      </c>
      <c r="D475" s="113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5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34.5" customHeight="1">
      <c r="B476" s="249" t="n">
        <v>45607</v>
      </c>
      <c r="C476" s="15" t="n">
        <v>170</v>
      </c>
      <c r="D476" s="113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6" t="n">
        <v>1726469</v>
      </c>
      <c r="N476" s="255" t="n">
        <v>1726469</v>
      </c>
      <c r="O476" s="41" t="n"/>
      <c r="P476" s="21" t="n"/>
      <c r="Q476" s="42" t="n"/>
    </row>
    <row r="477" ht="34.5" customHeight="1">
      <c r="B477" s="249" t="n">
        <v>45607</v>
      </c>
      <c r="C477" s="15" t="n">
        <v>171</v>
      </c>
      <c r="D477" s="113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5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34.5" customHeight="1">
      <c r="B478" s="249" t="n">
        <v>45607</v>
      </c>
      <c r="C478" s="15" t="n">
        <v>172</v>
      </c>
      <c r="D478" s="113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6" t="n">
        <v>1726469</v>
      </c>
      <c r="N478" s="255" t="n">
        <v>1726469</v>
      </c>
      <c r="O478" s="41" t="n"/>
      <c r="P478" s="21" t="n"/>
      <c r="Q478" s="42" t="n"/>
    </row>
    <row r="479" ht="34.5" customHeight="1">
      <c r="B479" s="249" t="n">
        <v>45607</v>
      </c>
      <c r="C479" s="15" t="n">
        <v>173</v>
      </c>
      <c r="D479" s="113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5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34.5" customHeight="1">
      <c r="B480" s="249" t="n">
        <v>45607</v>
      </c>
      <c r="C480" s="15" t="n">
        <v>174</v>
      </c>
      <c r="D480" s="113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6" t="n">
        <v>1726469</v>
      </c>
      <c r="N480" s="255" t="n">
        <v>1726469</v>
      </c>
      <c r="O480" s="41" t="n"/>
      <c r="P480" s="21" t="n"/>
      <c r="Q480" s="42" t="n"/>
    </row>
    <row r="481" ht="34.5" customHeight="1">
      <c r="B481" s="249" t="n">
        <v>45607</v>
      </c>
      <c r="C481" s="15" t="n">
        <v>175</v>
      </c>
      <c r="D481" s="113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5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34.5" customHeight="1">
      <c r="B482" s="249" t="n">
        <v>45607</v>
      </c>
      <c r="C482" s="15" t="n">
        <v>176</v>
      </c>
      <c r="D482" s="113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6" t="n">
        <v>1726469</v>
      </c>
      <c r="N482" s="255" t="n">
        <v>1726469</v>
      </c>
      <c r="O482" s="41" t="n"/>
      <c r="P482" s="21" t="n"/>
      <c r="Q482" s="42" t="n"/>
    </row>
    <row r="483" ht="34.5" customHeight="1">
      <c r="B483" s="249" t="n">
        <v>45607</v>
      </c>
      <c r="C483" s="15" t="n">
        <v>177</v>
      </c>
      <c r="D483" s="113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5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34.5" customHeight="1">
      <c r="B484" s="249" t="n">
        <v>45607</v>
      </c>
      <c r="C484" s="15" t="n">
        <v>178</v>
      </c>
      <c r="D484" s="113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6" t="n">
        <v>1726469</v>
      </c>
      <c r="N484" s="255" t="n">
        <v>1726469</v>
      </c>
      <c r="O484" s="41" t="n"/>
      <c r="P484" s="21" t="n"/>
      <c r="Q484" s="42" t="n"/>
    </row>
    <row r="485" ht="34.5" customHeight="1">
      <c r="B485" s="249" t="n">
        <v>45607</v>
      </c>
      <c r="C485" s="15" t="n">
        <v>179</v>
      </c>
      <c r="D485" s="113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5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34.5" customFormat="1" customHeight="1" s="126">
      <c r="B486" s="249" t="n">
        <v>45607</v>
      </c>
      <c r="C486" s="15" t="n">
        <v>180</v>
      </c>
      <c r="D486" s="113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6" t="n">
        <v>1726469</v>
      </c>
      <c r="N486" s="255" t="n">
        <v>1726469</v>
      </c>
      <c r="O486" s="41" t="n"/>
      <c r="P486" s="21" t="n"/>
      <c r="Q486" s="42" t="n"/>
    </row>
    <row r="487" ht="34.5" customHeight="1">
      <c r="B487" s="249" t="n">
        <v>45607</v>
      </c>
      <c r="C487" s="15" t="n">
        <v>181</v>
      </c>
      <c r="D487" s="113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5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34.5" customHeight="1">
      <c r="B488" s="249" t="n">
        <v>45607</v>
      </c>
      <c r="C488" s="15" t="n">
        <v>182</v>
      </c>
      <c r="D488" s="113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6" t="n">
        <v>1726469</v>
      </c>
      <c r="N488" s="255" t="n">
        <v>1726469</v>
      </c>
      <c r="O488" s="41" t="n"/>
      <c r="P488" s="21" t="n"/>
      <c r="Q488" s="42" t="n"/>
    </row>
    <row r="489" ht="34.5" customHeight="1">
      <c r="B489" s="249" t="n">
        <v>45607</v>
      </c>
      <c r="C489" s="15" t="n">
        <v>183</v>
      </c>
      <c r="D489" s="113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5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34.5" customHeight="1">
      <c r="B490" s="249" t="n">
        <v>45607</v>
      </c>
      <c r="C490" s="15" t="n">
        <v>184</v>
      </c>
      <c r="D490" s="113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6" t="n">
        <v>1726469</v>
      </c>
      <c r="N490" s="255" t="n">
        <v>1726469</v>
      </c>
      <c r="O490" s="41" t="n"/>
      <c r="P490" s="21" t="n"/>
      <c r="Q490" s="42" t="n"/>
    </row>
    <row r="491" ht="34.5" customHeight="1">
      <c r="B491" s="249" t="n">
        <v>45607</v>
      </c>
      <c r="C491" s="15" t="n">
        <v>185</v>
      </c>
      <c r="D491" s="113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5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34.5" customHeight="1">
      <c r="B492" s="249" t="n">
        <v>45607</v>
      </c>
      <c r="C492" s="15" t="n">
        <v>186</v>
      </c>
      <c r="D492" s="113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6" t="n">
        <v>1726469</v>
      </c>
      <c r="N492" s="255" t="n">
        <v>1726469</v>
      </c>
      <c r="O492" s="41" t="n"/>
      <c r="P492" s="21" t="n"/>
      <c r="Q492" s="42" t="n"/>
    </row>
    <row r="493" ht="34.5" customHeight="1">
      <c r="B493" s="249" t="n">
        <v>45607</v>
      </c>
      <c r="C493" s="15" t="n">
        <v>187</v>
      </c>
      <c r="D493" s="113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5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34.5" customHeight="1">
      <c r="B494" s="249" t="n">
        <v>45607</v>
      </c>
      <c r="C494" s="15" t="n">
        <v>188</v>
      </c>
      <c r="D494" s="113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6" t="n">
        <v>1726469</v>
      </c>
      <c r="N494" s="255" t="n">
        <v>1726469</v>
      </c>
      <c r="O494" s="41" t="n"/>
      <c r="P494" s="21" t="n"/>
      <c r="Q494" s="42" t="n"/>
    </row>
    <row r="495" ht="34.5" customHeight="1">
      <c r="B495" s="249" t="n">
        <v>45607</v>
      </c>
      <c r="C495" s="15" t="n">
        <v>189</v>
      </c>
      <c r="D495" s="113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5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34.5" customHeight="1">
      <c r="B496" s="249" t="n">
        <v>45607</v>
      </c>
      <c r="C496" s="15" t="n">
        <v>190</v>
      </c>
      <c r="D496" s="113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6" t="n">
        <v>1726469</v>
      </c>
      <c r="N496" s="255" t="n">
        <v>1726469</v>
      </c>
      <c r="O496" s="41" t="n"/>
      <c r="P496" s="21" t="n"/>
      <c r="Q496" s="42" t="n"/>
    </row>
    <row r="497" ht="34.5" customHeight="1">
      <c r="B497" s="249" t="n">
        <v>45607</v>
      </c>
      <c r="C497" s="15" t="n">
        <v>191</v>
      </c>
      <c r="D497" s="113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5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34.5" customHeight="1">
      <c r="B498" s="249" t="n">
        <v>45607</v>
      </c>
      <c r="C498" s="15" t="n">
        <v>192</v>
      </c>
      <c r="D498" s="113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6" t="n">
        <v>1726469</v>
      </c>
      <c r="N498" s="255" t="n">
        <v>1726469</v>
      </c>
      <c r="O498" s="41" t="n"/>
      <c r="P498" s="21" t="n"/>
      <c r="Q498" s="42" t="n"/>
    </row>
    <row r="499" ht="34.5" customHeight="1">
      <c r="B499" s="249" t="n">
        <v>45607</v>
      </c>
      <c r="C499" s="15" t="n">
        <v>193</v>
      </c>
      <c r="D499" s="113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5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34.5" customHeight="1">
      <c r="B500" s="249" t="n">
        <v>45607</v>
      </c>
      <c r="C500" s="15" t="n">
        <v>194</v>
      </c>
      <c r="D500" s="113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6" t="n">
        <v>1726469</v>
      </c>
      <c r="N500" s="255" t="n">
        <v>1726469</v>
      </c>
      <c r="O500" s="41" t="n"/>
      <c r="P500" s="21" t="n"/>
      <c r="Q500" s="42" t="n"/>
    </row>
    <row r="501" ht="34.5" customHeight="1">
      <c r="B501" s="249" t="n">
        <v>45607</v>
      </c>
      <c r="C501" s="15" t="n">
        <v>195</v>
      </c>
      <c r="D501" s="113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5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34.5" customHeight="1">
      <c r="B502" s="249" t="n">
        <v>45607</v>
      </c>
      <c r="C502" s="15" t="n">
        <v>196</v>
      </c>
      <c r="D502" s="113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6" t="n">
        <v>1726469</v>
      </c>
      <c r="N502" s="255" t="n">
        <v>1726469</v>
      </c>
      <c r="O502" s="41" t="n"/>
      <c r="P502" s="21" t="n"/>
      <c r="Q502" s="42" t="n"/>
    </row>
    <row r="503" ht="34.5" customHeight="1">
      <c r="B503" s="249" t="n">
        <v>45607</v>
      </c>
      <c r="C503" s="15" t="n">
        <v>197</v>
      </c>
      <c r="D503" s="113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5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34.5" customHeight="1">
      <c r="B504" s="249" t="n">
        <v>45607</v>
      </c>
      <c r="C504" s="15" t="n">
        <v>198</v>
      </c>
      <c r="D504" s="113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6" t="n">
        <v>1726469</v>
      </c>
      <c r="N504" s="255" t="n">
        <v>1726469</v>
      </c>
      <c r="O504" s="41" t="n"/>
      <c r="P504" s="21" t="n"/>
      <c r="Q504" s="42" t="n"/>
    </row>
    <row r="505" ht="34.5" customHeight="1">
      <c r="B505" s="249" t="n">
        <v>45607</v>
      </c>
      <c r="C505" s="15" t="n">
        <v>199</v>
      </c>
      <c r="D505" s="113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5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34.5" customHeight="1">
      <c r="B506" s="249" t="n">
        <v>45607</v>
      </c>
      <c r="C506" s="15" t="n">
        <v>200</v>
      </c>
      <c r="D506" s="113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6" t="n">
        <v>1726469</v>
      </c>
      <c r="N506" s="255" t="n">
        <v>1726469</v>
      </c>
      <c r="O506" s="41" t="n"/>
      <c r="P506" s="21" t="n"/>
      <c r="Q506" s="42" t="n"/>
    </row>
    <row r="507" ht="34.5" customHeight="1">
      <c r="B507" s="249" t="n">
        <v>45607</v>
      </c>
      <c r="C507" s="15" t="n">
        <v>201</v>
      </c>
      <c r="D507" s="113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5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34.5" customHeight="1">
      <c r="B508" s="249" t="n">
        <v>45607</v>
      </c>
      <c r="C508" s="15" t="n">
        <v>202</v>
      </c>
      <c r="D508" s="113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6" t="n">
        <v>1726469</v>
      </c>
      <c r="N508" s="255" t="n">
        <v>1726469</v>
      </c>
      <c r="O508" s="41" t="n"/>
      <c r="P508" s="21" t="n"/>
      <c r="Q508" s="42" t="n"/>
    </row>
    <row r="509" ht="34.5" customHeight="1">
      <c r="B509" s="249" t="n">
        <v>45607</v>
      </c>
      <c r="C509" s="15" t="n">
        <v>203</v>
      </c>
      <c r="D509" s="113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5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34.5" customHeight="1">
      <c r="B510" s="249" t="n">
        <v>45607</v>
      </c>
      <c r="C510" s="15" t="n">
        <v>204</v>
      </c>
      <c r="D510" s="113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6" t="n">
        <v>1726469</v>
      </c>
      <c r="N510" s="255" t="n">
        <v>1726469</v>
      </c>
      <c r="O510" s="41" t="n"/>
      <c r="P510" s="21" t="n"/>
      <c r="Q510" s="42" t="n"/>
    </row>
    <row r="511" ht="34.5" customHeight="1">
      <c r="B511" s="249" t="n">
        <v>45607</v>
      </c>
      <c r="C511" s="15" t="n">
        <v>205</v>
      </c>
      <c r="D511" s="113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5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34.5" customHeight="1">
      <c r="B512" s="249" t="n">
        <v>45607</v>
      </c>
      <c r="C512" s="15" t="n">
        <v>206</v>
      </c>
      <c r="D512" s="113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6" t="n">
        <v>1726469</v>
      </c>
      <c r="N512" s="255" t="n">
        <v>1726469</v>
      </c>
      <c r="O512" s="41" t="n"/>
      <c r="P512" s="21" t="n"/>
      <c r="Q512" s="42" t="n"/>
    </row>
    <row r="513" ht="34.5" customHeight="1">
      <c r="B513" s="249" t="n">
        <v>45607</v>
      </c>
      <c r="C513" s="15" t="n">
        <v>207</v>
      </c>
      <c r="D513" s="113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5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34.5" customHeight="1">
      <c r="B514" s="249" t="n">
        <v>45607</v>
      </c>
      <c r="C514" s="15" t="n">
        <v>208</v>
      </c>
      <c r="D514" s="113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6" t="n">
        <v>1726469</v>
      </c>
      <c r="N514" s="255" t="n">
        <v>1726469</v>
      </c>
      <c r="O514" s="41" t="n"/>
      <c r="P514" s="21" t="n"/>
      <c r="Q514" s="42" t="n"/>
    </row>
    <row r="515" ht="34.5" customHeight="1">
      <c r="B515" s="249" t="n">
        <v>45607</v>
      </c>
      <c r="C515" s="15" t="n">
        <v>209</v>
      </c>
      <c r="D515" s="113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5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34.5" customHeight="1">
      <c r="B516" s="249" t="n">
        <v>45607</v>
      </c>
      <c r="C516" s="15" t="n">
        <v>210</v>
      </c>
      <c r="D516" s="113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6" t="n">
        <v>1726469</v>
      </c>
      <c r="N516" s="255" t="n">
        <v>1726469</v>
      </c>
      <c r="O516" s="41" t="n"/>
      <c r="P516" s="21" t="n"/>
      <c r="Q516" s="42" t="n"/>
    </row>
    <row r="517" ht="15.5" customHeight="1">
      <c r="B517" s="267" t="inlineStr">
        <is>
          <t>PENERIMAAN NEGARA (TAX) (IDR)</t>
        </is>
      </c>
      <c r="C517" s="268" t="n"/>
      <c r="D517" s="268" t="n"/>
      <c r="E517" s="268" t="n"/>
      <c r="F517" s="268" t="n"/>
      <c r="G517" s="268" t="n"/>
      <c r="H517" s="269" t="n"/>
      <c r="I517" s="270" t="inlineStr">
        <is>
          <t>PPN</t>
        </is>
      </c>
      <c r="J517" s="271">
        <f>SUM(J307:J516)</f>
        <v/>
      </c>
      <c r="K517" s="272" t="inlineStr">
        <is>
          <t>PPh</t>
        </is>
      </c>
      <c r="L517" s="273">
        <f>SUM(L307:L516)</f>
        <v/>
      </c>
      <c r="M517" s="272" t="inlineStr">
        <is>
          <t>PPh</t>
        </is>
      </c>
      <c r="N517" s="273">
        <f>SUM(N307:N516)</f>
        <v/>
      </c>
      <c r="O517" s="272" t="inlineStr">
        <is>
          <t>PPh</t>
        </is>
      </c>
      <c r="P517" s="273">
        <f>SUM(P307:P516)</f>
        <v/>
      </c>
      <c r="Q517" s="274" t="n"/>
    </row>
    <row r="518">
      <c r="B518" s="262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2" t="n"/>
      <c r="M518" s="262" t="n"/>
      <c r="N518" s="262" t="n"/>
      <c r="O518" s="262" t="n"/>
      <c r="P518" s="262" t="n"/>
      <c r="Q518" s="262" t="n"/>
    </row>
    <row r="519" ht="25" customHeight="1">
      <c r="B519" s="8" t="inlineStr">
        <is>
          <t>PENGELUARAN</t>
        </is>
      </c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</row>
    <row r="520" ht="60" customHeight="1">
      <c r="B520" s="275" t="inlineStr">
        <is>
          <t>Date</t>
        </is>
      </c>
      <c r="C520" s="276" t="inlineStr">
        <is>
          <t>#</t>
        </is>
      </c>
      <c r="D520" s="276" t="inlineStr">
        <is>
          <t>Activity</t>
        </is>
      </c>
      <c r="E520" s="277" t="inlineStr">
        <is>
          <t>Source</t>
        </is>
      </c>
      <c r="F520" s="278" t="inlineStr">
        <is>
          <t>Amount</t>
        </is>
      </c>
      <c r="G520" s="277" t="inlineStr">
        <is>
          <t>Currency</t>
        </is>
      </c>
      <c r="H520" s="277" t="inlineStr">
        <is>
          <t>Currency Exchange</t>
        </is>
      </c>
      <c r="I520" s="279" t="inlineStr">
        <is>
          <t>Biaya Sewa Peralatan</t>
        </is>
      </c>
      <c r="J520" s="280" t="inlineStr">
        <is>
          <t>Biaya Research (R&amp;D)</t>
        </is>
      </c>
      <c r="K520" s="281" t="inlineStr">
        <is>
          <t>Biaya Interpretasi Log Data</t>
        </is>
      </c>
      <c r="L520" s="281" t="inlineStr">
        <is>
          <t>Biaya Operasi</t>
        </is>
      </c>
      <c r="M520" s="282" t="inlineStr">
        <is>
          <t>Administrasi</t>
        </is>
      </c>
      <c r="N520" s="282" t="inlineStr">
        <is>
          <t>Pembelian Barang</t>
        </is>
      </c>
      <c r="O520" s="282" t="inlineStr">
        <is>
          <t>Sewa Kantor</t>
        </is>
      </c>
      <c r="P520" s="282" t="inlineStr">
        <is>
          <t>Kesehatan</t>
        </is>
      </c>
      <c r="Q520" s="282" t="inlineStr">
        <is>
          <t>Bisnis Dev</t>
        </is>
      </c>
      <c r="R520" s="283" t="n"/>
      <c r="S520" s="283" t="n"/>
      <c r="T520" s="283" t="n"/>
      <c r="U520" s="283" t="n"/>
      <c r="V520" s="283" t="n"/>
      <c r="W520" s="283" t="n"/>
      <c r="X520" s="283" t="n"/>
      <c r="Y520" s="283" t="n"/>
      <c r="Z520" s="283" t="n"/>
      <c r="AA520" s="283" t="n"/>
      <c r="AB520" s="283" t="n"/>
      <c r="AC520" s="283" t="n"/>
      <c r="AD520" s="283" t="n"/>
    </row>
    <row r="521" ht="15.5" customHeight="1">
      <c r="B521" s="284" t="n"/>
      <c r="C521" s="284" t="n"/>
      <c r="D521" s="285" t="inlineStr">
        <is>
          <t>Allowance</t>
        </is>
      </c>
      <c r="E521" s="284" t="n"/>
      <c r="F521" s="286" t="n"/>
      <c r="G521" s="284" t="n"/>
      <c r="H521" s="284" t="n"/>
      <c r="I521" s="284" t="n"/>
      <c r="J521" s="284" t="n"/>
      <c r="K521" s="284" t="n"/>
      <c r="L521" s="284" t="n"/>
      <c r="M521" s="284" t="n"/>
      <c r="N521" s="284" t="n"/>
      <c r="O521" s="284" t="n"/>
      <c r="P521" s="284" t="n"/>
      <c r="Q521" s="284" t="n"/>
      <c r="R521" s="287" t="n"/>
      <c r="S521" s="287" t="n"/>
      <c r="T521" s="287" t="n"/>
      <c r="U521" s="287" t="n"/>
      <c r="V521" s="287" t="n"/>
      <c r="W521" s="287" t="n"/>
      <c r="X521" s="287" t="n"/>
      <c r="Y521" s="287" t="n"/>
      <c r="Z521" s="287" t="n"/>
      <c r="AA521" s="287" t="n"/>
      <c r="AB521" s="287" t="n"/>
      <c r="AC521" s="287" t="n"/>
      <c r="AD521" s="287" t="n"/>
      <c r="AE521" s="287" t="n"/>
      <c r="AF521" s="287" t="n"/>
      <c r="AG521" s="287" t="n"/>
      <c r="AH521" s="287" t="n"/>
      <c r="AI521" s="287" t="n"/>
      <c r="AJ521" s="287" t="n"/>
      <c r="AK521" s="287" t="n"/>
      <c r="AL521" s="287" t="n"/>
      <c r="AM521" s="287" t="n"/>
      <c r="AN521" s="287" t="n"/>
      <c r="AO521" s="287" t="n"/>
      <c r="AP521" s="287" t="n"/>
      <c r="AQ521" s="287" t="n"/>
      <c r="AR521" s="287" t="n"/>
      <c r="AS521" s="287" t="n"/>
      <c r="AT521" s="287" t="n"/>
      <c r="AU521" s="287" t="n"/>
      <c r="AV521" s="287" t="n"/>
      <c r="AW521" s="287" t="n"/>
      <c r="AX521" s="287" t="n"/>
      <c r="AY521" s="287" t="n"/>
      <c r="AZ521" s="287" t="n"/>
      <c r="BA521" s="287" t="n"/>
      <c r="BB521" s="287" t="n"/>
      <c r="BC521" s="287" t="n"/>
      <c r="BD521" s="287" t="n"/>
      <c r="BE521" s="287" t="n"/>
      <c r="BF521" s="287" t="n"/>
      <c r="BG521" s="287" t="n"/>
      <c r="BH521" s="287" t="n"/>
    </row>
    <row r="522" ht="18.75" customHeight="1">
      <c r="B522" s="288" t="n">
        <v>45388</v>
      </c>
      <c r="C522" s="289" t="n">
        <v>1</v>
      </c>
      <c r="D522" s="290" t="inlineStr">
        <is>
          <t>THR 2024_Yufitri</t>
        </is>
      </c>
      <c r="E522" s="291" t="inlineStr">
        <is>
          <t>BCA</t>
        </is>
      </c>
      <c r="F522" s="292" t="n">
        <v>3000000</v>
      </c>
      <c r="G522" s="289" t="inlineStr">
        <is>
          <t>IDR</t>
        </is>
      </c>
      <c r="H522" s="293" t="n">
        <v>1</v>
      </c>
      <c r="I522" s="291" t="n"/>
      <c r="J522" s="294" t="n"/>
      <c r="K522" s="291" t="n"/>
      <c r="L522" s="295">
        <f>$F522*$H522</f>
        <v/>
      </c>
      <c r="M522" s="291" t="n"/>
      <c r="N522" s="294" t="n"/>
      <c r="O522" s="291" t="n"/>
      <c r="P522" s="294" t="n"/>
      <c r="Q522" s="294" t="n"/>
      <c r="R522" s="287" t="n"/>
      <c r="S522" s="287" t="n"/>
      <c r="T522" s="287" t="n"/>
      <c r="U522" s="287" t="n"/>
      <c r="V522" s="287" t="n"/>
      <c r="W522" s="287" t="n"/>
      <c r="X522" s="287" t="n"/>
      <c r="Y522" s="287" t="n"/>
      <c r="Z522" s="287" t="n"/>
      <c r="AA522" s="287" t="n"/>
      <c r="AB522" s="287" t="n"/>
      <c r="AC522" s="287" t="n"/>
      <c r="AD522" s="287" t="n"/>
      <c r="AE522" s="287" t="n"/>
      <c r="AF522" s="287" t="n"/>
      <c r="AG522" s="287" t="n"/>
      <c r="AH522" s="287" t="n"/>
      <c r="AI522" s="287" t="n"/>
      <c r="AJ522" s="287" t="n"/>
      <c r="AK522" s="287" t="n"/>
      <c r="AL522" s="287" t="n"/>
      <c r="AM522" s="287" t="n"/>
      <c r="AN522" s="287" t="n"/>
      <c r="AO522" s="287" t="n"/>
      <c r="AP522" s="287" t="n"/>
      <c r="AQ522" s="287" t="n"/>
      <c r="AR522" s="287" t="n"/>
      <c r="AS522" s="287" t="n"/>
      <c r="AT522" s="287" t="n"/>
      <c r="AU522" s="287" t="n"/>
      <c r="AV522" s="287" t="n"/>
      <c r="AW522" s="287" t="n"/>
      <c r="AX522" s="287" t="n"/>
      <c r="AY522" s="287" t="n"/>
      <c r="AZ522" s="287" t="n"/>
      <c r="BA522" s="287" t="n"/>
      <c r="BB522" s="287" t="n"/>
      <c r="BC522" s="287" t="n"/>
      <c r="BD522" s="287" t="n"/>
      <c r="BE522" s="287" t="n"/>
      <c r="BF522" s="287" t="n"/>
      <c r="BG522" s="287" t="n"/>
      <c r="BH522" s="287" t="n"/>
    </row>
    <row r="523" ht="18.75" customHeight="1">
      <c r="B523" s="288" t="n">
        <v>45388</v>
      </c>
      <c r="C523" s="289" t="n">
        <v>2</v>
      </c>
      <c r="D523" s="290" t="inlineStr">
        <is>
          <t>THR 2024_Yufitri</t>
        </is>
      </c>
      <c r="E523" s="291" t="inlineStr">
        <is>
          <t>BCA</t>
        </is>
      </c>
      <c r="F523" s="292" t="n">
        <v>3000000</v>
      </c>
      <c r="G523" s="289" t="inlineStr">
        <is>
          <t>IDR</t>
        </is>
      </c>
      <c r="H523" s="293" t="n">
        <v>1</v>
      </c>
      <c r="I523" s="291" t="n"/>
      <c r="J523" s="294" t="n"/>
      <c r="K523" s="291" t="n"/>
      <c r="L523" s="295">
        <f>$F523*$H523</f>
        <v/>
      </c>
      <c r="M523" s="291" t="n"/>
      <c r="N523" s="294" t="n"/>
      <c r="O523" s="291" t="n"/>
      <c r="P523" s="294" t="n"/>
      <c r="Q523" s="294" t="n"/>
      <c r="R523" s="287" t="n"/>
      <c r="S523" s="287" t="n"/>
      <c r="T523" s="287" t="n"/>
      <c r="U523" s="287" t="n"/>
      <c r="V523" s="287" t="n"/>
      <c r="W523" s="287" t="n"/>
      <c r="X523" s="287" t="n"/>
      <c r="Y523" s="287" t="n"/>
      <c r="Z523" s="287" t="n"/>
      <c r="AA523" s="287" t="n"/>
      <c r="AB523" s="287" t="n"/>
      <c r="AC523" s="287" t="n"/>
      <c r="AD523" s="287" t="n"/>
      <c r="AE523" s="287" t="n"/>
      <c r="AF523" s="287" t="n"/>
      <c r="AG523" s="287" t="n"/>
      <c r="AH523" s="287" t="n"/>
      <c r="AI523" s="287" t="n"/>
      <c r="AJ523" s="287" t="n"/>
      <c r="AK523" s="287" t="n"/>
      <c r="AL523" s="287" t="n"/>
      <c r="AM523" s="287" t="n"/>
      <c r="AN523" s="287" t="n"/>
      <c r="AO523" s="287" t="n"/>
      <c r="AP523" s="287" t="n"/>
      <c r="AQ523" s="287" t="n"/>
      <c r="AR523" s="287" t="n"/>
      <c r="AS523" s="287" t="n"/>
      <c r="AT523" s="287" t="n"/>
      <c r="AU523" s="287" t="n"/>
      <c r="AV523" s="287" t="n"/>
      <c r="AW523" s="287" t="n"/>
      <c r="AX523" s="287" t="n"/>
      <c r="AY523" s="287" t="n"/>
      <c r="AZ523" s="287" t="n"/>
      <c r="BA523" s="287" t="n"/>
      <c r="BB523" s="287" t="n"/>
      <c r="BC523" s="287" t="n"/>
      <c r="BD523" s="287" t="n"/>
      <c r="BE523" s="287" t="n"/>
      <c r="BF523" s="287" t="n"/>
      <c r="BG523" s="287" t="n"/>
      <c r="BH523" s="287" t="n"/>
    </row>
    <row r="524" ht="18.75" customHeight="1">
      <c r="B524" s="288" t="n">
        <v>45388</v>
      </c>
      <c r="C524" s="289" t="n">
        <v>3</v>
      </c>
      <c r="D524" s="290" t="inlineStr">
        <is>
          <t>THR 2024_Yufitri</t>
        </is>
      </c>
      <c r="E524" s="291" t="inlineStr">
        <is>
          <t>BCA</t>
        </is>
      </c>
      <c r="F524" s="292" t="n">
        <v>3000000</v>
      </c>
      <c r="G524" s="289" t="inlineStr">
        <is>
          <t>IDR</t>
        </is>
      </c>
      <c r="H524" s="293" t="n">
        <v>1</v>
      </c>
      <c r="I524" s="291" t="n"/>
      <c r="J524" s="294" t="n"/>
      <c r="K524" s="291" t="n"/>
      <c r="L524" s="295">
        <f>$F524*$H524</f>
        <v/>
      </c>
      <c r="M524" s="291" t="n"/>
      <c r="N524" s="294" t="n"/>
      <c r="O524" s="291" t="n"/>
      <c r="P524" s="294" t="n"/>
      <c r="Q524" s="294" t="n"/>
      <c r="R524" s="287" t="n"/>
      <c r="S524" s="287" t="n"/>
      <c r="T524" s="287" t="n"/>
      <c r="U524" s="287" t="n"/>
      <c r="V524" s="287" t="n"/>
      <c r="W524" s="287" t="n"/>
      <c r="X524" s="287" t="n"/>
      <c r="Y524" s="287" t="n"/>
      <c r="Z524" s="287" t="n"/>
      <c r="AA524" s="287" t="n"/>
      <c r="AB524" s="287" t="n"/>
      <c r="AC524" s="287" t="n"/>
      <c r="AD524" s="287" t="n"/>
      <c r="AE524" s="287" t="n"/>
      <c r="AF524" s="287" t="n"/>
      <c r="AG524" s="287" t="n"/>
      <c r="AH524" s="287" t="n"/>
      <c r="AI524" s="287" t="n"/>
      <c r="AJ524" s="287" t="n"/>
      <c r="AK524" s="287" t="n"/>
      <c r="AL524" s="287" t="n"/>
      <c r="AM524" s="287" t="n"/>
      <c r="AN524" s="287" t="n"/>
      <c r="AO524" s="287" t="n"/>
      <c r="AP524" s="287" t="n"/>
      <c r="AQ524" s="287" t="n"/>
      <c r="AR524" s="287" t="n"/>
      <c r="AS524" s="287" t="n"/>
      <c r="AT524" s="287" t="n"/>
      <c r="AU524" s="287" t="n"/>
      <c r="AV524" s="287" t="n"/>
      <c r="AW524" s="287" t="n"/>
      <c r="AX524" s="287" t="n"/>
      <c r="AY524" s="287" t="n"/>
      <c r="AZ524" s="287" t="n"/>
      <c r="BA524" s="287" t="n"/>
      <c r="BB524" s="287" t="n"/>
      <c r="BC524" s="287" t="n"/>
      <c r="BD524" s="287" t="n"/>
      <c r="BE524" s="287" t="n"/>
      <c r="BF524" s="287" t="n"/>
      <c r="BG524" s="287" t="n"/>
      <c r="BH524" s="287" t="n"/>
    </row>
    <row r="525" ht="18.75" customHeight="1">
      <c r="B525" s="288" t="n">
        <v>45388</v>
      </c>
      <c r="C525" s="289" t="n">
        <v>4</v>
      </c>
      <c r="D525" s="290" t="inlineStr">
        <is>
          <t>THR 2024_Yufitri</t>
        </is>
      </c>
      <c r="E525" s="291" t="inlineStr">
        <is>
          <t>BCA</t>
        </is>
      </c>
      <c r="F525" s="292" t="n">
        <v>3000000</v>
      </c>
      <c r="G525" s="289" t="inlineStr">
        <is>
          <t>IDR</t>
        </is>
      </c>
      <c r="H525" s="293" t="n">
        <v>1</v>
      </c>
      <c r="I525" s="291" t="n"/>
      <c r="J525" s="294" t="n"/>
      <c r="K525" s="291" t="n"/>
      <c r="L525" s="295">
        <f>$F525*$H525</f>
        <v/>
      </c>
      <c r="M525" s="291" t="n"/>
      <c r="N525" s="294" t="n"/>
      <c r="O525" s="291" t="n"/>
      <c r="P525" s="294" t="n"/>
      <c r="Q525" s="294" t="n"/>
      <c r="R525" s="287" t="n"/>
      <c r="S525" s="287" t="n"/>
      <c r="T525" s="287" t="n"/>
      <c r="U525" s="287" t="n"/>
      <c r="V525" s="287" t="n"/>
      <c r="W525" s="287" t="n"/>
      <c r="X525" s="287" t="n"/>
      <c r="Y525" s="287" t="n"/>
      <c r="Z525" s="287" t="n"/>
      <c r="AA525" s="287" t="n"/>
      <c r="AB525" s="287" t="n"/>
      <c r="AC525" s="287" t="n"/>
      <c r="AD525" s="287" t="n"/>
      <c r="AE525" s="287" t="n"/>
      <c r="AF525" s="287" t="n"/>
      <c r="AG525" s="287" t="n"/>
      <c r="AH525" s="287" t="n"/>
      <c r="AI525" s="287" t="n"/>
      <c r="AJ525" s="287" t="n"/>
      <c r="AK525" s="287" t="n"/>
      <c r="AL525" s="287" t="n"/>
      <c r="AM525" s="287" t="n"/>
      <c r="AN525" s="287" t="n"/>
      <c r="AO525" s="287" t="n"/>
      <c r="AP525" s="287" t="n"/>
      <c r="AQ525" s="287" t="n"/>
      <c r="AR525" s="287" t="n"/>
      <c r="AS525" s="287" t="n"/>
      <c r="AT525" s="287" t="n"/>
      <c r="AU525" s="287" t="n"/>
      <c r="AV525" s="287" t="n"/>
      <c r="AW525" s="287" t="n"/>
      <c r="AX525" s="287" t="n"/>
      <c r="AY525" s="287" t="n"/>
      <c r="AZ525" s="287" t="n"/>
      <c r="BA525" s="287" t="n"/>
      <c r="BB525" s="287" t="n"/>
      <c r="BC525" s="287" t="n"/>
      <c r="BD525" s="287" t="n"/>
      <c r="BE525" s="287" t="n"/>
      <c r="BF525" s="287" t="n"/>
      <c r="BG525" s="287" t="n"/>
      <c r="BH525" s="287" t="n"/>
    </row>
    <row r="526" ht="15.5" customHeight="1">
      <c r="B526" s="284" t="n"/>
      <c r="C526" s="284" t="n"/>
      <c r="D526" s="285" t="inlineStr">
        <is>
          <t>Biaya Bank</t>
        </is>
      </c>
      <c r="E526" s="284" t="n"/>
      <c r="F526" s="284" t="n"/>
      <c r="G526" s="284" t="n"/>
      <c r="H526" s="284" t="n"/>
      <c r="I526" s="284" t="n"/>
      <c r="J526" s="286" t="n"/>
      <c r="K526" s="284" t="n"/>
      <c r="L526" s="286" t="n"/>
      <c r="M526" s="284" t="n"/>
      <c r="N526" s="286" t="n"/>
      <c r="O526" s="284" t="n"/>
      <c r="P526" s="286" t="n"/>
      <c r="Q526" s="286" t="n"/>
      <c r="R526" s="287" t="n"/>
      <c r="S526" s="287" t="n"/>
      <c r="T526" s="287" t="n"/>
      <c r="U526" s="287" t="n"/>
      <c r="V526" s="287" t="n"/>
      <c r="W526" s="287" t="n"/>
      <c r="X526" s="287" t="n"/>
      <c r="Y526" s="287" t="n"/>
      <c r="Z526" s="287" t="n"/>
      <c r="AA526" s="287" t="n"/>
      <c r="AB526" s="287" t="n"/>
      <c r="AC526" s="287" t="n"/>
      <c r="AD526" s="287" t="n"/>
      <c r="AE526" s="287" t="n"/>
      <c r="AF526" s="287" t="n"/>
      <c r="AG526" s="287" t="n"/>
      <c r="AH526" s="287" t="n"/>
      <c r="AI526" s="287" t="n"/>
      <c r="AJ526" s="287" t="n"/>
      <c r="AK526" s="287" t="n"/>
      <c r="AL526" s="287" t="n"/>
      <c r="AM526" s="287" t="n"/>
      <c r="AN526" s="287" t="n"/>
      <c r="AO526" s="287" t="n"/>
      <c r="AP526" s="287" t="n"/>
      <c r="AQ526" s="287" t="n"/>
      <c r="AR526" s="287" t="n"/>
      <c r="AS526" s="287" t="n"/>
      <c r="AT526" s="287" t="n"/>
      <c r="AU526" s="287" t="n"/>
      <c r="AV526" s="287" t="n"/>
      <c r="AW526" s="287" t="n"/>
      <c r="AX526" s="287" t="n"/>
      <c r="AY526" s="287" t="n"/>
      <c r="AZ526" s="287" t="n"/>
      <c r="BA526" s="287" t="n"/>
      <c r="BB526" s="287" t="n"/>
      <c r="BC526" s="287" t="n"/>
      <c r="BD526" s="287" t="n"/>
      <c r="BE526" s="287" t="n"/>
      <c r="BF526" s="287" t="n"/>
      <c r="BG526" s="287" t="n"/>
      <c r="BH526" s="287" t="n"/>
    </row>
    <row r="527" ht="18.75" customHeight="1">
      <c r="B527" s="288" t="n">
        <v>45657</v>
      </c>
      <c r="C527" s="289" t="n">
        <v>5</v>
      </c>
      <c r="D527" s="290" t="inlineStr">
        <is>
          <t>Total Biaya Transaksi Bank selama 1 tahun</t>
        </is>
      </c>
      <c r="E527" s="291" t="inlineStr">
        <is>
          <t>-</t>
        </is>
      </c>
      <c r="F527" s="292" t="n">
        <v>1998587</v>
      </c>
      <c r="G527" s="289" t="inlineStr">
        <is>
          <t>IDR</t>
        </is>
      </c>
      <c r="H527" s="293" t="n">
        <v>1</v>
      </c>
      <c r="I527" s="291" t="n"/>
      <c r="J527" s="294" t="n"/>
      <c r="K527" s="291" t="n"/>
      <c r="L527" s="294" t="n"/>
      <c r="M527" s="292">
        <f>$F527*$H527</f>
        <v/>
      </c>
      <c r="N527" s="294" t="n"/>
      <c r="O527" s="291" t="n"/>
      <c r="P527" s="294" t="n"/>
      <c r="Q527" s="294" t="n"/>
      <c r="R527" s="287" t="n"/>
      <c r="S527" s="287" t="n"/>
      <c r="T527" s="287" t="n"/>
      <c r="U527" s="287" t="n"/>
      <c r="V527" s="287" t="n"/>
      <c r="W527" s="287" t="n"/>
      <c r="X527" s="287" t="n"/>
      <c r="Y527" s="287" t="n"/>
      <c r="Z527" s="287" t="n"/>
      <c r="AA527" s="287" t="n"/>
      <c r="AB527" s="287" t="n"/>
      <c r="AC527" s="287" t="n"/>
      <c r="AD527" s="287" t="n"/>
      <c r="AE527" s="287" t="n"/>
      <c r="AF527" s="287" t="n"/>
      <c r="AG527" s="287" t="n"/>
      <c r="AH527" s="287" t="n"/>
      <c r="AI527" s="287" t="n"/>
      <c r="AJ527" s="287" t="n"/>
      <c r="AK527" s="287" t="n"/>
      <c r="AL527" s="287" t="n"/>
      <c r="AM527" s="287" t="n"/>
      <c r="AN527" s="287" t="n"/>
      <c r="AO527" s="287" t="n"/>
      <c r="AP527" s="287" t="n"/>
      <c r="AQ527" s="287" t="n"/>
      <c r="AR527" s="287" t="n"/>
      <c r="AS527" s="287" t="n"/>
      <c r="AT527" s="287" t="n"/>
      <c r="AU527" s="287" t="n"/>
      <c r="AV527" s="287" t="n"/>
      <c r="AW527" s="287" t="n"/>
      <c r="AX527" s="287" t="n"/>
      <c r="AY527" s="287" t="n"/>
      <c r="AZ527" s="287" t="n"/>
      <c r="BA527" s="287" t="n"/>
      <c r="BB527" s="287" t="n"/>
      <c r="BC527" s="287" t="n"/>
      <c r="BD527" s="287" t="n"/>
      <c r="BE527" s="287" t="n"/>
      <c r="BF527" s="287" t="n"/>
      <c r="BG527" s="287" t="n"/>
      <c r="BH527" s="287" t="n"/>
    </row>
    <row r="528" ht="18.75" customHeight="1">
      <c r="B528" s="288" t="n">
        <v>45657</v>
      </c>
      <c r="C528" s="289" t="n">
        <v>6</v>
      </c>
      <c r="D528" s="290" t="inlineStr">
        <is>
          <t>Total Biaya Transaksi Bank selama 1 tahun</t>
        </is>
      </c>
      <c r="E528" s="291" t="inlineStr">
        <is>
          <t>-</t>
        </is>
      </c>
      <c r="F528" s="292" t="n">
        <v>1998587</v>
      </c>
      <c r="G528" s="289" t="inlineStr">
        <is>
          <t>IDR</t>
        </is>
      </c>
      <c r="H528" s="293" t="n">
        <v>1</v>
      </c>
      <c r="I528" s="291" t="n"/>
      <c r="J528" s="294" t="n"/>
      <c r="K528" s="291" t="n"/>
      <c r="L528" s="294" t="n"/>
      <c r="M528" s="292">
        <f>$F528*$H528</f>
        <v/>
      </c>
      <c r="N528" s="294" t="n"/>
      <c r="O528" s="291" t="n"/>
      <c r="P528" s="294" t="n"/>
      <c r="Q528" s="294" t="n"/>
      <c r="R528" s="287" t="n"/>
      <c r="S528" s="287" t="n"/>
      <c r="T528" s="287" t="n"/>
      <c r="U528" s="287" t="n"/>
      <c r="V528" s="287" t="n"/>
      <c r="W528" s="287" t="n"/>
      <c r="X528" s="287" t="n"/>
      <c r="Y528" s="287" t="n"/>
      <c r="Z528" s="287" t="n"/>
      <c r="AA528" s="287" t="n"/>
      <c r="AB528" s="287" t="n"/>
      <c r="AC528" s="287" t="n"/>
      <c r="AD528" s="287" t="n"/>
      <c r="AE528" s="287" t="n"/>
      <c r="AF528" s="287" t="n"/>
      <c r="AG528" s="287" t="n"/>
      <c r="AH528" s="287" t="n"/>
      <c r="AI528" s="287" t="n"/>
      <c r="AJ528" s="287" t="n"/>
      <c r="AK528" s="287" t="n"/>
      <c r="AL528" s="287" t="n"/>
      <c r="AM528" s="287" t="n"/>
      <c r="AN528" s="287" t="n"/>
      <c r="AO528" s="287" t="n"/>
      <c r="AP528" s="287" t="n"/>
      <c r="AQ528" s="287" t="n"/>
      <c r="AR528" s="287" t="n"/>
      <c r="AS528" s="287" t="n"/>
      <c r="AT528" s="287" t="n"/>
      <c r="AU528" s="287" t="n"/>
      <c r="AV528" s="287" t="n"/>
      <c r="AW528" s="287" t="n"/>
      <c r="AX528" s="287" t="n"/>
      <c r="AY528" s="287" t="n"/>
      <c r="AZ528" s="287" t="n"/>
      <c r="BA528" s="287" t="n"/>
      <c r="BB528" s="287" t="n"/>
      <c r="BC528" s="287" t="n"/>
      <c r="BD528" s="287" t="n"/>
      <c r="BE528" s="287" t="n"/>
      <c r="BF528" s="287" t="n"/>
      <c r="BG528" s="287" t="n"/>
      <c r="BH528" s="287" t="n"/>
    </row>
    <row r="529" ht="18.75" customHeight="1">
      <c r="B529" s="288" t="n">
        <v>45657</v>
      </c>
      <c r="C529" s="289" t="n">
        <v>7</v>
      </c>
      <c r="D529" s="290" t="inlineStr">
        <is>
          <t>Total Biaya Transaksi Bank selama 1 tahun</t>
        </is>
      </c>
      <c r="E529" s="291" t="inlineStr">
        <is>
          <t>-</t>
        </is>
      </c>
      <c r="F529" s="292" t="n">
        <v>1998587</v>
      </c>
      <c r="G529" s="289" t="inlineStr">
        <is>
          <t>IDR</t>
        </is>
      </c>
      <c r="H529" s="293" t="n">
        <v>1</v>
      </c>
      <c r="I529" s="291" t="n"/>
      <c r="J529" s="294" t="n"/>
      <c r="K529" s="291" t="n"/>
      <c r="L529" s="294" t="n"/>
      <c r="M529" s="292">
        <f>$F529*$H529</f>
        <v/>
      </c>
      <c r="N529" s="294" t="n"/>
      <c r="O529" s="291" t="n"/>
      <c r="P529" s="294" t="n"/>
      <c r="Q529" s="294" t="n"/>
      <c r="R529" s="287" t="n"/>
      <c r="S529" s="287" t="n"/>
      <c r="T529" s="287" t="n"/>
      <c r="U529" s="287" t="n"/>
      <c r="V529" s="287" t="n"/>
      <c r="W529" s="287" t="n"/>
      <c r="X529" s="287" t="n"/>
      <c r="Y529" s="287" t="n"/>
      <c r="Z529" s="287" t="n"/>
      <c r="AA529" s="287" t="n"/>
      <c r="AB529" s="287" t="n"/>
      <c r="AC529" s="287" t="n"/>
      <c r="AD529" s="287" t="n"/>
      <c r="AE529" s="287" t="n"/>
      <c r="AF529" s="287" t="n"/>
      <c r="AG529" s="287" t="n"/>
      <c r="AH529" s="287" t="n"/>
      <c r="AI529" s="287" t="n"/>
      <c r="AJ529" s="287" t="n"/>
      <c r="AK529" s="287" t="n"/>
      <c r="AL529" s="287" t="n"/>
      <c r="AM529" s="287" t="n"/>
      <c r="AN529" s="287" t="n"/>
      <c r="AO529" s="287" t="n"/>
      <c r="AP529" s="287" t="n"/>
      <c r="AQ529" s="287" t="n"/>
      <c r="AR529" s="287" t="n"/>
      <c r="AS529" s="287" t="n"/>
      <c r="AT529" s="287" t="n"/>
      <c r="AU529" s="287" t="n"/>
      <c r="AV529" s="287" t="n"/>
      <c r="AW529" s="287" t="n"/>
      <c r="AX529" s="287" t="n"/>
      <c r="AY529" s="287" t="n"/>
      <c r="AZ529" s="287" t="n"/>
      <c r="BA529" s="287" t="n"/>
      <c r="BB529" s="287" t="n"/>
      <c r="BC529" s="287" t="n"/>
      <c r="BD529" s="287" t="n"/>
      <c r="BE529" s="287" t="n"/>
      <c r="BF529" s="287" t="n"/>
      <c r="BG529" s="287" t="n"/>
      <c r="BH529" s="287" t="n"/>
    </row>
    <row r="530" ht="18.75" customHeight="1">
      <c r="B530" s="288" t="n">
        <v>45657</v>
      </c>
      <c r="C530" s="289" t="n">
        <v>8</v>
      </c>
      <c r="D530" s="290" t="inlineStr">
        <is>
          <t>Total Biaya Transaksi Bank selama 1 tahun</t>
        </is>
      </c>
      <c r="E530" s="291" t="inlineStr">
        <is>
          <t>-</t>
        </is>
      </c>
      <c r="F530" s="292" t="n">
        <v>1998587</v>
      </c>
      <c r="G530" s="289" t="inlineStr">
        <is>
          <t>IDR</t>
        </is>
      </c>
      <c r="H530" s="293" t="n">
        <v>1</v>
      </c>
      <c r="I530" s="291" t="n"/>
      <c r="J530" s="294" t="n"/>
      <c r="K530" s="291" t="n"/>
      <c r="L530" s="294" t="n"/>
      <c r="M530" s="292">
        <f>$F530*$H530</f>
        <v/>
      </c>
      <c r="N530" s="294" t="n"/>
      <c r="O530" s="291" t="n"/>
      <c r="P530" s="294" t="n"/>
      <c r="Q530" s="294" t="n"/>
      <c r="R530" s="287" t="n"/>
      <c r="S530" s="287" t="n"/>
      <c r="T530" s="287" t="n"/>
      <c r="U530" s="287" t="n"/>
      <c r="V530" s="287" t="n"/>
      <c r="W530" s="287" t="n"/>
      <c r="X530" s="287" t="n"/>
      <c r="Y530" s="287" t="n"/>
      <c r="Z530" s="287" t="n"/>
      <c r="AA530" s="287" t="n"/>
      <c r="AB530" s="287" t="n"/>
      <c r="AC530" s="287" t="n"/>
      <c r="AD530" s="287" t="n"/>
      <c r="AE530" s="287" t="n"/>
      <c r="AF530" s="287" t="n"/>
      <c r="AG530" s="287" t="n"/>
      <c r="AH530" s="287" t="n"/>
      <c r="AI530" s="287" t="n"/>
      <c r="AJ530" s="287" t="n"/>
      <c r="AK530" s="287" t="n"/>
      <c r="AL530" s="287" t="n"/>
      <c r="AM530" s="287" t="n"/>
      <c r="AN530" s="287" t="n"/>
      <c r="AO530" s="287" t="n"/>
      <c r="AP530" s="287" t="n"/>
      <c r="AQ530" s="287" t="n"/>
      <c r="AR530" s="287" t="n"/>
      <c r="AS530" s="287" t="n"/>
      <c r="AT530" s="287" t="n"/>
      <c r="AU530" s="287" t="n"/>
      <c r="AV530" s="287" t="n"/>
      <c r="AW530" s="287" t="n"/>
      <c r="AX530" s="287" t="n"/>
      <c r="AY530" s="287" t="n"/>
      <c r="AZ530" s="287" t="n"/>
      <c r="BA530" s="287" t="n"/>
      <c r="BB530" s="287" t="n"/>
      <c r="BC530" s="287" t="n"/>
      <c r="BD530" s="287" t="n"/>
      <c r="BE530" s="287" t="n"/>
      <c r="BF530" s="287" t="n"/>
      <c r="BG530" s="287" t="n"/>
      <c r="BH530" s="287" t="n"/>
    </row>
    <row r="531" ht="15.5" customHeight="1">
      <c r="B531" s="284" t="n"/>
      <c r="C531" s="284" t="n"/>
      <c r="D531" s="285" t="inlineStr">
        <is>
          <t>Data Processing</t>
        </is>
      </c>
      <c r="E531" s="284" t="n"/>
      <c r="F531" s="284" t="n"/>
      <c r="G531" s="284" t="n"/>
      <c r="H531" s="284" t="n"/>
      <c r="I531" s="284" t="n"/>
      <c r="J531" s="286" t="n"/>
      <c r="K531" s="284" t="n"/>
      <c r="L531" s="286" t="n"/>
      <c r="M531" s="284" t="n"/>
      <c r="N531" s="286" t="n"/>
      <c r="O531" s="284" t="n"/>
      <c r="P531" s="286" t="n"/>
      <c r="Q531" s="286" t="n"/>
      <c r="R531" s="287" t="n"/>
      <c r="S531" s="287" t="n"/>
      <c r="T531" s="287" t="n"/>
      <c r="U531" s="287" t="n"/>
      <c r="V531" s="287" t="n"/>
      <c r="W531" s="287" t="n"/>
      <c r="X531" s="287" t="n"/>
      <c r="Y531" s="287" t="n"/>
      <c r="Z531" s="287" t="n"/>
      <c r="AA531" s="287" t="n"/>
      <c r="AB531" s="287" t="n"/>
      <c r="AC531" s="287" t="n"/>
      <c r="AD531" s="287" t="n"/>
      <c r="AE531" s="287" t="n"/>
      <c r="AF531" s="287" t="n"/>
      <c r="AG531" s="287" t="n"/>
      <c r="AH531" s="287" t="n"/>
      <c r="AI531" s="287" t="n"/>
      <c r="AJ531" s="287" t="n"/>
      <c r="AK531" s="287" t="n"/>
      <c r="AL531" s="287" t="n"/>
      <c r="AM531" s="287" t="n"/>
      <c r="AN531" s="287" t="n"/>
      <c r="AO531" s="287" t="n"/>
      <c r="AP531" s="287" t="n"/>
      <c r="AQ531" s="287" t="n"/>
      <c r="AR531" s="287" t="n"/>
      <c r="AS531" s="287" t="n"/>
      <c r="AT531" s="287" t="n"/>
      <c r="AU531" s="287" t="n"/>
      <c r="AV531" s="287" t="n"/>
      <c r="AW531" s="287" t="n"/>
      <c r="AX531" s="287" t="n"/>
      <c r="AY531" s="287" t="n"/>
      <c r="AZ531" s="287" t="n"/>
      <c r="BA531" s="287" t="n"/>
      <c r="BB531" s="287" t="n"/>
      <c r="BC531" s="287" t="n"/>
      <c r="BD531" s="287" t="n"/>
      <c r="BE531" s="287" t="n"/>
      <c r="BF531" s="287" t="n"/>
      <c r="BG531" s="287" t="n"/>
      <c r="BH531" s="287" t="n"/>
    </row>
    <row r="532" ht="18.75" customHeight="1">
      <c r="B532" s="288" t="n">
        <v>45413</v>
      </c>
      <c r="C532" s="289" t="n">
        <v>9</v>
      </c>
      <c r="D532" s="290" t="inlineStr">
        <is>
          <t>Data proccesing MTD 4 well, project Tomori-Alan</t>
        </is>
      </c>
      <c r="E532" s="291" t="inlineStr">
        <is>
          <t>BCA</t>
        </is>
      </c>
      <c r="F532" s="292" t="n">
        <v>122625000</v>
      </c>
      <c r="G532" s="289" t="inlineStr">
        <is>
          <t>IDR</t>
        </is>
      </c>
      <c r="H532" s="293" t="n">
        <v>1</v>
      </c>
      <c r="I532" s="291" t="n"/>
      <c r="J532" s="294" t="n"/>
      <c r="K532" s="292">
        <f>$F532*$H532</f>
        <v/>
      </c>
      <c r="L532" s="294" t="n"/>
      <c r="M532" s="291" t="n"/>
      <c r="N532" s="294" t="n"/>
      <c r="O532" s="291" t="n"/>
      <c r="P532" s="294" t="n"/>
      <c r="Q532" s="294" t="n"/>
      <c r="R532" s="287" t="n"/>
      <c r="S532" s="287" t="n"/>
      <c r="T532" s="287" t="n"/>
      <c r="U532" s="287" t="n"/>
      <c r="V532" s="287" t="n"/>
      <c r="W532" s="287" t="n"/>
      <c r="X532" s="287" t="n"/>
      <c r="Y532" s="287" t="n"/>
      <c r="Z532" s="287" t="n"/>
      <c r="AA532" s="287" t="n"/>
      <c r="AB532" s="287" t="n"/>
      <c r="AC532" s="287" t="n"/>
      <c r="AD532" s="287" t="n"/>
      <c r="AE532" s="287" t="n"/>
      <c r="AF532" s="287" t="n"/>
      <c r="AG532" s="287" t="n"/>
      <c r="AH532" s="287" t="n"/>
      <c r="AI532" s="287" t="n"/>
      <c r="AJ532" s="287" t="n"/>
      <c r="AK532" s="287" t="n"/>
      <c r="AL532" s="287" t="n"/>
      <c r="AM532" s="287" t="n"/>
      <c r="AN532" s="287" t="n"/>
      <c r="AO532" s="287" t="n"/>
      <c r="AP532" s="287" t="n"/>
      <c r="AQ532" s="287" t="n"/>
      <c r="AR532" s="287" t="n"/>
      <c r="AS532" s="287" t="n"/>
      <c r="AT532" s="287" t="n"/>
      <c r="AU532" s="287" t="n"/>
      <c r="AV532" s="287" t="n"/>
      <c r="AW532" s="287" t="n"/>
      <c r="AX532" s="287" t="n"/>
      <c r="AY532" s="287" t="n"/>
      <c r="AZ532" s="287" t="n"/>
      <c r="BA532" s="287" t="n"/>
      <c r="BB532" s="287" t="n"/>
      <c r="BC532" s="287" t="n"/>
      <c r="BD532" s="287" t="n"/>
      <c r="BE532" s="287" t="n"/>
      <c r="BF532" s="287" t="n"/>
      <c r="BG532" s="287" t="n"/>
      <c r="BH532" s="287" t="n"/>
    </row>
    <row r="533" ht="18.75" customHeight="1">
      <c r="B533" s="288" t="n">
        <v>45413</v>
      </c>
      <c r="C533" s="289" t="n">
        <v>10</v>
      </c>
      <c r="D533" s="290" t="inlineStr">
        <is>
          <t>Data proccesing MTD 4 well, project Tomori-Alan</t>
        </is>
      </c>
      <c r="E533" s="291" t="inlineStr">
        <is>
          <t>BCA</t>
        </is>
      </c>
      <c r="F533" s="292" t="n">
        <v>122625000</v>
      </c>
      <c r="G533" s="289" t="inlineStr">
        <is>
          <t>IDR</t>
        </is>
      </c>
      <c r="H533" s="293" t="n">
        <v>1</v>
      </c>
      <c r="I533" s="291" t="n"/>
      <c r="J533" s="294" t="n"/>
      <c r="K533" s="292">
        <f>$F533*$H533</f>
        <v/>
      </c>
      <c r="L533" s="294" t="n"/>
      <c r="M533" s="291" t="n"/>
      <c r="N533" s="294" t="n"/>
      <c r="O533" s="291" t="n"/>
      <c r="P533" s="294" t="n"/>
      <c r="Q533" s="294" t="n"/>
      <c r="R533" s="287" t="n"/>
      <c r="S533" s="287" t="n"/>
      <c r="T533" s="287" t="n"/>
      <c r="U533" s="287" t="n"/>
      <c r="V533" s="287" t="n"/>
      <c r="W533" s="287" t="n"/>
      <c r="X533" s="287" t="n"/>
      <c r="Y533" s="287" t="n"/>
      <c r="Z533" s="287" t="n"/>
      <c r="AA533" s="287" t="n"/>
      <c r="AB533" s="287" t="n"/>
      <c r="AC533" s="287" t="n"/>
      <c r="AD533" s="287" t="n"/>
      <c r="AE533" s="287" t="n"/>
      <c r="AF533" s="287" t="n"/>
      <c r="AG533" s="287" t="n"/>
      <c r="AH533" s="287" t="n"/>
      <c r="AI533" s="287" t="n"/>
      <c r="AJ533" s="287" t="n"/>
      <c r="AK533" s="287" t="n"/>
      <c r="AL533" s="287" t="n"/>
      <c r="AM533" s="287" t="n"/>
      <c r="AN533" s="287" t="n"/>
      <c r="AO533" s="287" t="n"/>
      <c r="AP533" s="287" t="n"/>
      <c r="AQ533" s="287" t="n"/>
      <c r="AR533" s="287" t="n"/>
      <c r="AS533" s="287" t="n"/>
      <c r="AT533" s="287" t="n"/>
      <c r="AU533" s="287" t="n"/>
      <c r="AV533" s="287" t="n"/>
      <c r="AW533" s="287" t="n"/>
      <c r="AX533" s="287" t="n"/>
      <c r="AY533" s="287" t="n"/>
      <c r="AZ533" s="287" t="n"/>
      <c r="BA533" s="287" t="n"/>
      <c r="BB533" s="287" t="n"/>
      <c r="BC533" s="287" t="n"/>
      <c r="BD533" s="287" t="n"/>
      <c r="BE533" s="287" t="n"/>
      <c r="BF533" s="287" t="n"/>
      <c r="BG533" s="287" t="n"/>
      <c r="BH533" s="287" t="n"/>
    </row>
    <row r="534" ht="18.75" customHeight="1">
      <c r="B534" s="288" t="n">
        <v>45413</v>
      </c>
      <c r="C534" s="289" t="n">
        <v>11</v>
      </c>
      <c r="D534" s="290" t="inlineStr">
        <is>
          <t>Data proccesing MTD 4 well, project Tomori-Alan</t>
        </is>
      </c>
      <c r="E534" s="291" t="inlineStr">
        <is>
          <t>BCA</t>
        </is>
      </c>
      <c r="F534" s="292" t="n">
        <v>122625000</v>
      </c>
      <c r="G534" s="289" t="inlineStr">
        <is>
          <t>IDR</t>
        </is>
      </c>
      <c r="H534" s="293" t="n">
        <v>1</v>
      </c>
      <c r="I534" s="291" t="n"/>
      <c r="J534" s="294" t="n"/>
      <c r="K534" s="292">
        <f>$F534*$H534</f>
        <v/>
      </c>
      <c r="L534" s="294" t="n"/>
      <c r="M534" s="291" t="n"/>
      <c r="N534" s="294" t="n"/>
      <c r="O534" s="291" t="n"/>
      <c r="P534" s="294" t="n"/>
      <c r="Q534" s="294" t="n"/>
      <c r="R534" s="287" t="n"/>
      <c r="S534" s="287" t="n"/>
      <c r="T534" s="287" t="n"/>
      <c r="U534" s="287" t="n"/>
      <c r="V534" s="287" t="n"/>
      <c r="W534" s="287" t="n"/>
      <c r="X534" s="287" t="n"/>
      <c r="Y534" s="287" t="n"/>
      <c r="Z534" s="287" t="n"/>
      <c r="AA534" s="287" t="n"/>
      <c r="AB534" s="287" t="n"/>
      <c r="AC534" s="287" t="n"/>
      <c r="AD534" s="287" t="n"/>
      <c r="AE534" s="287" t="n"/>
      <c r="AF534" s="287" t="n"/>
      <c r="AG534" s="287" t="n"/>
      <c r="AH534" s="287" t="n"/>
      <c r="AI534" s="287" t="n"/>
      <c r="AJ534" s="287" t="n"/>
      <c r="AK534" s="287" t="n"/>
      <c r="AL534" s="287" t="n"/>
      <c r="AM534" s="287" t="n"/>
      <c r="AN534" s="287" t="n"/>
      <c r="AO534" s="287" t="n"/>
      <c r="AP534" s="287" t="n"/>
      <c r="AQ534" s="287" t="n"/>
      <c r="AR534" s="287" t="n"/>
      <c r="AS534" s="287" t="n"/>
      <c r="AT534" s="287" t="n"/>
      <c r="AU534" s="287" t="n"/>
      <c r="AV534" s="287" t="n"/>
      <c r="AW534" s="287" t="n"/>
      <c r="AX534" s="287" t="n"/>
      <c r="AY534" s="287" t="n"/>
      <c r="AZ534" s="287" t="n"/>
      <c r="BA534" s="287" t="n"/>
      <c r="BB534" s="287" t="n"/>
      <c r="BC534" s="287" t="n"/>
      <c r="BD534" s="287" t="n"/>
      <c r="BE534" s="287" t="n"/>
      <c r="BF534" s="287" t="n"/>
      <c r="BG534" s="287" t="n"/>
      <c r="BH534" s="287" t="n"/>
    </row>
    <row r="535" ht="18.75" customHeight="1">
      <c r="B535" s="288" t="n">
        <v>45413</v>
      </c>
      <c r="C535" s="289" t="n">
        <v>12</v>
      </c>
      <c r="D535" s="290" t="inlineStr">
        <is>
          <t>Data proccesing MTD 4 well, project Tomori-Alan</t>
        </is>
      </c>
      <c r="E535" s="291" t="inlineStr">
        <is>
          <t>BCA</t>
        </is>
      </c>
      <c r="F535" s="292" t="n">
        <v>122625000</v>
      </c>
      <c r="G535" s="289" t="inlineStr">
        <is>
          <t>IDR</t>
        </is>
      </c>
      <c r="H535" s="293" t="n">
        <v>1</v>
      </c>
      <c r="I535" s="291" t="n"/>
      <c r="J535" s="294" t="n"/>
      <c r="K535" s="292">
        <f>$F535*$H535</f>
        <v/>
      </c>
      <c r="L535" s="294" t="n"/>
      <c r="M535" s="291" t="n"/>
      <c r="N535" s="294" t="n"/>
      <c r="O535" s="291" t="n"/>
      <c r="P535" s="294" t="n"/>
      <c r="Q535" s="294" t="n"/>
      <c r="R535" s="287" t="n"/>
      <c r="S535" s="287" t="n"/>
      <c r="T535" s="287" t="n"/>
      <c r="U535" s="287" t="n"/>
      <c r="V535" s="287" t="n"/>
      <c r="W535" s="287" t="n"/>
      <c r="X535" s="287" t="n"/>
      <c r="Y535" s="287" t="n"/>
      <c r="Z535" s="287" t="n"/>
      <c r="AA535" s="287" t="n"/>
      <c r="AB535" s="287" t="n"/>
      <c r="AC535" s="287" t="n"/>
      <c r="AD535" s="287" t="n"/>
      <c r="AE535" s="287" t="n"/>
      <c r="AF535" s="287" t="n"/>
      <c r="AG535" s="287" t="n"/>
      <c r="AH535" s="287" t="n"/>
      <c r="AI535" s="287" t="n"/>
      <c r="AJ535" s="287" t="n"/>
      <c r="AK535" s="287" t="n"/>
      <c r="AL535" s="287" t="n"/>
      <c r="AM535" s="287" t="n"/>
      <c r="AN535" s="287" t="n"/>
      <c r="AO535" s="287" t="n"/>
      <c r="AP535" s="287" t="n"/>
      <c r="AQ535" s="287" t="n"/>
      <c r="AR535" s="287" t="n"/>
      <c r="AS535" s="287" t="n"/>
      <c r="AT535" s="287" t="n"/>
      <c r="AU535" s="287" t="n"/>
      <c r="AV535" s="287" t="n"/>
      <c r="AW535" s="287" t="n"/>
      <c r="AX535" s="287" t="n"/>
      <c r="AY535" s="287" t="n"/>
      <c r="AZ535" s="287" t="n"/>
      <c r="BA535" s="287" t="n"/>
      <c r="BB535" s="287" t="n"/>
      <c r="BC535" s="287" t="n"/>
      <c r="BD535" s="287" t="n"/>
      <c r="BE535" s="287" t="n"/>
      <c r="BF535" s="287" t="n"/>
      <c r="BG535" s="287" t="n"/>
      <c r="BH535" s="287" t="n"/>
    </row>
    <row r="536" ht="18.75" customHeight="1">
      <c r="B536" s="288" t="n">
        <v>45525</v>
      </c>
      <c r="C536" s="289" t="n">
        <v>13</v>
      </c>
      <c r="D536" s="290" t="inlineStr">
        <is>
          <t>Data proccesing TGB-33 DAN TIS (RBG-3b)-Alan</t>
        </is>
      </c>
      <c r="E536" s="291" t="inlineStr">
        <is>
          <t>BCA</t>
        </is>
      </c>
      <c r="F536" s="292" t="n">
        <v>101120000</v>
      </c>
      <c r="G536" s="289" t="inlineStr">
        <is>
          <t>IDR</t>
        </is>
      </c>
      <c r="H536" s="293" t="n">
        <v>1</v>
      </c>
      <c r="I536" s="291" t="n"/>
      <c r="J536" s="294" t="n"/>
      <c r="K536" s="292">
        <f>$F536*$H536</f>
        <v/>
      </c>
      <c r="L536" s="294" t="n"/>
      <c r="M536" s="291" t="n"/>
      <c r="N536" s="294" t="n"/>
      <c r="O536" s="291" t="n"/>
      <c r="P536" s="294" t="n"/>
      <c r="Q536" s="294" t="n"/>
      <c r="R536" s="287" t="n"/>
      <c r="S536" s="287" t="n"/>
      <c r="T536" s="287" t="n"/>
      <c r="U536" s="287" t="n"/>
      <c r="V536" s="287" t="n"/>
      <c r="W536" s="287" t="n"/>
      <c r="X536" s="287" t="n"/>
      <c r="Y536" s="287" t="n"/>
      <c r="Z536" s="287" t="n"/>
      <c r="AA536" s="287" t="n"/>
      <c r="AB536" s="287" t="n"/>
      <c r="AC536" s="287" t="n"/>
      <c r="AD536" s="287" t="n"/>
      <c r="AE536" s="287" t="n"/>
      <c r="AF536" s="287" t="n"/>
      <c r="AG536" s="287" t="n"/>
      <c r="AH536" s="287" t="n"/>
      <c r="AI536" s="287" t="n"/>
      <c r="AJ536" s="287" t="n"/>
      <c r="AK536" s="287" t="n"/>
      <c r="AL536" s="287" t="n"/>
      <c r="AM536" s="287" t="n"/>
      <c r="AN536" s="287" t="n"/>
      <c r="AO536" s="287" t="n"/>
      <c r="AP536" s="287" t="n"/>
      <c r="AQ536" s="287" t="n"/>
      <c r="AR536" s="287" t="n"/>
      <c r="AS536" s="287" t="n"/>
      <c r="AT536" s="287" t="n"/>
      <c r="AU536" s="287" t="n"/>
      <c r="AV536" s="287" t="n"/>
      <c r="AW536" s="287" t="n"/>
      <c r="AX536" s="287" t="n"/>
      <c r="AY536" s="287" t="n"/>
      <c r="AZ536" s="287" t="n"/>
      <c r="BA536" s="287" t="n"/>
      <c r="BB536" s="287" t="n"/>
      <c r="BC536" s="287" t="n"/>
      <c r="BD536" s="287" t="n"/>
      <c r="BE536" s="287" t="n"/>
      <c r="BF536" s="287" t="n"/>
      <c r="BG536" s="287" t="n"/>
      <c r="BH536" s="287" t="n"/>
    </row>
    <row r="537" ht="18.75" customHeight="1">
      <c r="B537" s="288" t="n">
        <v>45525</v>
      </c>
      <c r="C537" s="289" t="n">
        <v>14</v>
      </c>
      <c r="D537" s="290" t="inlineStr">
        <is>
          <t>Data proccesing TGB-33 DAN TIS (RBG-3b)-Alan</t>
        </is>
      </c>
      <c r="E537" s="291" t="inlineStr">
        <is>
          <t>BCA</t>
        </is>
      </c>
      <c r="F537" s="296" t="n">
        <v>101120000</v>
      </c>
      <c r="G537" s="289" t="inlineStr">
        <is>
          <t>IDR</t>
        </is>
      </c>
      <c r="H537" s="293" t="n">
        <v>1</v>
      </c>
      <c r="I537" s="291" t="n"/>
      <c r="J537" s="291" t="n"/>
      <c r="K537" s="292">
        <f>$F537*$H537</f>
        <v/>
      </c>
      <c r="L537" s="291" t="n"/>
      <c r="M537" s="291" t="n"/>
      <c r="N537" s="291" t="n"/>
      <c r="O537" s="291" t="n"/>
      <c r="P537" s="291" t="n"/>
      <c r="Q537" s="291" t="n"/>
      <c r="R537" s="287" t="n"/>
      <c r="S537" s="287" t="n"/>
      <c r="T537" s="287" t="n"/>
      <c r="U537" s="287" t="n"/>
      <c r="V537" s="287" t="n"/>
      <c r="W537" s="287" t="n"/>
      <c r="X537" s="287" t="n"/>
      <c r="Y537" s="287" t="n"/>
      <c r="Z537" s="287" t="n"/>
      <c r="AA537" s="287" t="n"/>
      <c r="AB537" s="287" t="n"/>
      <c r="AC537" s="287" t="n"/>
      <c r="AD537" s="287" t="n"/>
      <c r="AE537" s="287" t="n"/>
      <c r="AF537" s="287" t="n"/>
      <c r="AG537" s="287" t="n"/>
      <c r="AH537" s="287" t="n"/>
      <c r="AI537" s="287" t="n"/>
      <c r="AJ537" s="287" t="n"/>
      <c r="AK537" s="287" t="n"/>
      <c r="AL537" s="287" t="n"/>
      <c r="AM537" s="287" t="n"/>
      <c r="AN537" s="287" t="n"/>
      <c r="AO537" s="287" t="n"/>
      <c r="AP537" s="287" t="n"/>
      <c r="AQ537" s="287" t="n"/>
      <c r="AR537" s="287" t="n"/>
      <c r="AS537" s="287" t="n"/>
      <c r="AT537" s="287" t="n"/>
      <c r="AU537" s="287" t="n"/>
      <c r="AV537" s="287" t="n"/>
      <c r="AW537" s="287" t="n"/>
      <c r="AX537" s="287" t="n"/>
      <c r="AY537" s="287" t="n"/>
      <c r="AZ537" s="287" t="n"/>
      <c r="BA537" s="287" t="n"/>
      <c r="BB537" s="287" t="n"/>
      <c r="BC537" s="287" t="n"/>
      <c r="BD537" s="287" t="n"/>
      <c r="BE537" s="287" t="n"/>
      <c r="BF537" s="287" t="n"/>
      <c r="BG537" s="287" t="n"/>
      <c r="BH537" s="287" t="n"/>
    </row>
    <row r="538" ht="18.75" customHeight="1">
      <c r="B538" s="288" t="n">
        <v>45525</v>
      </c>
      <c r="C538" s="289" t="n">
        <v>15</v>
      </c>
      <c r="D538" s="290" t="inlineStr">
        <is>
          <t>Data proccesing TGB-33 DAN TIS (RBG-3b)-Alan</t>
        </is>
      </c>
      <c r="E538" s="291" t="inlineStr">
        <is>
          <t>BCA</t>
        </is>
      </c>
      <c r="F538" s="296" t="n">
        <v>101120000</v>
      </c>
      <c r="G538" s="289" t="inlineStr">
        <is>
          <t>IDR</t>
        </is>
      </c>
      <c r="H538" s="293" t="n">
        <v>1</v>
      </c>
      <c r="I538" s="291" t="n"/>
      <c r="J538" s="291" t="n"/>
      <c r="K538" s="292">
        <f>$F538*$H538</f>
        <v/>
      </c>
      <c r="L538" s="291" t="n"/>
      <c r="M538" s="291" t="n"/>
      <c r="N538" s="291" t="n"/>
      <c r="O538" s="291" t="n"/>
      <c r="P538" s="291" t="n"/>
      <c r="Q538" s="291" t="n"/>
      <c r="R538" s="287" t="n"/>
      <c r="S538" s="287" t="n"/>
      <c r="T538" s="287" t="n"/>
      <c r="U538" s="287" t="n"/>
      <c r="V538" s="287" t="n"/>
      <c r="W538" s="287" t="n"/>
      <c r="X538" s="287" t="n"/>
      <c r="Y538" s="287" t="n"/>
      <c r="Z538" s="287" t="n"/>
      <c r="AA538" s="287" t="n"/>
      <c r="AB538" s="287" t="n"/>
      <c r="AC538" s="287" t="n"/>
      <c r="AD538" s="287" t="n"/>
      <c r="AE538" s="287" t="n"/>
      <c r="AF538" s="287" t="n"/>
      <c r="AG538" s="287" t="n"/>
      <c r="AH538" s="287" t="n"/>
      <c r="AI538" s="287" t="n"/>
      <c r="AJ538" s="287" t="n"/>
      <c r="AK538" s="287" t="n"/>
      <c r="AL538" s="287" t="n"/>
      <c r="AM538" s="287" t="n"/>
      <c r="AN538" s="287" t="n"/>
      <c r="AO538" s="287" t="n"/>
      <c r="AP538" s="287" t="n"/>
      <c r="AQ538" s="287" t="n"/>
      <c r="AR538" s="287" t="n"/>
      <c r="AS538" s="287" t="n"/>
      <c r="AT538" s="287" t="n"/>
      <c r="AU538" s="287" t="n"/>
      <c r="AV538" s="287" t="n"/>
      <c r="AW538" s="287" t="n"/>
      <c r="AX538" s="287" t="n"/>
      <c r="AY538" s="287" t="n"/>
      <c r="AZ538" s="287" t="n"/>
      <c r="BA538" s="287" t="n"/>
      <c r="BB538" s="287" t="n"/>
      <c r="BC538" s="287" t="n"/>
      <c r="BD538" s="287" t="n"/>
      <c r="BE538" s="287" t="n"/>
      <c r="BF538" s="287" t="n"/>
      <c r="BG538" s="287" t="n"/>
      <c r="BH538" s="287" t="n"/>
    </row>
    <row r="539" ht="18.75" customHeight="1">
      <c r="B539" s="288" t="n">
        <v>45525</v>
      </c>
      <c r="C539" s="289" t="n">
        <v>16</v>
      </c>
      <c r="D539" s="290" t="inlineStr">
        <is>
          <t>Data proccesing TGB-33 DAN TIS (RBG-3b)-Alan</t>
        </is>
      </c>
      <c r="E539" s="291" t="inlineStr">
        <is>
          <t>BCA</t>
        </is>
      </c>
      <c r="F539" s="296" t="n">
        <v>101120000</v>
      </c>
      <c r="G539" s="289" t="inlineStr">
        <is>
          <t>IDR</t>
        </is>
      </c>
      <c r="H539" s="293" t="n">
        <v>1</v>
      </c>
      <c r="I539" s="291" t="n"/>
      <c r="J539" s="291" t="n"/>
      <c r="K539" s="292">
        <f>$F539*$H539</f>
        <v/>
      </c>
      <c r="L539" s="291" t="n"/>
      <c r="M539" s="291" t="n"/>
      <c r="N539" s="291" t="n"/>
      <c r="O539" s="291" t="n"/>
      <c r="P539" s="291" t="n"/>
      <c r="Q539" s="291" t="n"/>
      <c r="R539" s="287" t="n"/>
      <c r="S539" s="287" t="n"/>
      <c r="T539" s="287" t="n"/>
      <c r="U539" s="287" t="n"/>
      <c r="V539" s="287" t="n"/>
      <c r="W539" s="287" t="n"/>
      <c r="X539" s="287" t="n"/>
      <c r="Y539" s="287" t="n"/>
      <c r="Z539" s="287" t="n"/>
      <c r="AA539" s="287" t="n"/>
      <c r="AB539" s="287" t="n"/>
      <c r="AC539" s="287" t="n"/>
      <c r="AD539" s="287" t="n"/>
      <c r="AE539" s="287" t="n"/>
      <c r="AF539" s="287" t="n"/>
      <c r="AG539" s="287" t="n"/>
      <c r="AH539" s="287" t="n"/>
      <c r="AI539" s="287" t="n"/>
      <c r="AJ539" s="287" t="n"/>
      <c r="AK539" s="287" t="n"/>
      <c r="AL539" s="287" t="n"/>
      <c r="AM539" s="287" t="n"/>
      <c r="AN539" s="287" t="n"/>
      <c r="AO539" s="287" t="n"/>
      <c r="AP539" s="287" t="n"/>
      <c r="AQ539" s="287" t="n"/>
      <c r="AR539" s="287" t="n"/>
      <c r="AS539" s="287" t="n"/>
      <c r="AT539" s="287" t="n"/>
      <c r="AU539" s="287" t="n"/>
      <c r="AV539" s="287" t="n"/>
      <c r="AW539" s="287" t="n"/>
      <c r="AX539" s="287" t="n"/>
      <c r="AY539" s="287" t="n"/>
      <c r="AZ539" s="287" t="n"/>
      <c r="BA539" s="287" t="n"/>
      <c r="BB539" s="287" t="n"/>
      <c r="BC539" s="287" t="n"/>
      <c r="BD539" s="287" t="n"/>
      <c r="BE539" s="287" t="n"/>
      <c r="BF539" s="287" t="n"/>
      <c r="BG539" s="287" t="n"/>
      <c r="BH539" s="287" t="n"/>
    </row>
    <row r="540" ht="18.75" customHeight="1">
      <c r="B540" s="288" t="n">
        <v>45589</v>
      </c>
      <c r="C540" s="289" t="n">
        <v>17</v>
      </c>
      <c r="D540" s="290" t="inlineStr">
        <is>
          <t>Data Processing 8 Well Alan Project SIJAK</t>
        </is>
      </c>
      <c r="E540" s="291" t="inlineStr">
        <is>
          <t>BRI</t>
        </is>
      </c>
      <c r="F540" s="296" t="n">
        <v>144000000</v>
      </c>
      <c r="G540" s="289" t="inlineStr">
        <is>
          <t>IDR</t>
        </is>
      </c>
      <c r="H540" s="293" t="n">
        <v>1</v>
      </c>
      <c r="I540" s="291" t="n"/>
      <c r="J540" s="291" t="n"/>
      <c r="K540" s="292">
        <f>$F540*$H540</f>
        <v/>
      </c>
      <c r="L540" s="291" t="n"/>
      <c r="M540" s="291" t="n"/>
      <c r="N540" s="291" t="n"/>
      <c r="O540" s="291" t="n"/>
      <c r="P540" s="291" t="n"/>
      <c r="Q540" s="291" t="n"/>
      <c r="R540" s="287" t="n"/>
      <c r="S540" s="287" t="n"/>
      <c r="T540" s="287" t="n"/>
      <c r="U540" s="287" t="n"/>
      <c r="V540" s="287" t="n"/>
      <c r="W540" s="287" t="n"/>
      <c r="X540" s="287" t="n"/>
      <c r="Y540" s="287" t="n"/>
      <c r="Z540" s="287" t="n"/>
      <c r="AA540" s="287" t="n"/>
      <c r="AB540" s="287" t="n"/>
      <c r="AC540" s="287" t="n"/>
      <c r="AD540" s="287" t="n"/>
      <c r="AE540" s="287" t="n"/>
      <c r="AF540" s="287" t="n"/>
      <c r="AG540" s="287" t="n"/>
      <c r="AH540" s="287" t="n"/>
      <c r="AI540" s="287" t="n"/>
      <c r="AJ540" s="287" t="n"/>
      <c r="AK540" s="287" t="n"/>
      <c r="AL540" s="287" t="n"/>
      <c r="AM540" s="287" t="n"/>
      <c r="AN540" s="287" t="n"/>
      <c r="AO540" s="287" t="n"/>
      <c r="AP540" s="287" t="n"/>
      <c r="AQ540" s="287" t="n"/>
      <c r="AR540" s="287" t="n"/>
      <c r="AS540" s="287" t="n"/>
      <c r="AT540" s="287" t="n"/>
      <c r="AU540" s="287" t="n"/>
      <c r="AV540" s="287" t="n"/>
      <c r="AW540" s="287" t="n"/>
      <c r="AX540" s="287" t="n"/>
      <c r="AY540" s="287" t="n"/>
      <c r="AZ540" s="287" t="n"/>
      <c r="BA540" s="287" t="n"/>
      <c r="BB540" s="287" t="n"/>
      <c r="BC540" s="287" t="n"/>
      <c r="BD540" s="287" t="n"/>
      <c r="BE540" s="287" t="n"/>
      <c r="BF540" s="287" t="n"/>
      <c r="BG540" s="287" t="n"/>
      <c r="BH540" s="287" t="n"/>
    </row>
    <row r="541" ht="18.75" customHeight="1">
      <c r="B541" s="288" t="n">
        <v>45589</v>
      </c>
      <c r="C541" s="289" t="n">
        <v>18</v>
      </c>
      <c r="D541" s="290" t="inlineStr">
        <is>
          <t>Data Processing 8 Well Alan Project SIJAK</t>
        </is>
      </c>
      <c r="E541" s="291" t="inlineStr">
        <is>
          <t>BRI</t>
        </is>
      </c>
      <c r="F541" s="296" t="n">
        <v>144000000</v>
      </c>
      <c r="G541" s="289" t="inlineStr">
        <is>
          <t>IDR</t>
        </is>
      </c>
      <c r="H541" s="293" t="n">
        <v>1</v>
      </c>
      <c r="I541" s="291" t="n"/>
      <c r="J541" s="291" t="n"/>
      <c r="K541" s="292">
        <f>$F541*$H541</f>
        <v/>
      </c>
      <c r="L541" s="291" t="n"/>
      <c r="M541" s="291" t="n"/>
      <c r="N541" s="291" t="n"/>
      <c r="O541" s="291" t="n"/>
      <c r="P541" s="291" t="n"/>
      <c r="Q541" s="291" t="n"/>
      <c r="R541" s="287" t="n"/>
      <c r="S541" s="287" t="n"/>
      <c r="T541" s="287" t="n"/>
      <c r="U541" s="287" t="n"/>
      <c r="V541" s="287" t="n"/>
      <c r="W541" s="287" t="n"/>
      <c r="X541" s="287" t="n"/>
      <c r="Y541" s="287" t="n"/>
      <c r="Z541" s="287" t="n"/>
      <c r="AA541" s="287" t="n"/>
      <c r="AB541" s="287" t="n"/>
      <c r="AC541" s="287" t="n"/>
      <c r="AD541" s="287" t="n"/>
      <c r="AE541" s="287" t="n"/>
      <c r="AF541" s="287" t="n"/>
      <c r="AG541" s="287" t="n"/>
      <c r="AH541" s="287" t="n"/>
      <c r="AI541" s="287" t="n"/>
      <c r="AJ541" s="287" t="n"/>
      <c r="AK541" s="287" t="n"/>
      <c r="AL541" s="287" t="n"/>
      <c r="AM541" s="287" t="n"/>
      <c r="AN541" s="287" t="n"/>
      <c r="AO541" s="287" t="n"/>
      <c r="AP541" s="287" t="n"/>
      <c r="AQ541" s="287" t="n"/>
      <c r="AR541" s="287" t="n"/>
      <c r="AS541" s="287" t="n"/>
      <c r="AT541" s="287" t="n"/>
      <c r="AU541" s="287" t="n"/>
      <c r="AV541" s="287" t="n"/>
      <c r="AW541" s="287" t="n"/>
      <c r="AX541" s="287" t="n"/>
      <c r="AY541" s="287" t="n"/>
      <c r="AZ541" s="287" t="n"/>
      <c r="BA541" s="287" t="n"/>
      <c r="BB541" s="287" t="n"/>
      <c r="BC541" s="287" t="n"/>
      <c r="BD541" s="287" t="n"/>
      <c r="BE541" s="287" t="n"/>
      <c r="BF541" s="287" t="n"/>
      <c r="BG541" s="287" t="n"/>
      <c r="BH541" s="287" t="n"/>
    </row>
    <row r="542" ht="18.75" customHeight="1">
      <c r="B542" s="288" t="n">
        <v>45589</v>
      </c>
      <c r="C542" s="289" t="n">
        <v>19</v>
      </c>
      <c r="D542" s="290" t="inlineStr">
        <is>
          <t>Data Processing 8 Well Alan Project SIJAK</t>
        </is>
      </c>
      <c r="E542" s="291" t="inlineStr">
        <is>
          <t>BRI</t>
        </is>
      </c>
      <c r="F542" s="296" t="n">
        <v>144000000</v>
      </c>
      <c r="G542" s="289" t="inlineStr">
        <is>
          <t>IDR</t>
        </is>
      </c>
      <c r="H542" s="293" t="n">
        <v>1</v>
      </c>
      <c r="I542" s="291" t="n"/>
      <c r="J542" s="291" t="n"/>
      <c r="K542" s="292">
        <f>$F542*$H542</f>
        <v/>
      </c>
      <c r="L542" s="291" t="n"/>
      <c r="M542" s="291" t="n"/>
      <c r="N542" s="291" t="n"/>
      <c r="O542" s="291" t="n"/>
      <c r="P542" s="291" t="n"/>
      <c r="Q542" s="291" t="n"/>
      <c r="R542" s="287" t="n"/>
      <c r="S542" s="287" t="n"/>
      <c r="T542" s="287" t="n"/>
      <c r="U542" s="287" t="n"/>
      <c r="V542" s="287" t="n"/>
      <c r="W542" s="287" t="n"/>
      <c r="X542" s="287" t="n"/>
      <c r="Y542" s="287" t="n"/>
      <c r="Z542" s="287" t="n"/>
      <c r="AA542" s="287" t="n"/>
      <c r="AB542" s="287" t="n"/>
      <c r="AC542" s="287" t="n"/>
      <c r="AD542" s="287" t="n"/>
      <c r="AE542" s="287" t="n"/>
      <c r="AF542" s="287" t="n"/>
      <c r="AG542" s="287" t="n"/>
      <c r="AH542" s="287" t="n"/>
      <c r="AI542" s="287" t="n"/>
      <c r="AJ542" s="287" t="n"/>
      <c r="AK542" s="287" t="n"/>
      <c r="AL542" s="287" t="n"/>
      <c r="AM542" s="287" t="n"/>
      <c r="AN542" s="287" t="n"/>
      <c r="AO542" s="287" t="n"/>
      <c r="AP542" s="287" t="n"/>
      <c r="AQ542" s="287" t="n"/>
      <c r="AR542" s="287" t="n"/>
      <c r="AS542" s="287" t="n"/>
      <c r="AT542" s="287" t="n"/>
      <c r="AU542" s="287" t="n"/>
      <c r="AV542" s="287" t="n"/>
      <c r="AW542" s="287" t="n"/>
      <c r="AX542" s="287" t="n"/>
      <c r="AY542" s="287" t="n"/>
      <c r="AZ542" s="287" t="n"/>
      <c r="BA542" s="287" t="n"/>
      <c r="BB542" s="287" t="n"/>
      <c r="BC542" s="287" t="n"/>
      <c r="BD542" s="287" t="n"/>
      <c r="BE542" s="287" t="n"/>
      <c r="BF542" s="287" t="n"/>
      <c r="BG542" s="287" t="n"/>
      <c r="BH542" s="287" t="n"/>
    </row>
    <row r="543" ht="18.75" customHeight="1">
      <c r="B543" s="288" t="n">
        <v>45589</v>
      </c>
      <c r="C543" s="289" t="n">
        <v>20</v>
      </c>
      <c r="D543" s="290" t="inlineStr">
        <is>
          <t>Data Processing 8 Well Alan Project SIJAK</t>
        </is>
      </c>
      <c r="E543" s="291" t="inlineStr">
        <is>
          <t>BRI</t>
        </is>
      </c>
      <c r="F543" s="296" t="n">
        <v>144000000</v>
      </c>
      <c r="G543" s="289" t="inlineStr">
        <is>
          <t>IDR</t>
        </is>
      </c>
      <c r="H543" s="293" t="n">
        <v>1</v>
      </c>
      <c r="I543" s="291" t="n"/>
      <c r="J543" s="291" t="n"/>
      <c r="K543" s="292">
        <f>$F543*$H543</f>
        <v/>
      </c>
      <c r="L543" s="291" t="n"/>
      <c r="M543" s="291" t="n"/>
      <c r="N543" s="291" t="n"/>
      <c r="O543" s="291" t="n"/>
      <c r="P543" s="291" t="n"/>
      <c r="Q543" s="291" t="n"/>
      <c r="R543" s="287" t="n"/>
      <c r="S543" s="287" t="n"/>
      <c r="T543" s="287" t="n"/>
      <c r="U543" s="287" t="n"/>
      <c r="V543" s="287" t="n"/>
      <c r="W543" s="287" t="n"/>
      <c r="X543" s="287" t="n"/>
      <c r="Y543" s="287" t="n"/>
      <c r="Z543" s="287" t="n"/>
      <c r="AA543" s="287" t="n"/>
      <c r="AB543" s="287" t="n"/>
      <c r="AC543" s="287" t="n"/>
      <c r="AD543" s="287" t="n"/>
      <c r="AE543" s="287" t="n"/>
      <c r="AF543" s="287" t="n"/>
      <c r="AG543" s="287" t="n"/>
      <c r="AH543" s="287" t="n"/>
      <c r="AI543" s="287" t="n"/>
      <c r="AJ543" s="287" t="n"/>
      <c r="AK543" s="287" t="n"/>
      <c r="AL543" s="287" t="n"/>
      <c r="AM543" s="287" t="n"/>
      <c r="AN543" s="287" t="n"/>
      <c r="AO543" s="287" t="n"/>
      <c r="AP543" s="287" t="n"/>
      <c r="AQ543" s="287" t="n"/>
      <c r="AR543" s="287" t="n"/>
      <c r="AS543" s="287" t="n"/>
      <c r="AT543" s="287" t="n"/>
      <c r="AU543" s="287" t="n"/>
      <c r="AV543" s="287" t="n"/>
      <c r="AW543" s="287" t="n"/>
      <c r="AX543" s="287" t="n"/>
      <c r="AY543" s="287" t="n"/>
      <c r="AZ543" s="287" t="n"/>
      <c r="BA543" s="287" t="n"/>
      <c r="BB543" s="287" t="n"/>
      <c r="BC543" s="287" t="n"/>
      <c r="BD543" s="287" t="n"/>
      <c r="BE543" s="287" t="n"/>
      <c r="BF543" s="287" t="n"/>
      <c r="BG543" s="287" t="n"/>
      <c r="BH543" s="287" t="n"/>
    </row>
    <row r="544" ht="15.5" customHeight="1">
      <c r="B544" s="284" t="n"/>
      <c r="C544" s="284" t="n"/>
      <c r="D544" s="285" t="inlineStr">
        <is>
          <t>Elektronik &amp; Gadget</t>
        </is>
      </c>
      <c r="E544" s="284" t="n"/>
      <c r="F544" s="297" t="n"/>
      <c r="G544" s="284" t="n"/>
      <c r="H544" s="284" t="n"/>
      <c r="I544" s="284" t="n"/>
      <c r="J544" s="284" t="n"/>
      <c r="K544" s="284" t="n"/>
      <c r="L544" s="284" t="n"/>
      <c r="M544" s="284" t="n"/>
      <c r="N544" s="284" t="n"/>
      <c r="O544" s="284" t="n"/>
      <c r="P544" s="284" t="n"/>
      <c r="Q544" s="284" t="n"/>
      <c r="R544" s="287" t="n"/>
      <c r="S544" s="287" t="n"/>
      <c r="T544" s="287" t="n"/>
      <c r="U544" s="287" t="n"/>
      <c r="V544" s="287" t="n"/>
      <c r="W544" s="287" t="n"/>
      <c r="X544" s="287" t="n"/>
      <c r="Y544" s="287" t="n"/>
      <c r="Z544" s="287" t="n"/>
      <c r="AA544" s="287" t="n"/>
      <c r="AB544" s="287" t="n"/>
      <c r="AC544" s="287" t="n"/>
      <c r="AD544" s="287" t="n"/>
      <c r="AE544" s="287" t="n"/>
      <c r="AF544" s="287" t="n"/>
      <c r="AG544" s="287" t="n"/>
      <c r="AH544" s="287" t="n"/>
      <c r="AI544" s="287" t="n"/>
      <c r="AJ544" s="287" t="n"/>
      <c r="AK544" s="287" t="n"/>
      <c r="AL544" s="287" t="n"/>
      <c r="AM544" s="287" t="n"/>
      <c r="AN544" s="287" t="n"/>
      <c r="AO544" s="287" t="n"/>
      <c r="AP544" s="287" t="n"/>
      <c r="AQ544" s="287" t="n"/>
      <c r="AR544" s="287" t="n"/>
      <c r="AS544" s="287" t="n"/>
      <c r="AT544" s="287" t="n"/>
      <c r="AU544" s="287" t="n"/>
      <c r="AV544" s="287" t="n"/>
      <c r="AW544" s="287" t="n"/>
      <c r="AX544" s="287" t="n"/>
      <c r="AY544" s="287" t="n"/>
      <c r="AZ544" s="287" t="n"/>
      <c r="BA544" s="287" t="n"/>
      <c r="BB544" s="287" t="n"/>
      <c r="BC544" s="287" t="n"/>
      <c r="BD544" s="287" t="n"/>
      <c r="BE544" s="287" t="n"/>
      <c r="BF544" s="287" t="n"/>
      <c r="BG544" s="287" t="n"/>
      <c r="BH544" s="287" t="n"/>
    </row>
    <row r="545" ht="18.75" customHeight="1">
      <c r="B545" s="288" t="n">
        <v>45501</v>
      </c>
      <c r="C545" s="289" t="n">
        <v>21</v>
      </c>
      <c r="D545" s="290" t="inlineStr">
        <is>
          <t>Handphone Operational untuk Secretary (Yufitri)</t>
        </is>
      </c>
      <c r="E545" s="291" t="inlineStr">
        <is>
          <t>BCA</t>
        </is>
      </c>
      <c r="F545" s="292" t="n">
        <v>2600000</v>
      </c>
      <c r="G545" s="289" t="inlineStr">
        <is>
          <t>IDR</t>
        </is>
      </c>
      <c r="H545" s="293" t="n">
        <v>1</v>
      </c>
      <c r="I545" s="291" t="n"/>
      <c r="J545" s="291" t="n"/>
      <c r="K545" s="291" t="n"/>
      <c r="L545" s="291" t="n"/>
      <c r="M545" s="291" t="n"/>
      <c r="N545" s="292">
        <f>$F545*$H545</f>
        <v/>
      </c>
      <c r="O545" s="291" t="n"/>
      <c r="P545" s="291" t="n"/>
      <c r="Q545" s="291" t="n"/>
      <c r="R545" s="287" t="n"/>
      <c r="S545" s="287" t="n"/>
      <c r="T545" s="287" t="n"/>
      <c r="U545" s="287" t="n"/>
      <c r="V545" s="287" t="n"/>
      <c r="W545" s="287" t="n"/>
      <c r="X545" s="287" t="n"/>
      <c r="Y545" s="287" t="n"/>
      <c r="Z545" s="287" t="n"/>
      <c r="AA545" s="287" t="n"/>
      <c r="AB545" s="287" t="n"/>
      <c r="AC545" s="287" t="n"/>
      <c r="AD545" s="287" t="n"/>
      <c r="AE545" s="287" t="n"/>
      <c r="AF545" s="287" t="n"/>
      <c r="AG545" s="287" t="n"/>
      <c r="AH545" s="287" t="n"/>
      <c r="AI545" s="287" t="n"/>
      <c r="AJ545" s="287" t="n"/>
      <c r="AK545" s="287" t="n"/>
      <c r="AL545" s="287" t="n"/>
      <c r="AM545" s="287" t="n"/>
      <c r="AN545" s="287" t="n"/>
      <c r="AO545" s="287" t="n"/>
      <c r="AP545" s="287" t="n"/>
      <c r="AQ545" s="287" t="n"/>
      <c r="AR545" s="287" t="n"/>
      <c r="AS545" s="287" t="n"/>
      <c r="AT545" s="287" t="n"/>
      <c r="AU545" s="287" t="n"/>
      <c r="AV545" s="287" t="n"/>
      <c r="AW545" s="287" t="n"/>
      <c r="AX545" s="287" t="n"/>
      <c r="AY545" s="287" t="n"/>
      <c r="AZ545" s="287" t="n"/>
      <c r="BA545" s="287" t="n"/>
      <c r="BB545" s="287" t="n"/>
      <c r="BC545" s="287" t="n"/>
      <c r="BD545" s="287" t="n"/>
      <c r="BE545" s="287" t="n"/>
      <c r="BF545" s="287" t="n"/>
      <c r="BG545" s="287" t="n"/>
      <c r="BH545" s="287" t="n"/>
    </row>
    <row r="546" ht="18.75" customHeight="1">
      <c r="B546" s="288" t="n">
        <v>45501</v>
      </c>
      <c r="C546" s="289" t="n">
        <v>22</v>
      </c>
      <c r="D546" s="290" t="inlineStr">
        <is>
          <t>Handphone Operational untuk Secretary (Yufitri)</t>
        </is>
      </c>
      <c r="E546" s="291" t="inlineStr">
        <is>
          <t>BCA</t>
        </is>
      </c>
      <c r="F546" s="295" t="n">
        <v>2600000</v>
      </c>
      <c r="G546" s="289" t="inlineStr">
        <is>
          <t>IDR</t>
        </is>
      </c>
      <c r="H546" s="293" t="n">
        <v>1</v>
      </c>
      <c r="I546" s="291" t="n"/>
      <c r="J546" s="291" t="n"/>
      <c r="K546" s="291" t="n"/>
      <c r="L546" s="291" t="n"/>
      <c r="M546" s="291" t="n"/>
      <c r="N546" s="292">
        <f>$F546*$H546</f>
        <v/>
      </c>
      <c r="O546" s="291" t="n"/>
      <c r="P546" s="291" t="n"/>
      <c r="Q546" s="291" t="n"/>
      <c r="R546" s="287" t="n"/>
      <c r="S546" s="287" t="n"/>
      <c r="T546" s="287" t="n"/>
      <c r="U546" s="287" t="n"/>
      <c r="V546" s="287" t="n"/>
      <c r="W546" s="287" t="n"/>
      <c r="X546" s="287" t="n"/>
      <c r="Y546" s="287" t="n"/>
      <c r="Z546" s="287" t="n"/>
      <c r="AA546" s="287" t="n"/>
      <c r="AB546" s="287" t="n"/>
      <c r="AC546" s="287" t="n"/>
      <c r="AD546" s="287" t="n"/>
      <c r="AE546" s="287" t="n"/>
      <c r="AF546" s="287" t="n"/>
      <c r="AG546" s="287" t="n"/>
      <c r="AH546" s="287" t="n"/>
      <c r="AI546" s="287" t="n"/>
      <c r="AJ546" s="287" t="n"/>
      <c r="AK546" s="287" t="n"/>
      <c r="AL546" s="287" t="n"/>
      <c r="AM546" s="287" t="n"/>
      <c r="AN546" s="287" t="n"/>
      <c r="AO546" s="287" t="n"/>
      <c r="AP546" s="287" t="n"/>
      <c r="AQ546" s="287" t="n"/>
      <c r="AR546" s="287" t="n"/>
      <c r="AS546" s="287" t="n"/>
      <c r="AT546" s="287" t="n"/>
      <c r="AU546" s="287" t="n"/>
      <c r="AV546" s="287" t="n"/>
      <c r="AW546" s="287" t="n"/>
      <c r="AX546" s="287" t="n"/>
      <c r="AY546" s="287" t="n"/>
      <c r="AZ546" s="287" t="n"/>
      <c r="BA546" s="287" t="n"/>
      <c r="BB546" s="287" t="n"/>
      <c r="BC546" s="287" t="n"/>
      <c r="BD546" s="287" t="n"/>
      <c r="BE546" s="287" t="n"/>
      <c r="BF546" s="287" t="n"/>
      <c r="BG546" s="287" t="n"/>
      <c r="BH546" s="287" t="n"/>
    </row>
    <row r="547" ht="18.75" customHeight="1">
      <c r="B547" s="288" t="n">
        <v>45501</v>
      </c>
      <c r="C547" s="289" t="n">
        <v>23</v>
      </c>
      <c r="D547" s="290" t="inlineStr">
        <is>
          <t>Handphone Operational untuk Secretary (Yufitri)</t>
        </is>
      </c>
      <c r="E547" s="291" t="inlineStr">
        <is>
          <t>BCA</t>
        </is>
      </c>
      <c r="F547" s="295" t="n">
        <v>2600000</v>
      </c>
      <c r="G547" s="289" t="inlineStr">
        <is>
          <t>IDR</t>
        </is>
      </c>
      <c r="H547" s="293" t="n">
        <v>1</v>
      </c>
      <c r="I547" s="291" t="n"/>
      <c r="J547" s="291" t="n"/>
      <c r="K547" s="291" t="n"/>
      <c r="L547" s="291" t="n"/>
      <c r="M547" s="291" t="n"/>
      <c r="N547" s="292">
        <f>$F547*$H547</f>
        <v/>
      </c>
      <c r="O547" s="291" t="n"/>
      <c r="P547" s="291" t="n"/>
      <c r="Q547" s="291" t="n"/>
      <c r="R547" s="287" t="n"/>
      <c r="S547" s="287" t="n"/>
      <c r="T547" s="287" t="n"/>
      <c r="U547" s="287" t="n"/>
      <c r="V547" s="287" t="n"/>
      <c r="W547" s="287" t="n"/>
      <c r="X547" s="287" t="n"/>
      <c r="Y547" s="287" t="n"/>
      <c r="Z547" s="287" t="n"/>
      <c r="AA547" s="287" t="n"/>
      <c r="AB547" s="287" t="n"/>
      <c r="AC547" s="287" t="n"/>
      <c r="AD547" s="287" t="n"/>
      <c r="AE547" s="287" t="n"/>
      <c r="AF547" s="287" t="n"/>
      <c r="AG547" s="287" t="n"/>
      <c r="AH547" s="287" t="n"/>
      <c r="AI547" s="287" t="n"/>
      <c r="AJ547" s="287" t="n"/>
      <c r="AK547" s="287" t="n"/>
      <c r="AL547" s="287" t="n"/>
      <c r="AM547" s="287" t="n"/>
      <c r="AN547" s="287" t="n"/>
      <c r="AO547" s="287" t="n"/>
      <c r="AP547" s="287" t="n"/>
      <c r="AQ547" s="287" t="n"/>
      <c r="AR547" s="287" t="n"/>
      <c r="AS547" s="287" t="n"/>
      <c r="AT547" s="287" t="n"/>
      <c r="AU547" s="287" t="n"/>
      <c r="AV547" s="287" t="n"/>
      <c r="AW547" s="287" t="n"/>
      <c r="AX547" s="287" t="n"/>
      <c r="AY547" s="287" t="n"/>
      <c r="AZ547" s="287" t="n"/>
      <c r="BA547" s="287" t="n"/>
      <c r="BB547" s="287" t="n"/>
      <c r="BC547" s="287" t="n"/>
      <c r="BD547" s="287" t="n"/>
      <c r="BE547" s="287" t="n"/>
      <c r="BF547" s="287" t="n"/>
      <c r="BG547" s="287" t="n"/>
      <c r="BH547" s="287" t="n"/>
    </row>
    <row r="548" ht="18.75" customHeight="1">
      <c r="B548" s="288" t="n">
        <v>45501</v>
      </c>
      <c r="C548" s="289" t="n">
        <v>24</v>
      </c>
      <c r="D548" s="290" t="inlineStr">
        <is>
          <t>Handphone Operational untuk Secretary (Yufitri)</t>
        </is>
      </c>
      <c r="E548" s="291" t="inlineStr">
        <is>
          <t>BCA</t>
        </is>
      </c>
      <c r="F548" s="295" t="n">
        <v>2600000</v>
      </c>
      <c r="G548" s="289" t="inlineStr">
        <is>
          <t>IDR</t>
        </is>
      </c>
      <c r="H548" s="293" t="n">
        <v>1</v>
      </c>
      <c r="I548" s="291" t="n"/>
      <c r="J548" s="291" t="n"/>
      <c r="K548" s="291" t="n"/>
      <c r="L548" s="291" t="n"/>
      <c r="M548" s="291" t="n"/>
      <c r="N548" s="292">
        <f>$F548*$H548</f>
        <v/>
      </c>
      <c r="O548" s="291" t="n"/>
      <c r="P548" s="291" t="n"/>
      <c r="Q548" s="291" t="n"/>
      <c r="R548" s="287" t="n"/>
      <c r="S548" s="287" t="n"/>
      <c r="T548" s="287" t="n"/>
      <c r="U548" s="287" t="n"/>
      <c r="V548" s="287" t="n"/>
      <c r="W548" s="287" t="n"/>
      <c r="X548" s="287" t="n"/>
      <c r="Y548" s="287" t="n"/>
      <c r="Z548" s="287" t="n"/>
      <c r="AA548" s="287" t="n"/>
      <c r="AB548" s="287" t="n"/>
      <c r="AC548" s="287" t="n"/>
      <c r="AD548" s="287" t="n"/>
      <c r="AE548" s="287" t="n"/>
      <c r="AF548" s="287" t="n"/>
      <c r="AG548" s="287" t="n"/>
      <c r="AH548" s="287" t="n"/>
      <c r="AI548" s="287" t="n"/>
      <c r="AJ548" s="287" t="n"/>
      <c r="AK548" s="287" t="n"/>
      <c r="AL548" s="287" t="n"/>
      <c r="AM548" s="287" t="n"/>
      <c r="AN548" s="287" t="n"/>
      <c r="AO548" s="287" t="n"/>
      <c r="AP548" s="287" t="n"/>
      <c r="AQ548" s="287" t="n"/>
      <c r="AR548" s="287" t="n"/>
      <c r="AS548" s="287" t="n"/>
      <c r="AT548" s="287" t="n"/>
      <c r="AU548" s="287" t="n"/>
      <c r="AV548" s="287" t="n"/>
      <c r="AW548" s="287" t="n"/>
      <c r="AX548" s="287" t="n"/>
      <c r="AY548" s="287" t="n"/>
      <c r="AZ548" s="287" t="n"/>
      <c r="BA548" s="287" t="n"/>
      <c r="BB548" s="287" t="n"/>
      <c r="BC548" s="287" t="n"/>
      <c r="BD548" s="287" t="n"/>
      <c r="BE548" s="287" t="n"/>
      <c r="BF548" s="287" t="n"/>
      <c r="BG548" s="287" t="n"/>
      <c r="BH548" s="287" t="n"/>
    </row>
    <row r="549" ht="15.5" customHeight="1">
      <c r="B549" s="284" t="n"/>
      <c r="C549" s="284" t="n"/>
      <c r="D549" s="285" t="inlineStr">
        <is>
          <t>Gaji</t>
        </is>
      </c>
      <c r="E549" s="284" t="n"/>
      <c r="F549" s="286" t="n"/>
      <c r="G549" s="284" t="n"/>
      <c r="H549" s="284" t="n"/>
      <c r="I549" s="284" t="n"/>
      <c r="J549" s="284" t="n"/>
      <c r="K549" s="284" t="n"/>
      <c r="L549" s="284" t="n"/>
      <c r="M549" s="284" t="n"/>
      <c r="N549" s="284" t="n"/>
      <c r="O549" s="284" t="n"/>
      <c r="P549" s="284" t="n"/>
      <c r="Q549" s="284" t="n"/>
      <c r="R549" s="287" t="n"/>
      <c r="S549" s="287" t="n"/>
      <c r="T549" s="287" t="n"/>
      <c r="U549" s="287" t="n"/>
      <c r="V549" s="287" t="n"/>
      <c r="W549" s="287" t="n"/>
      <c r="X549" s="287" t="n"/>
      <c r="Y549" s="287" t="n"/>
      <c r="Z549" s="287" t="n"/>
      <c r="AA549" s="287" t="n"/>
      <c r="AB549" s="287" t="n"/>
      <c r="AC549" s="287" t="n"/>
      <c r="AD549" s="287" t="n"/>
      <c r="AE549" s="287" t="n"/>
      <c r="AF549" s="287" t="n"/>
      <c r="AG549" s="287" t="n"/>
      <c r="AH549" s="287" t="n"/>
      <c r="AI549" s="287" t="n"/>
      <c r="AJ549" s="287" t="n"/>
      <c r="AK549" s="287" t="n"/>
      <c r="AL549" s="287" t="n"/>
      <c r="AM549" s="287" t="n"/>
      <c r="AN549" s="287" t="n"/>
      <c r="AO549" s="287" t="n"/>
      <c r="AP549" s="287" t="n"/>
      <c r="AQ549" s="287" t="n"/>
      <c r="AR549" s="287" t="n"/>
      <c r="AS549" s="287" t="n"/>
      <c r="AT549" s="287" t="n"/>
      <c r="AU549" s="287" t="n"/>
      <c r="AV549" s="287" t="n"/>
      <c r="AW549" s="287" t="n"/>
      <c r="AX549" s="287" t="n"/>
      <c r="AY549" s="287" t="n"/>
      <c r="AZ549" s="287" t="n"/>
      <c r="BA549" s="287" t="n"/>
      <c r="BB549" s="287" t="n"/>
      <c r="BC549" s="287" t="n"/>
      <c r="BD549" s="287" t="n"/>
      <c r="BE549" s="287" t="n"/>
      <c r="BF549" s="287" t="n"/>
      <c r="BG549" s="287" t="n"/>
      <c r="BH549" s="287" t="n"/>
    </row>
    <row r="550" ht="18.75" customHeight="1">
      <c r="B550" s="288" t="n">
        <v>45323</v>
      </c>
      <c r="C550" s="289" t="n">
        <v>25</v>
      </c>
      <c r="D550" s="290" t="inlineStr">
        <is>
          <t>Gaji Januari 2024 _Yufitri</t>
        </is>
      </c>
      <c r="E550" s="291" t="inlineStr">
        <is>
          <t>BCA</t>
        </is>
      </c>
      <c r="F550" s="295" t="n">
        <v>2500000</v>
      </c>
      <c r="G550" s="289" t="inlineStr">
        <is>
          <t>IDR</t>
        </is>
      </c>
      <c r="H550" s="293" t="n">
        <v>1</v>
      </c>
      <c r="I550" s="291" t="n"/>
      <c r="J550" s="291" t="n"/>
      <c r="K550" s="291" t="n"/>
      <c r="L550" s="292">
        <f>$F550*$H550</f>
        <v/>
      </c>
      <c r="M550" s="291" t="n"/>
      <c r="N550" s="291" t="n"/>
      <c r="O550" s="291" t="n"/>
      <c r="P550" s="291" t="n"/>
      <c r="Q550" s="291" t="n"/>
      <c r="R550" s="287" t="n"/>
      <c r="S550" s="287" t="n"/>
      <c r="T550" s="287" t="n"/>
      <c r="U550" s="287" t="n"/>
      <c r="V550" s="287" t="n"/>
      <c r="W550" s="287" t="n"/>
      <c r="X550" s="287" t="n"/>
      <c r="Y550" s="287" t="n"/>
      <c r="Z550" s="287" t="n"/>
      <c r="AA550" s="287" t="n"/>
      <c r="AB550" s="287" t="n"/>
      <c r="AC550" s="287" t="n"/>
      <c r="AD550" s="287" t="n"/>
      <c r="AE550" s="287" t="n"/>
      <c r="AF550" s="287" t="n"/>
      <c r="AG550" s="287" t="n"/>
      <c r="AH550" s="287" t="n"/>
      <c r="AI550" s="287" t="n"/>
      <c r="AJ550" s="287" t="n"/>
      <c r="AK550" s="287" t="n"/>
      <c r="AL550" s="287" t="n"/>
      <c r="AM550" s="287" t="n"/>
      <c r="AN550" s="287" t="n"/>
      <c r="AO550" s="287" t="n"/>
      <c r="AP550" s="287" t="n"/>
      <c r="AQ550" s="287" t="n"/>
      <c r="AR550" s="287" t="n"/>
      <c r="AS550" s="287" t="n"/>
      <c r="AT550" s="287" t="n"/>
      <c r="AU550" s="287" t="n"/>
      <c r="AV550" s="287" t="n"/>
      <c r="AW550" s="287" t="n"/>
      <c r="AX550" s="287" t="n"/>
      <c r="AY550" s="287" t="n"/>
      <c r="AZ550" s="287" t="n"/>
      <c r="BA550" s="287" t="n"/>
      <c r="BB550" s="287" t="n"/>
      <c r="BC550" s="287" t="n"/>
      <c r="BD550" s="287" t="n"/>
      <c r="BE550" s="287" t="n"/>
      <c r="BF550" s="287" t="n"/>
      <c r="BG550" s="287" t="n"/>
      <c r="BH550" s="287" t="n"/>
    </row>
    <row r="551" ht="18.75" customHeight="1">
      <c r="B551" s="288" t="n">
        <v>45323</v>
      </c>
      <c r="C551" s="289" t="n">
        <v>26</v>
      </c>
      <c r="D551" s="290" t="inlineStr">
        <is>
          <t>Gaji Januari 2024 _Yufitri</t>
        </is>
      </c>
      <c r="E551" s="291" t="inlineStr">
        <is>
          <t>BCA</t>
        </is>
      </c>
      <c r="F551" s="295" t="n">
        <v>2500000</v>
      </c>
      <c r="G551" s="289" t="inlineStr">
        <is>
          <t>IDR</t>
        </is>
      </c>
      <c r="H551" s="293" t="n">
        <v>1</v>
      </c>
      <c r="I551" s="291" t="n"/>
      <c r="J551" s="291" t="n"/>
      <c r="K551" s="291" t="n"/>
      <c r="L551" s="292">
        <f>$F551*$H551</f>
        <v/>
      </c>
      <c r="M551" s="291" t="n"/>
      <c r="N551" s="291" t="n"/>
      <c r="O551" s="291" t="n"/>
      <c r="P551" s="291" t="n"/>
      <c r="Q551" s="291" t="n"/>
      <c r="R551" s="287" t="n"/>
      <c r="S551" s="287" t="n"/>
      <c r="T551" s="287" t="n"/>
      <c r="U551" s="287" t="n"/>
      <c r="V551" s="287" t="n"/>
      <c r="W551" s="287" t="n"/>
      <c r="X551" s="287" t="n"/>
      <c r="Y551" s="287" t="n"/>
      <c r="Z551" s="287" t="n"/>
      <c r="AA551" s="287" t="n"/>
      <c r="AB551" s="287" t="n"/>
      <c r="AC551" s="287" t="n"/>
      <c r="AD551" s="287" t="n"/>
      <c r="AE551" s="287" t="n"/>
      <c r="AF551" s="287" t="n"/>
      <c r="AG551" s="287" t="n"/>
      <c r="AH551" s="287" t="n"/>
      <c r="AI551" s="287" t="n"/>
      <c r="AJ551" s="287" t="n"/>
      <c r="AK551" s="287" t="n"/>
      <c r="AL551" s="287" t="n"/>
      <c r="AM551" s="287" t="n"/>
      <c r="AN551" s="287" t="n"/>
      <c r="AO551" s="287" t="n"/>
      <c r="AP551" s="287" t="n"/>
      <c r="AQ551" s="287" t="n"/>
      <c r="AR551" s="287" t="n"/>
      <c r="AS551" s="287" t="n"/>
      <c r="AT551" s="287" t="n"/>
      <c r="AU551" s="287" t="n"/>
      <c r="AV551" s="287" t="n"/>
      <c r="AW551" s="287" t="n"/>
      <c r="AX551" s="287" t="n"/>
      <c r="AY551" s="287" t="n"/>
      <c r="AZ551" s="287" t="n"/>
      <c r="BA551" s="287" t="n"/>
      <c r="BB551" s="287" t="n"/>
      <c r="BC551" s="287" t="n"/>
      <c r="BD551" s="287" t="n"/>
      <c r="BE551" s="287" t="n"/>
      <c r="BF551" s="287" t="n"/>
      <c r="BG551" s="287" t="n"/>
      <c r="BH551" s="287" t="n"/>
    </row>
    <row r="552" ht="18.75" customHeight="1">
      <c r="B552" s="288" t="n">
        <v>45323</v>
      </c>
      <c r="C552" s="289" t="n">
        <v>27</v>
      </c>
      <c r="D552" s="290" t="inlineStr">
        <is>
          <t>Gaji Januari 2024 _Yufitri</t>
        </is>
      </c>
      <c r="E552" s="291" t="inlineStr">
        <is>
          <t>BCA</t>
        </is>
      </c>
      <c r="F552" s="295" t="n">
        <v>2500000</v>
      </c>
      <c r="G552" s="289" t="inlineStr">
        <is>
          <t>IDR</t>
        </is>
      </c>
      <c r="H552" s="293" t="n">
        <v>1</v>
      </c>
      <c r="I552" s="291" t="n"/>
      <c r="J552" s="291" t="n"/>
      <c r="K552" s="291" t="n"/>
      <c r="L552" s="292">
        <f>$F552*$H552</f>
        <v/>
      </c>
      <c r="M552" s="291" t="n"/>
      <c r="N552" s="291" t="n"/>
      <c r="O552" s="291" t="n"/>
      <c r="P552" s="291" t="n"/>
      <c r="Q552" s="291" t="n"/>
      <c r="R552" s="287" t="n"/>
      <c r="S552" s="287" t="n"/>
      <c r="T552" s="287" t="n"/>
      <c r="U552" s="287" t="n"/>
      <c r="V552" s="287" t="n"/>
      <c r="W552" s="287" t="n"/>
      <c r="X552" s="287" t="n"/>
      <c r="Y552" s="287" t="n"/>
      <c r="Z552" s="287" t="n"/>
      <c r="AA552" s="287" t="n"/>
      <c r="AB552" s="287" t="n"/>
      <c r="AC552" s="287" t="n"/>
      <c r="AD552" s="287" t="n"/>
      <c r="AE552" s="287" t="n"/>
      <c r="AF552" s="287" t="n"/>
      <c r="AG552" s="287" t="n"/>
      <c r="AH552" s="287" t="n"/>
      <c r="AI552" s="287" t="n"/>
      <c r="AJ552" s="287" t="n"/>
      <c r="AK552" s="287" t="n"/>
      <c r="AL552" s="287" t="n"/>
      <c r="AM552" s="287" t="n"/>
      <c r="AN552" s="287" t="n"/>
      <c r="AO552" s="287" t="n"/>
      <c r="AP552" s="287" t="n"/>
      <c r="AQ552" s="287" t="n"/>
      <c r="AR552" s="287" t="n"/>
      <c r="AS552" s="287" t="n"/>
      <c r="AT552" s="287" t="n"/>
      <c r="AU552" s="287" t="n"/>
      <c r="AV552" s="287" t="n"/>
      <c r="AW552" s="287" t="n"/>
      <c r="AX552" s="287" t="n"/>
      <c r="AY552" s="287" t="n"/>
      <c r="AZ552" s="287" t="n"/>
      <c r="BA552" s="287" t="n"/>
      <c r="BB552" s="287" t="n"/>
      <c r="BC552" s="287" t="n"/>
      <c r="BD552" s="287" t="n"/>
      <c r="BE552" s="287" t="n"/>
      <c r="BF552" s="287" t="n"/>
      <c r="BG552" s="287" t="n"/>
      <c r="BH552" s="287" t="n"/>
    </row>
    <row r="553" ht="18.75" customHeight="1">
      <c r="B553" s="288" t="n">
        <v>45323</v>
      </c>
      <c r="C553" s="289" t="n">
        <v>28</v>
      </c>
      <c r="D553" s="290" t="inlineStr">
        <is>
          <t>Gaji Januari 2024 _Yufitri</t>
        </is>
      </c>
      <c r="E553" s="291" t="inlineStr">
        <is>
          <t>BCA</t>
        </is>
      </c>
      <c r="F553" s="295" t="n">
        <v>2500000</v>
      </c>
      <c r="G553" s="289" t="inlineStr">
        <is>
          <t>IDR</t>
        </is>
      </c>
      <c r="H553" s="293" t="n">
        <v>1</v>
      </c>
      <c r="I553" s="291" t="n"/>
      <c r="J553" s="291" t="n"/>
      <c r="K553" s="291" t="n"/>
      <c r="L553" s="292">
        <f>$F553*$H553</f>
        <v/>
      </c>
      <c r="M553" s="291" t="n"/>
      <c r="N553" s="291" t="n"/>
      <c r="O553" s="291" t="n"/>
      <c r="P553" s="291" t="n"/>
      <c r="Q553" s="291" t="n"/>
      <c r="R553" s="287" t="n"/>
      <c r="S553" s="287" t="n"/>
      <c r="T553" s="287" t="n"/>
      <c r="U553" s="287" t="n"/>
      <c r="V553" s="287" t="n"/>
      <c r="W553" s="287" t="n"/>
      <c r="X553" s="287" t="n"/>
      <c r="Y553" s="287" t="n"/>
      <c r="Z553" s="287" t="n"/>
      <c r="AA553" s="287" t="n"/>
      <c r="AB553" s="287" t="n"/>
      <c r="AC553" s="287" t="n"/>
      <c r="AD553" s="287" t="n"/>
      <c r="AE553" s="287" t="n"/>
      <c r="AF553" s="287" t="n"/>
      <c r="AG553" s="287" t="n"/>
      <c r="AH553" s="287" t="n"/>
      <c r="AI553" s="287" t="n"/>
      <c r="AJ553" s="287" t="n"/>
      <c r="AK553" s="287" t="n"/>
      <c r="AL553" s="287" t="n"/>
      <c r="AM553" s="287" t="n"/>
      <c r="AN553" s="287" t="n"/>
      <c r="AO553" s="287" t="n"/>
      <c r="AP553" s="287" t="n"/>
      <c r="AQ553" s="287" t="n"/>
      <c r="AR553" s="287" t="n"/>
      <c r="AS553" s="287" t="n"/>
      <c r="AT553" s="287" t="n"/>
      <c r="AU553" s="287" t="n"/>
      <c r="AV553" s="287" t="n"/>
      <c r="AW553" s="287" t="n"/>
      <c r="AX553" s="287" t="n"/>
      <c r="AY553" s="287" t="n"/>
      <c r="AZ553" s="287" t="n"/>
      <c r="BA553" s="287" t="n"/>
      <c r="BB553" s="287" t="n"/>
      <c r="BC553" s="287" t="n"/>
      <c r="BD553" s="287" t="n"/>
      <c r="BE553" s="287" t="n"/>
      <c r="BF553" s="287" t="n"/>
      <c r="BG553" s="287" t="n"/>
      <c r="BH553" s="287" t="n"/>
    </row>
    <row r="554" ht="34.5" customHeight="1">
      <c r="B554" s="288" t="n">
        <v>45356</v>
      </c>
      <c r="C554" s="289" t="n">
        <v>29</v>
      </c>
      <c r="D554" s="290" t="inlineStr">
        <is>
          <t>Gaji Februari 2024 + raple gaji Januari 2024_Yufitri</t>
        </is>
      </c>
      <c r="E554" s="291" t="inlineStr">
        <is>
          <t>BCA</t>
        </is>
      </c>
      <c r="F554" s="295" t="n">
        <v>3500000</v>
      </c>
      <c r="G554" s="289" t="inlineStr">
        <is>
          <t>IDR</t>
        </is>
      </c>
      <c r="H554" s="293" t="n">
        <v>1</v>
      </c>
      <c r="I554" s="291" t="n"/>
      <c r="J554" s="291" t="n"/>
      <c r="K554" s="291" t="n"/>
      <c r="L554" s="292">
        <f>$F554*$H554</f>
        <v/>
      </c>
      <c r="M554" s="291" t="n"/>
      <c r="N554" s="291" t="n"/>
      <c r="O554" s="291" t="n"/>
      <c r="P554" s="291" t="n"/>
      <c r="Q554" s="291" t="n"/>
      <c r="R554" s="287" t="n"/>
      <c r="S554" s="287" t="n"/>
      <c r="T554" s="287" t="n"/>
      <c r="U554" s="287" t="n"/>
      <c r="V554" s="287" t="n"/>
      <c r="W554" s="287" t="n"/>
      <c r="X554" s="287" t="n"/>
      <c r="Y554" s="287" t="n"/>
      <c r="Z554" s="287" t="n"/>
      <c r="AA554" s="287" t="n"/>
      <c r="AB554" s="287" t="n"/>
      <c r="AC554" s="287" t="n"/>
      <c r="AD554" s="287" t="n"/>
      <c r="AE554" s="287" t="n"/>
      <c r="AF554" s="287" t="n"/>
      <c r="AG554" s="287" t="n"/>
      <c r="AH554" s="287" t="n"/>
      <c r="AI554" s="287" t="n"/>
      <c r="AJ554" s="287" t="n"/>
      <c r="AK554" s="287" t="n"/>
      <c r="AL554" s="287" t="n"/>
      <c r="AM554" s="287" t="n"/>
      <c r="AN554" s="287" t="n"/>
      <c r="AO554" s="287" t="n"/>
      <c r="AP554" s="287" t="n"/>
      <c r="AQ554" s="287" t="n"/>
      <c r="AR554" s="287" t="n"/>
      <c r="AS554" s="287" t="n"/>
      <c r="AT554" s="287" t="n"/>
      <c r="AU554" s="287" t="n"/>
      <c r="AV554" s="287" t="n"/>
      <c r="AW554" s="287" t="n"/>
      <c r="AX554" s="287" t="n"/>
      <c r="AY554" s="287" t="n"/>
      <c r="AZ554" s="287" t="n"/>
      <c r="BA554" s="287" t="n"/>
      <c r="BB554" s="287" t="n"/>
      <c r="BC554" s="287" t="n"/>
      <c r="BD554" s="287" t="n"/>
      <c r="BE554" s="287" t="n"/>
      <c r="BF554" s="287" t="n"/>
      <c r="BG554" s="287" t="n"/>
      <c r="BH554" s="287" t="n"/>
    </row>
    <row r="555" ht="34.5" customHeight="1">
      <c r="B555" s="288" t="n">
        <v>45356</v>
      </c>
      <c r="C555" s="289" t="n">
        <v>30</v>
      </c>
      <c r="D555" s="290" t="inlineStr">
        <is>
          <t>Gaji Februari 2024 + raple gaji Januari 2024_Yufitri</t>
        </is>
      </c>
      <c r="E555" s="291" t="inlineStr">
        <is>
          <t>BCA</t>
        </is>
      </c>
      <c r="F555" s="295" t="n">
        <v>3500000</v>
      </c>
      <c r="G555" s="289" t="inlineStr">
        <is>
          <t>IDR</t>
        </is>
      </c>
      <c r="H555" s="293" t="n">
        <v>1</v>
      </c>
      <c r="I555" s="291" t="n"/>
      <c r="J555" s="291" t="n"/>
      <c r="K555" s="291" t="n"/>
      <c r="L555" s="292">
        <f>$F555*$H555</f>
        <v/>
      </c>
      <c r="M555" s="291" t="n"/>
      <c r="N555" s="291" t="n"/>
      <c r="O555" s="291" t="n"/>
      <c r="P555" s="291" t="n"/>
      <c r="Q555" s="291" t="n"/>
      <c r="R555" s="287" t="n"/>
      <c r="S555" s="287" t="n"/>
      <c r="T555" s="287" t="n"/>
      <c r="U555" s="287" t="n"/>
      <c r="V555" s="287" t="n"/>
      <c r="W555" s="287" t="n"/>
      <c r="X555" s="287" t="n"/>
      <c r="Y555" s="287" t="n"/>
      <c r="Z555" s="287" t="n"/>
      <c r="AA555" s="287" t="n"/>
      <c r="AB555" s="287" t="n"/>
      <c r="AC555" s="287" t="n"/>
      <c r="AD555" s="287" t="n"/>
      <c r="AE555" s="287" t="n"/>
      <c r="AF555" s="287" t="n"/>
      <c r="AG555" s="287" t="n"/>
      <c r="AH555" s="287" t="n"/>
      <c r="AI555" s="287" t="n"/>
      <c r="AJ555" s="287" t="n"/>
      <c r="AK555" s="287" t="n"/>
      <c r="AL555" s="287" t="n"/>
      <c r="AM555" s="287" t="n"/>
      <c r="AN555" s="287" t="n"/>
      <c r="AO555" s="287" t="n"/>
      <c r="AP555" s="287" t="n"/>
      <c r="AQ555" s="287" t="n"/>
      <c r="AR555" s="287" t="n"/>
      <c r="AS555" s="287" t="n"/>
      <c r="AT555" s="287" t="n"/>
      <c r="AU555" s="287" t="n"/>
      <c r="AV555" s="287" t="n"/>
      <c r="AW555" s="287" t="n"/>
      <c r="AX555" s="287" t="n"/>
      <c r="AY555" s="287" t="n"/>
      <c r="AZ555" s="287" t="n"/>
      <c r="BA555" s="287" t="n"/>
      <c r="BB555" s="287" t="n"/>
      <c r="BC555" s="287" t="n"/>
      <c r="BD555" s="287" t="n"/>
      <c r="BE555" s="287" t="n"/>
      <c r="BF555" s="287" t="n"/>
      <c r="BG555" s="287" t="n"/>
      <c r="BH555" s="287" t="n"/>
    </row>
    <row r="556" ht="34.5" customHeight="1">
      <c r="B556" s="288" t="n">
        <v>45356</v>
      </c>
      <c r="C556" s="289" t="n">
        <v>31</v>
      </c>
      <c r="D556" s="290" t="inlineStr">
        <is>
          <t>Gaji Februari 2024 + raple gaji Januari 2024_Yufitri</t>
        </is>
      </c>
      <c r="E556" s="291" t="inlineStr">
        <is>
          <t>BCA</t>
        </is>
      </c>
      <c r="F556" s="295" t="n">
        <v>3500000</v>
      </c>
      <c r="G556" s="289" t="inlineStr">
        <is>
          <t>IDR</t>
        </is>
      </c>
      <c r="H556" s="293" t="n">
        <v>1</v>
      </c>
      <c r="I556" s="291" t="n"/>
      <c r="J556" s="291" t="n"/>
      <c r="K556" s="291" t="n"/>
      <c r="L556" s="292">
        <f>$F556*$H556</f>
        <v/>
      </c>
      <c r="M556" s="291" t="n"/>
      <c r="N556" s="291" t="n"/>
      <c r="O556" s="291" t="n"/>
      <c r="P556" s="291" t="n"/>
      <c r="Q556" s="291" t="n"/>
      <c r="R556" s="287" t="n"/>
      <c r="S556" s="287" t="n"/>
      <c r="T556" s="287" t="n"/>
      <c r="U556" s="287" t="n"/>
      <c r="V556" s="287" t="n"/>
      <c r="W556" s="287" t="n"/>
      <c r="X556" s="287" t="n"/>
      <c r="Y556" s="287" t="n"/>
      <c r="Z556" s="287" t="n"/>
      <c r="AA556" s="287" t="n"/>
      <c r="AB556" s="287" t="n"/>
      <c r="AC556" s="287" t="n"/>
      <c r="AD556" s="287" t="n"/>
      <c r="AE556" s="287" t="n"/>
      <c r="AF556" s="287" t="n"/>
      <c r="AG556" s="287" t="n"/>
      <c r="AH556" s="287" t="n"/>
      <c r="AI556" s="287" t="n"/>
      <c r="AJ556" s="287" t="n"/>
      <c r="AK556" s="287" t="n"/>
      <c r="AL556" s="287" t="n"/>
      <c r="AM556" s="287" t="n"/>
      <c r="AN556" s="287" t="n"/>
      <c r="AO556" s="287" t="n"/>
      <c r="AP556" s="287" t="n"/>
      <c r="AQ556" s="287" t="n"/>
      <c r="AR556" s="287" t="n"/>
      <c r="AS556" s="287" t="n"/>
      <c r="AT556" s="287" t="n"/>
      <c r="AU556" s="287" t="n"/>
      <c r="AV556" s="287" t="n"/>
      <c r="AW556" s="287" t="n"/>
      <c r="AX556" s="287" t="n"/>
      <c r="AY556" s="287" t="n"/>
      <c r="AZ556" s="287" t="n"/>
      <c r="BA556" s="287" t="n"/>
      <c r="BB556" s="287" t="n"/>
      <c r="BC556" s="287" t="n"/>
      <c r="BD556" s="287" t="n"/>
      <c r="BE556" s="287" t="n"/>
      <c r="BF556" s="287" t="n"/>
      <c r="BG556" s="287" t="n"/>
      <c r="BH556" s="287" t="n"/>
    </row>
    <row r="557" ht="34.5" customHeight="1">
      <c r="B557" s="288" t="n">
        <v>45356</v>
      </c>
      <c r="C557" s="289" t="n">
        <v>32</v>
      </c>
      <c r="D557" s="290" t="inlineStr">
        <is>
          <t>Gaji Februari 2024 + raple gaji Januari 2024_Yufitri</t>
        </is>
      </c>
      <c r="E557" s="291" t="inlineStr">
        <is>
          <t>BCA</t>
        </is>
      </c>
      <c r="F557" s="295" t="n">
        <v>3500000</v>
      </c>
      <c r="G557" s="289" t="inlineStr">
        <is>
          <t>IDR</t>
        </is>
      </c>
      <c r="H557" s="293" t="n">
        <v>1</v>
      </c>
      <c r="I557" s="291" t="n"/>
      <c r="J557" s="291" t="n"/>
      <c r="K557" s="291" t="n"/>
      <c r="L557" s="292">
        <f>$F557*$H557</f>
        <v/>
      </c>
      <c r="M557" s="291" t="n"/>
      <c r="N557" s="291" t="n"/>
      <c r="O557" s="291" t="n"/>
      <c r="P557" s="291" t="n"/>
      <c r="Q557" s="291" t="n"/>
      <c r="R557" s="287" t="n"/>
      <c r="S557" s="287" t="n"/>
      <c r="T557" s="287" t="n"/>
      <c r="U557" s="287" t="n"/>
      <c r="V557" s="287" t="n"/>
      <c r="W557" s="287" t="n"/>
      <c r="X557" s="287" t="n"/>
      <c r="Y557" s="287" t="n"/>
      <c r="Z557" s="287" t="n"/>
      <c r="AA557" s="287" t="n"/>
      <c r="AB557" s="287" t="n"/>
      <c r="AC557" s="287" t="n"/>
      <c r="AD557" s="287" t="n"/>
      <c r="AE557" s="287" t="n"/>
      <c r="AF557" s="287" t="n"/>
      <c r="AG557" s="287" t="n"/>
      <c r="AH557" s="287" t="n"/>
      <c r="AI557" s="287" t="n"/>
      <c r="AJ557" s="287" t="n"/>
      <c r="AK557" s="287" t="n"/>
      <c r="AL557" s="287" t="n"/>
      <c r="AM557" s="287" t="n"/>
      <c r="AN557" s="287" t="n"/>
      <c r="AO557" s="287" t="n"/>
      <c r="AP557" s="287" t="n"/>
      <c r="AQ557" s="287" t="n"/>
      <c r="AR557" s="287" t="n"/>
      <c r="AS557" s="287" t="n"/>
      <c r="AT557" s="287" t="n"/>
      <c r="AU557" s="287" t="n"/>
      <c r="AV557" s="287" t="n"/>
      <c r="AW557" s="287" t="n"/>
      <c r="AX557" s="287" t="n"/>
      <c r="AY557" s="287" t="n"/>
      <c r="AZ557" s="287" t="n"/>
      <c r="BA557" s="287" t="n"/>
      <c r="BB557" s="287" t="n"/>
      <c r="BC557" s="287" t="n"/>
      <c r="BD557" s="287" t="n"/>
      <c r="BE557" s="287" t="n"/>
      <c r="BF557" s="287" t="n"/>
      <c r="BG557" s="287" t="n"/>
      <c r="BH557" s="287" t="n"/>
    </row>
    <row r="558" ht="18.75" customHeight="1">
      <c r="B558" s="288" t="n">
        <v>45379</v>
      </c>
      <c r="C558" s="289" t="n">
        <v>33</v>
      </c>
      <c r="D558" s="290" t="inlineStr">
        <is>
          <t>Gaji Maret 2024_Yufitri</t>
        </is>
      </c>
      <c r="E558" s="291" t="inlineStr">
        <is>
          <t>BCA</t>
        </is>
      </c>
      <c r="F558" s="295" t="n">
        <v>3000000</v>
      </c>
      <c r="G558" s="289" t="inlineStr">
        <is>
          <t>IDR</t>
        </is>
      </c>
      <c r="H558" s="293" t="n">
        <v>1</v>
      </c>
      <c r="I558" s="291" t="n"/>
      <c r="J558" s="291" t="n"/>
      <c r="K558" s="291" t="n"/>
      <c r="L558" s="292">
        <f>$F558*$H558</f>
        <v/>
      </c>
      <c r="M558" s="291" t="n"/>
      <c r="N558" s="291" t="n"/>
      <c r="O558" s="291" t="n"/>
      <c r="P558" s="291" t="n"/>
      <c r="Q558" s="291" t="n"/>
      <c r="R558" s="287" t="n"/>
      <c r="S558" s="287" t="n"/>
      <c r="T558" s="287" t="n"/>
      <c r="U558" s="287" t="n"/>
      <c r="V558" s="287" t="n"/>
      <c r="W558" s="287" t="n"/>
      <c r="X558" s="287" t="n"/>
      <c r="Y558" s="287" t="n"/>
      <c r="Z558" s="287" t="n"/>
      <c r="AA558" s="287" t="n"/>
      <c r="AB558" s="287" t="n"/>
      <c r="AC558" s="287" t="n"/>
      <c r="AD558" s="287" t="n"/>
      <c r="AE558" s="287" t="n"/>
      <c r="AF558" s="287" t="n"/>
      <c r="AG558" s="287" t="n"/>
      <c r="AH558" s="287" t="n"/>
      <c r="AI558" s="287" t="n"/>
      <c r="AJ558" s="287" t="n"/>
      <c r="AK558" s="287" t="n"/>
      <c r="AL558" s="287" t="n"/>
      <c r="AM558" s="287" t="n"/>
      <c r="AN558" s="287" t="n"/>
      <c r="AO558" s="287" t="n"/>
      <c r="AP558" s="287" t="n"/>
      <c r="AQ558" s="287" t="n"/>
      <c r="AR558" s="287" t="n"/>
      <c r="AS558" s="287" t="n"/>
      <c r="AT558" s="287" t="n"/>
      <c r="AU558" s="287" t="n"/>
      <c r="AV558" s="287" t="n"/>
      <c r="AW558" s="287" t="n"/>
      <c r="AX558" s="287" t="n"/>
      <c r="AY558" s="287" t="n"/>
      <c r="AZ558" s="287" t="n"/>
      <c r="BA558" s="287" t="n"/>
      <c r="BB558" s="287" t="n"/>
      <c r="BC558" s="287" t="n"/>
      <c r="BD558" s="287" t="n"/>
      <c r="BE558" s="287" t="n"/>
      <c r="BF558" s="287" t="n"/>
      <c r="BG558" s="287" t="n"/>
      <c r="BH558" s="287" t="n"/>
    </row>
    <row r="559" ht="18.75" customHeight="1">
      <c r="B559" s="288" t="n">
        <v>45379</v>
      </c>
      <c r="C559" s="289" t="n">
        <v>34</v>
      </c>
      <c r="D559" s="290" t="inlineStr">
        <is>
          <t>Gaji Maret 2024_Yufitri</t>
        </is>
      </c>
      <c r="E559" s="291" t="inlineStr">
        <is>
          <t>BCA</t>
        </is>
      </c>
      <c r="F559" s="295" t="n">
        <v>3000000</v>
      </c>
      <c r="G559" s="289" t="inlineStr">
        <is>
          <t>IDR</t>
        </is>
      </c>
      <c r="H559" s="293" t="n">
        <v>1</v>
      </c>
      <c r="I559" s="291" t="n"/>
      <c r="J559" s="291" t="n"/>
      <c r="K559" s="291" t="n"/>
      <c r="L559" s="292">
        <f>$F559*$H559</f>
        <v/>
      </c>
      <c r="M559" s="291" t="n"/>
      <c r="N559" s="291" t="n"/>
      <c r="O559" s="291" t="n"/>
      <c r="P559" s="291" t="n"/>
      <c r="Q559" s="291" t="n"/>
      <c r="R559" s="287" t="n"/>
      <c r="S559" s="287" t="n"/>
      <c r="T559" s="287" t="n"/>
      <c r="U559" s="287" t="n"/>
      <c r="V559" s="287" t="n"/>
      <c r="W559" s="287" t="n"/>
      <c r="X559" s="287" t="n"/>
      <c r="Y559" s="287" t="n"/>
      <c r="Z559" s="287" t="n"/>
      <c r="AA559" s="287" t="n"/>
      <c r="AB559" s="287" t="n"/>
      <c r="AC559" s="287" t="n"/>
      <c r="AD559" s="287" t="n"/>
      <c r="AE559" s="287" t="n"/>
      <c r="AF559" s="287" t="n"/>
      <c r="AG559" s="287" t="n"/>
      <c r="AH559" s="287" t="n"/>
      <c r="AI559" s="287" t="n"/>
      <c r="AJ559" s="287" t="n"/>
      <c r="AK559" s="287" t="n"/>
      <c r="AL559" s="287" t="n"/>
      <c r="AM559" s="287" t="n"/>
      <c r="AN559" s="287" t="n"/>
      <c r="AO559" s="287" t="n"/>
      <c r="AP559" s="287" t="n"/>
      <c r="AQ559" s="287" t="n"/>
      <c r="AR559" s="287" t="n"/>
      <c r="AS559" s="287" t="n"/>
      <c r="AT559" s="287" t="n"/>
      <c r="AU559" s="287" t="n"/>
      <c r="AV559" s="287" t="n"/>
      <c r="AW559" s="287" t="n"/>
      <c r="AX559" s="287" t="n"/>
      <c r="AY559" s="287" t="n"/>
      <c r="AZ559" s="287" t="n"/>
      <c r="BA559" s="287" t="n"/>
      <c r="BB559" s="287" t="n"/>
      <c r="BC559" s="287" t="n"/>
      <c r="BD559" s="287" t="n"/>
      <c r="BE559" s="287" t="n"/>
      <c r="BF559" s="287" t="n"/>
      <c r="BG559" s="287" t="n"/>
      <c r="BH559" s="287" t="n"/>
    </row>
    <row r="560" ht="18.75" customHeight="1">
      <c r="B560" s="288" t="n">
        <v>45379</v>
      </c>
      <c r="C560" s="289" t="n">
        <v>35</v>
      </c>
      <c r="D560" s="290" t="inlineStr">
        <is>
          <t>Gaji Maret 2024_Yufitri</t>
        </is>
      </c>
      <c r="E560" s="291" t="inlineStr">
        <is>
          <t>BCA</t>
        </is>
      </c>
      <c r="F560" s="292" t="n">
        <v>3000000</v>
      </c>
      <c r="G560" s="289" t="inlineStr">
        <is>
          <t>IDR</t>
        </is>
      </c>
      <c r="H560" s="293" t="n">
        <v>1</v>
      </c>
      <c r="I560" s="291" t="n"/>
      <c r="J560" s="291" t="n"/>
      <c r="K560" s="291" t="n"/>
      <c r="L560" s="292">
        <f>$F560*$H560</f>
        <v/>
      </c>
      <c r="M560" s="291" t="n"/>
      <c r="N560" s="291" t="n"/>
      <c r="O560" s="291" t="n"/>
      <c r="P560" s="291" t="n"/>
      <c r="Q560" s="291" t="n"/>
      <c r="R560" s="287" t="n"/>
      <c r="S560" s="287" t="n"/>
      <c r="T560" s="287" t="n"/>
      <c r="U560" s="287" t="n"/>
      <c r="V560" s="287" t="n"/>
      <c r="W560" s="287" t="n"/>
      <c r="X560" s="287" t="n"/>
      <c r="Y560" s="287" t="n"/>
      <c r="Z560" s="287" t="n"/>
      <c r="AA560" s="287" t="n"/>
      <c r="AB560" s="287" t="n"/>
      <c r="AC560" s="287" t="n"/>
      <c r="AD560" s="287" t="n"/>
      <c r="AE560" s="287" t="n"/>
      <c r="AF560" s="287" t="n"/>
      <c r="AG560" s="287" t="n"/>
      <c r="AH560" s="287" t="n"/>
      <c r="AI560" s="287" t="n"/>
      <c r="AJ560" s="287" t="n"/>
      <c r="AK560" s="287" t="n"/>
      <c r="AL560" s="287" t="n"/>
      <c r="AM560" s="287" t="n"/>
      <c r="AN560" s="287" t="n"/>
      <c r="AO560" s="287" t="n"/>
      <c r="AP560" s="287" t="n"/>
      <c r="AQ560" s="287" t="n"/>
      <c r="AR560" s="287" t="n"/>
      <c r="AS560" s="287" t="n"/>
      <c r="AT560" s="287" t="n"/>
      <c r="AU560" s="287" t="n"/>
      <c r="AV560" s="287" t="n"/>
      <c r="AW560" s="287" t="n"/>
      <c r="AX560" s="287" t="n"/>
      <c r="AY560" s="287" t="n"/>
      <c r="AZ560" s="287" t="n"/>
      <c r="BA560" s="287" t="n"/>
      <c r="BB560" s="287" t="n"/>
      <c r="BC560" s="287" t="n"/>
      <c r="BD560" s="287" t="n"/>
      <c r="BE560" s="287" t="n"/>
      <c r="BF560" s="287" t="n"/>
      <c r="BG560" s="287" t="n"/>
      <c r="BH560" s="287" t="n"/>
    </row>
    <row r="561" ht="18.75" customHeight="1">
      <c r="B561" s="288" t="n">
        <v>45379</v>
      </c>
      <c r="C561" s="289" t="n">
        <v>36</v>
      </c>
      <c r="D561" s="290" t="inlineStr">
        <is>
          <t>Gaji Maret 2024_Yufitri</t>
        </is>
      </c>
      <c r="E561" s="291" t="inlineStr">
        <is>
          <t>BCA</t>
        </is>
      </c>
      <c r="F561" s="295" t="n">
        <v>3000000</v>
      </c>
      <c r="G561" s="289" t="inlineStr">
        <is>
          <t>IDR</t>
        </is>
      </c>
      <c r="H561" s="293" t="n">
        <v>1</v>
      </c>
      <c r="I561" s="291" t="n"/>
      <c r="J561" s="291" t="n"/>
      <c r="K561" s="291" t="n"/>
      <c r="L561" s="292">
        <f>$F561*$H561</f>
        <v/>
      </c>
      <c r="M561" s="291" t="n"/>
      <c r="N561" s="291" t="n"/>
      <c r="O561" s="291" t="n"/>
      <c r="P561" s="291" t="n"/>
      <c r="Q561" s="291" t="n"/>
      <c r="R561" s="287" t="n"/>
      <c r="S561" s="287" t="n"/>
      <c r="T561" s="287" t="n"/>
      <c r="U561" s="287" t="n"/>
      <c r="V561" s="287" t="n"/>
      <c r="W561" s="287" t="n"/>
      <c r="X561" s="287" t="n"/>
      <c r="Y561" s="287" t="n"/>
      <c r="Z561" s="287" t="n"/>
      <c r="AA561" s="287" t="n"/>
      <c r="AB561" s="287" t="n"/>
      <c r="AC561" s="287" t="n"/>
      <c r="AD561" s="287" t="n"/>
      <c r="AE561" s="287" t="n"/>
      <c r="AF561" s="287" t="n"/>
      <c r="AG561" s="287" t="n"/>
      <c r="AH561" s="287" t="n"/>
      <c r="AI561" s="287" t="n"/>
      <c r="AJ561" s="287" t="n"/>
      <c r="AK561" s="287" t="n"/>
      <c r="AL561" s="287" t="n"/>
      <c r="AM561" s="287" t="n"/>
      <c r="AN561" s="287" t="n"/>
      <c r="AO561" s="287" t="n"/>
      <c r="AP561" s="287" t="n"/>
      <c r="AQ561" s="287" t="n"/>
      <c r="AR561" s="287" t="n"/>
      <c r="AS561" s="287" t="n"/>
      <c r="AT561" s="287" t="n"/>
      <c r="AU561" s="287" t="n"/>
      <c r="AV561" s="287" t="n"/>
      <c r="AW561" s="287" t="n"/>
      <c r="AX561" s="287" t="n"/>
      <c r="AY561" s="287" t="n"/>
      <c r="AZ561" s="287" t="n"/>
      <c r="BA561" s="287" t="n"/>
      <c r="BB561" s="287" t="n"/>
      <c r="BC561" s="287" t="n"/>
      <c r="BD561" s="287" t="n"/>
      <c r="BE561" s="287" t="n"/>
      <c r="BF561" s="287" t="n"/>
      <c r="BG561" s="287" t="n"/>
      <c r="BH561" s="287" t="n"/>
    </row>
    <row r="562" ht="18.75" customHeight="1">
      <c r="B562" s="288" t="n">
        <v>45416</v>
      </c>
      <c r="C562" s="289" t="n">
        <v>37</v>
      </c>
      <c r="D562" s="290" t="inlineStr">
        <is>
          <t>Gaji April_Yufitri</t>
        </is>
      </c>
      <c r="E562" s="291" t="inlineStr">
        <is>
          <t>BCA</t>
        </is>
      </c>
      <c r="F562" s="295" t="n">
        <v>3000000</v>
      </c>
      <c r="G562" s="289" t="inlineStr">
        <is>
          <t>IDR</t>
        </is>
      </c>
      <c r="H562" s="293" t="n">
        <v>1</v>
      </c>
      <c r="I562" s="291" t="n"/>
      <c r="J562" s="291" t="n"/>
      <c r="K562" s="291" t="n"/>
      <c r="L562" s="292">
        <f>$F562*$H562</f>
        <v/>
      </c>
      <c r="M562" s="291" t="n"/>
      <c r="N562" s="291" t="n"/>
      <c r="O562" s="291" t="n"/>
      <c r="P562" s="291" t="n"/>
      <c r="Q562" s="291" t="n"/>
      <c r="R562" s="287" t="n"/>
      <c r="S562" s="287" t="n"/>
      <c r="T562" s="287" t="n"/>
      <c r="U562" s="287" t="n"/>
      <c r="V562" s="287" t="n"/>
      <c r="W562" s="287" t="n"/>
      <c r="X562" s="287" t="n"/>
      <c r="Y562" s="287" t="n"/>
      <c r="Z562" s="287" t="n"/>
      <c r="AA562" s="287" t="n"/>
      <c r="AB562" s="287" t="n"/>
      <c r="AC562" s="287" t="n"/>
      <c r="AD562" s="287" t="n"/>
      <c r="AE562" s="287" t="n"/>
      <c r="AF562" s="287" t="n"/>
      <c r="AG562" s="287" t="n"/>
      <c r="AH562" s="287" t="n"/>
      <c r="AI562" s="287" t="n"/>
      <c r="AJ562" s="287" t="n"/>
      <c r="AK562" s="287" t="n"/>
      <c r="AL562" s="287" t="n"/>
      <c r="AM562" s="287" t="n"/>
      <c r="AN562" s="287" t="n"/>
      <c r="AO562" s="287" t="n"/>
      <c r="AP562" s="287" t="n"/>
      <c r="AQ562" s="287" t="n"/>
      <c r="AR562" s="287" t="n"/>
      <c r="AS562" s="287" t="n"/>
      <c r="AT562" s="287" t="n"/>
      <c r="AU562" s="287" t="n"/>
      <c r="AV562" s="287" t="n"/>
      <c r="AW562" s="287" t="n"/>
      <c r="AX562" s="287" t="n"/>
      <c r="AY562" s="287" t="n"/>
      <c r="AZ562" s="287" t="n"/>
      <c r="BA562" s="287" t="n"/>
      <c r="BB562" s="287" t="n"/>
      <c r="BC562" s="287" t="n"/>
      <c r="BD562" s="287" t="n"/>
      <c r="BE562" s="287" t="n"/>
      <c r="BF562" s="287" t="n"/>
      <c r="BG562" s="287" t="n"/>
      <c r="BH562" s="287" t="n"/>
    </row>
    <row r="563" ht="18.75" customHeight="1">
      <c r="B563" s="288" t="n">
        <v>45416</v>
      </c>
      <c r="C563" s="289" t="n">
        <v>38</v>
      </c>
      <c r="D563" s="290" t="inlineStr">
        <is>
          <t>Gaji April_Yufitri</t>
        </is>
      </c>
      <c r="E563" s="291" t="inlineStr">
        <is>
          <t>BCA</t>
        </is>
      </c>
      <c r="F563" s="295" t="n">
        <v>3000000</v>
      </c>
      <c r="G563" s="289" t="inlineStr">
        <is>
          <t>IDR</t>
        </is>
      </c>
      <c r="H563" s="293" t="n">
        <v>1</v>
      </c>
      <c r="I563" s="291" t="n"/>
      <c r="J563" s="291" t="n"/>
      <c r="K563" s="291" t="n"/>
      <c r="L563" s="292">
        <f>$F563*$H563</f>
        <v/>
      </c>
      <c r="M563" s="291" t="n"/>
      <c r="N563" s="291" t="n"/>
      <c r="O563" s="291" t="n"/>
      <c r="P563" s="291" t="n"/>
      <c r="Q563" s="291" t="n"/>
      <c r="R563" s="287" t="n"/>
      <c r="S563" s="287" t="n"/>
      <c r="T563" s="287" t="n"/>
      <c r="U563" s="287" t="n"/>
      <c r="V563" s="287" t="n"/>
      <c r="W563" s="287" t="n"/>
      <c r="X563" s="287" t="n"/>
      <c r="Y563" s="287" t="n"/>
      <c r="Z563" s="287" t="n"/>
      <c r="AA563" s="287" t="n"/>
      <c r="AB563" s="287" t="n"/>
      <c r="AC563" s="287" t="n"/>
      <c r="AD563" s="287" t="n"/>
      <c r="AE563" s="287" t="n"/>
      <c r="AF563" s="287" t="n"/>
      <c r="AG563" s="287" t="n"/>
      <c r="AH563" s="287" t="n"/>
      <c r="AI563" s="287" t="n"/>
      <c r="AJ563" s="287" t="n"/>
      <c r="AK563" s="287" t="n"/>
      <c r="AL563" s="287" t="n"/>
      <c r="AM563" s="287" t="n"/>
      <c r="AN563" s="287" t="n"/>
      <c r="AO563" s="287" t="n"/>
      <c r="AP563" s="287" t="n"/>
      <c r="AQ563" s="287" t="n"/>
      <c r="AR563" s="287" t="n"/>
      <c r="AS563" s="287" t="n"/>
      <c r="AT563" s="287" t="n"/>
      <c r="AU563" s="287" t="n"/>
      <c r="AV563" s="287" t="n"/>
      <c r="AW563" s="287" t="n"/>
      <c r="AX563" s="287" t="n"/>
      <c r="AY563" s="287" t="n"/>
      <c r="AZ563" s="287" t="n"/>
      <c r="BA563" s="287" t="n"/>
      <c r="BB563" s="287" t="n"/>
      <c r="BC563" s="287" t="n"/>
      <c r="BD563" s="287" t="n"/>
      <c r="BE563" s="287" t="n"/>
      <c r="BF563" s="287" t="n"/>
      <c r="BG563" s="287" t="n"/>
      <c r="BH563" s="287" t="n"/>
    </row>
    <row r="564" ht="18.75" customHeight="1">
      <c r="B564" s="288" t="n">
        <v>45416</v>
      </c>
      <c r="C564" s="289" t="n">
        <v>39</v>
      </c>
      <c r="D564" s="290" t="inlineStr">
        <is>
          <t>Gaji April_Yufitri</t>
        </is>
      </c>
      <c r="E564" s="291" t="inlineStr">
        <is>
          <t>BCA</t>
        </is>
      </c>
      <c r="F564" s="295" t="n">
        <v>3000000</v>
      </c>
      <c r="G564" s="289" t="inlineStr">
        <is>
          <t>IDR</t>
        </is>
      </c>
      <c r="H564" s="293" t="n">
        <v>1</v>
      </c>
      <c r="I564" s="291" t="n"/>
      <c r="J564" s="291" t="n"/>
      <c r="K564" s="291" t="n"/>
      <c r="L564" s="292">
        <f>$F564*$H564</f>
        <v/>
      </c>
      <c r="M564" s="291" t="n"/>
      <c r="N564" s="291" t="n"/>
      <c r="O564" s="291" t="n"/>
      <c r="P564" s="291" t="n"/>
      <c r="Q564" s="291" t="n"/>
      <c r="R564" s="287" t="n"/>
      <c r="S564" s="287" t="n"/>
      <c r="T564" s="287" t="n"/>
      <c r="U564" s="287" t="n"/>
      <c r="V564" s="287" t="n"/>
      <c r="W564" s="287" t="n"/>
      <c r="X564" s="287" t="n"/>
      <c r="Y564" s="287" t="n"/>
      <c r="Z564" s="287" t="n"/>
      <c r="AA564" s="287" t="n"/>
      <c r="AB564" s="287" t="n"/>
      <c r="AC564" s="287" t="n"/>
      <c r="AD564" s="287" t="n"/>
      <c r="AE564" s="287" t="n"/>
      <c r="AF564" s="287" t="n"/>
      <c r="AG564" s="287" t="n"/>
      <c r="AH564" s="287" t="n"/>
      <c r="AI564" s="287" t="n"/>
      <c r="AJ564" s="287" t="n"/>
      <c r="AK564" s="287" t="n"/>
      <c r="AL564" s="287" t="n"/>
      <c r="AM564" s="287" t="n"/>
      <c r="AN564" s="287" t="n"/>
      <c r="AO564" s="287" t="n"/>
      <c r="AP564" s="287" t="n"/>
      <c r="AQ564" s="287" t="n"/>
      <c r="AR564" s="287" t="n"/>
      <c r="AS564" s="287" t="n"/>
      <c r="AT564" s="287" t="n"/>
      <c r="AU564" s="287" t="n"/>
      <c r="AV564" s="287" t="n"/>
      <c r="AW564" s="287" t="n"/>
      <c r="AX564" s="287" t="n"/>
      <c r="AY564" s="287" t="n"/>
      <c r="AZ564" s="287" t="n"/>
      <c r="BA564" s="287" t="n"/>
      <c r="BB564" s="287" t="n"/>
      <c r="BC564" s="287" t="n"/>
      <c r="BD564" s="287" t="n"/>
      <c r="BE564" s="287" t="n"/>
      <c r="BF564" s="287" t="n"/>
      <c r="BG564" s="287" t="n"/>
      <c r="BH564" s="287" t="n"/>
    </row>
    <row r="565" ht="18.75" customHeight="1">
      <c r="B565" s="288" t="n">
        <v>45416</v>
      </c>
      <c r="C565" s="289" t="n">
        <v>40</v>
      </c>
      <c r="D565" s="290" t="inlineStr">
        <is>
          <t>Gaji April_Yufitri</t>
        </is>
      </c>
      <c r="E565" s="291" t="inlineStr">
        <is>
          <t>BCA</t>
        </is>
      </c>
      <c r="F565" s="295" t="n">
        <v>3000000</v>
      </c>
      <c r="G565" s="289" t="inlineStr">
        <is>
          <t>IDR</t>
        </is>
      </c>
      <c r="H565" s="293" t="n">
        <v>1</v>
      </c>
      <c r="I565" s="291" t="n"/>
      <c r="J565" s="291" t="n"/>
      <c r="K565" s="291" t="n"/>
      <c r="L565" s="292">
        <f>$F565*$H565</f>
        <v/>
      </c>
      <c r="M565" s="291" t="n"/>
      <c r="N565" s="291" t="n"/>
      <c r="O565" s="291" t="n"/>
      <c r="P565" s="291" t="n"/>
      <c r="Q565" s="291" t="n"/>
      <c r="R565" s="287" t="n"/>
      <c r="S565" s="287" t="n"/>
      <c r="T565" s="287" t="n"/>
      <c r="U565" s="287" t="n"/>
      <c r="V565" s="287" t="n"/>
      <c r="W565" s="287" t="n"/>
      <c r="X565" s="287" t="n"/>
      <c r="Y565" s="287" t="n"/>
      <c r="Z565" s="287" t="n"/>
      <c r="AA565" s="287" t="n"/>
      <c r="AB565" s="287" t="n"/>
      <c r="AC565" s="287" t="n"/>
      <c r="AD565" s="287" t="n"/>
      <c r="AE565" s="287" t="n"/>
      <c r="AF565" s="287" t="n"/>
      <c r="AG565" s="287" t="n"/>
      <c r="AH565" s="287" t="n"/>
      <c r="AI565" s="287" t="n"/>
      <c r="AJ565" s="287" t="n"/>
      <c r="AK565" s="287" t="n"/>
      <c r="AL565" s="287" t="n"/>
      <c r="AM565" s="287" t="n"/>
      <c r="AN565" s="287" t="n"/>
      <c r="AO565" s="287" t="n"/>
      <c r="AP565" s="287" t="n"/>
      <c r="AQ565" s="287" t="n"/>
      <c r="AR565" s="287" t="n"/>
      <c r="AS565" s="287" t="n"/>
      <c r="AT565" s="287" t="n"/>
      <c r="AU565" s="287" t="n"/>
      <c r="AV565" s="287" t="n"/>
      <c r="AW565" s="287" t="n"/>
      <c r="AX565" s="287" t="n"/>
      <c r="AY565" s="287" t="n"/>
      <c r="AZ565" s="287" t="n"/>
      <c r="BA565" s="287" t="n"/>
      <c r="BB565" s="287" t="n"/>
      <c r="BC565" s="287" t="n"/>
      <c r="BD565" s="287" t="n"/>
      <c r="BE565" s="287" t="n"/>
      <c r="BF565" s="287" t="n"/>
      <c r="BG565" s="287" t="n"/>
      <c r="BH565" s="287" t="n"/>
    </row>
    <row r="566" ht="18.75" customHeight="1">
      <c r="B566" s="288" t="n">
        <v>45446</v>
      </c>
      <c r="C566" s="289" t="n">
        <v>41</v>
      </c>
      <c r="D566" s="290" t="inlineStr">
        <is>
          <t>Gaji Mei_Yufitri</t>
        </is>
      </c>
      <c r="E566" s="291" t="inlineStr">
        <is>
          <t>BCA</t>
        </is>
      </c>
      <c r="F566" s="295" t="n">
        <v>3000000</v>
      </c>
      <c r="G566" s="289" t="inlineStr">
        <is>
          <t>IDR</t>
        </is>
      </c>
      <c r="H566" s="293" t="n">
        <v>1</v>
      </c>
      <c r="I566" s="291" t="n"/>
      <c r="J566" s="291" t="n"/>
      <c r="K566" s="291" t="n"/>
      <c r="L566" s="292">
        <f>$F566*$H566</f>
        <v/>
      </c>
      <c r="M566" s="291" t="n"/>
      <c r="N566" s="291" t="n"/>
      <c r="O566" s="291" t="n"/>
      <c r="P566" s="291" t="n"/>
      <c r="Q566" s="291" t="n"/>
      <c r="R566" s="287" t="n"/>
      <c r="S566" s="287" t="n"/>
      <c r="T566" s="287" t="n"/>
      <c r="U566" s="287" t="n"/>
      <c r="V566" s="287" t="n"/>
      <c r="W566" s="287" t="n"/>
      <c r="X566" s="287" t="n"/>
      <c r="Y566" s="287" t="n"/>
      <c r="Z566" s="287" t="n"/>
      <c r="AA566" s="287" t="n"/>
      <c r="AB566" s="287" t="n"/>
      <c r="AC566" s="287" t="n"/>
      <c r="AD566" s="287" t="n"/>
      <c r="AE566" s="287" t="n"/>
      <c r="AF566" s="287" t="n"/>
      <c r="AG566" s="287" t="n"/>
      <c r="AH566" s="287" t="n"/>
      <c r="AI566" s="287" t="n"/>
      <c r="AJ566" s="287" t="n"/>
      <c r="AK566" s="287" t="n"/>
      <c r="AL566" s="287" t="n"/>
      <c r="AM566" s="287" t="n"/>
      <c r="AN566" s="287" t="n"/>
      <c r="AO566" s="287" t="n"/>
      <c r="AP566" s="287" t="n"/>
      <c r="AQ566" s="287" t="n"/>
      <c r="AR566" s="287" t="n"/>
      <c r="AS566" s="287" t="n"/>
      <c r="AT566" s="287" t="n"/>
      <c r="AU566" s="287" t="n"/>
      <c r="AV566" s="287" t="n"/>
      <c r="AW566" s="287" t="n"/>
      <c r="AX566" s="287" t="n"/>
      <c r="AY566" s="287" t="n"/>
      <c r="AZ566" s="287" t="n"/>
      <c r="BA566" s="287" t="n"/>
      <c r="BB566" s="287" t="n"/>
      <c r="BC566" s="287" t="n"/>
      <c r="BD566" s="287" t="n"/>
      <c r="BE566" s="287" t="n"/>
      <c r="BF566" s="287" t="n"/>
      <c r="BG566" s="287" t="n"/>
      <c r="BH566" s="287" t="n"/>
    </row>
    <row r="567" ht="18.75" customHeight="1">
      <c r="B567" s="288" t="n">
        <v>45446</v>
      </c>
      <c r="C567" s="289" t="n">
        <v>42</v>
      </c>
      <c r="D567" s="290" t="inlineStr">
        <is>
          <t>Gaji Mei_Yufitri</t>
        </is>
      </c>
      <c r="E567" s="291" t="inlineStr">
        <is>
          <t>BCA</t>
        </is>
      </c>
      <c r="F567" s="295" t="n">
        <v>3000000</v>
      </c>
      <c r="G567" s="289" t="inlineStr">
        <is>
          <t>IDR</t>
        </is>
      </c>
      <c r="H567" s="293" t="n">
        <v>1</v>
      </c>
      <c r="I567" s="291" t="n"/>
      <c r="J567" s="291" t="n"/>
      <c r="K567" s="291" t="n"/>
      <c r="L567" s="292">
        <f>$F567*$H567</f>
        <v/>
      </c>
      <c r="M567" s="291" t="n"/>
      <c r="N567" s="291" t="n"/>
      <c r="O567" s="291" t="n"/>
      <c r="P567" s="291" t="n"/>
      <c r="Q567" s="291" t="n"/>
      <c r="R567" s="287" t="n"/>
      <c r="S567" s="287" t="n"/>
      <c r="T567" s="287" t="n"/>
      <c r="U567" s="287" t="n"/>
      <c r="V567" s="287" t="n"/>
      <c r="W567" s="287" t="n"/>
      <c r="X567" s="287" t="n"/>
      <c r="Y567" s="287" t="n"/>
      <c r="Z567" s="287" t="n"/>
      <c r="AA567" s="287" t="n"/>
      <c r="AB567" s="287" t="n"/>
      <c r="AC567" s="287" t="n"/>
      <c r="AD567" s="287" t="n"/>
      <c r="AE567" s="287" t="n"/>
      <c r="AF567" s="287" t="n"/>
      <c r="AG567" s="287" t="n"/>
      <c r="AH567" s="287" t="n"/>
      <c r="AI567" s="287" t="n"/>
      <c r="AJ567" s="287" t="n"/>
      <c r="AK567" s="287" t="n"/>
      <c r="AL567" s="287" t="n"/>
      <c r="AM567" s="287" t="n"/>
      <c r="AN567" s="287" t="n"/>
      <c r="AO567" s="287" t="n"/>
      <c r="AP567" s="287" t="n"/>
      <c r="AQ567" s="287" t="n"/>
      <c r="AR567" s="287" t="n"/>
      <c r="AS567" s="287" t="n"/>
      <c r="AT567" s="287" t="n"/>
      <c r="AU567" s="287" t="n"/>
      <c r="AV567" s="287" t="n"/>
      <c r="AW567" s="287" t="n"/>
      <c r="AX567" s="287" t="n"/>
      <c r="AY567" s="287" t="n"/>
      <c r="AZ567" s="287" t="n"/>
      <c r="BA567" s="287" t="n"/>
      <c r="BB567" s="287" t="n"/>
      <c r="BC567" s="287" t="n"/>
      <c r="BD567" s="287" t="n"/>
      <c r="BE567" s="287" t="n"/>
      <c r="BF567" s="287" t="n"/>
      <c r="BG567" s="287" t="n"/>
      <c r="BH567" s="287" t="n"/>
    </row>
    <row r="568" ht="18.75" customHeight="1">
      <c r="B568" s="288" t="n">
        <v>45446</v>
      </c>
      <c r="C568" s="289" t="n">
        <v>43</v>
      </c>
      <c r="D568" s="290" t="inlineStr">
        <is>
          <t>Gaji Mei_Yufitri</t>
        </is>
      </c>
      <c r="E568" s="291" t="inlineStr">
        <is>
          <t>BCA</t>
        </is>
      </c>
      <c r="F568" s="295" t="n">
        <v>3000000</v>
      </c>
      <c r="G568" s="289" t="inlineStr">
        <is>
          <t>IDR</t>
        </is>
      </c>
      <c r="H568" s="293" t="n">
        <v>1</v>
      </c>
      <c r="I568" s="291" t="n"/>
      <c r="J568" s="291" t="n"/>
      <c r="K568" s="291" t="n"/>
      <c r="L568" s="292">
        <f>$F568*$H568</f>
        <v/>
      </c>
      <c r="M568" s="291" t="n"/>
      <c r="N568" s="291" t="n"/>
      <c r="O568" s="291" t="n"/>
      <c r="P568" s="291" t="n"/>
      <c r="Q568" s="291" t="n"/>
      <c r="R568" s="287" t="n"/>
      <c r="S568" s="287" t="n"/>
      <c r="T568" s="287" t="n"/>
      <c r="U568" s="287" t="n"/>
      <c r="V568" s="287" t="n"/>
      <c r="W568" s="287" t="n"/>
      <c r="X568" s="287" t="n"/>
      <c r="Y568" s="287" t="n"/>
      <c r="Z568" s="287" t="n"/>
      <c r="AA568" s="287" t="n"/>
      <c r="AB568" s="287" t="n"/>
      <c r="AC568" s="287" t="n"/>
      <c r="AD568" s="287" t="n"/>
      <c r="AE568" s="287" t="n"/>
      <c r="AF568" s="287" t="n"/>
      <c r="AG568" s="287" t="n"/>
      <c r="AH568" s="287" t="n"/>
      <c r="AI568" s="287" t="n"/>
      <c r="AJ568" s="287" t="n"/>
      <c r="AK568" s="287" t="n"/>
      <c r="AL568" s="287" t="n"/>
      <c r="AM568" s="287" t="n"/>
      <c r="AN568" s="287" t="n"/>
      <c r="AO568" s="287" t="n"/>
      <c r="AP568" s="287" t="n"/>
      <c r="AQ568" s="287" t="n"/>
      <c r="AR568" s="287" t="n"/>
      <c r="AS568" s="287" t="n"/>
      <c r="AT568" s="287" t="n"/>
      <c r="AU568" s="287" t="n"/>
      <c r="AV568" s="287" t="n"/>
      <c r="AW568" s="287" t="n"/>
      <c r="AX568" s="287" t="n"/>
      <c r="AY568" s="287" t="n"/>
      <c r="AZ568" s="287" t="n"/>
      <c r="BA568" s="287" t="n"/>
      <c r="BB568" s="287" t="n"/>
      <c r="BC568" s="287" t="n"/>
      <c r="BD568" s="287" t="n"/>
      <c r="BE568" s="287" t="n"/>
      <c r="BF568" s="287" t="n"/>
      <c r="BG568" s="287" t="n"/>
      <c r="BH568" s="287" t="n"/>
    </row>
    <row r="569" ht="18.75" customHeight="1">
      <c r="B569" s="288" t="n">
        <v>45446</v>
      </c>
      <c r="C569" s="289" t="n">
        <v>44</v>
      </c>
      <c r="D569" s="290" t="inlineStr">
        <is>
          <t>Gaji Mei_Yufitri</t>
        </is>
      </c>
      <c r="E569" s="291" t="inlineStr">
        <is>
          <t>BCA</t>
        </is>
      </c>
      <c r="F569" s="295" t="n">
        <v>3000000</v>
      </c>
      <c r="G569" s="289" t="inlineStr">
        <is>
          <t>IDR</t>
        </is>
      </c>
      <c r="H569" s="293" t="n">
        <v>1</v>
      </c>
      <c r="I569" s="291" t="n"/>
      <c r="J569" s="291" t="n"/>
      <c r="K569" s="291" t="n"/>
      <c r="L569" s="292">
        <f>$F569*$H569</f>
        <v/>
      </c>
      <c r="M569" s="291" t="n"/>
      <c r="N569" s="291" t="n"/>
      <c r="O569" s="291" t="n"/>
      <c r="P569" s="291" t="n"/>
      <c r="Q569" s="291" t="n"/>
      <c r="R569" s="287" t="n"/>
      <c r="S569" s="287" t="n"/>
      <c r="T569" s="287" t="n"/>
      <c r="U569" s="287" t="n"/>
      <c r="V569" s="287" t="n"/>
      <c r="W569" s="287" t="n"/>
      <c r="X569" s="287" t="n"/>
      <c r="Y569" s="287" t="n"/>
      <c r="Z569" s="287" t="n"/>
      <c r="AA569" s="287" t="n"/>
      <c r="AB569" s="287" t="n"/>
      <c r="AC569" s="287" t="n"/>
      <c r="AD569" s="287" t="n"/>
      <c r="AE569" s="287" t="n"/>
      <c r="AF569" s="287" t="n"/>
      <c r="AG569" s="287" t="n"/>
      <c r="AH569" s="287" t="n"/>
      <c r="AI569" s="287" t="n"/>
      <c r="AJ569" s="287" t="n"/>
      <c r="AK569" s="287" t="n"/>
      <c r="AL569" s="287" t="n"/>
      <c r="AM569" s="287" t="n"/>
      <c r="AN569" s="287" t="n"/>
      <c r="AO569" s="287" t="n"/>
      <c r="AP569" s="287" t="n"/>
      <c r="AQ569" s="287" t="n"/>
      <c r="AR569" s="287" t="n"/>
      <c r="AS569" s="287" t="n"/>
      <c r="AT569" s="287" t="n"/>
      <c r="AU569" s="287" t="n"/>
      <c r="AV569" s="287" t="n"/>
      <c r="AW569" s="287" t="n"/>
      <c r="AX569" s="287" t="n"/>
      <c r="AY569" s="287" t="n"/>
      <c r="AZ569" s="287" t="n"/>
      <c r="BA569" s="287" t="n"/>
      <c r="BB569" s="287" t="n"/>
      <c r="BC569" s="287" t="n"/>
      <c r="BD569" s="287" t="n"/>
      <c r="BE569" s="287" t="n"/>
      <c r="BF569" s="287" t="n"/>
      <c r="BG569" s="287" t="n"/>
      <c r="BH569" s="287" t="n"/>
    </row>
    <row r="570" ht="18.75" customHeight="1">
      <c r="B570" s="288" t="n">
        <v>45473</v>
      </c>
      <c r="C570" s="289" t="n">
        <v>45</v>
      </c>
      <c r="D570" s="290" t="inlineStr">
        <is>
          <t>Gaji Juni 2024_Yufitri</t>
        </is>
      </c>
      <c r="E570" s="291" t="inlineStr">
        <is>
          <t>BCA</t>
        </is>
      </c>
      <c r="F570" s="295" t="n">
        <v>3000000</v>
      </c>
      <c r="G570" s="289" t="inlineStr">
        <is>
          <t>IDR</t>
        </is>
      </c>
      <c r="H570" s="293" t="n">
        <v>1</v>
      </c>
      <c r="I570" s="291" t="n"/>
      <c r="J570" s="291" t="n"/>
      <c r="K570" s="291" t="n"/>
      <c r="L570" s="292">
        <f>$F570*$H570</f>
        <v/>
      </c>
      <c r="M570" s="291" t="n"/>
      <c r="N570" s="291" t="n"/>
      <c r="O570" s="291" t="n"/>
      <c r="P570" s="291" t="n"/>
      <c r="Q570" s="291" t="n"/>
      <c r="R570" s="287" t="n"/>
      <c r="S570" s="287" t="n"/>
      <c r="T570" s="287" t="n"/>
      <c r="U570" s="287" t="n"/>
      <c r="V570" s="287" t="n"/>
      <c r="W570" s="287" t="n"/>
      <c r="X570" s="287" t="n"/>
      <c r="Y570" s="287" t="n"/>
      <c r="Z570" s="287" t="n"/>
      <c r="AA570" s="287" t="n"/>
      <c r="AB570" s="287" t="n"/>
      <c r="AC570" s="287" t="n"/>
      <c r="AD570" s="287" t="n"/>
      <c r="AE570" s="287" t="n"/>
      <c r="AF570" s="287" t="n"/>
      <c r="AG570" s="287" t="n"/>
      <c r="AH570" s="287" t="n"/>
      <c r="AI570" s="287" t="n"/>
      <c r="AJ570" s="287" t="n"/>
      <c r="AK570" s="287" t="n"/>
      <c r="AL570" s="287" t="n"/>
      <c r="AM570" s="287" t="n"/>
      <c r="AN570" s="287" t="n"/>
      <c r="AO570" s="287" t="n"/>
      <c r="AP570" s="287" t="n"/>
      <c r="AQ570" s="287" t="n"/>
      <c r="AR570" s="287" t="n"/>
      <c r="AS570" s="287" t="n"/>
      <c r="AT570" s="287" t="n"/>
      <c r="AU570" s="287" t="n"/>
      <c r="AV570" s="287" t="n"/>
      <c r="AW570" s="287" t="n"/>
      <c r="AX570" s="287" t="n"/>
      <c r="AY570" s="287" t="n"/>
      <c r="AZ570" s="287" t="n"/>
      <c r="BA570" s="287" t="n"/>
      <c r="BB570" s="287" t="n"/>
      <c r="BC570" s="287" t="n"/>
      <c r="BD570" s="287" t="n"/>
      <c r="BE570" s="287" t="n"/>
      <c r="BF570" s="287" t="n"/>
      <c r="BG570" s="287" t="n"/>
      <c r="BH570" s="287" t="n"/>
    </row>
    <row r="571" ht="18.75" customHeight="1">
      <c r="B571" s="288" t="n">
        <v>45473</v>
      </c>
      <c r="C571" s="289" t="n">
        <v>46</v>
      </c>
      <c r="D571" s="290" t="inlineStr">
        <is>
          <t>Gaji Juni 2024_Yufitri</t>
        </is>
      </c>
      <c r="E571" s="291" t="inlineStr">
        <is>
          <t>BCA</t>
        </is>
      </c>
      <c r="F571" s="295" t="n">
        <v>3000000</v>
      </c>
      <c r="G571" s="289" t="inlineStr">
        <is>
          <t>IDR</t>
        </is>
      </c>
      <c r="H571" s="293" t="n">
        <v>1</v>
      </c>
      <c r="I571" s="291" t="n"/>
      <c r="J571" s="291" t="n"/>
      <c r="K571" s="291" t="n"/>
      <c r="L571" s="292">
        <f>$F571*$H571</f>
        <v/>
      </c>
      <c r="M571" s="291" t="n"/>
      <c r="N571" s="291" t="n"/>
      <c r="O571" s="291" t="n"/>
      <c r="P571" s="291" t="n"/>
      <c r="Q571" s="291" t="n"/>
      <c r="R571" s="287" t="n"/>
      <c r="S571" s="287" t="n"/>
      <c r="T571" s="287" t="n"/>
      <c r="U571" s="287" t="n"/>
      <c r="V571" s="287" t="n"/>
      <c r="W571" s="287" t="n"/>
      <c r="X571" s="287" t="n"/>
      <c r="Y571" s="287" t="n"/>
      <c r="Z571" s="287" t="n"/>
      <c r="AA571" s="287" t="n"/>
      <c r="AB571" s="287" t="n"/>
      <c r="AC571" s="287" t="n"/>
      <c r="AD571" s="287" t="n"/>
      <c r="AE571" s="287" t="n"/>
      <c r="AF571" s="287" t="n"/>
      <c r="AG571" s="287" t="n"/>
      <c r="AH571" s="287" t="n"/>
      <c r="AI571" s="287" t="n"/>
      <c r="AJ571" s="287" t="n"/>
      <c r="AK571" s="287" t="n"/>
      <c r="AL571" s="287" t="n"/>
      <c r="AM571" s="287" t="n"/>
      <c r="AN571" s="287" t="n"/>
      <c r="AO571" s="287" t="n"/>
      <c r="AP571" s="287" t="n"/>
      <c r="AQ571" s="287" t="n"/>
      <c r="AR571" s="287" t="n"/>
      <c r="AS571" s="287" t="n"/>
      <c r="AT571" s="287" t="n"/>
      <c r="AU571" s="287" t="n"/>
      <c r="AV571" s="287" t="n"/>
      <c r="AW571" s="287" t="n"/>
      <c r="AX571" s="287" t="n"/>
      <c r="AY571" s="287" t="n"/>
      <c r="AZ571" s="287" t="n"/>
      <c r="BA571" s="287" t="n"/>
      <c r="BB571" s="287" t="n"/>
      <c r="BC571" s="287" t="n"/>
      <c r="BD571" s="287" t="n"/>
      <c r="BE571" s="287" t="n"/>
      <c r="BF571" s="287" t="n"/>
      <c r="BG571" s="287" t="n"/>
      <c r="BH571" s="287" t="n"/>
    </row>
    <row r="572" ht="18.75" customHeight="1">
      <c r="B572" s="288" t="n">
        <v>45473</v>
      </c>
      <c r="C572" s="289" t="n">
        <v>47</v>
      </c>
      <c r="D572" s="290" t="inlineStr">
        <is>
          <t>Gaji Juni 2024_Yufitri</t>
        </is>
      </c>
      <c r="E572" s="291" t="inlineStr">
        <is>
          <t>BCA</t>
        </is>
      </c>
      <c r="F572" s="295" t="n">
        <v>3000000</v>
      </c>
      <c r="G572" s="289" t="inlineStr">
        <is>
          <t>IDR</t>
        </is>
      </c>
      <c r="H572" s="293" t="n">
        <v>1</v>
      </c>
      <c r="I572" s="291" t="n"/>
      <c r="J572" s="291" t="n"/>
      <c r="K572" s="291" t="n"/>
      <c r="L572" s="292">
        <f>$F572*$H572</f>
        <v/>
      </c>
      <c r="M572" s="291" t="n"/>
      <c r="N572" s="291" t="n"/>
      <c r="O572" s="291" t="n"/>
      <c r="P572" s="291" t="n"/>
      <c r="Q572" s="291" t="n"/>
      <c r="R572" s="287" t="n"/>
      <c r="S572" s="287" t="n"/>
      <c r="T572" s="287" t="n"/>
      <c r="U572" s="287" t="n"/>
      <c r="V572" s="287" t="n"/>
      <c r="W572" s="287" t="n"/>
      <c r="X572" s="287" t="n"/>
      <c r="Y572" s="287" t="n"/>
      <c r="Z572" s="287" t="n"/>
      <c r="AA572" s="287" t="n"/>
      <c r="AB572" s="287" t="n"/>
      <c r="AC572" s="287" t="n"/>
      <c r="AD572" s="287" t="n"/>
      <c r="AE572" s="287" t="n"/>
      <c r="AF572" s="287" t="n"/>
      <c r="AG572" s="287" t="n"/>
      <c r="AH572" s="287" t="n"/>
      <c r="AI572" s="287" t="n"/>
      <c r="AJ572" s="287" t="n"/>
      <c r="AK572" s="287" t="n"/>
      <c r="AL572" s="287" t="n"/>
      <c r="AM572" s="287" t="n"/>
      <c r="AN572" s="287" t="n"/>
      <c r="AO572" s="287" t="n"/>
      <c r="AP572" s="287" t="n"/>
      <c r="AQ572" s="287" t="n"/>
      <c r="AR572" s="287" t="n"/>
      <c r="AS572" s="287" t="n"/>
      <c r="AT572" s="287" t="n"/>
      <c r="AU572" s="287" t="n"/>
      <c r="AV572" s="287" t="n"/>
      <c r="AW572" s="287" t="n"/>
      <c r="AX572" s="287" t="n"/>
      <c r="AY572" s="287" t="n"/>
      <c r="AZ572" s="287" t="n"/>
      <c r="BA572" s="287" t="n"/>
      <c r="BB572" s="287" t="n"/>
      <c r="BC572" s="287" t="n"/>
      <c r="BD572" s="287" t="n"/>
      <c r="BE572" s="287" t="n"/>
      <c r="BF572" s="287" t="n"/>
      <c r="BG572" s="287" t="n"/>
      <c r="BH572" s="287" t="n"/>
    </row>
    <row r="573" ht="18.75" customHeight="1">
      <c r="B573" s="288" t="n">
        <v>45473</v>
      </c>
      <c r="C573" s="289" t="n">
        <v>48</v>
      </c>
      <c r="D573" s="290" t="inlineStr">
        <is>
          <t>Gaji Juni 2024_Yufitri</t>
        </is>
      </c>
      <c r="E573" s="291" t="inlineStr">
        <is>
          <t>BCA</t>
        </is>
      </c>
      <c r="F573" s="295" t="n">
        <v>3000000</v>
      </c>
      <c r="G573" s="289" t="inlineStr">
        <is>
          <t>IDR</t>
        </is>
      </c>
      <c r="H573" s="293" t="n">
        <v>1</v>
      </c>
      <c r="I573" s="291" t="n"/>
      <c r="J573" s="291" t="n"/>
      <c r="K573" s="291" t="n"/>
      <c r="L573" s="292">
        <f>$F573*$H573</f>
        <v/>
      </c>
      <c r="M573" s="291" t="n"/>
      <c r="N573" s="291" t="n"/>
      <c r="O573" s="291" t="n"/>
      <c r="P573" s="291" t="n"/>
      <c r="Q573" s="291" t="n"/>
      <c r="R573" s="287" t="n"/>
      <c r="S573" s="287" t="n"/>
      <c r="T573" s="287" t="n"/>
      <c r="U573" s="287" t="n"/>
      <c r="V573" s="287" t="n"/>
      <c r="W573" s="287" t="n"/>
      <c r="X573" s="287" t="n"/>
      <c r="Y573" s="287" t="n"/>
      <c r="Z573" s="287" t="n"/>
      <c r="AA573" s="287" t="n"/>
      <c r="AB573" s="287" t="n"/>
      <c r="AC573" s="287" t="n"/>
      <c r="AD573" s="287" t="n"/>
      <c r="AE573" s="287" t="n"/>
      <c r="AF573" s="287" t="n"/>
      <c r="AG573" s="287" t="n"/>
      <c r="AH573" s="287" t="n"/>
      <c r="AI573" s="287" t="n"/>
      <c r="AJ573" s="287" t="n"/>
      <c r="AK573" s="287" t="n"/>
      <c r="AL573" s="287" t="n"/>
      <c r="AM573" s="287" t="n"/>
      <c r="AN573" s="287" t="n"/>
      <c r="AO573" s="287" t="n"/>
      <c r="AP573" s="287" t="n"/>
      <c r="AQ573" s="287" t="n"/>
      <c r="AR573" s="287" t="n"/>
      <c r="AS573" s="287" t="n"/>
      <c r="AT573" s="287" t="n"/>
      <c r="AU573" s="287" t="n"/>
      <c r="AV573" s="287" t="n"/>
      <c r="AW573" s="287" t="n"/>
      <c r="AX573" s="287" t="n"/>
      <c r="AY573" s="287" t="n"/>
      <c r="AZ573" s="287" t="n"/>
      <c r="BA573" s="287" t="n"/>
      <c r="BB573" s="287" t="n"/>
      <c r="BC573" s="287" t="n"/>
      <c r="BD573" s="287" t="n"/>
      <c r="BE573" s="287" t="n"/>
      <c r="BF573" s="287" t="n"/>
      <c r="BG573" s="287" t="n"/>
      <c r="BH573" s="287" t="n"/>
    </row>
    <row r="574" ht="18.75" customHeight="1">
      <c r="B574" s="288" t="n">
        <v>45501</v>
      </c>
      <c r="C574" s="289" t="n">
        <v>49</v>
      </c>
      <c r="D574" s="290" t="inlineStr">
        <is>
          <t>Gaji Juli 2024_Yufitri</t>
        </is>
      </c>
      <c r="E574" s="291" t="inlineStr">
        <is>
          <t>BCA</t>
        </is>
      </c>
      <c r="F574" s="295" t="n">
        <v>3000000</v>
      </c>
      <c r="G574" s="289" t="inlineStr">
        <is>
          <t>IDR</t>
        </is>
      </c>
      <c r="H574" s="293" t="n">
        <v>1</v>
      </c>
      <c r="I574" s="291" t="n"/>
      <c r="J574" s="291" t="n"/>
      <c r="K574" s="291" t="n"/>
      <c r="L574" s="292">
        <f>$F574*$H574</f>
        <v/>
      </c>
      <c r="M574" s="291" t="n"/>
      <c r="N574" s="291" t="n"/>
      <c r="O574" s="291" t="n"/>
      <c r="P574" s="291" t="n"/>
      <c r="Q574" s="291" t="n"/>
      <c r="R574" s="287" t="n"/>
      <c r="S574" s="287" t="n"/>
      <c r="T574" s="287" t="n"/>
      <c r="U574" s="287" t="n"/>
      <c r="V574" s="287" t="n"/>
      <c r="W574" s="287" t="n"/>
      <c r="X574" s="287" t="n"/>
      <c r="Y574" s="287" t="n"/>
      <c r="Z574" s="287" t="n"/>
      <c r="AA574" s="287" t="n"/>
      <c r="AB574" s="287" t="n"/>
      <c r="AC574" s="287" t="n"/>
      <c r="AD574" s="287" t="n"/>
      <c r="AE574" s="287" t="n"/>
      <c r="AF574" s="287" t="n"/>
      <c r="AG574" s="287" t="n"/>
      <c r="AH574" s="287" t="n"/>
      <c r="AI574" s="287" t="n"/>
      <c r="AJ574" s="287" t="n"/>
      <c r="AK574" s="287" t="n"/>
      <c r="AL574" s="287" t="n"/>
      <c r="AM574" s="287" t="n"/>
      <c r="AN574" s="287" t="n"/>
      <c r="AO574" s="287" t="n"/>
      <c r="AP574" s="287" t="n"/>
      <c r="AQ574" s="287" t="n"/>
      <c r="AR574" s="287" t="n"/>
      <c r="AS574" s="287" t="n"/>
      <c r="AT574" s="287" t="n"/>
      <c r="AU574" s="287" t="n"/>
      <c r="AV574" s="287" t="n"/>
      <c r="AW574" s="287" t="n"/>
      <c r="AX574" s="287" t="n"/>
      <c r="AY574" s="287" t="n"/>
      <c r="AZ574" s="287" t="n"/>
      <c r="BA574" s="287" t="n"/>
      <c r="BB574" s="287" t="n"/>
      <c r="BC574" s="287" t="n"/>
      <c r="BD574" s="287" t="n"/>
      <c r="BE574" s="287" t="n"/>
      <c r="BF574" s="287" t="n"/>
      <c r="BG574" s="287" t="n"/>
      <c r="BH574" s="287" t="n"/>
    </row>
    <row r="575" ht="18.75" customHeight="1">
      <c r="B575" s="288" t="n">
        <v>45501</v>
      </c>
      <c r="C575" s="289" t="n">
        <v>50</v>
      </c>
      <c r="D575" s="290" t="inlineStr">
        <is>
          <t>Gaji Juli 2024_Yufitri</t>
        </is>
      </c>
      <c r="E575" s="291" t="inlineStr">
        <is>
          <t>BCA</t>
        </is>
      </c>
      <c r="F575" s="295" t="n">
        <v>3000000</v>
      </c>
      <c r="G575" s="289" t="inlineStr">
        <is>
          <t>IDR</t>
        </is>
      </c>
      <c r="H575" s="293" t="n">
        <v>1</v>
      </c>
      <c r="I575" s="291" t="n"/>
      <c r="J575" s="291" t="n"/>
      <c r="K575" s="291" t="n"/>
      <c r="L575" s="292">
        <f>$F575*$H575</f>
        <v/>
      </c>
      <c r="M575" s="291" t="n"/>
      <c r="N575" s="291" t="n"/>
      <c r="O575" s="291" t="n"/>
      <c r="P575" s="291" t="n"/>
      <c r="Q575" s="291" t="n"/>
      <c r="R575" s="287" t="n"/>
      <c r="S575" s="287" t="n"/>
      <c r="T575" s="287" t="n"/>
      <c r="U575" s="287" t="n"/>
      <c r="V575" s="287" t="n"/>
      <c r="W575" s="287" t="n"/>
      <c r="X575" s="287" t="n"/>
      <c r="Y575" s="287" t="n"/>
      <c r="Z575" s="287" t="n"/>
      <c r="AA575" s="287" t="n"/>
      <c r="AB575" s="287" t="n"/>
      <c r="AC575" s="287" t="n"/>
      <c r="AD575" s="287" t="n"/>
      <c r="AE575" s="287" t="n"/>
      <c r="AF575" s="287" t="n"/>
      <c r="AG575" s="287" t="n"/>
      <c r="AH575" s="287" t="n"/>
      <c r="AI575" s="287" t="n"/>
      <c r="AJ575" s="287" t="n"/>
      <c r="AK575" s="287" t="n"/>
      <c r="AL575" s="287" t="n"/>
      <c r="AM575" s="287" t="n"/>
      <c r="AN575" s="287" t="n"/>
      <c r="AO575" s="287" t="n"/>
      <c r="AP575" s="287" t="n"/>
      <c r="AQ575" s="287" t="n"/>
      <c r="AR575" s="287" t="n"/>
      <c r="AS575" s="287" t="n"/>
      <c r="AT575" s="287" t="n"/>
      <c r="AU575" s="287" t="n"/>
      <c r="AV575" s="287" t="n"/>
      <c r="AW575" s="287" t="n"/>
      <c r="AX575" s="287" t="n"/>
      <c r="AY575" s="287" t="n"/>
      <c r="AZ575" s="287" t="n"/>
      <c r="BA575" s="287" t="n"/>
      <c r="BB575" s="287" t="n"/>
      <c r="BC575" s="287" t="n"/>
      <c r="BD575" s="287" t="n"/>
      <c r="BE575" s="287" t="n"/>
      <c r="BF575" s="287" t="n"/>
      <c r="BG575" s="287" t="n"/>
      <c r="BH575" s="287" t="n"/>
    </row>
    <row r="576" ht="18.75" customHeight="1">
      <c r="B576" s="288" t="n">
        <v>45501</v>
      </c>
      <c r="C576" s="289" t="n">
        <v>51</v>
      </c>
      <c r="D576" s="290" t="inlineStr">
        <is>
          <t>Gaji Juli 2024_Yufitri</t>
        </is>
      </c>
      <c r="E576" s="291" t="inlineStr">
        <is>
          <t>BCA</t>
        </is>
      </c>
      <c r="F576" s="295" t="n">
        <v>3000000</v>
      </c>
      <c r="G576" s="289" t="inlineStr">
        <is>
          <t>IDR</t>
        </is>
      </c>
      <c r="H576" s="293" t="n">
        <v>1</v>
      </c>
      <c r="I576" s="291" t="n"/>
      <c r="J576" s="291" t="n"/>
      <c r="K576" s="291" t="n"/>
      <c r="L576" s="292">
        <f>$F576*$H576</f>
        <v/>
      </c>
      <c r="M576" s="291" t="n"/>
      <c r="N576" s="291" t="n"/>
      <c r="O576" s="291" t="n"/>
      <c r="P576" s="291" t="n"/>
      <c r="Q576" s="291" t="n"/>
      <c r="R576" s="287" t="n"/>
      <c r="S576" s="287" t="n"/>
      <c r="T576" s="287" t="n"/>
      <c r="U576" s="287" t="n"/>
      <c r="V576" s="287" t="n"/>
      <c r="W576" s="287" t="n"/>
      <c r="X576" s="287" t="n"/>
      <c r="Y576" s="287" t="n"/>
      <c r="Z576" s="287" t="n"/>
      <c r="AA576" s="287" t="n"/>
      <c r="AB576" s="287" t="n"/>
      <c r="AC576" s="287" t="n"/>
      <c r="AD576" s="287" t="n"/>
      <c r="AE576" s="287" t="n"/>
      <c r="AF576" s="287" t="n"/>
      <c r="AG576" s="287" t="n"/>
      <c r="AH576" s="287" t="n"/>
      <c r="AI576" s="287" t="n"/>
      <c r="AJ576" s="287" t="n"/>
      <c r="AK576" s="287" t="n"/>
      <c r="AL576" s="287" t="n"/>
      <c r="AM576" s="287" t="n"/>
      <c r="AN576" s="287" t="n"/>
      <c r="AO576" s="287" t="n"/>
      <c r="AP576" s="287" t="n"/>
      <c r="AQ576" s="287" t="n"/>
      <c r="AR576" s="287" t="n"/>
      <c r="AS576" s="287" t="n"/>
      <c r="AT576" s="287" t="n"/>
      <c r="AU576" s="287" t="n"/>
      <c r="AV576" s="287" t="n"/>
      <c r="AW576" s="287" t="n"/>
      <c r="AX576" s="287" t="n"/>
      <c r="AY576" s="287" t="n"/>
      <c r="AZ576" s="287" t="n"/>
      <c r="BA576" s="287" t="n"/>
      <c r="BB576" s="287" t="n"/>
      <c r="BC576" s="287" t="n"/>
      <c r="BD576" s="287" t="n"/>
      <c r="BE576" s="287" t="n"/>
      <c r="BF576" s="287" t="n"/>
      <c r="BG576" s="287" t="n"/>
      <c r="BH576" s="287" t="n"/>
    </row>
    <row r="577" ht="18.75" customHeight="1">
      <c r="B577" s="288" t="n">
        <v>45501</v>
      </c>
      <c r="C577" s="289" t="n">
        <v>52</v>
      </c>
      <c r="D577" s="290" t="inlineStr">
        <is>
          <t>Gaji Juli 2024_Yufitri</t>
        </is>
      </c>
      <c r="E577" s="291" t="inlineStr">
        <is>
          <t>BCA</t>
        </is>
      </c>
      <c r="F577" s="295" t="n">
        <v>3000000</v>
      </c>
      <c r="G577" s="289" t="inlineStr">
        <is>
          <t>IDR</t>
        </is>
      </c>
      <c r="H577" s="293" t="n">
        <v>1</v>
      </c>
      <c r="I577" s="291" t="n"/>
      <c r="J577" s="291" t="n"/>
      <c r="K577" s="291" t="n"/>
      <c r="L577" s="292">
        <f>$F577*$H577</f>
        <v/>
      </c>
      <c r="M577" s="291" t="n"/>
      <c r="N577" s="291" t="n"/>
      <c r="O577" s="291" t="n"/>
      <c r="P577" s="291" t="n"/>
      <c r="Q577" s="291" t="n"/>
      <c r="R577" s="287" t="n"/>
      <c r="S577" s="287" t="n"/>
      <c r="T577" s="287" t="n"/>
      <c r="U577" s="287" t="n"/>
      <c r="V577" s="287" t="n"/>
      <c r="W577" s="287" t="n"/>
      <c r="X577" s="287" t="n"/>
      <c r="Y577" s="287" t="n"/>
      <c r="Z577" s="287" t="n"/>
      <c r="AA577" s="287" t="n"/>
      <c r="AB577" s="287" t="n"/>
      <c r="AC577" s="287" t="n"/>
      <c r="AD577" s="287" t="n"/>
      <c r="AE577" s="287" t="n"/>
      <c r="AF577" s="287" t="n"/>
      <c r="AG577" s="287" t="n"/>
      <c r="AH577" s="287" t="n"/>
      <c r="AI577" s="287" t="n"/>
      <c r="AJ577" s="287" t="n"/>
      <c r="AK577" s="287" t="n"/>
      <c r="AL577" s="287" t="n"/>
      <c r="AM577" s="287" t="n"/>
      <c r="AN577" s="287" t="n"/>
      <c r="AO577" s="287" t="n"/>
      <c r="AP577" s="287" t="n"/>
      <c r="AQ577" s="287" t="n"/>
      <c r="AR577" s="287" t="n"/>
      <c r="AS577" s="287" t="n"/>
      <c r="AT577" s="287" t="n"/>
      <c r="AU577" s="287" t="n"/>
      <c r="AV577" s="287" t="n"/>
      <c r="AW577" s="287" t="n"/>
      <c r="AX577" s="287" t="n"/>
      <c r="AY577" s="287" t="n"/>
      <c r="AZ577" s="287" t="n"/>
      <c r="BA577" s="287" t="n"/>
      <c r="BB577" s="287" t="n"/>
      <c r="BC577" s="287" t="n"/>
      <c r="BD577" s="287" t="n"/>
      <c r="BE577" s="287" t="n"/>
      <c r="BF577" s="287" t="n"/>
      <c r="BG577" s="287" t="n"/>
      <c r="BH577" s="287" t="n"/>
    </row>
    <row r="578" ht="18.75" customHeight="1">
      <c r="B578" s="288" t="n">
        <v>45535</v>
      </c>
      <c r="C578" s="289" t="n">
        <v>53</v>
      </c>
      <c r="D578" s="290" t="inlineStr">
        <is>
          <t>Gaji Agustus 2024_Yufitri</t>
        </is>
      </c>
      <c r="E578" s="291" t="inlineStr">
        <is>
          <t>BCA</t>
        </is>
      </c>
      <c r="F578" s="295" t="n">
        <v>3000000</v>
      </c>
      <c r="G578" s="289" t="inlineStr">
        <is>
          <t>IDR</t>
        </is>
      </c>
      <c r="H578" s="293" t="n">
        <v>1</v>
      </c>
      <c r="I578" s="291" t="n"/>
      <c r="J578" s="291" t="n"/>
      <c r="K578" s="291" t="n"/>
      <c r="L578" s="292">
        <f>$F578*$H578</f>
        <v/>
      </c>
      <c r="M578" s="291" t="n"/>
      <c r="N578" s="291" t="n"/>
      <c r="O578" s="291" t="n"/>
      <c r="P578" s="291" t="n"/>
      <c r="Q578" s="291" t="n"/>
      <c r="R578" s="287" t="n"/>
      <c r="S578" s="287" t="n"/>
      <c r="T578" s="287" t="n"/>
      <c r="U578" s="287" t="n"/>
      <c r="V578" s="287" t="n"/>
      <c r="W578" s="287" t="n"/>
      <c r="X578" s="287" t="n"/>
      <c r="Y578" s="287" t="n"/>
      <c r="Z578" s="287" t="n"/>
      <c r="AA578" s="287" t="n"/>
      <c r="AB578" s="287" t="n"/>
      <c r="AC578" s="287" t="n"/>
      <c r="AD578" s="287" t="n"/>
      <c r="AE578" s="287" t="n"/>
      <c r="AF578" s="287" t="n"/>
      <c r="AG578" s="287" t="n"/>
      <c r="AH578" s="287" t="n"/>
      <c r="AI578" s="287" t="n"/>
      <c r="AJ578" s="287" t="n"/>
      <c r="AK578" s="287" t="n"/>
      <c r="AL578" s="287" t="n"/>
      <c r="AM578" s="287" t="n"/>
      <c r="AN578" s="287" t="n"/>
      <c r="AO578" s="287" t="n"/>
      <c r="AP578" s="287" t="n"/>
      <c r="AQ578" s="287" t="n"/>
      <c r="AR578" s="287" t="n"/>
      <c r="AS578" s="287" t="n"/>
      <c r="AT578" s="287" t="n"/>
      <c r="AU578" s="287" t="n"/>
      <c r="AV578" s="287" t="n"/>
      <c r="AW578" s="287" t="n"/>
      <c r="AX578" s="287" t="n"/>
      <c r="AY578" s="287" t="n"/>
      <c r="AZ578" s="287" t="n"/>
      <c r="BA578" s="287" t="n"/>
      <c r="BB578" s="287" t="n"/>
      <c r="BC578" s="287" t="n"/>
      <c r="BD578" s="287" t="n"/>
      <c r="BE578" s="287" t="n"/>
      <c r="BF578" s="287" t="n"/>
      <c r="BG578" s="287" t="n"/>
      <c r="BH578" s="287" t="n"/>
    </row>
    <row r="579" ht="18.75" customHeight="1">
      <c r="B579" s="288" t="n">
        <v>45535</v>
      </c>
      <c r="C579" s="289" t="n">
        <v>54</v>
      </c>
      <c r="D579" s="290" t="inlineStr">
        <is>
          <t>Gaji Agustus 2024_Yufitri</t>
        </is>
      </c>
      <c r="E579" s="291" t="inlineStr">
        <is>
          <t>BCA</t>
        </is>
      </c>
      <c r="F579" s="295" t="n">
        <v>3000000</v>
      </c>
      <c r="G579" s="289" t="inlineStr">
        <is>
          <t>IDR</t>
        </is>
      </c>
      <c r="H579" s="293" t="n">
        <v>1</v>
      </c>
      <c r="I579" s="291" t="n"/>
      <c r="J579" s="291" t="n"/>
      <c r="K579" s="291" t="n"/>
      <c r="L579" s="292">
        <f>$F579*$H579</f>
        <v/>
      </c>
      <c r="M579" s="291" t="n"/>
      <c r="N579" s="291" t="n"/>
      <c r="O579" s="291" t="n"/>
      <c r="P579" s="291" t="n"/>
      <c r="Q579" s="291" t="n"/>
      <c r="R579" s="287" t="n"/>
      <c r="S579" s="287" t="n"/>
      <c r="T579" s="287" t="n"/>
      <c r="U579" s="287" t="n"/>
      <c r="V579" s="287" t="n"/>
      <c r="W579" s="287" t="n"/>
      <c r="X579" s="287" t="n"/>
      <c r="Y579" s="287" t="n"/>
      <c r="Z579" s="287" t="n"/>
      <c r="AA579" s="287" t="n"/>
      <c r="AB579" s="287" t="n"/>
      <c r="AC579" s="287" t="n"/>
      <c r="AD579" s="287" t="n"/>
      <c r="AE579" s="287" t="n"/>
      <c r="AF579" s="287" t="n"/>
      <c r="AG579" s="287" t="n"/>
      <c r="AH579" s="287" t="n"/>
      <c r="AI579" s="287" t="n"/>
      <c r="AJ579" s="287" t="n"/>
      <c r="AK579" s="287" t="n"/>
      <c r="AL579" s="287" t="n"/>
      <c r="AM579" s="287" t="n"/>
      <c r="AN579" s="287" t="n"/>
      <c r="AO579" s="287" t="n"/>
      <c r="AP579" s="287" t="n"/>
      <c r="AQ579" s="287" t="n"/>
      <c r="AR579" s="287" t="n"/>
      <c r="AS579" s="287" t="n"/>
      <c r="AT579" s="287" t="n"/>
      <c r="AU579" s="287" t="n"/>
      <c r="AV579" s="287" t="n"/>
      <c r="AW579" s="287" t="n"/>
      <c r="AX579" s="287" t="n"/>
      <c r="AY579" s="287" t="n"/>
      <c r="AZ579" s="287" t="n"/>
      <c r="BA579" s="287" t="n"/>
      <c r="BB579" s="287" t="n"/>
      <c r="BC579" s="287" t="n"/>
      <c r="BD579" s="287" t="n"/>
      <c r="BE579" s="287" t="n"/>
      <c r="BF579" s="287" t="n"/>
      <c r="BG579" s="287" t="n"/>
      <c r="BH579" s="287" t="n"/>
    </row>
    <row r="580" ht="18.75" customHeight="1">
      <c r="B580" s="288" t="n">
        <v>45535</v>
      </c>
      <c r="C580" s="289" t="n">
        <v>55</v>
      </c>
      <c r="D580" s="290" t="inlineStr">
        <is>
          <t>Gaji Agustus 2024_Yufitri</t>
        </is>
      </c>
      <c r="E580" s="291" t="inlineStr">
        <is>
          <t>BCA</t>
        </is>
      </c>
      <c r="F580" s="295" t="n">
        <v>3000000</v>
      </c>
      <c r="G580" s="289" t="inlineStr">
        <is>
          <t>IDR</t>
        </is>
      </c>
      <c r="H580" s="293" t="n">
        <v>1</v>
      </c>
      <c r="I580" s="291" t="n"/>
      <c r="J580" s="291" t="n"/>
      <c r="K580" s="291" t="n"/>
      <c r="L580" s="292">
        <f>$F580*$H580</f>
        <v/>
      </c>
      <c r="M580" s="291" t="n"/>
      <c r="N580" s="291" t="n"/>
      <c r="O580" s="291" t="n"/>
      <c r="P580" s="291" t="n"/>
      <c r="Q580" s="291" t="n"/>
      <c r="R580" s="287" t="n"/>
      <c r="S580" s="287" t="n"/>
      <c r="T580" s="287" t="n"/>
      <c r="U580" s="287" t="n"/>
      <c r="V580" s="287" t="n"/>
      <c r="W580" s="287" t="n"/>
      <c r="X580" s="287" t="n"/>
      <c r="Y580" s="287" t="n"/>
      <c r="Z580" s="287" t="n"/>
      <c r="AA580" s="287" t="n"/>
      <c r="AB580" s="287" t="n"/>
      <c r="AC580" s="287" t="n"/>
      <c r="AD580" s="287" t="n"/>
      <c r="AE580" s="287" t="n"/>
      <c r="AF580" s="287" t="n"/>
      <c r="AG580" s="287" t="n"/>
      <c r="AH580" s="287" t="n"/>
      <c r="AI580" s="287" t="n"/>
      <c r="AJ580" s="287" t="n"/>
      <c r="AK580" s="287" t="n"/>
      <c r="AL580" s="287" t="n"/>
      <c r="AM580" s="287" t="n"/>
      <c r="AN580" s="287" t="n"/>
      <c r="AO580" s="287" t="n"/>
      <c r="AP580" s="287" t="n"/>
      <c r="AQ580" s="287" t="n"/>
      <c r="AR580" s="287" t="n"/>
      <c r="AS580" s="287" t="n"/>
      <c r="AT580" s="287" t="n"/>
      <c r="AU580" s="287" t="n"/>
      <c r="AV580" s="287" t="n"/>
      <c r="AW580" s="287" t="n"/>
      <c r="AX580" s="287" t="n"/>
      <c r="AY580" s="287" t="n"/>
      <c r="AZ580" s="287" t="n"/>
      <c r="BA580" s="287" t="n"/>
      <c r="BB580" s="287" t="n"/>
      <c r="BC580" s="287" t="n"/>
      <c r="BD580" s="287" t="n"/>
      <c r="BE580" s="287" t="n"/>
      <c r="BF580" s="287" t="n"/>
      <c r="BG580" s="287" t="n"/>
      <c r="BH580" s="287" t="n"/>
    </row>
    <row r="581" ht="18.75" customHeight="1">
      <c r="B581" s="288" t="n">
        <v>45535</v>
      </c>
      <c r="C581" s="289" t="n">
        <v>56</v>
      </c>
      <c r="D581" s="290" t="inlineStr">
        <is>
          <t>Gaji Agustus 2024_Yufitri</t>
        </is>
      </c>
      <c r="E581" s="291" t="inlineStr">
        <is>
          <t>BCA</t>
        </is>
      </c>
      <c r="F581" s="295" t="n">
        <v>3000000</v>
      </c>
      <c r="G581" s="289" t="inlineStr">
        <is>
          <t>IDR</t>
        </is>
      </c>
      <c r="H581" s="293" t="n">
        <v>1</v>
      </c>
      <c r="I581" s="291" t="n"/>
      <c r="J581" s="291" t="n"/>
      <c r="K581" s="291" t="n"/>
      <c r="L581" s="292">
        <f>$F581*$H581</f>
        <v/>
      </c>
      <c r="M581" s="291" t="n"/>
      <c r="N581" s="291" t="n"/>
      <c r="O581" s="291" t="n"/>
      <c r="P581" s="291" t="n"/>
      <c r="Q581" s="291" t="n"/>
      <c r="R581" s="287" t="n"/>
      <c r="S581" s="287" t="n"/>
      <c r="T581" s="287" t="n"/>
      <c r="U581" s="287" t="n"/>
      <c r="V581" s="287" t="n"/>
      <c r="W581" s="287" t="n"/>
      <c r="X581" s="287" t="n"/>
      <c r="Y581" s="287" t="n"/>
      <c r="Z581" s="287" t="n"/>
      <c r="AA581" s="287" t="n"/>
      <c r="AB581" s="287" t="n"/>
      <c r="AC581" s="287" t="n"/>
      <c r="AD581" s="287" t="n"/>
      <c r="AE581" s="287" t="n"/>
      <c r="AF581" s="287" t="n"/>
      <c r="AG581" s="287" t="n"/>
      <c r="AH581" s="287" t="n"/>
      <c r="AI581" s="287" t="n"/>
      <c r="AJ581" s="287" t="n"/>
      <c r="AK581" s="287" t="n"/>
      <c r="AL581" s="287" t="n"/>
      <c r="AM581" s="287" t="n"/>
      <c r="AN581" s="287" t="n"/>
      <c r="AO581" s="287" t="n"/>
      <c r="AP581" s="287" t="n"/>
      <c r="AQ581" s="287" t="n"/>
      <c r="AR581" s="287" t="n"/>
      <c r="AS581" s="287" t="n"/>
      <c r="AT581" s="287" t="n"/>
      <c r="AU581" s="287" t="n"/>
      <c r="AV581" s="287" t="n"/>
      <c r="AW581" s="287" t="n"/>
      <c r="AX581" s="287" t="n"/>
      <c r="AY581" s="287" t="n"/>
      <c r="AZ581" s="287" t="n"/>
      <c r="BA581" s="287" t="n"/>
      <c r="BB581" s="287" t="n"/>
      <c r="BC581" s="287" t="n"/>
      <c r="BD581" s="287" t="n"/>
      <c r="BE581" s="287" t="n"/>
      <c r="BF581" s="287" t="n"/>
      <c r="BG581" s="287" t="n"/>
      <c r="BH581" s="287" t="n"/>
    </row>
    <row r="582" ht="18.75" customHeight="1">
      <c r="B582" s="288" t="n">
        <v>45568</v>
      </c>
      <c r="C582" s="289" t="n">
        <v>57</v>
      </c>
      <c r="D582" s="290" t="inlineStr">
        <is>
          <t>Gaji fitri bulan september 2024</t>
        </is>
      </c>
      <c r="E582" s="291" t="inlineStr">
        <is>
          <t>BRI</t>
        </is>
      </c>
      <c r="F582" s="295" t="n">
        <v>3000000</v>
      </c>
      <c r="G582" s="289" t="inlineStr">
        <is>
          <t>IDR</t>
        </is>
      </c>
      <c r="H582" s="293" t="n">
        <v>1</v>
      </c>
      <c r="I582" s="291" t="n"/>
      <c r="J582" s="291" t="n"/>
      <c r="K582" s="291" t="n"/>
      <c r="L582" s="292">
        <f>$F582*$H582</f>
        <v/>
      </c>
      <c r="M582" s="291" t="n"/>
      <c r="N582" s="291" t="n"/>
      <c r="O582" s="291" t="n"/>
      <c r="P582" s="291" t="n"/>
      <c r="Q582" s="291" t="n"/>
      <c r="R582" s="287" t="n"/>
      <c r="S582" s="287" t="n"/>
      <c r="T582" s="287" t="n"/>
      <c r="U582" s="287" t="n"/>
      <c r="V582" s="287" t="n"/>
      <c r="W582" s="287" t="n"/>
      <c r="X582" s="287" t="n"/>
      <c r="Y582" s="287" t="n"/>
      <c r="Z582" s="287" t="n"/>
      <c r="AA582" s="287" t="n"/>
      <c r="AB582" s="287" t="n"/>
      <c r="AC582" s="287" t="n"/>
      <c r="AD582" s="287" t="n"/>
      <c r="AE582" s="287" t="n"/>
      <c r="AF582" s="287" t="n"/>
      <c r="AG582" s="287" t="n"/>
      <c r="AH582" s="287" t="n"/>
      <c r="AI582" s="287" t="n"/>
      <c r="AJ582" s="287" t="n"/>
      <c r="AK582" s="287" t="n"/>
      <c r="AL582" s="287" t="n"/>
      <c r="AM582" s="287" t="n"/>
      <c r="AN582" s="287" t="n"/>
      <c r="AO582" s="287" t="n"/>
      <c r="AP582" s="287" t="n"/>
      <c r="AQ582" s="287" t="n"/>
      <c r="AR582" s="287" t="n"/>
      <c r="AS582" s="287" t="n"/>
      <c r="AT582" s="287" t="n"/>
      <c r="AU582" s="287" t="n"/>
      <c r="AV582" s="287" t="n"/>
      <c r="AW582" s="287" t="n"/>
      <c r="AX582" s="287" t="n"/>
      <c r="AY582" s="287" t="n"/>
      <c r="AZ582" s="287" t="n"/>
      <c r="BA582" s="287" t="n"/>
      <c r="BB582" s="287" t="n"/>
      <c r="BC582" s="287" t="n"/>
      <c r="BD582" s="287" t="n"/>
      <c r="BE582" s="287" t="n"/>
      <c r="BF582" s="287" t="n"/>
      <c r="BG582" s="287" t="n"/>
      <c r="BH582" s="287" t="n"/>
    </row>
    <row r="583" ht="18.75" customHeight="1">
      <c r="B583" s="288" t="n">
        <v>45568</v>
      </c>
      <c r="C583" s="289" t="n">
        <v>58</v>
      </c>
      <c r="D583" s="290" t="inlineStr">
        <is>
          <t>Gaji fitri bulan september 2024</t>
        </is>
      </c>
      <c r="E583" s="291" t="inlineStr">
        <is>
          <t>BRI</t>
        </is>
      </c>
      <c r="F583" s="292" t="n">
        <v>3000000</v>
      </c>
      <c r="G583" s="289" t="inlineStr">
        <is>
          <t>IDR</t>
        </is>
      </c>
      <c r="H583" s="293" t="n">
        <v>1</v>
      </c>
      <c r="I583" s="291" t="n"/>
      <c r="J583" s="291" t="n"/>
      <c r="K583" s="291" t="n"/>
      <c r="L583" s="292">
        <f>$F583*$H583</f>
        <v/>
      </c>
      <c r="M583" s="291" t="n"/>
      <c r="N583" s="291" t="n"/>
      <c r="O583" s="291" t="n"/>
      <c r="P583" s="291" t="n"/>
      <c r="Q583" s="291" t="n"/>
      <c r="R583" s="287" t="n"/>
      <c r="S583" s="287" t="n"/>
      <c r="T583" s="287" t="n"/>
      <c r="U583" s="287" t="n"/>
      <c r="V583" s="287" t="n"/>
      <c r="W583" s="287" t="n"/>
      <c r="X583" s="287" t="n"/>
      <c r="Y583" s="287" t="n"/>
      <c r="Z583" s="287" t="n"/>
      <c r="AA583" s="287" t="n"/>
      <c r="AB583" s="287" t="n"/>
      <c r="AC583" s="287" t="n"/>
      <c r="AD583" s="287" t="n"/>
      <c r="AE583" s="287" t="n"/>
      <c r="AF583" s="287" t="n"/>
      <c r="AG583" s="287" t="n"/>
      <c r="AH583" s="287" t="n"/>
      <c r="AI583" s="287" t="n"/>
      <c r="AJ583" s="287" t="n"/>
      <c r="AK583" s="287" t="n"/>
      <c r="AL583" s="287" t="n"/>
      <c r="AM583" s="287" t="n"/>
      <c r="AN583" s="287" t="n"/>
      <c r="AO583" s="287" t="n"/>
      <c r="AP583" s="287" t="n"/>
      <c r="AQ583" s="287" t="n"/>
      <c r="AR583" s="287" t="n"/>
      <c r="AS583" s="287" t="n"/>
      <c r="AT583" s="287" t="n"/>
      <c r="AU583" s="287" t="n"/>
      <c r="AV583" s="287" t="n"/>
      <c r="AW583" s="287" t="n"/>
      <c r="AX583" s="287" t="n"/>
      <c r="AY583" s="287" t="n"/>
      <c r="AZ583" s="287" t="n"/>
      <c r="BA583" s="287" t="n"/>
      <c r="BB583" s="287" t="n"/>
      <c r="BC583" s="287" t="n"/>
      <c r="BD583" s="287" t="n"/>
      <c r="BE583" s="287" t="n"/>
      <c r="BF583" s="287" t="n"/>
      <c r="BG583" s="287" t="n"/>
      <c r="BH583" s="287" t="n"/>
    </row>
    <row r="584" ht="18.75" customHeight="1">
      <c r="B584" s="288" t="n">
        <v>45568</v>
      </c>
      <c r="C584" s="289" t="n">
        <v>59</v>
      </c>
      <c r="D584" s="290" t="inlineStr">
        <is>
          <t>Gaji fitri bulan september 2024</t>
        </is>
      </c>
      <c r="E584" s="291" t="inlineStr">
        <is>
          <t>BRI</t>
        </is>
      </c>
      <c r="F584" s="295" t="n">
        <v>3000000</v>
      </c>
      <c r="G584" s="289" t="inlineStr">
        <is>
          <t>IDR</t>
        </is>
      </c>
      <c r="H584" s="293" t="n">
        <v>1</v>
      </c>
      <c r="I584" s="291" t="n"/>
      <c r="J584" s="291" t="n"/>
      <c r="K584" s="291" t="n"/>
      <c r="L584" s="292">
        <f>$F584*$H584</f>
        <v/>
      </c>
      <c r="M584" s="291" t="n"/>
      <c r="N584" s="291" t="n"/>
      <c r="O584" s="291" t="n"/>
      <c r="P584" s="291" t="n"/>
      <c r="Q584" s="291" t="n"/>
      <c r="R584" s="287" t="n"/>
      <c r="S584" s="287" t="n"/>
      <c r="T584" s="287" t="n"/>
      <c r="U584" s="287" t="n"/>
      <c r="V584" s="287" t="n"/>
      <c r="W584" s="287" t="n"/>
      <c r="X584" s="287" t="n"/>
      <c r="Y584" s="287" t="n"/>
      <c r="Z584" s="287" t="n"/>
      <c r="AA584" s="287" t="n"/>
      <c r="AB584" s="287" t="n"/>
      <c r="AC584" s="287" t="n"/>
      <c r="AD584" s="287" t="n"/>
      <c r="AE584" s="287" t="n"/>
      <c r="AF584" s="287" t="n"/>
      <c r="AG584" s="287" t="n"/>
      <c r="AH584" s="287" t="n"/>
      <c r="AI584" s="287" t="n"/>
      <c r="AJ584" s="287" t="n"/>
      <c r="AK584" s="287" t="n"/>
      <c r="AL584" s="287" t="n"/>
      <c r="AM584" s="287" t="n"/>
      <c r="AN584" s="287" t="n"/>
      <c r="AO584" s="287" t="n"/>
      <c r="AP584" s="287" t="n"/>
      <c r="AQ584" s="287" t="n"/>
      <c r="AR584" s="287" t="n"/>
      <c r="AS584" s="287" t="n"/>
      <c r="AT584" s="287" t="n"/>
      <c r="AU584" s="287" t="n"/>
      <c r="AV584" s="287" t="n"/>
      <c r="AW584" s="287" t="n"/>
      <c r="AX584" s="287" t="n"/>
      <c r="AY584" s="287" t="n"/>
      <c r="AZ584" s="287" t="n"/>
      <c r="BA584" s="287" t="n"/>
      <c r="BB584" s="287" t="n"/>
      <c r="BC584" s="287" t="n"/>
      <c r="BD584" s="287" t="n"/>
      <c r="BE584" s="287" t="n"/>
      <c r="BF584" s="287" t="n"/>
      <c r="BG584" s="287" t="n"/>
      <c r="BH584" s="287" t="n"/>
    </row>
    <row r="585" ht="18.75" customHeight="1">
      <c r="B585" s="288" t="n">
        <v>45568</v>
      </c>
      <c r="C585" s="289" t="n">
        <v>60</v>
      </c>
      <c r="D585" s="290" t="inlineStr">
        <is>
          <t>Gaji fitri bulan september 2024</t>
        </is>
      </c>
      <c r="E585" s="291" t="inlineStr">
        <is>
          <t>BRI</t>
        </is>
      </c>
      <c r="F585" s="295" t="n">
        <v>3000000</v>
      </c>
      <c r="G585" s="289" t="inlineStr">
        <is>
          <t>IDR</t>
        </is>
      </c>
      <c r="H585" s="293" t="n">
        <v>1</v>
      </c>
      <c r="I585" s="291" t="n"/>
      <c r="J585" s="291" t="n"/>
      <c r="K585" s="291" t="n"/>
      <c r="L585" s="292">
        <f>$F585*$H585</f>
        <v/>
      </c>
      <c r="M585" s="291" t="n"/>
      <c r="N585" s="291" t="n"/>
      <c r="O585" s="291" t="n"/>
      <c r="P585" s="291" t="n"/>
      <c r="Q585" s="291" t="n"/>
      <c r="R585" s="287" t="n"/>
      <c r="S585" s="287" t="n"/>
      <c r="T585" s="287" t="n"/>
      <c r="U585" s="287" t="n"/>
      <c r="V585" s="287" t="n"/>
      <c r="W585" s="287" t="n"/>
      <c r="X585" s="287" t="n"/>
      <c r="Y585" s="287" t="n"/>
      <c r="Z585" s="287" t="n"/>
      <c r="AA585" s="287" t="n"/>
      <c r="AB585" s="287" t="n"/>
      <c r="AC585" s="287" t="n"/>
      <c r="AD585" s="287" t="n"/>
      <c r="AE585" s="287" t="n"/>
      <c r="AF585" s="287" t="n"/>
      <c r="AG585" s="287" t="n"/>
      <c r="AH585" s="287" t="n"/>
      <c r="AI585" s="287" t="n"/>
      <c r="AJ585" s="287" t="n"/>
      <c r="AK585" s="287" t="n"/>
      <c r="AL585" s="287" t="n"/>
      <c r="AM585" s="287" t="n"/>
      <c r="AN585" s="287" t="n"/>
      <c r="AO585" s="287" t="n"/>
      <c r="AP585" s="287" t="n"/>
      <c r="AQ585" s="287" t="n"/>
      <c r="AR585" s="287" t="n"/>
      <c r="AS585" s="287" t="n"/>
      <c r="AT585" s="287" t="n"/>
      <c r="AU585" s="287" t="n"/>
      <c r="AV585" s="287" t="n"/>
      <c r="AW585" s="287" t="n"/>
      <c r="AX585" s="287" t="n"/>
      <c r="AY585" s="287" t="n"/>
      <c r="AZ585" s="287" t="n"/>
      <c r="BA585" s="287" t="n"/>
      <c r="BB585" s="287" t="n"/>
      <c r="BC585" s="287" t="n"/>
      <c r="BD585" s="287" t="n"/>
      <c r="BE585" s="287" t="n"/>
      <c r="BF585" s="287" t="n"/>
      <c r="BG585" s="287" t="n"/>
      <c r="BH585" s="287" t="n"/>
    </row>
    <row r="586" ht="18.75" customHeight="1">
      <c r="B586" s="288" t="n">
        <v>45568</v>
      </c>
      <c r="C586" s="289" t="n">
        <v>61</v>
      </c>
      <c r="D586" s="290" t="inlineStr">
        <is>
          <t>Gaji fitri bulan October 2024</t>
        </is>
      </c>
      <c r="E586" s="291" t="inlineStr">
        <is>
          <t>BRI</t>
        </is>
      </c>
      <c r="F586" s="295" t="n">
        <v>3000000</v>
      </c>
      <c r="G586" s="289" t="inlineStr">
        <is>
          <t>IDR</t>
        </is>
      </c>
      <c r="H586" s="293" t="n">
        <v>1</v>
      </c>
      <c r="I586" s="291" t="n"/>
      <c r="J586" s="291" t="n"/>
      <c r="K586" s="291" t="n"/>
      <c r="L586" s="292">
        <f>$F586*$H586</f>
        <v/>
      </c>
      <c r="M586" s="291" t="n"/>
      <c r="N586" s="291" t="n"/>
      <c r="O586" s="291" t="n"/>
      <c r="P586" s="291" t="n"/>
      <c r="Q586" s="291" t="n"/>
      <c r="R586" s="287" t="n"/>
      <c r="S586" s="287" t="n"/>
      <c r="T586" s="287" t="n"/>
      <c r="U586" s="287" t="n"/>
      <c r="V586" s="287" t="n"/>
      <c r="W586" s="287" t="n"/>
      <c r="X586" s="287" t="n"/>
      <c r="Y586" s="287" t="n"/>
      <c r="Z586" s="287" t="n"/>
      <c r="AA586" s="287" t="n"/>
      <c r="AB586" s="287" t="n"/>
      <c r="AC586" s="287" t="n"/>
      <c r="AD586" s="287" t="n"/>
      <c r="AE586" s="287" t="n"/>
      <c r="AF586" s="287" t="n"/>
      <c r="AG586" s="287" t="n"/>
      <c r="AH586" s="287" t="n"/>
      <c r="AI586" s="287" t="n"/>
      <c r="AJ586" s="287" t="n"/>
      <c r="AK586" s="287" t="n"/>
      <c r="AL586" s="287" t="n"/>
      <c r="AM586" s="287" t="n"/>
      <c r="AN586" s="287" t="n"/>
      <c r="AO586" s="287" t="n"/>
      <c r="AP586" s="287" t="n"/>
      <c r="AQ586" s="287" t="n"/>
      <c r="AR586" s="287" t="n"/>
      <c r="AS586" s="287" t="n"/>
      <c r="AT586" s="287" t="n"/>
      <c r="AU586" s="287" t="n"/>
      <c r="AV586" s="287" t="n"/>
      <c r="AW586" s="287" t="n"/>
      <c r="AX586" s="287" t="n"/>
      <c r="AY586" s="287" t="n"/>
      <c r="AZ586" s="287" t="n"/>
      <c r="BA586" s="287" t="n"/>
      <c r="BB586" s="287" t="n"/>
      <c r="BC586" s="287" t="n"/>
      <c r="BD586" s="287" t="n"/>
      <c r="BE586" s="287" t="n"/>
      <c r="BF586" s="287" t="n"/>
      <c r="BG586" s="287" t="n"/>
      <c r="BH586" s="287" t="n"/>
    </row>
    <row r="587" ht="18.75" customHeight="1">
      <c r="B587" s="288" t="n">
        <v>45568</v>
      </c>
      <c r="C587" s="289" t="n">
        <v>62</v>
      </c>
      <c r="D587" s="290" t="inlineStr">
        <is>
          <t>Gaji fitri bulan October 2024</t>
        </is>
      </c>
      <c r="E587" s="291" t="inlineStr">
        <is>
          <t>BRI</t>
        </is>
      </c>
      <c r="F587" s="295" t="n">
        <v>3000000</v>
      </c>
      <c r="G587" s="289" t="inlineStr">
        <is>
          <t>IDR</t>
        </is>
      </c>
      <c r="H587" s="293" t="n">
        <v>1</v>
      </c>
      <c r="I587" s="291" t="n"/>
      <c r="J587" s="291" t="n"/>
      <c r="K587" s="291" t="n"/>
      <c r="L587" s="292">
        <f>$F587*$H587</f>
        <v/>
      </c>
      <c r="M587" s="291" t="n"/>
      <c r="N587" s="291" t="n"/>
      <c r="O587" s="291" t="n"/>
      <c r="P587" s="291" t="n"/>
      <c r="Q587" s="291" t="n"/>
      <c r="R587" s="287" t="n"/>
      <c r="S587" s="287" t="n"/>
      <c r="T587" s="287" t="n"/>
      <c r="U587" s="287" t="n"/>
      <c r="V587" s="287" t="n"/>
      <c r="W587" s="287" t="n"/>
      <c r="X587" s="287" t="n"/>
      <c r="Y587" s="287" t="n"/>
      <c r="Z587" s="287" t="n"/>
      <c r="AA587" s="287" t="n"/>
      <c r="AB587" s="287" t="n"/>
      <c r="AC587" s="287" t="n"/>
      <c r="AD587" s="287" t="n"/>
      <c r="AE587" s="287" t="n"/>
      <c r="AF587" s="287" t="n"/>
      <c r="AG587" s="287" t="n"/>
      <c r="AH587" s="287" t="n"/>
      <c r="AI587" s="287" t="n"/>
      <c r="AJ587" s="287" t="n"/>
      <c r="AK587" s="287" t="n"/>
      <c r="AL587" s="287" t="n"/>
      <c r="AM587" s="287" t="n"/>
      <c r="AN587" s="287" t="n"/>
      <c r="AO587" s="287" t="n"/>
      <c r="AP587" s="287" t="n"/>
      <c r="AQ587" s="287" t="n"/>
      <c r="AR587" s="287" t="n"/>
      <c r="AS587" s="287" t="n"/>
      <c r="AT587" s="287" t="n"/>
      <c r="AU587" s="287" t="n"/>
      <c r="AV587" s="287" t="n"/>
      <c r="AW587" s="287" t="n"/>
      <c r="AX587" s="287" t="n"/>
      <c r="AY587" s="287" t="n"/>
      <c r="AZ587" s="287" t="n"/>
      <c r="BA587" s="287" t="n"/>
      <c r="BB587" s="287" t="n"/>
      <c r="BC587" s="287" t="n"/>
      <c r="BD587" s="287" t="n"/>
      <c r="BE587" s="287" t="n"/>
      <c r="BF587" s="287" t="n"/>
      <c r="BG587" s="287" t="n"/>
      <c r="BH587" s="287" t="n"/>
    </row>
    <row r="588" ht="18.75" customHeight="1">
      <c r="B588" s="288" t="n">
        <v>45568</v>
      </c>
      <c r="C588" s="289" t="n">
        <v>63</v>
      </c>
      <c r="D588" s="290" t="inlineStr">
        <is>
          <t>Gaji fitri bulan October 2024</t>
        </is>
      </c>
      <c r="E588" s="291" t="inlineStr">
        <is>
          <t>BRI</t>
        </is>
      </c>
      <c r="F588" s="295" t="n">
        <v>3000000</v>
      </c>
      <c r="G588" s="289" t="inlineStr">
        <is>
          <t>IDR</t>
        </is>
      </c>
      <c r="H588" s="293" t="n">
        <v>1</v>
      </c>
      <c r="I588" s="291" t="n"/>
      <c r="J588" s="291" t="n"/>
      <c r="K588" s="291" t="n"/>
      <c r="L588" s="292">
        <f>$F588*$H588</f>
        <v/>
      </c>
      <c r="M588" s="291" t="n"/>
      <c r="N588" s="291" t="n"/>
      <c r="O588" s="291" t="n"/>
      <c r="P588" s="291" t="n"/>
      <c r="Q588" s="291" t="n"/>
      <c r="R588" s="287" t="n"/>
      <c r="S588" s="287" t="n"/>
      <c r="T588" s="287" t="n"/>
      <c r="U588" s="287" t="n"/>
      <c r="V588" s="287" t="n"/>
      <c r="W588" s="287" t="n"/>
      <c r="X588" s="287" t="n"/>
      <c r="Y588" s="287" t="n"/>
      <c r="Z588" s="287" t="n"/>
      <c r="AA588" s="287" t="n"/>
      <c r="AB588" s="287" t="n"/>
      <c r="AC588" s="287" t="n"/>
      <c r="AD588" s="287" t="n"/>
      <c r="AE588" s="287" t="n"/>
      <c r="AF588" s="287" t="n"/>
      <c r="AG588" s="287" t="n"/>
      <c r="AH588" s="287" t="n"/>
      <c r="AI588" s="287" t="n"/>
      <c r="AJ588" s="287" t="n"/>
      <c r="AK588" s="287" t="n"/>
      <c r="AL588" s="287" t="n"/>
      <c r="AM588" s="287" t="n"/>
      <c r="AN588" s="287" t="n"/>
      <c r="AO588" s="287" t="n"/>
      <c r="AP588" s="287" t="n"/>
      <c r="AQ588" s="287" t="n"/>
      <c r="AR588" s="287" t="n"/>
      <c r="AS588" s="287" t="n"/>
      <c r="AT588" s="287" t="n"/>
      <c r="AU588" s="287" t="n"/>
      <c r="AV588" s="287" t="n"/>
      <c r="AW588" s="287" t="n"/>
      <c r="AX588" s="287" t="n"/>
      <c r="AY588" s="287" t="n"/>
      <c r="AZ588" s="287" t="n"/>
      <c r="BA588" s="287" t="n"/>
      <c r="BB588" s="287" t="n"/>
      <c r="BC588" s="287" t="n"/>
      <c r="BD588" s="287" t="n"/>
      <c r="BE588" s="287" t="n"/>
      <c r="BF588" s="287" t="n"/>
      <c r="BG588" s="287" t="n"/>
      <c r="BH588" s="287" t="n"/>
    </row>
    <row r="589" ht="18.75" customHeight="1">
      <c r="B589" s="288" t="n">
        <v>45568</v>
      </c>
      <c r="C589" s="289" t="n">
        <v>64</v>
      </c>
      <c r="D589" s="290" t="inlineStr">
        <is>
          <t>Gaji fitri bulan October 2024</t>
        </is>
      </c>
      <c r="E589" s="291" t="inlineStr">
        <is>
          <t>BRI</t>
        </is>
      </c>
      <c r="F589" s="295" t="n">
        <v>3000000</v>
      </c>
      <c r="G589" s="289" t="inlineStr">
        <is>
          <t>IDR</t>
        </is>
      </c>
      <c r="H589" s="293" t="n">
        <v>1</v>
      </c>
      <c r="I589" s="291" t="n"/>
      <c r="J589" s="291" t="n"/>
      <c r="K589" s="291" t="n"/>
      <c r="L589" s="292">
        <f>$F589*$H589</f>
        <v/>
      </c>
      <c r="M589" s="291" t="n"/>
      <c r="N589" s="291" t="n"/>
      <c r="O589" s="291" t="n"/>
      <c r="P589" s="291" t="n"/>
      <c r="Q589" s="291" t="n"/>
      <c r="R589" s="287" t="n"/>
      <c r="S589" s="287" t="n"/>
      <c r="T589" s="287" t="n"/>
      <c r="U589" s="287" t="n"/>
      <c r="V589" s="287" t="n"/>
      <c r="W589" s="287" t="n"/>
      <c r="X589" s="287" t="n"/>
      <c r="Y589" s="287" t="n"/>
      <c r="Z589" s="287" t="n"/>
      <c r="AA589" s="287" t="n"/>
      <c r="AB589" s="287" t="n"/>
      <c r="AC589" s="287" t="n"/>
      <c r="AD589" s="287" t="n"/>
      <c r="AE589" s="287" t="n"/>
      <c r="AF589" s="287" t="n"/>
      <c r="AG589" s="287" t="n"/>
      <c r="AH589" s="287" t="n"/>
      <c r="AI589" s="287" t="n"/>
      <c r="AJ589" s="287" t="n"/>
      <c r="AK589" s="287" t="n"/>
      <c r="AL589" s="287" t="n"/>
      <c r="AM589" s="287" t="n"/>
      <c r="AN589" s="287" t="n"/>
      <c r="AO589" s="287" t="n"/>
      <c r="AP589" s="287" t="n"/>
      <c r="AQ589" s="287" t="n"/>
      <c r="AR589" s="287" t="n"/>
      <c r="AS589" s="287" t="n"/>
      <c r="AT589" s="287" t="n"/>
      <c r="AU589" s="287" t="n"/>
      <c r="AV589" s="287" t="n"/>
      <c r="AW589" s="287" t="n"/>
      <c r="AX589" s="287" t="n"/>
      <c r="AY589" s="287" t="n"/>
      <c r="AZ589" s="287" t="n"/>
      <c r="BA589" s="287" t="n"/>
      <c r="BB589" s="287" t="n"/>
      <c r="BC589" s="287" t="n"/>
      <c r="BD589" s="287" t="n"/>
      <c r="BE589" s="287" t="n"/>
      <c r="BF589" s="287" t="n"/>
      <c r="BG589" s="287" t="n"/>
      <c r="BH589" s="287" t="n"/>
    </row>
    <row r="590" ht="18.75" customHeight="1">
      <c r="B590" s="288" t="n">
        <v>45625</v>
      </c>
      <c r="C590" s="289" t="n">
        <v>65</v>
      </c>
      <c r="D590" s="290" t="inlineStr">
        <is>
          <t>Gaji fitri bulan November 2024</t>
        </is>
      </c>
      <c r="E590" s="291" t="inlineStr">
        <is>
          <t>BRI</t>
        </is>
      </c>
      <c r="F590" s="295" t="n">
        <v>3000000</v>
      </c>
      <c r="G590" s="289" t="inlineStr">
        <is>
          <t>IDR</t>
        </is>
      </c>
      <c r="H590" s="293" t="n">
        <v>1</v>
      </c>
      <c r="I590" s="291" t="n"/>
      <c r="J590" s="291" t="n"/>
      <c r="K590" s="291" t="n"/>
      <c r="L590" s="292">
        <f>$F590*$H590</f>
        <v/>
      </c>
      <c r="M590" s="291" t="n"/>
      <c r="N590" s="291" t="n"/>
      <c r="O590" s="291" t="n"/>
      <c r="P590" s="291" t="n"/>
      <c r="Q590" s="291" t="n"/>
      <c r="R590" s="287" t="n"/>
      <c r="S590" s="287" t="n"/>
      <c r="T590" s="287" t="n"/>
      <c r="U590" s="287" t="n"/>
      <c r="V590" s="287" t="n"/>
      <c r="W590" s="287" t="n"/>
      <c r="X590" s="287" t="n"/>
      <c r="Y590" s="287" t="n"/>
      <c r="Z590" s="287" t="n"/>
      <c r="AA590" s="287" t="n"/>
      <c r="AB590" s="287" t="n"/>
      <c r="AC590" s="287" t="n"/>
      <c r="AD590" s="287" t="n"/>
      <c r="AE590" s="287" t="n"/>
      <c r="AF590" s="287" t="n"/>
      <c r="AG590" s="287" t="n"/>
      <c r="AH590" s="287" t="n"/>
      <c r="AI590" s="287" t="n"/>
      <c r="AJ590" s="287" t="n"/>
      <c r="AK590" s="287" t="n"/>
      <c r="AL590" s="287" t="n"/>
      <c r="AM590" s="287" t="n"/>
      <c r="AN590" s="287" t="n"/>
      <c r="AO590" s="287" t="n"/>
      <c r="AP590" s="287" t="n"/>
      <c r="AQ590" s="287" t="n"/>
      <c r="AR590" s="287" t="n"/>
      <c r="AS590" s="287" t="n"/>
      <c r="AT590" s="287" t="n"/>
      <c r="AU590" s="287" t="n"/>
      <c r="AV590" s="287" t="n"/>
      <c r="AW590" s="287" t="n"/>
      <c r="AX590" s="287" t="n"/>
      <c r="AY590" s="287" t="n"/>
      <c r="AZ590" s="287" t="n"/>
      <c r="BA590" s="287" t="n"/>
      <c r="BB590" s="287" t="n"/>
      <c r="BC590" s="287" t="n"/>
      <c r="BD590" s="287" t="n"/>
      <c r="BE590" s="287" t="n"/>
      <c r="BF590" s="287" t="n"/>
      <c r="BG590" s="287" t="n"/>
      <c r="BH590" s="287" t="n"/>
    </row>
    <row r="591" ht="18.75" customHeight="1">
      <c r="B591" s="288" t="n">
        <v>45625</v>
      </c>
      <c r="C591" s="289" t="n">
        <v>66</v>
      </c>
      <c r="D591" s="290" t="inlineStr">
        <is>
          <t>Gaji fitri bulan November 2024</t>
        </is>
      </c>
      <c r="E591" s="291" t="inlineStr">
        <is>
          <t>BRI</t>
        </is>
      </c>
      <c r="F591" s="295" t="n">
        <v>3000000</v>
      </c>
      <c r="G591" s="289" t="inlineStr">
        <is>
          <t>IDR</t>
        </is>
      </c>
      <c r="H591" s="293" t="n">
        <v>1</v>
      </c>
      <c r="I591" s="291" t="n"/>
      <c r="J591" s="291" t="n"/>
      <c r="K591" s="291" t="n"/>
      <c r="L591" s="292">
        <f>$F591*$H591</f>
        <v/>
      </c>
      <c r="M591" s="291" t="n"/>
      <c r="N591" s="291" t="n"/>
      <c r="O591" s="291" t="n"/>
      <c r="P591" s="291" t="n"/>
      <c r="Q591" s="291" t="n"/>
      <c r="R591" s="287" t="n"/>
      <c r="S591" s="287" t="n"/>
      <c r="T591" s="287" t="n"/>
      <c r="U591" s="287" t="n"/>
      <c r="V591" s="287" t="n"/>
      <c r="W591" s="287" t="n"/>
      <c r="X591" s="287" t="n"/>
      <c r="Y591" s="287" t="n"/>
      <c r="Z591" s="287" t="n"/>
      <c r="AA591" s="287" t="n"/>
      <c r="AB591" s="287" t="n"/>
      <c r="AC591" s="287" t="n"/>
      <c r="AD591" s="287" t="n"/>
      <c r="AE591" s="287" t="n"/>
      <c r="AF591" s="287" t="n"/>
      <c r="AG591" s="287" t="n"/>
      <c r="AH591" s="287" t="n"/>
      <c r="AI591" s="287" t="n"/>
      <c r="AJ591" s="287" t="n"/>
      <c r="AK591" s="287" t="n"/>
      <c r="AL591" s="287" t="n"/>
      <c r="AM591" s="287" t="n"/>
      <c r="AN591" s="287" t="n"/>
      <c r="AO591" s="287" t="n"/>
      <c r="AP591" s="287" t="n"/>
      <c r="AQ591" s="287" t="n"/>
      <c r="AR591" s="287" t="n"/>
      <c r="AS591" s="287" t="n"/>
      <c r="AT591" s="287" t="n"/>
      <c r="AU591" s="287" t="n"/>
      <c r="AV591" s="287" t="n"/>
      <c r="AW591" s="287" t="n"/>
      <c r="AX591" s="287" t="n"/>
      <c r="AY591" s="287" t="n"/>
      <c r="AZ591" s="287" t="n"/>
      <c r="BA591" s="287" t="n"/>
      <c r="BB591" s="287" t="n"/>
      <c r="BC591" s="287" t="n"/>
      <c r="BD591" s="287" t="n"/>
      <c r="BE591" s="287" t="n"/>
      <c r="BF591" s="287" t="n"/>
      <c r="BG591" s="287" t="n"/>
      <c r="BH591" s="287" t="n"/>
    </row>
    <row r="592" ht="18.75" customHeight="1">
      <c r="B592" s="288" t="n">
        <v>45625</v>
      </c>
      <c r="C592" s="289" t="n">
        <v>67</v>
      </c>
      <c r="D592" s="290" t="inlineStr">
        <is>
          <t>Gaji fitri bulan November 2024</t>
        </is>
      </c>
      <c r="E592" s="291" t="inlineStr">
        <is>
          <t>BRI</t>
        </is>
      </c>
      <c r="F592" s="295" t="n">
        <v>3000000</v>
      </c>
      <c r="G592" s="289" t="inlineStr">
        <is>
          <t>IDR</t>
        </is>
      </c>
      <c r="H592" s="293" t="n">
        <v>1</v>
      </c>
      <c r="I592" s="291" t="n"/>
      <c r="J592" s="291" t="n"/>
      <c r="K592" s="291" t="n"/>
      <c r="L592" s="292">
        <f>$F592*$H592</f>
        <v/>
      </c>
      <c r="M592" s="291" t="n"/>
      <c r="N592" s="291" t="n"/>
      <c r="O592" s="291" t="n"/>
      <c r="P592" s="291" t="n"/>
      <c r="Q592" s="291" t="n"/>
      <c r="R592" s="287" t="n"/>
      <c r="S592" s="287" t="n"/>
      <c r="T592" s="287" t="n"/>
      <c r="U592" s="287" t="n"/>
      <c r="V592" s="287" t="n"/>
      <c r="W592" s="287" t="n"/>
      <c r="X592" s="287" t="n"/>
      <c r="Y592" s="287" t="n"/>
      <c r="Z592" s="287" t="n"/>
      <c r="AA592" s="287" t="n"/>
      <c r="AB592" s="287" t="n"/>
      <c r="AC592" s="287" t="n"/>
      <c r="AD592" s="287" t="n"/>
      <c r="AE592" s="287" t="n"/>
      <c r="AF592" s="287" t="n"/>
      <c r="AG592" s="287" t="n"/>
      <c r="AH592" s="287" t="n"/>
      <c r="AI592" s="287" t="n"/>
      <c r="AJ592" s="287" t="n"/>
      <c r="AK592" s="287" t="n"/>
      <c r="AL592" s="287" t="n"/>
      <c r="AM592" s="287" t="n"/>
      <c r="AN592" s="287" t="n"/>
      <c r="AO592" s="287" t="n"/>
      <c r="AP592" s="287" t="n"/>
      <c r="AQ592" s="287" t="n"/>
      <c r="AR592" s="287" t="n"/>
      <c r="AS592" s="287" t="n"/>
      <c r="AT592" s="287" t="n"/>
      <c r="AU592" s="287" t="n"/>
      <c r="AV592" s="287" t="n"/>
      <c r="AW592" s="287" t="n"/>
      <c r="AX592" s="287" t="n"/>
      <c r="AY592" s="287" t="n"/>
      <c r="AZ592" s="287" t="n"/>
      <c r="BA592" s="287" t="n"/>
      <c r="BB592" s="287" t="n"/>
      <c r="BC592" s="287" t="n"/>
      <c r="BD592" s="287" t="n"/>
      <c r="BE592" s="287" t="n"/>
      <c r="BF592" s="287" t="n"/>
      <c r="BG592" s="287" t="n"/>
      <c r="BH592" s="287" t="n"/>
    </row>
    <row r="593" ht="18.75" customHeight="1">
      <c r="B593" s="288" t="n">
        <v>45625</v>
      </c>
      <c r="C593" s="289" t="n">
        <v>68</v>
      </c>
      <c r="D593" s="290" t="inlineStr">
        <is>
          <t>Gaji fitri bulan November 2024</t>
        </is>
      </c>
      <c r="E593" s="291" t="inlineStr">
        <is>
          <t>BRI</t>
        </is>
      </c>
      <c r="F593" s="295" t="n">
        <v>3000000</v>
      </c>
      <c r="G593" s="289" t="inlineStr">
        <is>
          <t>IDR</t>
        </is>
      </c>
      <c r="H593" s="293" t="n">
        <v>1</v>
      </c>
      <c r="I593" s="291" t="n"/>
      <c r="J593" s="291" t="n"/>
      <c r="K593" s="291" t="n"/>
      <c r="L593" s="292">
        <f>$F593*$H593</f>
        <v/>
      </c>
      <c r="M593" s="291" t="n"/>
      <c r="N593" s="291" t="n"/>
      <c r="O593" s="291" t="n"/>
      <c r="P593" s="291" t="n"/>
      <c r="Q593" s="291" t="n"/>
      <c r="R593" s="287" t="n"/>
      <c r="S593" s="287" t="n"/>
      <c r="T593" s="287" t="n"/>
      <c r="U593" s="287" t="n"/>
      <c r="V593" s="287" t="n"/>
      <c r="W593" s="287" t="n"/>
      <c r="X593" s="287" t="n"/>
      <c r="Y593" s="287" t="n"/>
      <c r="Z593" s="287" t="n"/>
      <c r="AA593" s="287" t="n"/>
      <c r="AB593" s="287" t="n"/>
      <c r="AC593" s="287" t="n"/>
      <c r="AD593" s="287" t="n"/>
      <c r="AE593" s="287" t="n"/>
      <c r="AF593" s="287" t="n"/>
      <c r="AG593" s="287" t="n"/>
      <c r="AH593" s="287" t="n"/>
      <c r="AI593" s="287" t="n"/>
      <c r="AJ593" s="287" t="n"/>
      <c r="AK593" s="287" t="n"/>
      <c r="AL593" s="287" t="n"/>
      <c r="AM593" s="287" t="n"/>
      <c r="AN593" s="287" t="n"/>
      <c r="AO593" s="287" t="n"/>
      <c r="AP593" s="287" t="n"/>
      <c r="AQ593" s="287" t="n"/>
      <c r="AR593" s="287" t="n"/>
      <c r="AS593" s="287" t="n"/>
      <c r="AT593" s="287" t="n"/>
      <c r="AU593" s="287" t="n"/>
      <c r="AV593" s="287" t="n"/>
      <c r="AW593" s="287" t="n"/>
      <c r="AX593" s="287" t="n"/>
      <c r="AY593" s="287" t="n"/>
      <c r="AZ593" s="287" t="n"/>
      <c r="BA593" s="287" t="n"/>
      <c r="BB593" s="287" t="n"/>
      <c r="BC593" s="287" t="n"/>
      <c r="BD593" s="287" t="n"/>
      <c r="BE593" s="287" t="n"/>
      <c r="BF593" s="287" t="n"/>
      <c r="BG593" s="287" t="n"/>
      <c r="BH593" s="287" t="n"/>
    </row>
    <row r="594" ht="34.5" customHeight="1">
      <c r="B594" s="288" t="n">
        <v>45651</v>
      </c>
      <c r="C594" s="289" t="n">
        <v>69</v>
      </c>
      <c r="D594" s="290" t="inlineStr">
        <is>
          <t>Gaji Desember 2024 + Bomnus akhir tahun - 4 bulan_Yufitri</t>
        </is>
      </c>
      <c r="E594" s="291" t="inlineStr">
        <is>
          <t>BCA</t>
        </is>
      </c>
      <c r="F594" s="295" t="n">
        <v>15000000</v>
      </c>
      <c r="G594" s="289" t="inlineStr">
        <is>
          <t>IDR</t>
        </is>
      </c>
      <c r="H594" s="293" t="n">
        <v>1</v>
      </c>
      <c r="I594" s="291" t="n"/>
      <c r="J594" s="291" t="n"/>
      <c r="K594" s="291" t="n"/>
      <c r="L594" s="292">
        <f>$F594*$H594</f>
        <v/>
      </c>
      <c r="M594" s="291" t="n"/>
      <c r="N594" s="291" t="n"/>
      <c r="O594" s="291" t="n"/>
      <c r="P594" s="291" t="n"/>
      <c r="Q594" s="291" t="n"/>
      <c r="R594" s="287" t="n"/>
      <c r="S594" s="287" t="n"/>
      <c r="T594" s="287" t="n"/>
      <c r="U594" s="287" t="n"/>
      <c r="V594" s="287" t="n"/>
      <c r="W594" s="287" t="n"/>
      <c r="X594" s="287" t="n"/>
      <c r="Y594" s="287" t="n"/>
      <c r="Z594" s="287" t="n"/>
      <c r="AA594" s="287" t="n"/>
      <c r="AB594" s="287" t="n"/>
      <c r="AC594" s="287" t="n"/>
      <c r="AD594" s="287" t="n"/>
      <c r="AE594" s="287" t="n"/>
      <c r="AF594" s="287" t="n"/>
      <c r="AG594" s="287" t="n"/>
      <c r="AH594" s="287" t="n"/>
      <c r="AI594" s="287" t="n"/>
      <c r="AJ594" s="287" t="n"/>
      <c r="AK594" s="287" t="n"/>
      <c r="AL594" s="287" t="n"/>
      <c r="AM594" s="287" t="n"/>
      <c r="AN594" s="287" t="n"/>
      <c r="AO594" s="287" t="n"/>
      <c r="AP594" s="287" t="n"/>
      <c r="AQ594" s="287" t="n"/>
      <c r="AR594" s="287" t="n"/>
      <c r="AS594" s="287" t="n"/>
      <c r="AT594" s="287" t="n"/>
      <c r="AU594" s="287" t="n"/>
      <c r="AV594" s="287" t="n"/>
      <c r="AW594" s="287" t="n"/>
      <c r="AX594" s="287" t="n"/>
      <c r="AY594" s="287" t="n"/>
      <c r="AZ594" s="287" t="n"/>
      <c r="BA594" s="287" t="n"/>
      <c r="BB594" s="287" t="n"/>
      <c r="BC594" s="287" t="n"/>
      <c r="BD594" s="287" t="n"/>
      <c r="BE594" s="287" t="n"/>
      <c r="BF594" s="287" t="n"/>
      <c r="BG594" s="287" t="n"/>
      <c r="BH594" s="287" t="n"/>
    </row>
    <row r="595" ht="34.5" customHeight="1">
      <c r="B595" s="288" t="n">
        <v>45651</v>
      </c>
      <c r="C595" s="289" t="n">
        <v>70</v>
      </c>
      <c r="D595" s="290" t="inlineStr">
        <is>
          <t>Gaji Desember 2024 + Bomnus akhir tahun - 4 bulan_Yufitri</t>
        </is>
      </c>
      <c r="E595" s="291" t="inlineStr">
        <is>
          <t>BCA</t>
        </is>
      </c>
      <c r="F595" s="295" t="n">
        <v>15000000</v>
      </c>
      <c r="G595" s="289" t="inlineStr">
        <is>
          <t>IDR</t>
        </is>
      </c>
      <c r="H595" s="293" t="n">
        <v>1</v>
      </c>
      <c r="I595" s="291" t="n"/>
      <c r="J595" s="291" t="n"/>
      <c r="K595" s="291" t="n"/>
      <c r="L595" s="292">
        <f>$F595*$H595</f>
        <v/>
      </c>
      <c r="M595" s="291" t="n"/>
      <c r="N595" s="291" t="n"/>
      <c r="O595" s="291" t="n"/>
      <c r="P595" s="291" t="n"/>
      <c r="Q595" s="291" t="n"/>
      <c r="R595" s="287" t="n"/>
      <c r="S595" s="287" t="n"/>
      <c r="T595" s="287" t="n"/>
      <c r="U595" s="287" t="n"/>
      <c r="V595" s="287" t="n"/>
      <c r="W595" s="287" t="n"/>
      <c r="X595" s="287" t="n"/>
      <c r="Y595" s="287" t="n"/>
      <c r="Z595" s="287" t="n"/>
      <c r="AA595" s="287" t="n"/>
      <c r="AB595" s="287" t="n"/>
      <c r="AC595" s="287" t="n"/>
      <c r="AD595" s="287" t="n"/>
      <c r="AE595" s="287" t="n"/>
      <c r="AF595" s="287" t="n"/>
      <c r="AG595" s="287" t="n"/>
      <c r="AH595" s="287" t="n"/>
      <c r="AI595" s="287" t="n"/>
      <c r="AJ595" s="287" t="n"/>
      <c r="AK595" s="287" t="n"/>
      <c r="AL595" s="287" t="n"/>
      <c r="AM595" s="287" t="n"/>
      <c r="AN595" s="287" t="n"/>
      <c r="AO595" s="287" t="n"/>
      <c r="AP595" s="287" t="n"/>
      <c r="AQ595" s="287" t="n"/>
      <c r="AR595" s="287" t="n"/>
      <c r="AS595" s="287" t="n"/>
      <c r="AT595" s="287" t="n"/>
      <c r="AU595" s="287" t="n"/>
      <c r="AV595" s="287" t="n"/>
      <c r="AW595" s="287" t="n"/>
      <c r="AX595" s="287" t="n"/>
      <c r="AY595" s="287" t="n"/>
      <c r="AZ595" s="287" t="n"/>
      <c r="BA595" s="287" t="n"/>
      <c r="BB595" s="287" t="n"/>
      <c r="BC595" s="287" t="n"/>
      <c r="BD595" s="287" t="n"/>
      <c r="BE595" s="287" t="n"/>
      <c r="BF595" s="287" t="n"/>
      <c r="BG595" s="287" t="n"/>
      <c r="BH595" s="287" t="n"/>
    </row>
    <row r="596" ht="34.5" customHeight="1">
      <c r="B596" s="288" t="n">
        <v>45651</v>
      </c>
      <c r="C596" s="289" t="n">
        <v>71</v>
      </c>
      <c r="D596" s="290" t="inlineStr">
        <is>
          <t>Gaji Desember 2024 + Bomnus akhir tahun - 4 bulan_Yufitri</t>
        </is>
      </c>
      <c r="E596" s="291" t="inlineStr">
        <is>
          <t>BCA</t>
        </is>
      </c>
      <c r="F596" s="295" t="n">
        <v>15000000</v>
      </c>
      <c r="G596" s="289" t="inlineStr">
        <is>
          <t>IDR</t>
        </is>
      </c>
      <c r="H596" s="293" t="n">
        <v>1</v>
      </c>
      <c r="I596" s="291" t="n"/>
      <c r="J596" s="291" t="n"/>
      <c r="K596" s="291" t="n"/>
      <c r="L596" s="292">
        <f>$F596*$H596</f>
        <v/>
      </c>
      <c r="M596" s="291" t="n"/>
      <c r="N596" s="291" t="n"/>
      <c r="O596" s="291" t="n"/>
      <c r="P596" s="291" t="n"/>
      <c r="Q596" s="291" t="n"/>
      <c r="R596" s="287" t="n"/>
      <c r="S596" s="287" t="n"/>
      <c r="T596" s="287" t="n"/>
      <c r="U596" s="287" t="n"/>
      <c r="V596" s="287" t="n"/>
      <c r="W596" s="287" t="n"/>
      <c r="X596" s="287" t="n"/>
      <c r="Y596" s="287" t="n"/>
      <c r="Z596" s="287" t="n"/>
      <c r="AA596" s="287" t="n"/>
      <c r="AB596" s="287" t="n"/>
      <c r="AC596" s="287" t="n"/>
      <c r="AD596" s="287" t="n"/>
      <c r="AE596" s="287" t="n"/>
      <c r="AF596" s="287" t="n"/>
      <c r="AG596" s="287" t="n"/>
      <c r="AH596" s="287" t="n"/>
      <c r="AI596" s="287" t="n"/>
      <c r="AJ596" s="287" t="n"/>
      <c r="AK596" s="287" t="n"/>
      <c r="AL596" s="287" t="n"/>
      <c r="AM596" s="287" t="n"/>
      <c r="AN596" s="287" t="n"/>
      <c r="AO596" s="287" t="n"/>
      <c r="AP596" s="287" t="n"/>
      <c r="AQ596" s="287" t="n"/>
      <c r="AR596" s="287" t="n"/>
      <c r="AS596" s="287" t="n"/>
      <c r="AT596" s="287" t="n"/>
      <c r="AU596" s="287" t="n"/>
      <c r="AV596" s="287" t="n"/>
      <c r="AW596" s="287" t="n"/>
      <c r="AX596" s="287" t="n"/>
      <c r="AY596" s="287" t="n"/>
      <c r="AZ596" s="287" t="n"/>
      <c r="BA596" s="287" t="n"/>
      <c r="BB596" s="287" t="n"/>
      <c r="BC596" s="287" t="n"/>
      <c r="BD596" s="287" t="n"/>
      <c r="BE596" s="287" t="n"/>
      <c r="BF596" s="287" t="n"/>
      <c r="BG596" s="287" t="n"/>
      <c r="BH596" s="287" t="n"/>
    </row>
    <row r="597" ht="34.5" customHeight="1">
      <c r="B597" s="288" t="n">
        <v>45651</v>
      </c>
      <c r="C597" s="289" t="n">
        <v>72</v>
      </c>
      <c r="D597" s="290" t="inlineStr">
        <is>
          <t>Gaji Desember 2024 + Bomnus akhir tahun - 4 bulan_Yufitri</t>
        </is>
      </c>
      <c r="E597" s="291" t="inlineStr">
        <is>
          <t>BCA</t>
        </is>
      </c>
      <c r="F597" s="295" t="n">
        <v>15000000</v>
      </c>
      <c r="G597" s="289" t="inlineStr">
        <is>
          <t>IDR</t>
        </is>
      </c>
      <c r="H597" s="293" t="n">
        <v>1</v>
      </c>
      <c r="I597" s="291" t="n"/>
      <c r="J597" s="291" t="n"/>
      <c r="K597" s="291" t="n"/>
      <c r="L597" s="292">
        <f>$F597*$H597</f>
        <v/>
      </c>
      <c r="M597" s="291" t="n"/>
      <c r="N597" s="291" t="n"/>
      <c r="O597" s="291" t="n"/>
      <c r="P597" s="291" t="n"/>
      <c r="Q597" s="291" t="n"/>
      <c r="R597" s="287" t="n"/>
      <c r="S597" s="287" t="n"/>
      <c r="T597" s="287" t="n"/>
      <c r="U597" s="287" t="n"/>
      <c r="V597" s="287" t="n"/>
      <c r="W597" s="287" t="n"/>
      <c r="X597" s="287" t="n"/>
      <c r="Y597" s="287" t="n"/>
      <c r="Z597" s="287" t="n"/>
      <c r="AA597" s="287" t="n"/>
      <c r="AB597" s="287" t="n"/>
      <c r="AC597" s="287" t="n"/>
      <c r="AD597" s="287" t="n"/>
      <c r="AE597" s="287" t="n"/>
      <c r="AF597" s="287" t="n"/>
      <c r="AG597" s="287" t="n"/>
      <c r="AH597" s="287" t="n"/>
      <c r="AI597" s="287" t="n"/>
      <c r="AJ597" s="287" t="n"/>
      <c r="AK597" s="287" t="n"/>
      <c r="AL597" s="287" t="n"/>
      <c r="AM597" s="287" t="n"/>
      <c r="AN597" s="287" t="n"/>
      <c r="AO597" s="287" t="n"/>
      <c r="AP597" s="287" t="n"/>
      <c r="AQ597" s="287" t="n"/>
      <c r="AR597" s="287" t="n"/>
      <c r="AS597" s="287" t="n"/>
      <c r="AT597" s="287" t="n"/>
      <c r="AU597" s="287" t="n"/>
      <c r="AV597" s="287" t="n"/>
      <c r="AW597" s="287" t="n"/>
      <c r="AX597" s="287" t="n"/>
      <c r="AY597" s="287" t="n"/>
      <c r="AZ597" s="287" t="n"/>
      <c r="BA597" s="287" t="n"/>
      <c r="BB597" s="287" t="n"/>
      <c r="BC597" s="287" t="n"/>
      <c r="BD597" s="287" t="n"/>
      <c r="BE597" s="287" t="n"/>
      <c r="BF597" s="287" t="n"/>
      <c r="BG597" s="287" t="n"/>
      <c r="BH597" s="287" t="n"/>
    </row>
    <row r="598" ht="15.5" customHeight="1">
      <c r="B598" s="284" t="n"/>
      <c r="C598" s="284" t="n"/>
      <c r="D598" s="285" t="inlineStr">
        <is>
          <t>Hand Tools</t>
        </is>
      </c>
      <c r="E598" s="284" t="n"/>
      <c r="F598" s="286" t="n"/>
      <c r="G598" s="284" t="n"/>
      <c r="H598" s="284" t="n"/>
      <c r="I598" s="284" t="n"/>
      <c r="J598" s="284" t="n"/>
      <c r="K598" s="284" t="n"/>
      <c r="L598" s="284" t="n"/>
      <c r="M598" s="284" t="n"/>
      <c r="N598" s="284" t="n"/>
      <c r="O598" s="284" t="n"/>
      <c r="P598" s="284" t="n"/>
      <c r="Q598" s="284" t="n"/>
      <c r="R598" s="287" t="n"/>
      <c r="S598" s="287" t="n"/>
      <c r="T598" s="287" t="n"/>
      <c r="U598" s="287" t="n"/>
      <c r="V598" s="287" t="n"/>
      <c r="W598" s="287" t="n"/>
      <c r="X598" s="287" t="n"/>
      <c r="Y598" s="287" t="n"/>
      <c r="Z598" s="287" t="n"/>
      <c r="AA598" s="287" t="n"/>
      <c r="AB598" s="287" t="n"/>
      <c r="AC598" s="287" t="n"/>
      <c r="AD598" s="287" t="n"/>
      <c r="AE598" s="287" t="n"/>
      <c r="AF598" s="287" t="n"/>
      <c r="AG598" s="287" t="n"/>
      <c r="AH598" s="287" t="n"/>
      <c r="AI598" s="287" t="n"/>
      <c r="AJ598" s="287" t="n"/>
      <c r="AK598" s="287" t="n"/>
      <c r="AL598" s="287" t="n"/>
      <c r="AM598" s="287" t="n"/>
      <c r="AN598" s="287" t="n"/>
      <c r="AO598" s="287" t="n"/>
      <c r="AP598" s="287" t="n"/>
      <c r="AQ598" s="287" t="n"/>
      <c r="AR598" s="287" t="n"/>
      <c r="AS598" s="287" t="n"/>
      <c r="AT598" s="287" t="n"/>
      <c r="AU598" s="287" t="n"/>
      <c r="AV598" s="287" t="n"/>
      <c r="AW598" s="287" t="n"/>
      <c r="AX598" s="287" t="n"/>
      <c r="AY598" s="287" t="n"/>
      <c r="AZ598" s="287" t="n"/>
      <c r="BA598" s="287" t="n"/>
      <c r="BB598" s="287" t="n"/>
      <c r="BC598" s="287" t="n"/>
      <c r="BD598" s="287" t="n"/>
      <c r="BE598" s="287" t="n"/>
      <c r="BF598" s="287" t="n"/>
      <c r="BG598" s="287" t="n"/>
      <c r="BH598" s="287" t="n"/>
    </row>
    <row r="599" ht="18.75" customHeight="1">
      <c r="B599" s="288" t="n">
        <v>45473</v>
      </c>
      <c r="C599" s="289" t="n">
        <v>73</v>
      </c>
      <c r="D599" s="290" t="inlineStr">
        <is>
          <t>Downhole Sampling tool #1-1 GARINDO SARANA BARU</t>
        </is>
      </c>
      <c r="E599" s="291" t="inlineStr">
        <is>
          <t>BCA</t>
        </is>
      </c>
      <c r="F599" s="295" t="n">
        <v>39800000</v>
      </c>
      <c r="G599" s="289" t="inlineStr">
        <is>
          <t>IDR</t>
        </is>
      </c>
      <c r="H599" s="293" t="n">
        <v>1</v>
      </c>
      <c r="I599" s="291" t="n"/>
      <c r="J599" s="291" t="n"/>
      <c r="K599" s="291" t="n"/>
      <c r="L599" s="291" t="n"/>
      <c r="M599" s="291" t="n"/>
      <c r="N599" s="292">
        <f>$F599*$H599</f>
        <v/>
      </c>
      <c r="O599" s="291" t="n"/>
      <c r="P599" s="291" t="n"/>
      <c r="Q599" s="291" t="n"/>
      <c r="R599" s="287" t="n"/>
      <c r="S599" s="287" t="n"/>
      <c r="T599" s="287" t="n"/>
      <c r="U599" s="287" t="n"/>
      <c r="V599" s="287" t="n"/>
      <c r="W599" s="287" t="n"/>
      <c r="X599" s="287" t="n"/>
      <c r="Y599" s="287" t="n"/>
      <c r="Z599" s="287" t="n"/>
      <c r="AA599" s="287" t="n"/>
      <c r="AB599" s="287" t="n"/>
      <c r="AC599" s="287" t="n"/>
      <c r="AD599" s="287" t="n"/>
      <c r="AE599" s="287" t="n"/>
      <c r="AF599" s="287" t="n"/>
      <c r="AG599" s="287" t="n"/>
      <c r="AH599" s="287" t="n"/>
      <c r="AI599" s="287" t="n"/>
      <c r="AJ599" s="287" t="n"/>
      <c r="AK599" s="287" t="n"/>
      <c r="AL599" s="287" t="n"/>
      <c r="AM599" s="287" t="n"/>
      <c r="AN599" s="287" t="n"/>
      <c r="AO599" s="287" t="n"/>
      <c r="AP599" s="287" t="n"/>
      <c r="AQ599" s="287" t="n"/>
      <c r="AR599" s="287" t="n"/>
      <c r="AS599" s="287" t="n"/>
      <c r="AT599" s="287" t="n"/>
      <c r="AU599" s="287" t="n"/>
      <c r="AV599" s="287" t="n"/>
      <c r="AW599" s="287" t="n"/>
      <c r="AX599" s="287" t="n"/>
      <c r="AY599" s="287" t="n"/>
      <c r="AZ599" s="287" t="n"/>
      <c r="BA599" s="287" t="n"/>
      <c r="BB599" s="287" t="n"/>
      <c r="BC599" s="287" t="n"/>
      <c r="BD599" s="287" t="n"/>
      <c r="BE599" s="287" t="n"/>
      <c r="BF599" s="287" t="n"/>
      <c r="BG599" s="287" t="n"/>
      <c r="BH599" s="287" t="n"/>
    </row>
    <row r="600" ht="18.75" customHeight="1">
      <c r="B600" s="288" t="n">
        <v>45473</v>
      </c>
      <c r="C600" s="289" t="n">
        <v>74</v>
      </c>
      <c r="D600" s="290" t="inlineStr">
        <is>
          <t>Downhole Sampling tool #1-1 GARINDO SARANA BARU</t>
        </is>
      </c>
      <c r="E600" s="291" t="inlineStr">
        <is>
          <t>BCA</t>
        </is>
      </c>
      <c r="F600" s="292" t="n">
        <v>39800000</v>
      </c>
      <c r="G600" s="289" t="inlineStr">
        <is>
          <t>IDR</t>
        </is>
      </c>
      <c r="H600" s="293" t="n">
        <v>1</v>
      </c>
      <c r="I600" s="291" t="n"/>
      <c r="J600" s="291" t="n"/>
      <c r="K600" s="291" t="n"/>
      <c r="L600" s="291" t="n"/>
      <c r="M600" s="291" t="n"/>
      <c r="N600" s="292">
        <f>$F600*$H600</f>
        <v/>
      </c>
      <c r="O600" s="291" t="n"/>
      <c r="P600" s="291" t="n"/>
      <c r="Q600" s="291" t="n"/>
      <c r="R600" s="287" t="n"/>
      <c r="S600" s="287" t="n"/>
      <c r="T600" s="287" t="n"/>
      <c r="U600" s="287" t="n"/>
      <c r="V600" s="287" t="n"/>
      <c r="W600" s="287" t="n"/>
      <c r="X600" s="287" t="n"/>
      <c r="Y600" s="287" t="n"/>
      <c r="Z600" s="287" t="n"/>
      <c r="AA600" s="287" t="n"/>
      <c r="AB600" s="287" t="n"/>
      <c r="AC600" s="287" t="n"/>
      <c r="AD600" s="287" t="n"/>
      <c r="AE600" s="287" t="n"/>
      <c r="AF600" s="287" t="n"/>
      <c r="AG600" s="287" t="n"/>
      <c r="AH600" s="287" t="n"/>
      <c r="AI600" s="287" t="n"/>
      <c r="AJ600" s="287" t="n"/>
      <c r="AK600" s="287" t="n"/>
      <c r="AL600" s="287" t="n"/>
      <c r="AM600" s="287" t="n"/>
      <c r="AN600" s="287" t="n"/>
      <c r="AO600" s="287" t="n"/>
      <c r="AP600" s="287" t="n"/>
      <c r="AQ600" s="287" t="n"/>
      <c r="AR600" s="287" t="n"/>
      <c r="AS600" s="287" t="n"/>
      <c r="AT600" s="287" t="n"/>
      <c r="AU600" s="287" t="n"/>
      <c r="AV600" s="287" t="n"/>
      <c r="AW600" s="287" t="n"/>
      <c r="AX600" s="287" t="n"/>
      <c r="AY600" s="287" t="n"/>
      <c r="AZ600" s="287" t="n"/>
      <c r="BA600" s="287" t="n"/>
      <c r="BB600" s="287" t="n"/>
      <c r="BC600" s="287" t="n"/>
      <c r="BD600" s="287" t="n"/>
      <c r="BE600" s="287" t="n"/>
      <c r="BF600" s="287" t="n"/>
      <c r="BG600" s="287" t="n"/>
      <c r="BH600" s="287" t="n"/>
    </row>
    <row r="601" ht="18.75" customHeight="1">
      <c r="B601" s="288" t="n">
        <v>45473</v>
      </c>
      <c r="C601" s="289" t="n">
        <v>75</v>
      </c>
      <c r="D601" s="290" t="inlineStr">
        <is>
          <t>Downhole Sampling tool #1-1 GARINDO SARANA BARU</t>
        </is>
      </c>
      <c r="E601" s="291" t="inlineStr">
        <is>
          <t>BCA</t>
        </is>
      </c>
      <c r="F601" s="295" t="n">
        <v>39800000</v>
      </c>
      <c r="G601" s="289" t="inlineStr">
        <is>
          <t>IDR</t>
        </is>
      </c>
      <c r="H601" s="293" t="n">
        <v>1</v>
      </c>
      <c r="I601" s="291" t="n"/>
      <c r="J601" s="291" t="n"/>
      <c r="K601" s="291" t="n"/>
      <c r="L601" s="291" t="n"/>
      <c r="M601" s="291" t="n"/>
      <c r="N601" s="292">
        <f>$F601*$H601</f>
        <v/>
      </c>
      <c r="O601" s="291" t="n"/>
      <c r="P601" s="291" t="n"/>
      <c r="Q601" s="291" t="n"/>
      <c r="R601" s="287" t="n"/>
      <c r="S601" s="287" t="n"/>
      <c r="T601" s="287" t="n"/>
      <c r="U601" s="287" t="n"/>
      <c r="V601" s="287" t="n"/>
      <c r="W601" s="287" t="n"/>
      <c r="X601" s="287" t="n"/>
      <c r="Y601" s="287" t="n"/>
      <c r="Z601" s="287" t="n"/>
      <c r="AA601" s="287" t="n"/>
      <c r="AB601" s="287" t="n"/>
      <c r="AC601" s="287" t="n"/>
      <c r="AD601" s="287" t="n"/>
      <c r="AE601" s="287" t="n"/>
      <c r="AF601" s="287" t="n"/>
      <c r="AG601" s="287" t="n"/>
      <c r="AH601" s="287" t="n"/>
      <c r="AI601" s="287" t="n"/>
      <c r="AJ601" s="287" t="n"/>
      <c r="AK601" s="287" t="n"/>
      <c r="AL601" s="287" t="n"/>
      <c r="AM601" s="287" t="n"/>
      <c r="AN601" s="287" t="n"/>
      <c r="AO601" s="287" t="n"/>
      <c r="AP601" s="287" t="n"/>
      <c r="AQ601" s="287" t="n"/>
      <c r="AR601" s="287" t="n"/>
      <c r="AS601" s="287" t="n"/>
      <c r="AT601" s="287" t="n"/>
      <c r="AU601" s="287" t="n"/>
      <c r="AV601" s="287" t="n"/>
      <c r="AW601" s="287" t="n"/>
      <c r="AX601" s="287" t="n"/>
      <c r="AY601" s="287" t="n"/>
      <c r="AZ601" s="287" t="n"/>
      <c r="BA601" s="287" t="n"/>
      <c r="BB601" s="287" t="n"/>
      <c r="BC601" s="287" t="n"/>
      <c r="BD601" s="287" t="n"/>
      <c r="BE601" s="287" t="n"/>
      <c r="BF601" s="287" t="n"/>
      <c r="BG601" s="287" t="n"/>
      <c r="BH601" s="287" t="n"/>
    </row>
    <row r="602" ht="18.75" customHeight="1">
      <c r="B602" s="288" t="n">
        <v>45473</v>
      </c>
      <c r="C602" s="289" t="n">
        <v>76</v>
      </c>
      <c r="D602" s="290" t="inlineStr">
        <is>
          <t>Downhole Sampling tool #1-1 GARINDO SARANA BARU</t>
        </is>
      </c>
      <c r="E602" s="291" t="inlineStr">
        <is>
          <t>BCA</t>
        </is>
      </c>
      <c r="F602" s="295" t="n">
        <v>39800000</v>
      </c>
      <c r="G602" s="289" t="inlineStr">
        <is>
          <t>IDR</t>
        </is>
      </c>
      <c r="H602" s="293" t="n">
        <v>1</v>
      </c>
      <c r="I602" s="291" t="n"/>
      <c r="J602" s="291" t="n"/>
      <c r="K602" s="291" t="n"/>
      <c r="L602" s="291" t="n"/>
      <c r="M602" s="291" t="n"/>
      <c r="N602" s="292">
        <f>$F602*$H602</f>
        <v/>
      </c>
      <c r="O602" s="291" t="n"/>
      <c r="P602" s="291" t="n"/>
      <c r="Q602" s="291" t="n"/>
      <c r="R602" s="287" t="n"/>
      <c r="S602" s="287" t="n"/>
      <c r="T602" s="287" t="n"/>
      <c r="U602" s="287" t="n"/>
      <c r="V602" s="287" t="n"/>
      <c r="W602" s="287" t="n"/>
      <c r="X602" s="287" t="n"/>
      <c r="Y602" s="287" t="n"/>
      <c r="Z602" s="287" t="n"/>
      <c r="AA602" s="287" t="n"/>
      <c r="AB602" s="287" t="n"/>
      <c r="AC602" s="287" t="n"/>
      <c r="AD602" s="287" t="n"/>
      <c r="AE602" s="287" t="n"/>
      <c r="AF602" s="287" t="n"/>
      <c r="AG602" s="287" t="n"/>
      <c r="AH602" s="287" t="n"/>
      <c r="AI602" s="287" t="n"/>
      <c r="AJ602" s="287" t="n"/>
      <c r="AK602" s="287" t="n"/>
      <c r="AL602" s="287" t="n"/>
      <c r="AM602" s="287" t="n"/>
      <c r="AN602" s="287" t="n"/>
      <c r="AO602" s="287" t="n"/>
      <c r="AP602" s="287" t="n"/>
      <c r="AQ602" s="287" t="n"/>
      <c r="AR602" s="287" t="n"/>
      <c r="AS602" s="287" t="n"/>
      <c r="AT602" s="287" t="n"/>
      <c r="AU602" s="287" t="n"/>
      <c r="AV602" s="287" t="n"/>
      <c r="AW602" s="287" t="n"/>
      <c r="AX602" s="287" t="n"/>
      <c r="AY602" s="287" t="n"/>
      <c r="AZ602" s="287" t="n"/>
      <c r="BA602" s="287" t="n"/>
      <c r="BB602" s="287" t="n"/>
      <c r="BC602" s="287" t="n"/>
      <c r="BD602" s="287" t="n"/>
      <c r="BE602" s="287" t="n"/>
      <c r="BF602" s="287" t="n"/>
      <c r="BG602" s="287" t="n"/>
      <c r="BH602" s="287" t="n"/>
    </row>
    <row r="603" ht="18.75" customHeight="1">
      <c r="B603" s="288" t="n">
        <v>45519</v>
      </c>
      <c r="C603" s="289" t="n">
        <v>77</v>
      </c>
      <c r="D603" s="290" t="inlineStr">
        <is>
          <t>Downhole Sampling tool #1-2 GARINDO SARANA BARU</t>
        </is>
      </c>
      <c r="E603" s="291" t="inlineStr">
        <is>
          <t>BCA</t>
        </is>
      </c>
      <c r="F603" s="295" t="n">
        <v>53835000</v>
      </c>
      <c r="G603" s="289" t="inlineStr">
        <is>
          <t>IDR</t>
        </is>
      </c>
      <c r="H603" s="293" t="n">
        <v>1</v>
      </c>
      <c r="I603" s="291" t="n"/>
      <c r="J603" s="291" t="n"/>
      <c r="K603" s="291" t="n"/>
      <c r="L603" s="291" t="n"/>
      <c r="M603" s="291" t="n"/>
      <c r="N603" s="292">
        <f>$F603*$H603</f>
        <v/>
      </c>
      <c r="O603" s="291" t="n"/>
      <c r="P603" s="291" t="n"/>
      <c r="Q603" s="291" t="n"/>
      <c r="R603" s="287" t="n"/>
      <c r="S603" s="287" t="n"/>
      <c r="T603" s="287" t="n"/>
      <c r="U603" s="287" t="n"/>
      <c r="V603" s="287" t="n"/>
      <c r="W603" s="287" t="n"/>
      <c r="X603" s="287" t="n"/>
      <c r="Y603" s="287" t="n"/>
      <c r="Z603" s="287" t="n"/>
      <c r="AA603" s="287" t="n"/>
      <c r="AB603" s="287" t="n"/>
      <c r="AC603" s="287" t="n"/>
      <c r="AD603" s="287" t="n"/>
      <c r="AE603" s="287" t="n"/>
      <c r="AF603" s="287" t="n"/>
      <c r="AG603" s="287" t="n"/>
      <c r="AH603" s="287" t="n"/>
      <c r="AI603" s="287" t="n"/>
      <c r="AJ603" s="287" t="n"/>
      <c r="AK603" s="287" t="n"/>
      <c r="AL603" s="287" t="n"/>
      <c r="AM603" s="287" t="n"/>
      <c r="AN603" s="287" t="n"/>
      <c r="AO603" s="287" t="n"/>
      <c r="AP603" s="287" t="n"/>
      <c r="AQ603" s="287" t="n"/>
      <c r="AR603" s="287" t="n"/>
      <c r="AS603" s="287" t="n"/>
      <c r="AT603" s="287" t="n"/>
      <c r="AU603" s="287" t="n"/>
      <c r="AV603" s="287" t="n"/>
      <c r="AW603" s="287" t="n"/>
      <c r="AX603" s="287" t="n"/>
      <c r="AY603" s="287" t="n"/>
      <c r="AZ603" s="287" t="n"/>
      <c r="BA603" s="287" t="n"/>
      <c r="BB603" s="287" t="n"/>
      <c r="BC603" s="287" t="n"/>
      <c r="BD603" s="287" t="n"/>
      <c r="BE603" s="287" t="n"/>
      <c r="BF603" s="287" t="n"/>
      <c r="BG603" s="287" t="n"/>
      <c r="BH603" s="287" t="n"/>
    </row>
    <row r="604" ht="18.75" customHeight="1">
      <c r="B604" s="288" t="n">
        <v>45519</v>
      </c>
      <c r="C604" s="289" t="n">
        <v>78</v>
      </c>
      <c r="D604" s="290" t="inlineStr">
        <is>
          <t>Downhole Sampling tool #1-2 GARINDO SARANA BARU</t>
        </is>
      </c>
      <c r="E604" s="291" t="inlineStr">
        <is>
          <t>BCA</t>
        </is>
      </c>
      <c r="F604" s="295" t="n">
        <v>53835000</v>
      </c>
      <c r="G604" s="289" t="inlineStr">
        <is>
          <t>IDR</t>
        </is>
      </c>
      <c r="H604" s="293" t="n">
        <v>1</v>
      </c>
      <c r="I604" s="291" t="n"/>
      <c r="J604" s="291" t="n"/>
      <c r="K604" s="291" t="n"/>
      <c r="L604" s="291" t="n"/>
      <c r="M604" s="291" t="n"/>
      <c r="N604" s="292">
        <f>$F604*$H604</f>
        <v/>
      </c>
      <c r="O604" s="291" t="n"/>
      <c r="P604" s="291" t="n"/>
      <c r="Q604" s="291" t="n"/>
      <c r="R604" s="287" t="n"/>
      <c r="S604" s="287" t="n"/>
      <c r="T604" s="287" t="n"/>
      <c r="U604" s="287" t="n"/>
      <c r="V604" s="287" t="n"/>
      <c r="W604" s="287" t="n"/>
      <c r="X604" s="287" t="n"/>
      <c r="Y604" s="287" t="n"/>
      <c r="Z604" s="287" t="n"/>
      <c r="AA604" s="287" t="n"/>
      <c r="AB604" s="287" t="n"/>
      <c r="AC604" s="287" t="n"/>
      <c r="AD604" s="287" t="n"/>
      <c r="AE604" s="287" t="n"/>
      <c r="AF604" s="287" t="n"/>
      <c r="AG604" s="287" t="n"/>
      <c r="AH604" s="287" t="n"/>
      <c r="AI604" s="287" t="n"/>
      <c r="AJ604" s="287" t="n"/>
      <c r="AK604" s="287" t="n"/>
      <c r="AL604" s="287" t="n"/>
      <c r="AM604" s="287" t="n"/>
      <c r="AN604" s="287" t="n"/>
      <c r="AO604" s="287" t="n"/>
      <c r="AP604" s="287" t="n"/>
      <c r="AQ604" s="287" t="n"/>
      <c r="AR604" s="287" t="n"/>
      <c r="AS604" s="287" t="n"/>
      <c r="AT604" s="287" t="n"/>
      <c r="AU604" s="287" t="n"/>
      <c r="AV604" s="287" t="n"/>
      <c r="AW604" s="287" t="n"/>
      <c r="AX604" s="287" t="n"/>
      <c r="AY604" s="287" t="n"/>
      <c r="AZ604" s="287" t="n"/>
      <c r="BA604" s="287" t="n"/>
      <c r="BB604" s="287" t="n"/>
      <c r="BC604" s="287" t="n"/>
      <c r="BD604" s="287" t="n"/>
      <c r="BE604" s="287" t="n"/>
      <c r="BF604" s="287" t="n"/>
      <c r="BG604" s="287" t="n"/>
      <c r="BH604" s="287" t="n"/>
    </row>
    <row r="605" ht="18.75" customHeight="1">
      <c r="B605" s="288" t="n">
        <v>45519</v>
      </c>
      <c r="C605" s="289" t="n">
        <v>79</v>
      </c>
      <c r="D605" s="290" t="inlineStr">
        <is>
          <t>Downhole Sampling tool #1-2 GARINDO SARANA BARU</t>
        </is>
      </c>
      <c r="E605" s="291" t="inlineStr">
        <is>
          <t>BCA</t>
        </is>
      </c>
      <c r="F605" s="295" t="n">
        <v>53835000</v>
      </c>
      <c r="G605" s="289" t="inlineStr">
        <is>
          <t>IDR</t>
        </is>
      </c>
      <c r="H605" s="293" t="n">
        <v>1</v>
      </c>
      <c r="I605" s="291" t="n"/>
      <c r="J605" s="291" t="n"/>
      <c r="K605" s="291" t="n"/>
      <c r="L605" s="291" t="n"/>
      <c r="M605" s="291" t="n"/>
      <c r="N605" s="292">
        <f>$F605*$H605</f>
        <v/>
      </c>
      <c r="O605" s="291" t="n"/>
      <c r="P605" s="291" t="n"/>
      <c r="Q605" s="291" t="n"/>
      <c r="R605" s="287" t="n"/>
      <c r="S605" s="287" t="n"/>
      <c r="T605" s="287" t="n"/>
      <c r="U605" s="287" t="n"/>
      <c r="V605" s="287" t="n"/>
      <c r="W605" s="287" t="n"/>
      <c r="X605" s="287" t="n"/>
      <c r="Y605" s="287" t="n"/>
      <c r="Z605" s="287" t="n"/>
      <c r="AA605" s="287" t="n"/>
      <c r="AB605" s="287" t="n"/>
      <c r="AC605" s="287" t="n"/>
      <c r="AD605" s="287" t="n"/>
      <c r="AE605" s="287" t="n"/>
      <c r="AF605" s="287" t="n"/>
      <c r="AG605" s="287" t="n"/>
      <c r="AH605" s="287" t="n"/>
      <c r="AI605" s="287" t="n"/>
      <c r="AJ605" s="287" t="n"/>
      <c r="AK605" s="287" t="n"/>
      <c r="AL605" s="287" t="n"/>
      <c r="AM605" s="287" t="n"/>
      <c r="AN605" s="287" t="n"/>
      <c r="AO605" s="287" t="n"/>
      <c r="AP605" s="287" t="n"/>
      <c r="AQ605" s="287" t="n"/>
      <c r="AR605" s="287" t="n"/>
      <c r="AS605" s="287" t="n"/>
      <c r="AT605" s="287" t="n"/>
      <c r="AU605" s="287" t="n"/>
      <c r="AV605" s="287" t="n"/>
      <c r="AW605" s="287" t="n"/>
      <c r="AX605" s="287" t="n"/>
      <c r="AY605" s="287" t="n"/>
      <c r="AZ605" s="287" t="n"/>
      <c r="BA605" s="287" t="n"/>
      <c r="BB605" s="287" t="n"/>
      <c r="BC605" s="287" t="n"/>
      <c r="BD605" s="287" t="n"/>
      <c r="BE605" s="287" t="n"/>
      <c r="BF605" s="287" t="n"/>
      <c r="BG605" s="287" t="n"/>
      <c r="BH605" s="287" t="n"/>
    </row>
    <row r="606" ht="18.75" customHeight="1">
      <c r="B606" s="288" t="n">
        <v>45519</v>
      </c>
      <c r="C606" s="289" t="n">
        <v>80</v>
      </c>
      <c r="D606" s="290" t="inlineStr">
        <is>
          <t>Downhole Sampling tool #1-2 GARINDO SARANA BARU</t>
        </is>
      </c>
      <c r="E606" s="291" t="inlineStr">
        <is>
          <t>BCA</t>
        </is>
      </c>
      <c r="F606" s="295" t="n">
        <v>53835000</v>
      </c>
      <c r="G606" s="289" t="inlineStr">
        <is>
          <t>IDR</t>
        </is>
      </c>
      <c r="H606" s="293" t="n">
        <v>1</v>
      </c>
      <c r="I606" s="291" t="n"/>
      <c r="J606" s="291" t="n"/>
      <c r="K606" s="291" t="n"/>
      <c r="L606" s="291" t="n"/>
      <c r="M606" s="291" t="n"/>
      <c r="N606" s="292">
        <f>$F606*$H606</f>
        <v/>
      </c>
      <c r="O606" s="291" t="n"/>
      <c r="P606" s="291" t="n"/>
      <c r="Q606" s="291" t="n"/>
      <c r="R606" s="287" t="n"/>
      <c r="S606" s="287" t="n"/>
      <c r="T606" s="287" t="n"/>
      <c r="U606" s="287" t="n"/>
      <c r="V606" s="287" t="n"/>
      <c r="W606" s="287" t="n"/>
      <c r="X606" s="287" t="n"/>
      <c r="Y606" s="287" t="n"/>
      <c r="Z606" s="287" t="n"/>
      <c r="AA606" s="287" t="n"/>
      <c r="AB606" s="287" t="n"/>
      <c r="AC606" s="287" t="n"/>
      <c r="AD606" s="287" t="n"/>
      <c r="AE606" s="287" t="n"/>
      <c r="AF606" s="287" t="n"/>
      <c r="AG606" s="287" t="n"/>
      <c r="AH606" s="287" t="n"/>
      <c r="AI606" s="287" t="n"/>
      <c r="AJ606" s="287" t="n"/>
      <c r="AK606" s="287" t="n"/>
      <c r="AL606" s="287" t="n"/>
      <c r="AM606" s="287" t="n"/>
      <c r="AN606" s="287" t="n"/>
      <c r="AO606" s="287" t="n"/>
      <c r="AP606" s="287" t="n"/>
      <c r="AQ606" s="287" t="n"/>
      <c r="AR606" s="287" t="n"/>
      <c r="AS606" s="287" t="n"/>
      <c r="AT606" s="287" t="n"/>
      <c r="AU606" s="287" t="n"/>
      <c r="AV606" s="287" t="n"/>
      <c r="AW606" s="287" t="n"/>
      <c r="AX606" s="287" t="n"/>
      <c r="AY606" s="287" t="n"/>
      <c r="AZ606" s="287" t="n"/>
      <c r="BA606" s="287" t="n"/>
      <c r="BB606" s="287" t="n"/>
      <c r="BC606" s="287" t="n"/>
      <c r="BD606" s="287" t="n"/>
      <c r="BE606" s="287" t="n"/>
      <c r="BF606" s="287" t="n"/>
      <c r="BG606" s="287" t="n"/>
      <c r="BH606" s="287" t="n"/>
    </row>
    <row r="607" ht="18.75" customHeight="1">
      <c r="B607" s="288" t="n">
        <v>45556</v>
      </c>
      <c r="C607" s="289" t="n">
        <v>81</v>
      </c>
      <c r="D607" s="290" t="inlineStr">
        <is>
          <t>Downhole Sampling tool #2 GARINDO SARANA BARU</t>
        </is>
      </c>
      <c r="E607" s="291" t="inlineStr">
        <is>
          <t>BCA</t>
        </is>
      </c>
      <c r="F607" s="295" t="n">
        <v>34299000</v>
      </c>
      <c r="G607" s="289" t="inlineStr">
        <is>
          <t>IDR</t>
        </is>
      </c>
      <c r="H607" s="293" t="n">
        <v>1</v>
      </c>
      <c r="I607" s="291" t="n"/>
      <c r="J607" s="291" t="n"/>
      <c r="K607" s="291" t="n"/>
      <c r="L607" s="291" t="n"/>
      <c r="M607" s="291" t="n"/>
      <c r="N607" s="292">
        <f>$F607*$H607</f>
        <v/>
      </c>
      <c r="O607" s="291" t="n"/>
      <c r="P607" s="291" t="n"/>
      <c r="Q607" s="291" t="n"/>
      <c r="R607" s="287" t="n"/>
      <c r="S607" s="287" t="n"/>
      <c r="T607" s="287" t="n"/>
      <c r="U607" s="287" t="n"/>
      <c r="V607" s="287" t="n"/>
      <c r="W607" s="287" t="n"/>
      <c r="X607" s="287" t="n"/>
      <c r="Y607" s="287" t="n"/>
      <c r="Z607" s="287" t="n"/>
      <c r="AA607" s="287" t="n"/>
      <c r="AB607" s="287" t="n"/>
      <c r="AC607" s="287" t="n"/>
      <c r="AD607" s="287" t="n"/>
      <c r="AE607" s="287" t="n"/>
      <c r="AF607" s="287" t="n"/>
      <c r="AG607" s="287" t="n"/>
      <c r="AH607" s="287" t="n"/>
      <c r="AI607" s="287" t="n"/>
      <c r="AJ607" s="287" t="n"/>
      <c r="AK607" s="287" t="n"/>
      <c r="AL607" s="287" t="n"/>
      <c r="AM607" s="287" t="n"/>
      <c r="AN607" s="287" t="n"/>
      <c r="AO607" s="287" t="n"/>
      <c r="AP607" s="287" t="n"/>
      <c r="AQ607" s="287" t="n"/>
      <c r="AR607" s="287" t="n"/>
      <c r="AS607" s="287" t="n"/>
      <c r="AT607" s="287" t="n"/>
      <c r="AU607" s="287" t="n"/>
      <c r="AV607" s="287" t="n"/>
      <c r="AW607" s="287" t="n"/>
      <c r="AX607" s="287" t="n"/>
      <c r="AY607" s="287" t="n"/>
      <c r="AZ607" s="287" t="n"/>
      <c r="BA607" s="287" t="n"/>
      <c r="BB607" s="287" t="n"/>
      <c r="BC607" s="287" t="n"/>
      <c r="BD607" s="287" t="n"/>
      <c r="BE607" s="287" t="n"/>
      <c r="BF607" s="287" t="n"/>
      <c r="BG607" s="287" t="n"/>
      <c r="BH607" s="287" t="n"/>
    </row>
    <row r="608" ht="18.75" customHeight="1">
      <c r="B608" s="288" t="n">
        <v>45556</v>
      </c>
      <c r="C608" s="289" t="n">
        <v>82</v>
      </c>
      <c r="D608" s="290" t="inlineStr">
        <is>
          <t>Downhole Sampling tool #2 GARINDO SARANA BARU</t>
        </is>
      </c>
      <c r="E608" s="291" t="inlineStr">
        <is>
          <t>BCA</t>
        </is>
      </c>
      <c r="F608" s="295" t="n">
        <v>34299000</v>
      </c>
      <c r="G608" s="289" t="inlineStr">
        <is>
          <t>IDR</t>
        </is>
      </c>
      <c r="H608" s="293" t="n">
        <v>1</v>
      </c>
      <c r="I608" s="291" t="n"/>
      <c r="J608" s="291" t="n"/>
      <c r="K608" s="291" t="n"/>
      <c r="L608" s="291" t="n"/>
      <c r="M608" s="291" t="n"/>
      <c r="N608" s="292">
        <f>$F608*$H608</f>
        <v/>
      </c>
      <c r="O608" s="291" t="n"/>
      <c r="P608" s="291" t="n"/>
      <c r="Q608" s="291" t="n"/>
      <c r="R608" s="287" t="n"/>
      <c r="S608" s="287" t="n"/>
      <c r="T608" s="287" t="n"/>
      <c r="U608" s="287" t="n"/>
      <c r="V608" s="287" t="n"/>
      <c r="W608" s="287" t="n"/>
      <c r="X608" s="287" t="n"/>
      <c r="Y608" s="287" t="n"/>
      <c r="Z608" s="287" t="n"/>
      <c r="AA608" s="287" t="n"/>
      <c r="AB608" s="287" t="n"/>
      <c r="AC608" s="287" t="n"/>
      <c r="AD608" s="287" t="n"/>
      <c r="AE608" s="287" t="n"/>
      <c r="AF608" s="287" t="n"/>
      <c r="AG608" s="287" t="n"/>
      <c r="AH608" s="287" t="n"/>
      <c r="AI608" s="287" t="n"/>
      <c r="AJ608" s="287" t="n"/>
      <c r="AK608" s="287" t="n"/>
      <c r="AL608" s="287" t="n"/>
      <c r="AM608" s="287" t="n"/>
      <c r="AN608" s="287" t="n"/>
      <c r="AO608" s="287" t="n"/>
      <c r="AP608" s="287" t="n"/>
      <c r="AQ608" s="287" t="n"/>
      <c r="AR608" s="287" t="n"/>
      <c r="AS608" s="287" t="n"/>
      <c r="AT608" s="287" t="n"/>
      <c r="AU608" s="287" t="n"/>
      <c r="AV608" s="287" t="n"/>
      <c r="AW608" s="287" t="n"/>
      <c r="AX608" s="287" t="n"/>
      <c r="AY608" s="287" t="n"/>
      <c r="AZ608" s="287" t="n"/>
      <c r="BA608" s="287" t="n"/>
      <c r="BB608" s="287" t="n"/>
      <c r="BC608" s="287" t="n"/>
      <c r="BD608" s="287" t="n"/>
      <c r="BE608" s="287" t="n"/>
      <c r="BF608" s="287" t="n"/>
      <c r="BG608" s="287" t="n"/>
      <c r="BH608" s="287" t="n"/>
    </row>
    <row r="609" ht="18.75" customHeight="1">
      <c r="B609" s="288" t="n">
        <v>45556</v>
      </c>
      <c r="C609" s="289" t="n">
        <v>83</v>
      </c>
      <c r="D609" s="290" t="inlineStr">
        <is>
          <t>Downhole Sampling tool #2 GARINDO SARANA BARU</t>
        </is>
      </c>
      <c r="E609" s="291" t="inlineStr">
        <is>
          <t>BCA</t>
        </is>
      </c>
      <c r="F609" s="295" t="n">
        <v>34299000</v>
      </c>
      <c r="G609" s="289" t="inlineStr">
        <is>
          <t>IDR</t>
        </is>
      </c>
      <c r="H609" s="293" t="n">
        <v>1</v>
      </c>
      <c r="I609" s="291" t="n"/>
      <c r="J609" s="291" t="n"/>
      <c r="K609" s="291" t="n"/>
      <c r="L609" s="291" t="n"/>
      <c r="M609" s="291" t="n"/>
      <c r="N609" s="292">
        <f>$F609*$H609</f>
        <v/>
      </c>
      <c r="O609" s="291" t="n"/>
      <c r="P609" s="291" t="n"/>
      <c r="Q609" s="291" t="n"/>
      <c r="R609" s="287" t="n"/>
      <c r="S609" s="287" t="n"/>
      <c r="T609" s="287" t="n"/>
      <c r="U609" s="287" t="n"/>
      <c r="V609" s="287" t="n"/>
      <c r="W609" s="287" t="n"/>
      <c r="X609" s="287" t="n"/>
      <c r="Y609" s="287" t="n"/>
      <c r="Z609" s="287" t="n"/>
      <c r="AA609" s="287" t="n"/>
      <c r="AB609" s="287" t="n"/>
      <c r="AC609" s="287" t="n"/>
      <c r="AD609" s="287" t="n"/>
      <c r="AE609" s="287" t="n"/>
      <c r="AF609" s="287" t="n"/>
      <c r="AG609" s="287" t="n"/>
      <c r="AH609" s="287" t="n"/>
      <c r="AI609" s="287" t="n"/>
      <c r="AJ609" s="287" t="n"/>
      <c r="AK609" s="287" t="n"/>
      <c r="AL609" s="287" t="n"/>
      <c r="AM609" s="287" t="n"/>
      <c r="AN609" s="287" t="n"/>
      <c r="AO609" s="287" t="n"/>
      <c r="AP609" s="287" t="n"/>
      <c r="AQ609" s="287" t="n"/>
      <c r="AR609" s="287" t="n"/>
      <c r="AS609" s="287" t="n"/>
      <c r="AT609" s="287" t="n"/>
      <c r="AU609" s="287" t="n"/>
      <c r="AV609" s="287" t="n"/>
      <c r="AW609" s="287" t="n"/>
      <c r="AX609" s="287" t="n"/>
      <c r="AY609" s="287" t="n"/>
      <c r="AZ609" s="287" t="n"/>
      <c r="BA609" s="287" t="n"/>
      <c r="BB609" s="287" t="n"/>
      <c r="BC609" s="287" t="n"/>
      <c r="BD609" s="287" t="n"/>
      <c r="BE609" s="287" t="n"/>
      <c r="BF609" s="287" t="n"/>
      <c r="BG609" s="287" t="n"/>
      <c r="BH609" s="287" t="n"/>
    </row>
    <row r="610" ht="18.75" customHeight="1">
      <c r="B610" s="288" t="n">
        <v>45556</v>
      </c>
      <c r="C610" s="289" t="n">
        <v>84</v>
      </c>
      <c r="D610" s="290" t="inlineStr">
        <is>
          <t>Downhole Sampling tool #2 GARINDO SARANA BARU</t>
        </is>
      </c>
      <c r="E610" s="291" t="inlineStr">
        <is>
          <t>BCA</t>
        </is>
      </c>
      <c r="F610" s="295" t="n">
        <v>34299000</v>
      </c>
      <c r="G610" s="289" t="inlineStr">
        <is>
          <t>IDR</t>
        </is>
      </c>
      <c r="H610" s="293" t="n">
        <v>1</v>
      </c>
      <c r="I610" s="291" t="n"/>
      <c r="J610" s="291" t="n"/>
      <c r="K610" s="291" t="n"/>
      <c r="L610" s="291" t="n"/>
      <c r="M610" s="291" t="n"/>
      <c r="N610" s="292">
        <f>$F610*$H610</f>
        <v/>
      </c>
      <c r="O610" s="291" t="n"/>
      <c r="P610" s="291" t="n"/>
      <c r="Q610" s="291" t="n"/>
      <c r="R610" s="287" t="n"/>
      <c r="S610" s="287" t="n"/>
      <c r="T610" s="287" t="n"/>
      <c r="U610" s="287" t="n"/>
      <c r="V610" s="287" t="n"/>
      <c r="W610" s="287" t="n"/>
      <c r="X610" s="287" t="n"/>
      <c r="Y610" s="287" t="n"/>
      <c r="Z610" s="287" t="n"/>
      <c r="AA610" s="287" t="n"/>
      <c r="AB610" s="287" t="n"/>
      <c r="AC610" s="287" t="n"/>
      <c r="AD610" s="287" t="n"/>
      <c r="AE610" s="287" t="n"/>
      <c r="AF610" s="287" t="n"/>
      <c r="AG610" s="287" t="n"/>
      <c r="AH610" s="287" t="n"/>
      <c r="AI610" s="287" t="n"/>
      <c r="AJ610" s="287" t="n"/>
      <c r="AK610" s="287" t="n"/>
      <c r="AL610" s="287" t="n"/>
      <c r="AM610" s="287" t="n"/>
      <c r="AN610" s="287" t="n"/>
      <c r="AO610" s="287" t="n"/>
      <c r="AP610" s="287" t="n"/>
      <c r="AQ610" s="287" t="n"/>
      <c r="AR610" s="287" t="n"/>
      <c r="AS610" s="287" t="n"/>
      <c r="AT610" s="287" t="n"/>
      <c r="AU610" s="287" t="n"/>
      <c r="AV610" s="287" t="n"/>
      <c r="AW610" s="287" t="n"/>
      <c r="AX610" s="287" t="n"/>
      <c r="AY610" s="287" t="n"/>
      <c r="AZ610" s="287" t="n"/>
      <c r="BA610" s="287" t="n"/>
      <c r="BB610" s="287" t="n"/>
      <c r="BC610" s="287" t="n"/>
      <c r="BD610" s="287" t="n"/>
      <c r="BE610" s="287" t="n"/>
      <c r="BF610" s="287" t="n"/>
      <c r="BG610" s="287" t="n"/>
      <c r="BH610" s="287" t="n"/>
    </row>
    <row r="611" ht="15.5" customHeight="1">
      <c r="B611" s="284" t="n"/>
      <c r="C611" s="284" t="n"/>
      <c r="D611" s="285" t="inlineStr">
        <is>
          <t>Meal</t>
        </is>
      </c>
      <c r="E611" s="284" t="n"/>
      <c r="F611" s="286" t="n"/>
      <c r="G611" s="284" t="n"/>
      <c r="H611" s="284" t="n"/>
      <c r="I611" s="284" t="n"/>
      <c r="J611" s="284" t="n"/>
      <c r="K611" s="284" t="n"/>
      <c r="L611" s="284" t="n"/>
      <c r="M611" s="284" t="n"/>
      <c r="N611" s="284" t="n"/>
      <c r="O611" s="284" t="n"/>
      <c r="P611" s="284" t="n"/>
      <c r="Q611" s="284" t="n"/>
      <c r="R611" s="287" t="n"/>
      <c r="S611" s="287" t="n"/>
      <c r="T611" s="287" t="n"/>
      <c r="U611" s="287" t="n"/>
      <c r="V611" s="287" t="n"/>
      <c r="W611" s="287" t="n"/>
      <c r="X611" s="287" t="n"/>
      <c r="Y611" s="287" t="n"/>
      <c r="Z611" s="287" t="n"/>
      <c r="AA611" s="287" t="n"/>
      <c r="AB611" s="287" t="n"/>
      <c r="AC611" s="287" t="n"/>
      <c r="AD611" s="287" t="n"/>
      <c r="AE611" s="287" t="n"/>
      <c r="AF611" s="287" t="n"/>
      <c r="AG611" s="287" t="n"/>
      <c r="AH611" s="287" t="n"/>
      <c r="AI611" s="287" t="n"/>
      <c r="AJ611" s="287" t="n"/>
      <c r="AK611" s="287" t="n"/>
      <c r="AL611" s="287" t="n"/>
      <c r="AM611" s="287" t="n"/>
      <c r="AN611" s="287" t="n"/>
      <c r="AO611" s="287" t="n"/>
      <c r="AP611" s="287" t="n"/>
      <c r="AQ611" s="287" t="n"/>
      <c r="AR611" s="287" t="n"/>
      <c r="AS611" s="287" t="n"/>
      <c r="AT611" s="287" t="n"/>
      <c r="AU611" s="287" t="n"/>
      <c r="AV611" s="287" t="n"/>
      <c r="AW611" s="287" t="n"/>
      <c r="AX611" s="287" t="n"/>
      <c r="AY611" s="287" t="n"/>
      <c r="AZ611" s="287" t="n"/>
      <c r="BA611" s="287" t="n"/>
      <c r="BB611" s="287" t="n"/>
      <c r="BC611" s="287" t="n"/>
      <c r="BD611" s="287" t="n"/>
      <c r="BE611" s="287" t="n"/>
      <c r="BF611" s="287" t="n"/>
      <c r="BG611" s="287" t="n"/>
      <c r="BH611" s="287" t="n"/>
    </row>
    <row r="612" ht="34.5" customHeight="1">
      <c r="B612" s="288" t="n">
        <v>45644</v>
      </c>
      <c r="C612" s="289" t="n">
        <v>85</v>
      </c>
      <c r="D612" s="290" t="inlineStr">
        <is>
          <t>Team building EWI dengan team Well Intervention PEP Reg. 2</t>
        </is>
      </c>
      <c r="E612" s="291" t="inlineStr">
        <is>
          <t>BCA</t>
        </is>
      </c>
      <c r="F612" s="295" t="n">
        <v>39201350</v>
      </c>
      <c r="G612" s="289" t="inlineStr">
        <is>
          <t>IDR</t>
        </is>
      </c>
      <c r="H612" s="293" t="n">
        <v>1</v>
      </c>
      <c r="I612" s="291" t="n"/>
      <c r="J612" s="291" t="n"/>
      <c r="K612" s="291" t="n"/>
      <c r="L612" s="292">
        <f>$F612*$H612</f>
        <v/>
      </c>
      <c r="M612" s="291" t="n"/>
      <c r="N612" s="291" t="n"/>
      <c r="O612" s="291" t="n"/>
      <c r="P612" s="291" t="n"/>
      <c r="Q612" s="291" t="n"/>
      <c r="R612" s="287" t="n"/>
      <c r="S612" s="287" t="n"/>
      <c r="T612" s="287" t="n"/>
      <c r="U612" s="287" t="n"/>
      <c r="V612" s="287" t="n"/>
      <c r="W612" s="287" t="n"/>
      <c r="X612" s="287" t="n"/>
      <c r="Y612" s="287" t="n"/>
      <c r="Z612" s="287" t="n"/>
      <c r="AA612" s="287" t="n"/>
      <c r="AB612" s="287" t="n"/>
      <c r="AC612" s="287" t="n"/>
      <c r="AD612" s="287" t="n"/>
      <c r="AE612" s="287" t="n"/>
      <c r="AF612" s="287" t="n"/>
      <c r="AG612" s="287" t="n"/>
      <c r="AH612" s="287" t="n"/>
      <c r="AI612" s="287" t="n"/>
      <c r="AJ612" s="287" t="n"/>
      <c r="AK612" s="287" t="n"/>
      <c r="AL612" s="287" t="n"/>
      <c r="AM612" s="287" t="n"/>
      <c r="AN612" s="287" t="n"/>
      <c r="AO612" s="287" t="n"/>
      <c r="AP612" s="287" t="n"/>
      <c r="AQ612" s="287" t="n"/>
      <c r="AR612" s="287" t="n"/>
      <c r="AS612" s="287" t="n"/>
      <c r="AT612" s="287" t="n"/>
      <c r="AU612" s="287" t="n"/>
      <c r="AV612" s="287" t="n"/>
      <c r="AW612" s="287" t="n"/>
      <c r="AX612" s="287" t="n"/>
      <c r="AY612" s="287" t="n"/>
      <c r="AZ612" s="287" t="n"/>
      <c r="BA612" s="287" t="n"/>
      <c r="BB612" s="287" t="n"/>
      <c r="BC612" s="287" t="n"/>
      <c r="BD612" s="287" t="n"/>
      <c r="BE612" s="287" t="n"/>
      <c r="BF612" s="287" t="n"/>
      <c r="BG612" s="287" t="n"/>
      <c r="BH612" s="287" t="n"/>
    </row>
    <row r="613" ht="34.5" customHeight="1">
      <c r="B613" s="288" t="n">
        <v>45644</v>
      </c>
      <c r="C613" s="289" t="n">
        <v>86</v>
      </c>
      <c r="D613" s="290" t="inlineStr">
        <is>
          <t>Team building EWI dengan team Well Intervention PEP Reg. 2</t>
        </is>
      </c>
      <c r="E613" s="291" t="inlineStr">
        <is>
          <t>BCA</t>
        </is>
      </c>
      <c r="F613" s="295" t="n">
        <v>39201350</v>
      </c>
      <c r="G613" s="289" t="inlineStr">
        <is>
          <t>IDR</t>
        </is>
      </c>
      <c r="H613" s="293" t="n">
        <v>1</v>
      </c>
      <c r="I613" s="291" t="n"/>
      <c r="J613" s="291" t="n"/>
      <c r="K613" s="291" t="n"/>
      <c r="L613" s="292">
        <f>$F613*$H613</f>
        <v/>
      </c>
      <c r="M613" s="291" t="n"/>
      <c r="N613" s="291" t="n"/>
      <c r="O613" s="291" t="n"/>
      <c r="P613" s="291" t="n"/>
      <c r="Q613" s="291" t="n"/>
      <c r="R613" s="287" t="n"/>
      <c r="S613" s="287" t="n"/>
      <c r="T613" s="287" t="n"/>
      <c r="U613" s="287" t="n"/>
      <c r="V613" s="287" t="n"/>
      <c r="W613" s="287" t="n"/>
      <c r="X613" s="287" t="n"/>
      <c r="Y613" s="287" t="n"/>
      <c r="Z613" s="287" t="n"/>
      <c r="AA613" s="287" t="n"/>
      <c r="AB613" s="287" t="n"/>
      <c r="AC613" s="287" t="n"/>
      <c r="AD613" s="287" t="n"/>
      <c r="AE613" s="287" t="n"/>
      <c r="AF613" s="287" t="n"/>
      <c r="AG613" s="287" t="n"/>
      <c r="AH613" s="287" t="n"/>
      <c r="AI613" s="287" t="n"/>
      <c r="AJ613" s="287" t="n"/>
      <c r="AK613" s="287" t="n"/>
      <c r="AL613" s="287" t="n"/>
      <c r="AM613" s="287" t="n"/>
      <c r="AN613" s="287" t="n"/>
      <c r="AO613" s="287" t="n"/>
      <c r="AP613" s="287" t="n"/>
      <c r="AQ613" s="287" t="n"/>
      <c r="AR613" s="287" t="n"/>
      <c r="AS613" s="287" t="n"/>
      <c r="AT613" s="287" t="n"/>
      <c r="AU613" s="287" t="n"/>
      <c r="AV613" s="287" t="n"/>
      <c r="AW613" s="287" t="n"/>
      <c r="AX613" s="287" t="n"/>
      <c r="AY613" s="287" t="n"/>
      <c r="AZ613" s="287" t="n"/>
      <c r="BA613" s="287" t="n"/>
      <c r="BB613" s="287" t="n"/>
      <c r="BC613" s="287" t="n"/>
      <c r="BD613" s="287" t="n"/>
      <c r="BE613" s="287" t="n"/>
      <c r="BF613" s="287" t="n"/>
      <c r="BG613" s="287" t="n"/>
      <c r="BH613" s="287" t="n"/>
    </row>
    <row r="614" ht="34.5" customHeight="1">
      <c r="B614" s="288" t="n">
        <v>45644</v>
      </c>
      <c r="C614" s="289" t="n">
        <v>87</v>
      </c>
      <c r="D614" s="290" t="inlineStr">
        <is>
          <t>Team building EWI dengan team Well Intervention PEP Reg. 2</t>
        </is>
      </c>
      <c r="E614" s="291" t="inlineStr">
        <is>
          <t>BCA</t>
        </is>
      </c>
      <c r="F614" s="292" t="n">
        <v>39201350</v>
      </c>
      <c r="G614" s="289" t="inlineStr">
        <is>
          <t>IDR</t>
        </is>
      </c>
      <c r="H614" s="293" t="n">
        <v>1</v>
      </c>
      <c r="I614" s="291" t="n"/>
      <c r="J614" s="291" t="n"/>
      <c r="K614" s="291" t="n"/>
      <c r="L614" s="292">
        <f>$F614*$H614</f>
        <v/>
      </c>
      <c r="M614" s="291" t="n"/>
      <c r="N614" s="291" t="n"/>
      <c r="O614" s="291" t="n"/>
      <c r="P614" s="291" t="n"/>
      <c r="Q614" s="291" t="n"/>
      <c r="R614" s="287" t="n"/>
      <c r="S614" s="287" t="n"/>
      <c r="T614" s="287" t="n"/>
      <c r="U614" s="287" t="n"/>
      <c r="V614" s="287" t="n"/>
      <c r="W614" s="287" t="n"/>
      <c r="X614" s="287" t="n"/>
      <c r="Y614" s="287" t="n"/>
      <c r="Z614" s="287" t="n"/>
      <c r="AA614" s="287" t="n"/>
      <c r="AB614" s="287" t="n"/>
      <c r="AC614" s="287" t="n"/>
      <c r="AD614" s="287" t="n"/>
      <c r="AE614" s="287" t="n"/>
      <c r="AF614" s="287" t="n"/>
      <c r="AG614" s="287" t="n"/>
      <c r="AH614" s="287" t="n"/>
      <c r="AI614" s="287" t="n"/>
      <c r="AJ614" s="287" t="n"/>
      <c r="AK614" s="287" t="n"/>
      <c r="AL614" s="287" t="n"/>
      <c r="AM614" s="287" t="n"/>
      <c r="AN614" s="287" t="n"/>
      <c r="AO614" s="287" t="n"/>
      <c r="AP614" s="287" t="n"/>
      <c r="AQ614" s="287" t="n"/>
      <c r="AR614" s="287" t="n"/>
      <c r="AS614" s="287" t="n"/>
      <c r="AT614" s="287" t="n"/>
      <c r="AU614" s="287" t="n"/>
      <c r="AV614" s="287" t="n"/>
      <c r="AW614" s="287" t="n"/>
      <c r="AX614" s="287" t="n"/>
      <c r="AY614" s="287" t="n"/>
      <c r="AZ614" s="287" t="n"/>
      <c r="BA614" s="287" t="n"/>
      <c r="BB614" s="287" t="n"/>
      <c r="BC614" s="287" t="n"/>
      <c r="BD614" s="287" t="n"/>
      <c r="BE614" s="287" t="n"/>
      <c r="BF614" s="287" t="n"/>
      <c r="BG614" s="287" t="n"/>
      <c r="BH614" s="287" t="n"/>
    </row>
    <row r="615" ht="34.5" customHeight="1">
      <c r="B615" s="288" t="n">
        <v>45644</v>
      </c>
      <c r="C615" s="289" t="n">
        <v>88</v>
      </c>
      <c r="D615" s="290" t="inlineStr">
        <is>
          <t>Team building EWI dengan team Well Intervention PEP Reg. 2</t>
        </is>
      </c>
      <c r="E615" s="291" t="inlineStr">
        <is>
          <t>BCA</t>
        </is>
      </c>
      <c r="F615" s="295" t="n">
        <v>39201350</v>
      </c>
      <c r="G615" s="289" t="inlineStr">
        <is>
          <t>IDR</t>
        </is>
      </c>
      <c r="H615" s="293" t="n">
        <v>1</v>
      </c>
      <c r="I615" s="291" t="n"/>
      <c r="J615" s="291" t="n"/>
      <c r="K615" s="291" t="n"/>
      <c r="L615" s="292">
        <f>$F615*$H615</f>
        <v/>
      </c>
      <c r="M615" s="291" t="n"/>
      <c r="N615" s="291" t="n"/>
      <c r="O615" s="291" t="n"/>
      <c r="P615" s="291" t="n"/>
      <c r="Q615" s="291" t="n"/>
      <c r="R615" s="287" t="n"/>
      <c r="S615" s="287" t="n"/>
      <c r="T615" s="287" t="n"/>
      <c r="U615" s="287" t="n"/>
      <c r="V615" s="287" t="n"/>
      <c r="W615" s="287" t="n"/>
      <c r="X615" s="287" t="n"/>
      <c r="Y615" s="287" t="n"/>
      <c r="Z615" s="287" t="n"/>
      <c r="AA615" s="287" t="n"/>
      <c r="AB615" s="287" t="n"/>
      <c r="AC615" s="287" t="n"/>
      <c r="AD615" s="287" t="n"/>
      <c r="AE615" s="287" t="n"/>
      <c r="AF615" s="287" t="n"/>
      <c r="AG615" s="287" t="n"/>
      <c r="AH615" s="287" t="n"/>
      <c r="AI615" s="287" t="n"/>
      <c r="AJ615" s="287" t="n"/>
      <c r="AK615" s="287" t="n"/>
      <c r="AL615" s="287" t="n"/>
      <c r="AM615" s="287" t="n"/>
      <c r="AN615" s="287" t="n"/>
      <c r="AO615" s="287" t="n"/>
      <c r="AP615" s="287" t="n"/>
      <c r="AQ615" s="287" t="n"/>
      <c r="AR615" s="287" t="n"/>
      <c r="AS615" s="287" t="n"/>
      <c r="AT615" s="287" t="n"/>
      <c r="AU615" s="287" t="n"/>
      <c r="AV615" s="287" t="n"/>
      <c r="AW615" s="287" t="n"/>
      <c r="AX615" s="287" t="n"/>
      <c r="AY615" s="287" t="n"/>
      <c r="AZ615" s="287" t="n"/>
      <c r="BA615" s="287" t="n"/>
      <c r="BB615" s="287" t="n"/>
      <c r="BC615" s="287" t="n"/>
      <c r="BD615" s="287" t="n"/>
      <c r="BE615" s="287" t="n"/>
      <c r="BF615" s="287" t="n"/>
      <c r="BG615" s="287" t="n"/>
      <c r="BH615" s="287" t="n"/>
    </row>
    <row r="616" ht="15.5" customHeight="1">
      <c r="B616" s="284" t="n"/>
      <c r="C616" s="284" t="n"/>
      <c r="D616" s="285" t="inlineStr">
        <is>
          <t>Modal Kerja</t>
        </is>
      </c>
      <c r="E616" s="284" t="n"/>
      <c r="F616" s="286" t="n"/>
      <c r="G616" s="284" t="n"/>
      <c r="H616" s="284" t="n"/>
      <c r="I616" s="284" t="n"/>
      <c r="J616" s="284" t="n"/>
      <c r="K616" s="284" t="n"/>
      <c r="L616" s="284" t="n"/>
      <c r="M616" s="284" t="n"/>
      <c r="N616" s="284" t="n"/>
      <c r="O616" s="284" t="n"/>
      <c r="P616" s="284" t="n"/>
      <c r="Q616" s="284" t="n"/>
      <c r="R616" s="287" t="n"/>
      <c r="S616" s="287" t="n"/>
      <c r="T616" s="287" t="n"/>
      <c r="U616" s="287" t="n"/>
      <c r="V616" s="287" t="n"/>
      <c r="W616" s="287" t="n"/>
      <c r="X616" s="287" t="n"/>
      <c r="Y616" s="287" t="n"/>
      <c r="Z616" s="287" t="n"/>
      <c r="AA616" s="287" t="n"/>
      <c r="AB616" s="287" t="n"/>
      <c r="AC616" s="287" t="n"/>
      <c r="AD616" s="287" t="n"/>
      <c r="AE616" s="287" t="n"/>
      <c r="AF616" s="287" t="n"/>
      <c r="AG616" s="287" t="n"/>
      <c r="AH616" s="287" t="n"/>
      <c r="AI616" s="287" t="n"/>
      <c r="AJ616" s="287" t="n"/>
      <c r="AK616" s="287" t="n"/>
      <c r="AL616" s="287" t="n"/>
      <c r="AM616" s="287" t="n"/>
      <c r="AN616" s="287" t="n"/>
      <c r="AO616" s="287" t="n"/>
      <c r="AP616" s="287" t="n"/>
      <c r="AQ616" s="287" t="n"/>
      <c r="AR616" s="287" t="n"/>
      <c r="AS616" s="287" t="n"/>
      <c r="AT616" s="287" t="n"/>
      <c r="AU616" s="287" t="n"/>
      <c r="AV616" s="287" t="n"/>
      <c r="AW616" s="287" t="n"/>
      <c r="AX616" s="287" t="n"/>
      <c r="AY616" s="287" t="n"/>
      <c r="AZ616" s="287" t="n"/>
      <c r="BA616" s="287" t="n"/>
      <c r="BB616" s="287" t="n"/>
      <c r="BC616" s="287" t="n"/>
      <c r="BD616" s="287" t="n"/>
      <c r="BE616" s="287" t="n"/>
      <c r="BF616" s="287" t="n"/>
      <c r="BG616" s="287" t="n"/>
      <c r="BH616" s="287" t="n"/>
    </row>
    <row r="617" ht="34.5" customHeight="1">
      <c r="B617" s="288" t="n">
        <v>45483</v>
      </c>
      <c r="C617" s="289" t="n">
        <v>89</v>
      </c>
      <c r="D617" s="290" t="inlineStr">
        <is>
          <t>Pembelian Lisence Sonoechometer to PT Weebz Mandiri</t>
        </is>
      </c>
      <c r="E617" s="291" t="inlineStr">
        <is>
          <t>BCA</t>
        </is>
      </c>
      <c r="F617" s="295" t="n">
        <v>16650000</v>
      </c>
      <c r="G617" s="289" t="inlineStr">
        <is>
          <t>IDR</t>
        </is>
      </c>
      <c r="H617" s="293" t="n">
        <v>1</v>
      </c>
      <c r="I617" s="291" t="n"/>
      <c r="J617" s="291" t="n"/>
      <c r="K617" s="291" t="n"/>
      <c r="L617" s="291" t="n"/>
      <c r="M617" s="291" t="n"/>
      <c r="N617" s="291" t="n"/>
      <c r="O617" s="291" t="n"/>
      <c r="P617" s="291" t="n"/>
      <c r="Q617" s="292">
        <f>$F617*$H617</f>
        <v/>
      </c>
      <c r="R617" s="287" t="n"/>
      <c r="S617" s="287" t="n"/>
      <c r="T617" s="287" t="n"/>
      <c r="U617" s="287" t="n"/>
      <c r="V617" s="287" t="n"/>
      <c r="W617" s="287" t="n"/>
      <c r="X617" s="287" t="n"/>
      <c r="Y617" s="287" t="n"/>
      <c r="Z617" s="287" t="n"/>
      <c r="AA617" s="287" t="n"/>
      <c r="AB617" s="287" t="n"/>
      <c r="AC617" s="287" t="n"/>
      <c r="AD617" s="287" t="n"/>
      <c r="AE617" s="287" t="n"/>
      <c r="AF617" s="287" t="n"/>
      <c r="AG617" s="287" t="n"/>
      <c r="AH617" s="287" t="n"/>
      <c r="AI617" s="287" t="n"/>
      <c r="AJ617" s="287" t="n"/>
      <c r="AK617" s="287" t="n"/>
      <c r="AL617" s="287" t="n"/>
      <c r="AM617" s="287" t="n"/>
      <c r="AN617" s="287" t="n"/>
      <c r="AO617" s="287" t="n"/>
      <c r="AP617" s="287" t="n"/>
      <c r="AQ617" s="287" t="n"/>
      <c r="AR617" s="287" t="n"/>
      <c r="AS617" s="287" t="n"/>
      <c r="AT617" s="287" t="n"/>
      <c r="AU617" s="287" t="n"/>
      <c r="AV617" s="287" t="n"/>
      <c r="AW617" s="287" t="n"/>
      <c r="AX617" s="287" t="n"/>
      <c r="AY617" s="287" t="n"/>
      <c r="AZ617" s="287" t="n"/>
      <c r="BA617" s="287" t="n"/>
      <c r="BB617" s="287" t="n"/>
      <c r="BC617" s="287" t="n"/>
      <c r="BD617" s="287" t="n"/>
      <c r="BE617" s="287" t="n"/>
      <c r="BF617" s="287" t="n"/>
      <c r="BG617" s="287" t="n"/>
      <c r="BH617" s="287" t="n"/>
    </row>
    <row r="618" ht="34.5" customHeight="1">
      <c r="B618" s="288" t="n">
        <v>45483</v>
      </c>
      <c r="C618" s="289" t="n">
        <v>90</v>
      </c>
      <c r="D618" s="290" t="inlineStr">
        <is>
          <t>Pembelian Lisence Sonoechometer to PT Weebz Mandiri</t>
        </is>
      </c>
      <c r="E618" s="291" t="inlineStr">
        <is>
          <t>BCA</t>
        </is>
      </c>
      <c r="F618" s="295" t="n">
        <v>16650000</v>
      </c>
      <c r="G618" s="289" t="inlineStr">
        <is>
          <t>IDR</t>
        </is>
      </c>
      <c r="H618" s="293" t="n">
        <v>1</v>
      </c>
      <c r="I618" s="291" t="n"/>
      <c r="J618" s="291" t="n"/>
      <c r="K618" s="291" t="n"/>
      <c r="L618" s="291" t="n"/>
      <c r="M618" s="291" t="n"/>
      <c r="N618" s="291" t="n"/>
      <c r="O618" s="291" t="n"/>
      <c r="P618" s="291" t="n"/>
      <c r="Q618" s="292">
        <f>$F618*$H618</f>
        <v/>
      </c>
      <c r="R618" s="287" t="n"/>
      <c r="S618" s="287" t="n"/>
      <c r="T618" s="287" t="n"/>
      <c r="U618" s="287" t="n"/>
      <c r="V618" s="287" t="n"/>
      <c r="W618" s="287" t="n"/>
      <c r="X618" s="287" t="n"/>
      <c r="Y618" s="287" t="n"/>
      <c r="Z618" s="287" t="n"/>
      <c r="AA618" s="287" t="n"/>
      <c r="AB618" s="287" t="n"/>
      <c r="AC618" s="287" t="n"/>
      <c r="AD618" s="287" t="n"/>
      <c r="AE618" s="287" t="n"/>
      <c r="AF618" s="287" t="n"/>
      <c r="AG618" s="287" t="n"/>
      <c r="AH618" s="287" t="n"/>
      <c r="AI618" s="287" t="n"/>
      <c r="AJ618" s="287" t="n"/>
      <c r="AK618" s="287" t="n"/>
      <c r="AL618" s="287" t="n"/>
      <c r="AM618" s="287" t="n"/>
      <c r="AN618" s="287" t="n"/>
      <c r="AO618" s="287" t="n"/>
      <c r="AP618" s="287" t="n"/>
      <c r="AQ618" s="287" t="n"/>
      <c r="AR618" s="287" t="n"/>
      <c r="AS618" s="287" t="n"/>
      <c r="AT618" s="287" t="n"/>
      <c r="AU618" s="287" t="n"/>
      <c r="AV618" s="287" t="n"/>
      <c r="AW618" s="287" t="n"/>
      <c r="AX618" s="287" t="n"/>
      <c r="AY618" s="287" t="n"/>
      <c r="AZ618" s="287" t="n"/>
      <c r="BA618" s="287" t="n"/>
      <c r="BB618" s="287" t="n"/>
      <c r="BC618" s="287" t="n"/>
      <c r="BD618" s="287" t="n"/>
      <c r="BE618" s="287" t="n"/>
      <c r="BF618" s="287" t="n"/>
      <c r="BG618" s="287" t="n"/>
      <c r="BH618" s="287" t="n"/>
    </row>
    <row r="619" ht="34.5" customHeight="1">
      <c r="B619" s="288" t="n">
        <v>45483</v>
      </c>
      <c r="C619" s="289" t="n">
        <v>91</v>
      </c>
      <c r="D619" s="290" t="inlineStr">
        <is>
          <t>Pembelian Lisence Sonoechometer to PT Weebz Mandiri</t>
        </is>
      </c>
      <c r="E619" s="291" t="inlineStr">
        <is>
          <t>BCA</t>
        </is>
      </c>
      <c r="F619" s="295" t="n">
        <v>16650000</v>
      </c>
      <c r="G619" s="289" t="inlineStr">
        <is>
          <t>IDR</t>
        </is>
      </c>
      <c r="H619" s="293" t="n">
        <v>1</v>
      </c>
      <c r="I619" s="291" t="n"/>
      <c r="J619" s="291" t="n"/>
      <c r="K619" s="291" t="n"/>
      <c r="L619" s="291" t="n"/>
      <c r="M619" s="291" t="n"/>
      <c r="N619" s="291" t="n"/>
      <c r="O619" s="291" t="n"/>
      <c r="P619" s="291" t="n"/>
      <c r="Q619" s="292">
        <f>$F619*$H619</f>
        <v/>
      </c>
      <c r="R619" s="287" t="n"/>
      <c r="S619" s="287" t="n"/>
      <c r="T619" s="287" t="n"/>
      <c r="U619" s="287" t="n"/>
      <c r="V619" s="287" t="n"/>
      <c r="W619" s="287" t="n"/>
      <c r="X619" s="287" t="n"/>
      <c r="Y619" s="287" t="n"/>
      <c r="Z619" s="287" t="n"/>
      <c r="AA619" s="287" t="n"/>
      <c r="AB619" s="287" t="n"/>
      <c r="AC619" s="287" t="n"/>
      <c r="AD619" s="287" t="n"/>
      <c r="AE619" s="287" t="n"/>
      <c r="AF619" s="287" t="n"/>
      <c r="AG619" s="287" t="n"/>
      <c r="AH619" s="287" t="n"/>
      <c r="AI619" s="287" t="n"/>
      <c r="AJ619" s="287" t="n"/>
      <c r="AK619" s="287" t="n"/>
      <c r="AL619" s="287" t="n"/>
      <c r="AM619" s="287" t="n"/>
      <c r="AN619" s="287" t="n"/>
      <c r="AO619" s="287" t="n"/>
      <c r="AP619" s="287" t="n"/>
      <c r="AQ619" s="287" t="n"/>
      <c r="AR619" s="287" t="n"/>
      <c r="AS619" s="287" t="n"/>
      <c r="AT619" s="287" t="n"/>
      <c r="AU619" s="287" t="n"/>
      <c r="AV619" s="287" t="n"/>
      <c r="AW619" s="287" t="n"/>
      <c r="AX619" s="287" t="n"/>
      <c r="AY619" s="287" t="n"/>
      <c r="AZ619" s="287" t="n"/>
      <c r="BA619" s="287" t="n"/>
      <c r="BB619" s="287" t="n"/>
      <c r="BC619" s="287" t="n"/>
      <c r="BD619" s="287" t="n"/>
      <c r="BE619" s="287" t="n"/>
      <c r="BF619" s="287" t="n"/>
      <c r="BG619" s="287" t="n"/>
      <c r="BH619" s="287" t="n"/>
    </row>
    <row r="620" ht="34.5" customHeight="1">
      <c r="B620" s="288" t="n">
        <v>45483</v>
      </c>
      <c r="C620" s="289" t="n">
        <v>92</v>
      </c>
      <c r="D620" s="290" t="inlineStr">
        <is>
          <t>Pembelian Lisence Sonoechometer to PT Weebz Mandiri</t>
        </is>
      </c>
      <c r="E620" s="291" t="inlineStr">
        <is>
          <t>BCA</t>
        </is>
      </c>
      <c r="F620" s="295" t="n">
        <v>16650000</v>
      </c>
      <c r="G620" s="289" t="inlineStr">
        <is>
          <t>IDR</t>
        </is>
      </c>
      <c r="H620" s="293" t="n">
        <v>1</v>
      </c>
      <c r="I620" s="291" t="n"/>
      <c r="J620" s="291" t="n"/>
      <c r="K620" s="291" t="n"/>
      <c r="L620" s="291" t="n"/>
      <c r="M620" s="291" t="n"/>
      <c r="N620" s="291" t="n"/>
      <c r="O620" s="291" t="n"/>
      <c r="P620" s="291" t="n"/>
      <c r="Q620" s="292">
        <f>$F620*$H620</f>
        <v/>
      </c>
      <c r="R620" s="287" t="n"/>
      <c r="S620" s="287" t="n"/>
      <c r="T620" s="287" t="n"/>
      <c r="U620" s="287" t="n"/>
      <c r="V620" s="287" t="n"/>
      <c r="W620" s="287" t="n"/>
      <c r="X620" s="287" t="n"/>
      <c r="Y620" s="287" t="n"/>
      <c r="Z620" s="287" t="n"/>
      <c r="AA620" s="287" t="n"/>
      <c r="AB620" s="287" t="n"/>
      <c r="AC620" s="287" t="n"/>
      <c r="AD620" s="287" t="n"/>
      <c r="AE620" s="287" t="n"/>
      <c r="AF620" s="287" t="n"/>
      <c r="AG620" s="287" t="n"/>
      <c r="AH620" s="287" t="n"/>
      <c r="AI620" s="287" t="n"/>
      <c r="AJ620" s="287" t="n"/>
      <c r="AK620" s="287" t="n"/>
      <c r="AL620" s="287" t="n"/>
      <c r="AM620" s="287" t="n"/>
      <c r="AN620" s="287" t="n"/>
      <c r="AO620" s="287" t="n"/>
      <c r="AP620" s="287" t="n"/>
      <c r="AQ620" s="287" t="n"/>
      <c r="AR620" s="287" t="n"/>
      <c r="AS620" s="287" t="n"/>
      <c r="AT620" s="287" t="n"/>
      <c r="AU620" s="287" t="n"/>
      <c r="AV620" s="287" t="n"/>
      <c r="AW620" s="287" t="n"/>
      <c r="AX620" s="287" t="n"/>
      <c r="AY620" s="287" t="n"/>
      <c r="AZ620" s="287" t="n"/>
      <c r="BA620" s="287" t="n"/>
      <c r="BB620" s="287" t="n"/>
      <c r="BC620" s="287" t="n"/>
      <c r="BD620" s="287" t="n"/>
      <c r="BE620" s="287" t="n"/>
      <c r="BF620" s="287" t="n"/>
      <c r="BG620" s="287" t="n"/>
      <c r="BH620" s="287" t="n"/>
    </row>
    <row r="621" ht="18.75" customHeight="1">
      <c r="B621" s="288" t="n">
        <v>45519</v>
      </c>
      <c r="C621" s="289" t="n">
        <v>93</v>
      </c>
      <c r="D621" s="290" t="inlineStr">
        <is>
          <t>MUTRI | Sewa ruangan kantor BBC 2 bulan</t>
        </is>
      </c>
      <c r="E621" s="291" t="inlineStr">
        <is>
          <t>BCA</t>
        </is>
      </c>
      <c r="F621" s="295" t="n">
        <v>11270000</v>
      </c>
      <c r="G621" s="289" t="inlineStr">
        <is>
          <t>IDR</t>
        </is>
      </c>
      <c r="H621" s="293" t="n">
        <v>1</v>
      </c>
      <c r="I621" s="291" t="n"/>
      <c r="J621" s="291" t="n"/>
      <c r="K621" s="291" t="n"/>
      <c r="L621" s="291" t="n"/>
      <c r="M621" s="291" t="n"/>
      <c r="N621" s="291" t="n"/>
      <c r="O621" s="291" t="n"/>
      <c r="P621" s="291" t="n"/>
      <c r="Q621" s="292">
        <f>$F621*$H621</f>
        <v/>
      </c>
      <c r="R621" s="287" t="n"/>
      <c r="S621" s="287" t="n"/>
      <c r="T621" s="287" t="n"/>
      <c r="U621" s="287" t="n"/>
      <c r="V621" s="287" t="n"/>
      <c r="W621" s="287" t="n"/>
      <c r="X621" s="287" t="n"/>
      <c r="Y621" s="287" t="n"/>
      <c r="Z621" s="287" t="n"/>
      <c r="AA621" s="287" t="n"/>
      <c r="AB621" s="287" t="n"/>
      <c r="AC621" s="287" t="n"/>
      <c r="AD621" s="287" t="n"/>
      <c r="AE621" s="287" t="n"/>
      <c r="AF621" s="287" t="n"/>
      <c r="AG621" s="287" t="n"/>
      <c r="AH621" s="287" t="n"/>
      <c r="AI621" s="287" t="n"/>
      <c r="AJ621" s="287" t="n"/>
      <c r="AK621" s="287" t="n"/>
      <c r="AL621" s="287" t="n"/>
      <c r="AM621" s="287" t="n"/>
      <c r="AN621" s="287" t="n"/>
      <c r="AO621" s="287" t="n"/>
      <c r="AP621" s="287" t="n"/>
      <c r="AQ621" s="287" t="n"/>
      <c r="AR621" s="287" t="n"/>
      <c r="AS621" s="287" t="n"/>
      <c r="AT621" s="287" t="n"/>
      <c r="AU621" s="287" t="n"/>
      <c r="AV621" s="287" t="n"/>
      <c r="AW621" s="287" t="n"/>
      <c r="AX621" s="287" t="n"/>
      <c r="AY621" s="287" t="n"/>
      <c r="AZ621" s="287" t="n"/>
      <c r="BA621" s="287" t="n"/>
      <c r="BB621" s="287" t="n"/>
      <c r="BC621" s="287" t="n"/>
      <c r="BD621" s="287" t="n"/>
      <c r="BE621" s="287" t="n"/>
      <c r="BF621" s="287" t="n"/>
      <c r="BG621" s="287" t="n"/>
      <c r="BH621" s="287" t="n"/>
    </row>
    <row r="622" ht="18.75" customHeight="1">
      <c r="B622" s="288" t="n">
        <v>45519</v>
      </c>
      <c r="C622" s="289" t="n">
        <v>94</v>
      </c>
      <c r="D622" s="290" t="inlineStr">
        <is>
          <t>MUTRI | Sewa ruangan kantor BBC 2 bulan</t>
        </is>
      </c>
      <c r="E622" s="291" t="inlineStr">
        <is>
          <t>BCA</t>
        </is>
      </c>
      <c r="F622" s="295" t="n">
        <v>11270000</v>
      </c>
      <c r="G622" s="289" t="inlineStr">
        <is>
          <t>IDR</t>
        </is>
      </c>
      <c r="H622" s="293" t="n">
        <v>1</v>
      </c>
      <c r="I622" s="291" t="n"/>
      <c r="J622" s="291" t="n"/>
      <c r="K622" s="291" t="n"/>
      <c r="L622" s="291" t="n"/>
      <c r="M622" s="291" t="n"/>
      <c r="N622" s="291" t="n"/>
      <c r="O622" s="291" t="n"/>
      <c r="P622" s="291" t="n"/>
      <c r="Q622" s="292">
        <f>$F622*$H622</f>
        <v/>
      </c>
      <c r="R622" s="287" t="n"/>
      <c r="S622" s="287" t="n"/>
      <c r="T622" s="287" t="n"/>
      <c r="U622" s="287" t="n"/>
      <c r="V622" s="287" t="n"/>
      <c r="W622" s="287" t="n"/>
      <c r="X622" s="287" t="n"/>
      <c r="Y622" s="287" t="n"/>
      <c r="Z622" s="287" t="n"/>
      <c r="AA622" s="287" t="n"/>
      <c r="AB622" s="287" t="n"/>
      <c r="AC622" s="287" t="n"/>
      <c r="AD622" s="287" t="n"/>
      <c r="AE622" s="287" t="n"/>
      <c r="AF622" s="287" t="n"/>
      <c r="AG622" s="287" t="n"/>
      <c r="AH622" s="287" t="n"/>
      <c r="AI622" s="287" t="n"/>
      <c r="AJ622" s="287" t="n"/>
      <c r="AK622" s="287" t="n"/>
      <c r="AL622" s="287" t="n"/>
      <c r="AM622" s="287" t="n"/>
      <c r="AN622" s="287" t="n"/>
      <c r="AO622" s="287" t="n"/>
      <c r="AP622" s="287" t="n"/>
      <c r="AQ622" s="287" t="n"/>
      <c r="AR622" s="287" t="n"/>
      <c r="AS622" s="287" t="n"/>
      <c r="AT622" s="287" t="n"/>
      <c r="AU622" s="287" t="n"/>
      <c r="AV622" s="287" t="n"/>
      <c r="AW622" s="287" t="n"/>
      <c r="AX622" s="287" t="n"/>
      <c r="AY622" s="287" t="n"/>
      <c r="AZ622" s="287" t="n"/>
      <c r="BA622" s="287" t="n"/>
      <c r="BB622" s="287" t="n"/>
      <c r="BC622" s="287" t="n"/>
      <c r="BD622" s="287" t="n"/>
      <c r="BE622" s="287" t="n"/>
      <c r="BF622" s="287" t="n"/>
      <c r="BG622" s="287" t="n"/>
      <c r="BH622" s="287" t="n"/>
    </row>
    <row r="623" ht="18.75" customHeight="1">
      <c r="B623" s="288" t="n">
        <v>45519</v>
      </c>
      <c r="C623" s="289" t="n">
        <v>95</v>
      </c>
      <c r="D623" s="290" t="inlineStr">
        <is>
          <t>MUTRI | Sewa ruangan kantor BBC 2 bulan</t>
        </is>
      </c>
      <c r="E623" s="291" t="inlineStr">
        <is>
          <t>BCA</t>
        </is>
      </c>
      <c r="F623" s="295" t="n">
        <v>11270000</v>
      </c>
      <c r="G623" s="289" t="inlineStr">
        <is>
          <t>IDR</t>
        </is>
      </c>
      <c r="H623" s="293" t="n">
        <v>1</v>
      </c>
      <c r="I623" s="291" t="n"/>
      <c r="J623" s="291" t="n"/>
      <c r="K623" s="291" t="n"/>
      <c r="L623" s="291" t="n"/>
      <c r="M623" s="291" t="n"/>
      <c r="N623" s="291" t="n"/>
      <c r="O623" s="291" t="n"/>
      <c r="P623" s="291" t="n"/>
      <c r="Q623" s="292">
        <f>$F623*$H623</f>
        <v/>
      </c>
      <c r="R623" s="287" t="n"/>
      <c r="S623" s="287" t="n"/>
      <c r="T623" s="287" t="n"/>
      <c r="U623" s="287" t="n"/>
      <c r="V623" s="287" t="n"/>
      <c r="W623" s="287" t="n"/>
      <c r="X623" s="287" t="n"/>
      <c r="Y623" s="287" t="n"/>
      <c r="Z623" s="287" t="n"/>
      <c r="AA623" s="287" t="n"/>
      <c r="AB623" s="287" t="n"/>
      <c r="AC623" s="287" t="n"/>
      <c r="AD623" s="287" t="n"/>
      <c r="AE623" s="287" t="n"/>
      <c r="AF623" s="287" t="n"/>
      <c r="AG623" s="287" t="n"/>
      <c r="AH623" s="287" t="n"/>
      <c r="AI623" s="287" t="n"/>
      <c r="AJ623" s="287" t="n"/>
      <c r="AK623" s="287" t="n"/>
      <c r="AL623" s="287" t="n"/>
      <c r="AM623" s="287" t="n"/>
      <c r="AN623" s="287" t="n"/>
      <c r="AO623" s="287" t="n"/>
      <c r="AP623" s="287" t="n"/>
      <c r="AQ623" s="287" t="n"/>
      <c r="AR623" s="287" t="n"/>
      <c r="AS623" s="287" t="n"/>
      <c r="AT623" s="287" t="n"/>
      <c r="AU623" s="287" t="n"/>
      <c r="AV623" s="287" t="n"/>
      <c r="AW623" s="287" t="n"/>
      <c r="AX623" s="287" t="n"/>
      <c r="AY623" s="287" t="n"/>
      <c r="AZ623" s="287" t="n"/>
      <c r="BA623" s="287" t="n"/>
      <c r="BB623" s="287" t="n"/>
      <c r="BC623" s="287" t="n"/>
      <c r="BD623" s="287" t="n"/>
      <c r="BE623" s="287" t="n"/>
      <c r="BF623" s="287" t="n"/>
      <c r="BG623" s="287" t="n"/>
      <c r="BH623" s="287" t="n"/>
    </row>
    <row r="624" ht="18.75" customHeight="1">
      <c r="B624" s="288" t="n">
        <v>45519</v>
      </c>
      <c r="C624" s="289" t="n">
        <v>96</v>
      </c>
      <c r="D624" s="290" t="inlineStr">
        <is>
          <t>MUTRI | Sewa ruangan kantor BBC 2 bulan</t>
        </is>
      </c>
      <c r="E624" s="291" t="inlineStr">
        <is>
          <t>BCA</t>
        </is>
      </c>
      <c r="F624" s="295" t="n">
        <v>11270000</v>
      </c>
      <c r="G624" s="289" t="inlineStr">
        <is>
          <t>IDR</t>
        </is>
      </c>
      <c r="H624" s="293" t="n">
        <v>1</v>
      </c>
      <c r="I624" s="291" t="n"/>
      <c r="J624" s="291" t="n"/>
      <c r="K624" s="291" t="n"/>
      <c r="L624" s="291" t="n"/>
      <c r="M624" s="291" t="n"/>
      <c r="N624" s="291" t="n"/>
      <c r="O624" s="291" t="n"/>
      <c r="P624" s="291" t="n"/>
      <c r="Q624" s="292">
        <f>$F624*$H624</f>
        <v/>
      </c>
      <c r="R624" s="287" t="n"/>
      <c r="S624" s="287" t="n"/>
      <c r="T624" s="287" t="n"/>
      <c r="U624" s="287" t="n"/>
      <c r="V624" s="287" t="n"/>
      <c r="W624" s="287" t="n"/>
      <c r="X624" s="287" t="n"/>
      <c r="Y624" s="287" t="n"/>
      <c r="Z624" s="287" t="n"/>
      <c r="AA624" s="287" t="n"/>
      <c r="AB624" s="287" t="n"/>
      <c r="AC624" s="287" t="n"/>
      <c r="AD624" s="287" t="n"/>
      <c r="AE624" s="287" t="n"/>
      <c r="AF624" s="287" t="n"/>
      <c r="AG624" s="287" t="n"/>
      <c r="AH624" s="287" t="n"/>
      <c r="AI624" s="287" t="n"/>
      <c r="AJ624" s="287" t="n"/>
      <c r="AK624" s="287" t="n"/>
      <c r="AL624" s="287" t="n"/>
      <c r="AM624" s="287" t="n"/>
      <c r="AN624" s="287" t="n"/>
      <c r="AO624" s="287" t="n"/>
      <c r="AP624" s="287" t="n"/>
      <c r="AQ624" s="287" t="n"/>
      <c r="AR624" s="287" t="n"/>
      <c r="AS624" s="287" t="n"/>
      <c r="AT624" s="287" t="n"/>
      <c r="AU624" s="287" t="n"/>
      <c r="AV624" s="287" t="n"/>
      <c r="AW624" s="287" t="n"/>
      <c r="AX624" s="287" t="n"/>
      <c r="AY624" s="287" t="n"/>
      <c r="AZ624" s="287" t="n"/>
      <c r="BA624" s="287" t="n"/>
      <c r="BB624" s="287" t="n"/>
      <c r="BC624" s="287" t="n"/>
      <c r="BD624" s="287" t="n"/>
      <c r="BE624" s="287" t="n"/>
      <c r="BF624" s="287" t="n"/>
      <c r="BG624" s="287" t="n"/>
      <c r="BH624" s="287" t="n"/>
    </row>
    <row r="625" ht="18.75" customHeight="1">
      <c r="B625" s="288" t="n">
        <v>45539</v>
      </c>
      <c r="C625" s="289" t="n">
        <v>97</v>
      </c>
      <c r="D625" s="290" t="inlineStr">
        <is>
          <t>MUTRI | Penambahan modal biaya kerja</t>
        </is>
      </c>
      <c r="E625" s="291" t="inlineStr">
        <is>
          <t>BRI</t>
        </is>
      </c>
      <c r="F625" s="295" t="n">
        <v>100000000</v>
      </c>
      <c r="G625" s="289" t="inlineStr">
        <is>
          <t>IDR</t>
        </is>
      </c>
      <c r="H625" s="293" t="n">
        <v>1</v>
      </c>
      <c r="I625" s="291" t="n"/>
      <c r="J625" s="291" t="n"/>
      <c r="K625" s="291" t="n"/>
      <c r="L625" s="291" t="n"/>
      <c r="M625" s="291" t="n"/>
      <c r="N625" s="291" t="n"/>
      <c r="O625" s="291" t="n"/>
      <c r="P625" s="291" t="n"/>
      <c r="Q625" s="292">
        <f>$F625*$H625</f>
        <v/>
      </c>
      <c r="R625" s="287" t="n"/>
      <c r="S625" s="287" t="n"/>
      <c r="T625" s="287" t="n"/>
      <c r="U625" s="287" t="n"/>
      <c r="V625" s="287" t="n"/>
      <c r="W625" s="287" t="n"/>
      <c r="X625" s="287" t="n"/>
      <c r="Y625" s="287" t="n"/>
      <c r="Z625" s="287" t="n"/>
      <c r="AA625" s="287" t="n"/>
      <c r="AB625" s="287" t="n"/>
      <c r="AC625" s="287" t="n"/>
      <c r="AD625" s="287" t="n"/>
      <c r="AE625" s="287" t="n"/>
      <c r="AF625" s="287" t="n"/>
      <c r="AG625" s="287" t="n"/>
      <c r="AH625" s="287" t="n"/>
      <c r="AI625" s="287" t="n"/>
      <c r="AJ625" s="287" t="n"/>
      <c r="AK625" s="287" t="n"/>
      <c r="AL625" s="287" t="n"/>
      <c r="AM625" s="287" t="n"/>
      <c r="AN625" s="287" t="n"/>
      <c r="AO625" s="287" t="n"/>
      <c r="AP625" s="287" t="n"/>
      <c r="AQ625" s="287" t="n"/>
      <c r="AR625" s="287" t="n"/>
      <c r="AS625" s="287" t="n"/>
      <c r="AT625" s="287" t="n"/>
      <c r="AU625" s="287" t="n"/>
      <c r="AV625" s="287" t="n"/>
      <c r="AW625" s="287" t="n"/>
      <c r="AX625" s="287" t="n"/>
      <c r="AY625" s="287" t="n"/>
      <c r="AZ625" s="287" t="n"/>
      <c r="BA625" s="287" t="n"/>
      <c r="BB625" s="287" t="n"/>
      <c r="BC625" s="287" t="n"/>
      <c r="BD625" s="287" t="n"/>
      <c r="BE625" s="287" t="n"/>
      <c r="BF625" s="287" t="n"/>
      <c r="BG625" s="287" t="n"/>
      <c r="BH625" s="287" t="n"/>
    </row>
    <row r="626" ht="18.75" customHeight="1">
      <c r="B626" s="288" t="n">
        <v>45539</v>
      </c>
      <c r="C626" s="289" t="n">
        <v>98</v>
      </c>
      <c r="D626" s="290" t="inlineStr">
        <is>
          <t>MUTRI | Penambahan modal biaya kerja</t>
        </is>
      </c>
      <c r="E626" s="291" t="inlineStr">
        <is>
          <t>BRI</t>
        </is>
      </c>
      <c r="F626" s="295" t="n">
        <v>100000000</v>
      </c>
      <c r="G626" s="289" t="inlineStr">
        <is>
          <t>IDR</t>
        </is>
      </c>
      <c r="H626" s="293" t="n">
        <v>1</v>
      </c>
      <c r="I626" s="291" t="n"/>
      <c r="J626" s="291" t="n"/>
      <c r="K626" s="291" t="n"/>
      <c r="L626" s="291" t="n"/>
      <c r="M626" s="291" t="n"/>
      <c r="N626" s="291" t="n"/>
      <c r="O626" s="291" t="n"/>
      <c r="P626" s="291" t="n"/>
      <c r="Q626" s="292">
        <f>$F626*$H626</f>
        <v/>
      </c>
      <c r="R626" s="287" t="n"/>
      <c r="S626" s="287" t="n"/>
      <c r="T626" s="287" t="n"/>
      <c r="U626" s="287" t="n"/>
      <c r="V626" s="287" t="n"/>
      <c r="W626" s="287" t="n"/>
      <c r="X626" s="287" t="n"/>
      <c r="Y626" s="287" t="n"/>
      <c r="Z626" s="287" t="n"/>
      <c r="AA626" s="287" t="n"/>
      <c r="AB626" s="287" t="n"/>
      <c r="AC626" s="287" t="n"/>
      <c r="AD626" s="287" t="n"/>
      <c r="AE626" s="287" t="n"/>
      <c r="AF626" s="287" t="n"/>
      <c r="AG626" s="287" t="n"/>
      <c r="AH626" s="287" t="n"/>
      <c r="AI626" s="287" t="n"/>
      <c r="AJ626" s="287" t="n"/>
      <c r="AK626" s="287" t="n"/>
      <c r="AL626" s="287" t="n"/>
      <c r="AM626" s="287" t="n"/>
      <c r="AN626" s="287" t="n"/>
      <c r="AO626" s="287" t="n"/>
      <c r="AP626" s="287" t="n"/>
      <c r="AQ626" s="287" t="n"/>
      <c r="AR626" s="287" t="n"/>
      <c r="AS626" s="287" t="n"/>
      <c r="AT626" s="287" t="n"/>
      <c r="AU626" s="287" t="n"/>
      <c r="AV626" s="287" t="n"/>
      <c r="AW626" s="287" t="n"/>
      <c r="AX626" s="287" t="n"/>
      <c r="AY626" s="287" t="n"/>
      <c r="AZ626" s="287" t="n"/>
      <c r="BA626" s="287" t="n"/>
      <c r="BB626" s="287" t="n"/>
      <c r="BC626" s="287" t="n"/>
      <c r="BD626" s="287" t="n"/>
      <c r="BE626" s="287" t="n"/>
      <c r="BF626" s="287" t="n"/>
      <c r="BG626" s="287" t="n"/>
      <c r="BH626" s="287" t="n"/>
    </row>
    <row r="627" ht="18.75" customHeight="1">
      <c r="B627" s="288" t="n">
        <v>45539</v>
      </c>
      <c r="C627" s="289" t="n">
        <v>99</v>
      </c>
      <c r="D627" s="290" t="inlineStr">
        <is>
          <t>MUTRI | Penambahan modal biaya kerja</t>
        </is>
      </c>
      <c r="E627" s="291" t="inlineStr">
        <is>
          <t>BRI</t>
        </is>
      </c>
      <c r="F627" s="292" t="n">
        <v>100000000</v>
      </c>
      <c r="G627" s="289" t="inlineStr">
        <is>
          <t>IDR</t>
        </is>
      </c>
      <c r="H627" s="293" t="n">
        <v>1</v>
      </c>
      <c r="I627" s="291" t="n"/>
      <c r="J627" s="291" t="n"/>
      <c r="K627" s="291" t="n"/>
      <c r="L627" s="291" t="n"/>
      <c r="M627" s="291" t="n"/>
      <c r="N627" s="291" t="n"/>
      <c r="O627" s="291" t="n"/>
      <c r="P627" s="291" t="n"/>
      <c r="Q627" s="292">
        <f>$F627*$H627</f>
        <v/>
      </c>
      <c r="R627" s="287" t="n"/>
      <c r="S627" s="287" t="n"/>
      <c r="T627" s="287" t="n"/>
      <c r="U627" s="287" t="n"/>
      <c r="V627" s="287" t="n"/>
      <c r="W627" s="287" t="n"/>
      <c r="X627" s="287" t="n"/>
      <c r="Y627" s="287" t="n"/>
      <c r="Z627" s="287" t="n"/>
      <c r="AA627" s="287" t="n"/>
      <c r="AB627" s="287" t="n"/>
      <c r="AC627" s="287" t="n"/>
      <c r="AD627" s="287" t="n"/>
      <c r="AE627" s="287" t="n"/>
      <c r="AF627" s="287" t="n"/>
      <c r="AG627" s="287" t="n"/>
      <c r="AH627" s="287" t="n"/>
      <c r="AI627" s="287" t="n"/>
      <c r="AJ627" s="287" t="n"/>
      <c r="AK627" s="287" t="n"/>
      <c r="AL627" s="287" t="n"/>
      <c r="AM627" s="287" t="n"/>
      <c r="AN627" s="287" t="n"/>
      <c r="AO627" s="287" t="n"/>
      <c r="AP627" s="287" t="n"/>
      <c r="AQ627" s="287" t="n"/>
      <c r="AR627" s="287" t="n"/>
      <c r="AS627" s="287" t="n"/>
      <c r="AT627" s="287" t="n"/>
      <c r="AU627" s="287" t="n"/>
      <c r="AV627" s="287" t="n"/>
      <c r="AW627" s="287" t="n"/>
      <c r="AX627" s="287" t="n"/>
      <c r="AY627" s="287" t="n"/>
      <c r="AZ627" s="287" t="n"/>
      <c r="BA627" s="287" t="n"/>
      <c r="BB627" s="287" t="n"/>
      <c r="BC627" s="287" t="n"/>
      <c r="BD627" s="287" t="n"/>
      <c r="BE627" s="287" t="n"/>
      <c r="BF627" s="287" t="n"/>
      <c r="BG627" s="287" t="n"/>
      <c r="BH627" s="287" t="n"/>
    </row>
    <row r="628" ht="18.75" customHeight="1">
      <c r="B628" s="288" t="n">
        <v>45539</v>
      </c>
      <c r="C628" s="289" t="n">
        <v>100</v>
      </c>
      <c r="D628" s="290" t="inlineStr">
        <is>
          <t>MUTRI | Penambahan modal biaya kerja</t>
        </is>
      </c>
      <c r="E628" s="291" t="inlineStr">
        <is>
          <t>BRI</t>
        </is>
      </c>
      <c r="F628" s="295" t="n">
        <v>100000000</v>
      </c>
      <c r="G628" s="289" t="inlineStr">
        <is>
          <t>IDR</t>
        </is>
      </c>
      <c r="H628" s="293" t="n">
        <v>1</v>
      </c>
      <c r="I628" s="291" t="n"/>
      <c r="J628" s="291" t="n"/>
      <c r="K628" s="291" t="n"/>
      <c r="L628" s="291" t="n"/>
      <c r="M628" s="291" t="n"/>
      <c r="N628" s="291" t="n"/>
      <c r="O628" s="291" t="n"/>
      <c r="P628" s="291" t="n"/>
      <c r="Q628" s="292">
        <f>$F628*$H628</f>
        <v/>
      </c>
      <c r="R628" s="287" t="n"/>
      <c r="S628" s="287" t="n"/>
      <c r="T628" s="287" t="n"/>
      <c r="U628" s="287" t="n"/>
      <c r="V628" s="287" t="n"/>
      <c r="W628" s="287" t="n"/>
      <c r="X628" s="287" t="n"/>
      <c r="Y628" s="287" t="n"/>
      <c r="Z628" s="287" t="n"/>
      <c r="AA628" s="287" t="n"/>
      <c r="AB628" s="287" t="n"/>
      <c r="AC628" s="287" t="n"/>
      <c r="AD628" s="287" t="n"/>
      <c r="AE628" s="287" t="n"/>
      <c r="AF628" s="287" t="n"/>
      <c r="AG628" s="287" t="n"/>
      <c r="AH628" s="287" t="n"/>
      <c r="AI628" s="287" t="n"/>
      <c r="AJ628" s="287" t="n"/>
      <c r="AK628" s="287" t="n"/>
      <c r="AL628" s="287" t="n"/>
      <c r="AM628" s="287" t="n"/>
      <c r="AN628" s="287" t="n"/>
      <c r="AO628" s="287" t="n"/>
      <c r="AP628" s="287" t="n"/>
      <c r="AQ628" s="287" t="n"/>
      <c r="AR628" s="287" t="n"/>
      <c r="AS628" s="287" t="n"/>
      <c r="AT628" s="287" t="n"/>
      <c r="AU628" s="287" t="n"/>
      <c r="AV628" s="287" t="n"/>
      <c r="AW628" s="287" t="n"/>
      <c r="AX628" s="287" t="n"/>
      <c r="AY628" s="287" t="n"/>
      <c r="AZ628" s="287" t="n"/>
      <c r="BA628" s="287" t="n"/>
      <c r="BB628" s="287" t="n"/>
      <c r="BC628" s="287" t="n"/>
      <c r="BD628" s="287" t="n"/>
      <c r="BE628" s="287" t="n"/>
      <c r="BF628" s="287" t="n"/>
      <c r="BG628" s="287" t="n"/>
      <c r="BH628" s="287" t="n"/>
    </row>
    <row r="629" ht="18.75" customHeight="1">
      <c r="B629" s="288" t="n">
        <v>45625</v>
      </c>
      <c r="C629" s="289" t="n">
        <v>101</v>
      </c>
      <c r="D629" s="290" t="inlineStr">
        <is>
          <t>MUTRI | Penambahan modal biaya kerja 3rd</t>
        </is>
      </c>
      <c r="E629" s="291" t="inlineStr">
        <is>
          <t>BRI</t>
        </is>
      </c>
      <c r="F629" s="295" t="n">
        <v>75000000</v>
      </c>
      <c r="G629" s="289" t="inlineStr">
        <is>
          <t>IDR</t>
        </is>
      </c>
      <c r="H629" s="293" t="n">
        <v>1</v>
      </c>
      <c r="I629" s="291" t="n"/>
      <c r="J629" s="291" t="n"/>
      <c r="K629" s="291" t="n"/>
      <c r="L629" s="291" t="n"/>
      <c r="M629" s="291" t="n"/>
      <c r="N629" s="291" t="n"/>
      <c r="O629" s="291" t="n"/>
      <c r="P629" s="291" t="n"/>
      <c r="Q629" s="292">
        <f>$F629*$H629</f>
        <v/>
      </c>
      <c r="R629" s="287" t="n"/>
      <c r="S629" s="287" t="n"/>
      <c r="T629" s="287" t="n"/>
      <c r="U629" s="287" t="n"/>
      <c r="V629" s="287" t="n"/>
      <c r="W629" s="287" t="n"/>
      <c r="X629" s="287" t="n"/>
      <c r="Y629" s="287" t="n"/>
      <c r="Z629" s="287" t="n"/>
      <c r="AA629" s="287" t="n"/>
      <c r="AB629" s="287" t="n"/>
      <c r="AC629" s="287" t="n"/>
      <c r="AD629" s="287" t="n"/>
      <c r="AE629" s="287" t="n"/>
      <c r="AF629" s="287" t="n"/>
      <c r="AG629" s="287" t="n"/>
      <c r="AH629" s="287" t="n"/>
      <c r="AI629" s="287" t="n"/>
      <c r="AJ629" s="287" t="n"/>
      <c r="AK629" s="287" t="n"/>
      <c r="AL629" s="287" t="n"/>
      <c r="AM629" s="287" t="n"/>
      <c r="AN629" s="287" t="n"/>
      <c r="AO629" s="287" t="n"/>
      <c r="AP629" s="287" t="n"/>
      <c r="AQ629" s="287" t="n"/>
      <c r="AR629" s="287" t="n"/>
      <c r="AS629" s="287" t="n"/>
      <c r="AT629" s="287" t="n"/>
      <c r="AU629" s="287" t="n"/>
      <c r="AV629" s="287" t="n"/>
      <c r="AW629" s="287" t="n"/>
      <c r="AX629" s="287" t="n"/>
      <c r="AY629" s="287" t="n"/>
      <c r="AZ629" s="287" t="n"/>
      <c r="BA629" s="287" t="n"/>
      <c r="BB629" s="287" t="n"/>
      <c r="BC629" s="287" t="n"/>
      <c r="BD629" s="287" t="n"/>
      <c r="BE629" s="287" t="n"/>
      <c r="BF629" s="287" t="n"/>
      <c r="BG629" s="287" t="n"/>
      <c r="BH629" s="287" t="n"/>
    </row>
    <row r="630" ht="18.75" customHeight="1">
      <c r="B630" s="288" t="n">
        <v>45625</v>
      </c>
      <c r="C630" s="289" t="n">
        <v>102</v>
      </c>
      <c r="D630" s="290" t="inlineStr">
        <is>
          <t>MUTRI | Penambahan modal biaya kerja 3rd</t>
        </is>
      </c>
      <c r="E630" s="291" t="inlineStr">
        <is>
          <t>BRI</t>
        </is>
      </c>
      <c r="F630" s="295" t="n">
        <v>75000000</v>
      </c>
      <c r="G630" s="289" t="inlineStr">
        <is>
          <t>IDR</t>
        </is>
      </c>
      <c r="H630" s="293" t="n">
        <v>1</v>
      </c>
      <c r="I630" s="291" t="n"/>
      <c r="J630" s="291" t="n"/>
      <c r="K630" s="291" t="n"/>
      <c r="L630" s="291" t="n"/>
      <c r="M630" s="291" t="n"/>
      <c r="N630" s="291" t="n"/>
      <c r="O630" s="291" t="n"/>
      <c r="P630" s="291" t="n"/>
      <c r="Q630" s="292">
        <f>$F630*$H630</f>
        <v/>
      </c>
      <c r="R630" s="287" t="n"/>
      <c r="S630" s="287" t="n"/>
      <c r="T630" s="287" t="n"/>
      <c r="U630" s="287" t="n"/>
      <c r="V630" s="287" t="n"/>
      <c r="W630" s="287" t="n"/>
      <c r="X630" s="287" t="n"/>
      <c r="Y630" s="287" t="n"/>
      <c r="Z630" s="287" t="n"/>
      <c r="AA630" s="287" t="n"/>
      <c r="AB630" s="287" t="n"/>
      <c r="AC630" s="287" t="n"/>
      <c r="AD630" s="287" t="n"/>
      <c r="AE630" s="287" t="n"/>
      <c r="AF630" s="287" t="n"/>
      <c r="AG630" s="287" t="n"/>
      <c r="AH630" s="287" t="n"/>
      <c r="AI630" s="287" t="n"/>
      <c r="AJ630" s="287" t="n"/>
      <c r="AK630" s="287" t="n"/>
      <c r="AL630" s="287" t="n"/>
      <c r="AM630" s="287" t="n"/>
      <c r="AN630" s="287" t="n"/>
      <c r="AO630" s="287" t="n"/>
      <c r="AP630" s="287" t="n"/>
      <c r="AQ630" s="287" t="n"/>
      <c r="AR630" s="287" t="n"/>
      <c r="AS630" s="287" t="n"/>
      <c r="AT630" s="287" t="n"/>
      <c r="AU630" s="287" t="n"/>
      <c r="AV630" s="287" t="n"/>
      <c r="AW630" s="287" t="n"/>
      <c r="AX630" s="287" t="n"/>
      <c r="AY630" s="287" t="n"/>
      <c r="AZ630" s="287" t="n"/>
      <c r="BA630" s="287" t="n"/>
      <c r="BB630" s="287" t="n"/>
      <c r="BC630" s="287" t="n"/>
      <c r="BD630" s="287" t="n"/>
      <c r="BE630" s="287" t="n"/>
      <c r="BF630" s="287" t="n"/>
      <c r="BG630" s="287" t="n"/>
      <c r="BH630" s="287" t="n"/>
    </row>
    <row r="631" ht="18.75" customHeight="1">
      <c r="B631" s="288" t="n">
        <v>45625</v>
      </c>
      <c r="C631" s="289" t="n">
        <v>103</v>
      </c>
      <c r="D631" s="290" t="inlineStr">
        <is>
          <t>MUTRI | Penambahan modal biaya kerja 3rd</t>
        </is>
      </c>
      <c r="E631" s="291" t="inlineStr">
        <is>
          <t>BRI</t>
        </is>
      </c>
      <c r="F631" s="295" t="n">
        <v>75000000</v>
      </c>
      <c r="G631" s="289" t="inlineStr">
        <is>
          <t>IDR</t>
        </is>
      </c>
      <c r="H631" s="293" t="n">
        <v>1</v>
      </c>
      <c r="I631" s="291" t="n"/>
      <c r="J631" s="291" t="n"/>
      <c r="K631" s="291" t="n"/>
      <c r="L631" s="291" t="n"/>
      <c r="M631" s="291" t="n"/>
      <c r="N631" s="291" t="n"/>
      <c r="O631" s="291" t="n"/>
      <c r="P631" s="291" t="n"/>
      <c r="Q631" s="292">
        <f>$F631*$H631</f>
        <v/>
      </c>
      <c r="R631" s="287" t="n"/>
      <c r="S631" s="287" t="n"/>
      <c r="T631" s="287" t="n"/>
      <c r="U631" s="287" t="n"/>
      <c r="V631" s="287" t="n"/>
      <c r="W631" s="287" t="n"/>
      <c r="X631" s="287" t="n"/>
      <c r="Y631" s="287" t="n"/>
      <c r="Z631" s="287" t="n"/>
      <c r="AA631" s="287" t="n"/>
      <c r="AB631" s="287" t="n"/>
      <c r="AC631" s="287" t="n"/>
      <c r="AD631" s="287" t="n"/>
      <c r="AE631" s="287" t="n"/>
      <c r="AF631" s="287" t="n"/>
      <c r="AG631" s="287" t="n"/>
      <c r="AH631" s="287" t="n"/>
      <c r="AI631" s="287" t="n"/>
      <c r="AJ631" s="287" t="n"/>
      <c r="AK631" s="287" t="n"/>
      <c r="AL631" s="287" t="n"/>
      <c r="AM631" s="287" t="n"/>
      <c r="AN631" s="287" t="n"/>
      <c r="AO631" s="287" t="n"/>
      <c r="AP631" s="287" t="n"/>
      <c r="AQ631" s="287" t="n"/>
      <c r="AR631" s="287" t="n"/>
      <c r="AS631" s="287" t="n"/>
      <c r="AT631" s="287" t="n"/>
      <c r="AU631" s="287" t="n"/>
      <c r="AV631" s="287" t="n"/>
      <c r="AW631" s="287" t="n"/>
      <c r="AX631" s="287" t="n"/>
      <c r="AY631" s="287" t="n"/>
      <c r="AZ631" s="287" t="n"/>
      <c r="BA631" s="287" t="n"/>
      <c r="BB631" s="287" t="n"/>
      <c r="BC631" s="287" t="n"/>
      <c r="BD631" s="287" t="n"/>
      <c r="BE631" s="287" t="n"/>
      <c r="BF631" s="287" t="n"/>
      <c r="BG631" s="287" t="n"/>
      <c r="BH631" s="287" t="n"/>
    </row>
    <row r="632" ht="18.75" customHeight="1">
      <c r="B632" s="288" t="n">
        <v>45625</v>
      </c>
      <c r="C632" s="289" t="n">
        <v>104</v>
      </c>
      <c r="D632" s="290" t="inlineStr">
        <is>
          <t>MUTRI | Penambahan modal biaya kerja 3rd</t>
        </is>
      </c>
      <c r="E632" s="291" t="inlineStr">
        <is>
          <t>BRI</t>
        </is>
      </c>
      <c r="F632" s="295" t="n">
        <v>75000000</v>
      </c>
      <c r="G632" s="289" t="inlineStr">
        <is>
          <t>IDR</t>
        </is>
      </c>
      <c r="H632" s="293" t="n">
        <v>1</v>
      </c>
      <c r="I632" s="291" t="n"/>
      <c r="J632" s="291" t="n"/>
      <c r="K632" s="291" t="n"/>
      <c r="L632" s="291" t="n"/>
      <c r="M632" s="291" t="n"/>
      <c r="N632" s="291" t="n"/>
      <c r="O632" s="291" t="n"/>
      <c r="P632" s="291" t="n"/>
      <c r="Q632" s="292">
        <f>$F632*$H632</f>
        <v/>
      </c>
      <c r="R632" s="287" t="n"/>
      <c r="S632" s="287" t="n"/>
      <c r="T632" s="287" t="n"/>
      <c r="U632" s="287" t="n"/>
      <c r="V632" s="287" t="n"/>
      <c r="W632" s="287" t="n"/>
      <c r="X632" s="287" t="n"/>
      <c r="Y632" s="287" t="n"/>
      <c r="Z632" s="287" t="n"/>
      <c r="AA632" s="287" t="n"/>
      <c r="AB632" s="287" t="n"/>
      <c r="AC632" s="287" t="n"/>
      <c r="AD632" s="287" t="n"/>
      <c r="AE632" s="287" t="n"/>
      <c r="AF632" s="287" t="n"/>
      <c r="AG632" s="287" t="n"/>
      <c r="AH632" s="287" t="n"/>
      <c r="AI632" s="287" t="n"/>
      <c r="AJ632" s="287" t="n"/>
      <c r="AK632" s="287" t="n"/>
      <c r="AL632" s="287" t="n"/>
      <c r="AM632" s="287" t="n"/>
      <c r="AN632" s="287" t="n"/>
      <c r="AO632" s="287" t="n"/>
      <c r="AP632" s="287" t="n"/>
      <c r="AQ632" s="287" t="n"/>
      <c r="AR632" s="287" t="n"/>
      <c r="AS632" s="287" t="n"/>
      <c r="AT632" s="287" t="n"/>
      <c r="AU632" s="287" t="n"/>
      <c r="AV632" s="287" t="n"/>
      <c r="AW632" s="287" t="n"/>
      <c r="AX632" s="287" t="n"/>
      <c r="AY632" s="287" t="n"/>
      <c r="AZ632" s="287" t="n"/>
      <c r="BA632" s="287" t="n"/>
      <c r="BB632" s="287" t="n"/>
      <c r="BC632" s="287" t="n"/>
      <c r="BD632" s="287" t="n"/>
      <c r="BE632" s="287" t="n"/>
      <c r="BF632" s="287" t="n"/>
      <c r="BG632" s="287" t="n"/>
      <c r="BH632" s="287" t="n"/>
    </row>
    <row r="633" ht="15.5" customHeight="1">
      <c r="B633" s="284" t="n"/>
      <c r="C633" s="284" t="n"/>
      <c r="D633" s="285" t="inlineStr">
        <is>
          <t>Pembuatan Alat</t>
        </is>
      </c>
      <c r="E633" s="284" t="n"/>
      <c r="F633" s="286" t="n"/>
      <c r="G633" s="284" t="n"/>
      <c r="H633" s="284" t="n"/>
      <c r="I633" s="284" t="n"/>
      <c r="J633" s="284" t="n"/>
      <c r="K633" s="284" t="n"/>
      <c r="L633" s="284" t="n"/>
      <c r="M633" s="284" t="n"/>
      <c r="N633" s="284" t="n"/>
      <c r="O633" s="284" t="n"/>
      <c r="P633" s="284" t="n"/>
      <c r="Q633" s="284" t="n"/>
      <c r="R633" s="287" t="n"/>
      <c r="S633" s="287" t="n"/>
      <c r="T633" s="287" t="n"/>
      <c r="U633" s="287" t="n"/>
      <c r="V633" s="287" t="n"/>
      <c r="W633" s="287" t="n"/>
      <c r="X633" s="287" t="n"/>
      <c r="Y633" s="287" t="n"/>
      <c r="Z633" s="287" t="n"/>
      <c r="AA633" s="287" t="n"/>
      <c r="AB633" s="287" t="n"/>
      <c r="AC633" s="287" t="n"/>
      <c r="AD633" s="287" t="n"/>
      <c r="AE633" s="287" t="n"/>
      <c r="AF633" s="287" t="n"/>
      <c r="AG633" s="287" t="n"/>
      <c r="AH633" s="287" t="n"/>
      <c r="AI633" s="287" t="n"/>
      <c r="AJ633" s="287" t="n"/>
      <c r="AK633" s="287" t="n"/>
      <c r="AL633" s="287" t="n"/>
      <c r="AM633" s="287" t="n"/>
      <c r="AN633" s="287" t="n"/>
      <c r="AO633" s="287" t="n"/>
      <c r="AP633" s="287" t="n"/>
      <c r="AQ633" s="287" t="n"/>
      <c r="AR633" s="287" t="n"/>
      <c r="AS633" s="287" t="n"/>
      <c r="AT633" s="287" t="n"/>
      <c r="AU633" s="287" t="n"/>
      <c r="AV633" s="287" t="n"/>
      <c r="AW633" s="287" t="n"/>
      <c r="AX633" s="287" t="n"/>
      <c r="AY633" s="287" t="n"/>
      <c r="AZ633" s="287" t="n"/>
      <c r="BA633" s="287" t="n"/>
      <c r="BB633" s="287" t="n"/>
      <c r="BC633" s="287" t="n"/>
      <c r="BD633" s="287" t="n"/>
      <c r="BE633" s="287" t="n"/>
      <c r="BF633" s="287" t="n"/>
      <c r="BG633" s="287" t="n"/>
      <c r="BH633" s="287" t="n"/>
    </row>
    <row r="634" ht="34.5" customHeight="1">
      <c r="B634" s="288" t="n">
        <v>45364</v>
      </c>
      <c r="C634" s="289" t="n">
        <v>105</v>
      </c>
      <c r="D634" s="290" t="inlineStr">
        <is>
          <t>Ralika Jaya Utama | Permbuatan alat Downhole Wireless Telemetry</t>
        </is>
      </c>
      <c r="E634" s="291" t="inlineStr">
        <is>
          <t>BCA</t>
        </is>
      </c>
      <c r="F634" s="295" t="n">
        <v>100000000</v>
      </c>
      <c r="G634" s="289" t="inlineStr">
        <is>
          <t>IDR</t>
        </is>
      </c>
      <c r="H634" s="293" t="n">
        <v>1</v>
      </c>
      <c r="I634" s="291" t="n"/>
      <c r="J634" s="292">
        <f>$F634*$H634</f>
        <v/>
      </c>
      <c r="K634" s="291" t="n"/>
      <c r="L634" s="291" t="n"/>
      <c r="M634" s="291" t="n"/>
      <c r="N634" s="291" t="n"/>
      <c r="O634" s="291" t="n"/>
      <c r="P634" s="291" t="n"/>
      <c r="Q634" s="291" t="n"/>
      <c r="R634" s="287" t="n"/>
      <c r="S634" s="287" t="n"/>
      <c r="T634" s="287" t="n"/>
      <c r="U634" s="287" t="n"/>
      <c r="V634" s="287" t="n"/>
      <c r="W634" s="287" t="n"/>
      <c r="X634" s="287" t="n"/>
      <c r="Y634" s="287" t="n"/>
      <c r="Z634" s="287" t="n"/>
      <c r="AA634" s="287" t="n"/>
      <c r="AB634" s="287" t="n"/>
      <c r="AC634" s="287" t="n"/>
      <c r="AD634" s="287" t="n"/>
      <c r="AE634" s="287" t="n"/>
      <c r="AF634" s="287" t="n"/>
      <c r="AG634" s="287" t="n"/>
      <c r="AH634" s="287" t="n"/>
      <c r="AI634" s="287" t="n"/>
      <c r="AJ634" s="287" t="n"/>
      <c r="AK634" s="287" t="n"/>
      <c r="AL634" s="287" t="n"/>
      <c r="AM634" s="287" t="n"/>
      <c r="AN634" s="287" t="n"/>
      <c r="AO634" s="287" t="n"/>
      <c r="AP634" s="287" t="n"/>
      <c r="AQ634" s="287" t="n"/>
      <c r="AR634" s="287" t="n"/>
      <c r="AS634" s="287" t="n"/>
      <c r="AT634" s="287" t="n"/>
      <c r="AU634" s="287" t="n"/>
      <c r="AV634" s="287" t="n"/>
      <c r="AW634" s="287" t="n"/>
      <c r="AX634" s="287" t="n"/>
      <c r="AY634" s="287" t="n"/>
      <c r="AZ634" s="287" t="n"/>
      <c r="BA634" s="287" t="n"/>
      <c r="BB634" s="287" t="n"/>
      <c r="BC634" s="287" t="n"/>
      <c r="BD634" s="287" t="n"/>
      <c r="BE634" s="287" t="n"/>
      <c r="BF634" s="287" t="n"/>
      <c r="BG634" s="287" t="n"/>
      <c r="BH634" s="287" t="n"/>
    </row>
    <row r="635" ht="34.5" customHeight="1">
      <c r="B635" s="288" t="n">
        <v>45364</v>
      </c>
      <c r="C635" s="289" t="n">
        <v>106</v>
      </c>
      <c r="D635" s="290" t="inlineStr">
        <is>
          <t>Ralika Jaya Utama | Permbuatan alat Downhole Wireless Telemetry</t>
        </is>
      </c>
      <c r="E635" s="291" t="inlineStr">
        <is>
          <t>BCA</t>
        </is>
      </c>
      <c r="F635" s="295" t="n">
        <v>100000000</v>
      </c>
      <c r="G635" s="289" t="inlineStr">
        <is>
          <t>IDR</t>
        </is>
      </c>
      <c r="H635" s="293" t="n">
        <v>1</v>
      </c>
      <c r="I635" s="291" t="n"/>
      <c r="J635" s="292">
        <f>$F635*$H635</f>
        <v/>
      </c>
      <c r="K635" s="291" t="n"/>
      <c r="L635" s="291" t="n"/>
      <c r="M635" s="291" t="n"/>
      <c r="N635" s="291" t="n"/>
      <c r="O635" s="291" t="n"/>
      <c r="P635" s="291" t="n"/>
      <c r="Q635" s="291" t="n"/>
      <c r="R635" s="287" t="n"/>
      <c r="S635" s="287" t="n"/>
      <c r="T635" s="287" t="n"/>
      <c r="U635" s="287" t="n"/>
      <c r="V635" s="287" t="n"/>
      <c r="W635" s="287" t="n"/>
      <c r="X635" s="287" t="n"/>
      <c r="Y635" s="287" t="n"/>
      <c r="Z635" s="287" t="n"/>
      <c r="AA635" s="287" t="n"/>
      <c r="AB635" s="287" t="n"/>
      <c r="AC635" s="287" t="n"/>
      <c r="AD635" s="287" t="n"/>
      <c r="AE635" s="287" t="n"/>
      <c r="AF635" s="287" t="n"/>
      <c r="AG635" s="287" t="n"/>
      <c r="AH635" s="287" t="n"/>
      <c r="AI635" s="287" t="n"/>
      <c r="AJ635" s="287" t="n"/>
      <c r="AK635" s="287" t="n"/>
      <c r="AL635" s="287" t="n"/>
      <c r="AM635" s="287" t="n"/>
      <c r="AN635" s="287" t="n"/>
      <c r="AO635" s="287" t="n"/>
      <c r="AP635" s="287" t="n"/>
      <c r="AQ635" s="287" t="n"/>
      <c r="AR635" s="287" t="n"/>
      <c r="AS635" s="287" t="n"/>
      <c r="AT635" s="287" t="n"/>
      <c r="AU635" s="287" t="n"/>
      <c r="AV635" s="287" t="n"/>
      <c r="AW635" s="287" t="n"/>
      <c r="AX635" s="287" t="n"/>
      <c r="AY635" s="287" t="n"/>
      <c r="AZ635" s="287" t="n"/>
      <c r="BA635" s="287" t="n"/>
      <c r="BB635" s="287" t="n"/>
      <c r="BC635" s="287" t="n"/>
      <c r="BD635" s="287" t="n"/>
      <c r="BE635" s="287" t="n"/>
      <c r="BF635" s="287" t="n"/>
      <c r="BG635" s="287" t="n"/>
      <c r="BH635" s="287" t="n"/>
    </row>
    <row r="636" ht="34.5" customHeight="1">
      <c r="B636" s="288" t="n">
        <v>45364</v>
      </c>
      <c r="C636" s="289" t="n">
        <v>107</v>
      </c>
      <c r="D636" s="290" t="inlineStr">
        <is>
          <t>Ralika Jaya Utama | Permbuatan alat Downhole Wireless Telemetry</t>
        </is>
      </c>
      <c r="E636" s="291" t="inlineStr">
        <is>
          <t>BCA</t>
        </is>
      </c>
      <c r="F636" s="292" t="n">
        <v>100000000</v>
      </c>
      <c r="G636" s="289" t="inlineStr">
        <is>
          <t>IDR</t>
        </is>
      </c>
      <c r="H636" s="293" t="n">
        <v>1</v>
      </c>
      <c r="I636" s="291" t="n"/>
      <c r="J636" s="292">
        <f>$F636*$H636</f>
        <v/>
      </c>
      <c r="K636" s="291" t="n"/>
      <c r="L636" s="291" t="n"/>
      <c r="M636" s="291" t="n"/>
      <c r="N636" s="291" t="n"/>
      <c r="O636" s="291" t="n"/>
      <c r="P636" s="291" t="n"/>
      <c r="Q636" s="291" t="n"/>
      <c r="R636" s="287" t="n"/>
      <c r="S636" s="287" t="n"/>
      <c r="T636" s="287" t="n"/>
      <c r="U636" s="287" t="n"/>
      <c r="V636" s="287" t="n"/>
      <c r="W636" s="287" t="n"/>
      <c r="X636" s="287" t="n"/>
      <c r="Y636" s="287" t="n"/>
      <c r="Z636" s="287" t="n"/>
      <c r="AA636" s="287" t="n"/>
      <c r="AB636" s="287" t="n"/>
      <c r="AC636" s="287" t="n"/>
      <c r="AD636" s="287" t="n"/>
      <c r="AE636" s="287" t="n"/>
      <c r="AF636" s="287" t="n"/>
      <c r="AG636" s="287" t="n"/>
      <c r="AH636" s="287" t="n"/>
      <c r="AI636" s="287" t="n"/>
      <c r="AJ636" s="287" t="n"/>
      <c r="AK636" s="287" t="n"/>
      <c r="AL636" s="287" t="n"/>
      <c r="AM636" s="287" t="n"/>
      <c r="AN636" s="287" t="n"/>
      <c r="AO636" s="287" t="n"/>
      <c r="AP636" s="287" t="n"/>
      <c r="AQ636" s="287" t="n"/>
      <c r="AR636" s="287" t="n"/>
      <c r="AS636" s="287" t="n"/>
      <c r="AT636" s="287" t="n"/>
      <c r="AU636" s="287" t="n"/>
      <c r="AV636" s="287" t="n"/>
      <c r="AW636" s="287" t="n"/>
      <c r="AX636" s="287" t="n"/>
      <c r="AY636" s="287" t="n"/>
      <c r="AZ636" s="287" t="n"/>
      <c r="BA636" s="287" t="n"/>
      <c r="BB636" s="287" t="n"/>
      <c r="BC636" s="287" t="n"/>
      <c r="BD636" s="287" t="n"/>
      <c r="BE636" s="287" t="n"/>
      <c r="BF636" s="287" t="n"/>
      <c r="BG636" s="287" t="n"/>
      <c r="BH636" s="287" t="n"/>
    </row>
    <row r="637" ht="34.5" customHeight="1">
      <c r="B637" s="288" t="n">
        <v>45364</v>
      </c>
      <c r="C637" s="289" t="n">
        <v>108</v>
      </c>
      <c r="D637" s="290" t="inlineStr">
        <is>
          <t>Ralika Jaya Utama | Permbuatan alat Downhole Wireless Telemetry</t>
        </is>
      </c>
      <c r="E637" s="291" t="inlineStr">
        <is>
          <t>BCA</t>
        </is>
      </c>
      <c r="F637" s="292" t="n">
        <v>100000000</v>
      </c>
      <c r="G637" s="289" t="inlineStr">
        <is>
          <t>IDR</t>
        </is>
      </c>
      <c r="H637" s="293" t="n">
        <v>1</v>
      </c>
      <c r="I637" s="291" t="n"/>
      <c r="J637" s="292">
        <f>$F637*$H637</f>
        <v/>
      </c>
      <c r="K637" s="291" t="n"/>
      <c r="L637" s="291" t="n"/>
      <c r="M637" s="291" t="n"/>
      <c r="N637" s="291" t="n"/>
      <c r="O637" s="291" t="n"/>
      <c r="P637" s="291" t="n"/>
      <c r="Q637" s="291" t="n"/>
      <c r="R637" s="287" t="n"/>
      <c r="S637" s="287" t="n"/>
      <c r="T637" s="287" t="n"/>
      <c r="U637" s="287" t="n"/>
      <c r="V637" s="287" t="n"/>
      <c r="W637" s="287" t="n"/>
      <c r="X637" s="287" t="n"/>
      <c r="Y637" s="287" t="n"/>
      <c r="Z637" s="287" t="n"/>
      <c r="AA637" s="287" t="n"/>
      <c r="AB637" s="287" t="n"/>
      <c r="AC637" s="287" t="n"/>
      <c r="AD637" s="287" t="n"/>
      <c r="AE637" s="287" t="n"/>
      <c r="AF637" s="287" t="n"/>
      <c r="AG637" s="287" t="n"/>
      <c r="AH637" s="287" t="n"/>
      <c r="AI637" s="287" t="n"/>
      <c r="AJ637" s="287" t="n"/>
      <c r="AK637" s="287" t="n"/>
      <c r="AL637" s="287" t="n"/>
      <c r="AM637" s="287" t="n"/>
      <c r="AN637" s="287" t="n"/>
      <c r="AO637" s="287" t="n"/>
      <c r="AP637" s="287" t="n"/>
      <c r="AQ637" s="287" t="n"/>
      <c r="AR637" s="287" t="n"/>
      <c r="AS637" s="287" t="n"/>
      <c r="AT637" s="287" t="n"/>
      <c r="AU637" s="287" t="n"/>
      <c r="AV637" s="287" t="n"/>
      <c r="AW637" s="287" t="n"/>
      <c r="AX637" s="287" t="n"/>
      <c r="AY637" s="287" t="n"/>
      <c r="AZ637" s="287" t="n"/>
      <c r="BA637" s="287" t="n"/>
      <c r="BB637" s="287" t="n"/>
      <c r="BC637" s="287" t="n"/>
      <c r="BD637" s="287" t="n"/>
      <c r="BE637" s="287" t="n"/>
      <c r="BF637" s="287" t="n"/>
      <c r="BG637" s="287" t="n"/>
      <c r="BH637" s="287" t="n"/>
    </row>
    <row r="638" ht="34.5" customHeight="1">
      <c r="B638" s="298" t="n">
        <v>45418</v>
      </c>
      <c r="C638" s="289" t="n">
        <v>109</v>
      </c>
      <c r="D638" s="299" t="inlineStr">
        <is>
          <t>Ralika Jaya Utama | Permbuatan alat Downhole Wireless Telemetry</t>
        </is>
      </c>
      <c r="E638" s="300" t="inlineStr">
        <is>
          <t>BRI</t>
        </is>
      </c>
      <c r="F638" s="301" t="n">
        <v>100000000</v>
      </c>
      <c r="G638" s="289" t="inlineStr">
        <is>
          <t>IDR</t>
        </is>
      </c>
      <c r="H638" s="293" t="n">
        <v>1</v>
      </c>
      <c r="I638" s="291" t="n"/>
      <c r="J638" s="292">
        <f>$F638*$H638</f>
        <v/>
      </c>
      <c r="K638" s="291" t="n"/>
      <c r="L638" s="291" t="n"/>
      <c r="M638" s="291" t="n"/>
      <c r="N638" s="291" t="n"/>
      <c r="O638" s="291" t="n"/>
      <c r="P638" s="291" t="n"/>
      <c r="Q638" s="291" t="n"/>
      <c r="R638" s="287" t="n"/>
      <c r="S638" s="287" t="n"/>
      <c r="T638" s="287" t="n"/>
      <c r="U638" s="287" t="n"/>
      <c r="V638" s="287" t="n"/>
      <c r="W638" s="287" t="n"/>
      <c r="X638" s="287" t="n"/>
      <c r="Y638" s="287" t="n"/>
      <c r="Z638" s="287" t="n"/>
      <c r="AA638" s="287" t="n"/>
      <c r="AB638" s="287" t="n"/>
      <c r="AC638" s="287" t="n"/>
      <c r="AD638" s="287" t="n"/>
      <c r="AE638" s="287" t="n"/>
      <c r="AF638" s="287" t="n"/>
      <c r="AG638" s="287" t="n"/>
      <c r="AH638" s="287" t="n"/>
      <c r="AI638" s="287" t="n"/>
      <c r="AJ638" s="287" t="n"/>
      <c r="AK638" s="287" t="n"/>
      <c r="AL638" s="287" t="n"/>
      <c r="AM638" s="287" t="n"/>
      <c r="AN638" s="287" t="n"/>
      <c r="AO638" s="287" t="n"/>
      <c r="AP638" s="287" t="n"/>
      <c r="AQ638" s="287" t="n"/>
      <c r="AR638" s="287" t="n"/>
      <c r="AS638" s="287" t="n"/>
      <c r="AT638" s="287" t="n"/>
      <c r="AU638" s="287" t="n"/>
      <c r="AV638" s="287" t="n"/>
      <c r="AW638" s="287" t="n"/>
      <c r="AX638" s="287" t="n"/>
      <c r="AY638" s="287" t="n"/>
      <c r="AZ638" s="287" t="n"/>
      <c r="BA638" s="287" t="n"/>
      <c r="BB638" s="287" t="n"/>
      <c r="BC638" s="287" t="n"/>
      <c r="BD638" s="287" t="n"/>
      <c r="BE638" s="287" t="n"/>
      <c r="BF638" s="287" t="n"/>
      <c r="BG638" s="287" t="n"/>
      <c r="BH638" s="287" t="n"/>
    </row>
    <row r="639" ht="34.5" customHeight="1">
      <c r="B639" s="298" t="n">
        <v>45418</v>
      </c>
      <c r="C639" s="289" t="n">
        <v>110</v>
      </c>
      <c r="D639" s="299" t="inlineStr">
        <is>
          <t>Ralika Jaya Utama | Permbuatan alat Downhole Wireless Telemetry</t>
        </is>
      </c>
      <c r="E639" s="300" t="inlineStr">
        <is>
          <t>BRI</t>
        </is>
      </c>
      <c r="F639" s="302" t="n">
        <v>100000000</v>
      </c>
      <c r="G639" s="289" t="inlineStr">
        <is>
          <t>IDR</t>
        </is>
      </c>
      <c r="H639" s="293" t="n">
        <v>1</v>
      </c>
      <c r="I639" s="291" t="n"/>
      <c r="J639" s="292">
        <f>$F639*$H639</f>
        <v/>
      </c>
      <c r="K639" s="291" t="n"/>
      <c r="L639" s="291" t="n"/>
      <c r="M639" s="291" t="n"/>
      <c r="N639" s="291" t="n"/>
      <c r="O639" s="291" t="n"/>
      <c r="P639" s="291" t="n"/>
      <c r="Q639" s="291" t="n"/>
      <c r="R639" s="287" t="n"/>
      <c r="S639" s="287" t="n"/>
      <c r="T639" s="287" t="n"/>
      <c r="U639" s="287" t="n"/>
      <c r="V639" s="287" t="n"/>
      <c r="W639" s="287" t="n"/>
      <c r="X639" s="287" t="n"/>
      <c r="Y639" s="287" t="n"/>
      <c r="Z639" s="287" t="n"/>
      <c r="AA639" s="287" t="n"/>
      <c r="AB639" s="287" t="n"/>
      <c r="AC639" s="287" t="n"/>
      <c r="AD639" s="287" t="n"/>
      <c r="AE639" s="287" t="n"/>
      <c r="AF639" s="287" t="n"/>
      <c r="AG639" s="287" t="n"/>
      <c r="AH639" s="287" t="n"/>
      <c r="AI639" s="287" t="n"/>
      <c r="AJ639" s="287" t="n"/>
      <c r="AK639" s="287" t="n"/>
      <c r="AL639" s="287" t="n"/>
      <c r="AM639" s="287" t="n"/>
      <c r="AN639" s="287" t="n"/>
      <c r="AO639" s="287" t="n"/>
      <c r="AP639" s="287" t="n"/>
      <c r="AQ639" s="287" t="n"/>
      <c r="AR639" s="287" t="n"/>
      <c r="AS639" s="287" t="n"/>
      <c r="AT639" s="287" t="n"/>
      <c r="AU639" s="287" t="n"/>
      <c r="AV639" s="287" t="n"/>
      <c r="AW639" s="287" t="n"/>
      <c r="AX639" s="287" t="n"/>
      <c r="AY639" s="287" t="n"/>
      <c r="AZ639" s="287" t="n"/>
      <c r="BA639" s="287" t="n"/>
      <c r="BB639" s="287" t="n"/>
      <c r="BC639" s="287" t="n"/>
      <c r="BD639" s="287" t="n"/>
      <c r="BE639" s="287" t="n"/>
      <c r="BF639" s="287" t="n"/>
      <c r="BG639" s="287" t="n"/>
      <c r="BH639" s="287" t="n"/>
    </row>
    <row r="640" ht="34.5" customHeight="1">
      <c r="B640" s="298" t="n">
        <v>45418</v>
      </c>
      <c r="C640" s="289" t="n">
        <v>111</v>
      </c>
      <c r="D640" s="299" t="inlineStr">
        <is>
          <t>Ralika Jaya Utama | Permbuatan alat Downhole Wireless Telemetry</t>
        </is>
      </c>
      <c r="E640" s="300" t="inlineStr">
        <is>
          <t>BRI</t>
        </is>
      </c>
      <c r="F640" s="295" t="n">
        <v>100000000</v>
      </c>
      <c r="G640" s="289" t="inlineStr">
        <is>
          <t>IDR</t>
        </is>
      </c>
      <c r="H640" s="293" t="n">
        <v>1</v>
      </c>
      <c r="I640" s="291" t="n"/>
      <c r="J640" s="292">
        <f>$F640*$H640</f>
        <v/>
      </c>
      <c r="K640" s="291" t="n"/>
      <c r="L640" s="291" t="n"/>
      <c r="M640" s="291" t="n"/>
      <c r="N640" s="291" t="n"/>
      <c r="O640" s="291" t="n"/>
      <c r="P640" s="291" t="n"/>
      <c r="Q640" s="291" t="n"/>
      <c r="R640" s="287" t="n"/>
      <c r="S640" s="287" t="n"/>
      <c r="T640" s="287" t="n"/>
      <c r="U640" s="287" t="n"/>
      <c r="V640" s="287" t="n"/>
      <c r="W640" s="287" t="n"/>
      <c r="X640" s="287" t="n"/>
      <c r="Y640" s="287" t="n"/>
      <c r="Z640" s="287" t="n"/>
      <c r="AA640" s="287" t="n"/>
      <c r="AB640" s="287" t="n"/>
      <c r="AC640" s="287" t="n"/>
      <c r="AD640" s="287" t="n"/>
      <c r="AE640" s="287" t="n"/>
      <c r="AF640" s="287" t="n"/>
      <c r="AG640" s="287" t="n"/>
      <c r="AH640" s="287" t="n"/>
      <c r="AI640" s="287" t="n"/>
      <c r="AJ640" s="287" t="n"/>
      <c r="AK640" s="287" t="n"/>
      <c r="AL640" s="287" t="n"/>
      <c r="AM640" s="287" t="n"/>
      <c r="AN640" s="287" t="n"/>
      <c r="AO640" s="287" t="n"/>
      <c r="AP640" s="287" t="n"/>
      <c r="AQ640" s="287" t="n"/>
      <c r="AR640" s="287" t="n"/>
      <c r="AS640" s="287" t="n"/>
      <c r="AT640" s="287" t="n"/>
      <c r="AU640" s="287" t="n"/>
      <c r="AV640" s="287" t="n"/>
      <c r="AW640" s="287" t="n"/>
      <c r="AX640" s="287" t="n"/>
      <c r="AY640" s="287" t="n"/>
      <c r="AZ640" s="287" t="n"/>
      <c r="BA640" s="287" t="n"/>
      <c r="BB640" s="287" t="n"/>
      <c r="BC640" s="287" t="n"/>
      <c r="BD640" s="287" t="n"/>
      <c r="BE640" s="287" t="n"/>
      <c r="BF640" s="287" t="n"/>
      <c r="BG640" s="287" t="n"/>
      <c r="BH640" s="287" t="n"/>
    </row>
    <row r="641" ht="34.5" customHeight="1">
      <c r="B641" s="298" t="n">
        <v>45418</v>
      </c>
      <c r="C641" s="289" t="n">
        <v>112</v>
      </c>
      <c r="D641" s="299" t="inlineStr">
        <is>
          <t>Ralika Jaya Utama | Permbuatan alat Downhole Wireless Telemetry</t>
        </is>
      </c>
      <c r="E641" s="300" t="inlineStr">
        <is>
          <t>BRI</t>
        </is>
      </c>
      <c r="F641" s="295" t="n">
        <v>100000000</v>
      </c>
      <c r="G641" s="289" t="inlineStr">
        <is>
          <t>IDR</t>
        </is>
      </c>
      <c r="H641" s="293" t="n">
        <v>1</v>
      </c>
      <c r="I641" s="291" t="n"/>
      <c r="J641" s="292">
        <f>$F641*$H641</f>
        <v/>
      </c>
      <c r="K641" s="291" t="n"/>
      <c r="L641" s="291" t="n"/>
      <c r="M641" s="291" t="n"/>
      <c r="N641" s="291" t="n"/>
      <c r="O641" s="291" t="n"/>
      <c r="P641" s="291" t="n"/>
      <c r="Q641" s="291" t="n"/>
      <c r="R641" s="287" t="n"/>
      <c r="S641" s="287" t="n"/>
      <c r="T641" s="287" t="n"/>
      <c r="U641" s="287" t="n"/>
      <c r="V641" s="287" t="n"/>
      <c r="W641" s="287" t="n"/>
      <c r="X641" s="287" t="n"/>
      <c r="Y641" s="287" t="n"/>
      <c r="Z641" s="287" t="n"/>
      <c r="AA641" s="287" t="n"/>
      <c r="AB641" s="287" t="n"/>
      <c r="AC641" s="287" t="n"/>
      <c r="AD641" s="287" t="n"/>
      <c r="AE641" s="287" t="n"/>
      <c r="AF641" s="287" t="n"/>
      <c r="AG641" s="287" t="n"/>
      <c r="AH641" s="287" t="n"/>
      <c r="AI641" s="287" t="n"/>
      <c r="AJ641" s="287" t="n"/>
      <c r="AK641" s="287" t="n"/>
      <c r="AL641" s="287" t="n"/>
      <c r="AM641" s="287" t="n"/>
      <c r="AN641" s="287" t="n"/>
      <c r="AO641" s="287" t="n"/>
      <c r="AP641" s="287" t="n"/>
      <c r="AQ641" s="287" t="n"/>
      <c r="AR641" s="287" t="n"/>
      <c r="AS641" s="287" t="n"/>
      <c r="AT641" s="287" t="n"/>
      <c r="AU641" s="287" t="n"/>
      <c r="AV641" s="287" t="n"/>
      <c r="AW641" s="287" t="n"/>
      <c r="AX641" s="287" t="n"/>
      <c r="AY641" s="287" t="n"/>
      <c r="AZ641" s="287" t="n"/>
      <c r="BA641" s="287" t="n"/>
      <c r="BB641" s="287" t="n"/>
      <c r="BC641" s="287" t="n"/>
      <c r="BD641" s="287" t="n"/>
      <c r="BE641" s="287" t="n"/>
      <c r="BF641" s="287" t="n"/>
      <c r="BG641" s="287" t="n"/>
      <c r="BH641" s="287" t="n"/>
    </row>
    <row r="642" ht="34.5" customHeight="1">
      <c r="B642" s="298" t="n">
        <v>45502</v>
      </c>
      <c r="C642" s="289" t="n">
        <v>113</v>
      </c>
      <c r="D642" s="299" t="inlineStr">
        <is>
          <t>Ralika Jaya Utama | Permbuatan alat injeksi listrik (EAS)</t>
        </is>
      </c>
      <c r="E642" s="300" t="inlineStr">
        <is>
          <t>BRI</t>
        </is>
      </c>
      <c r="F642" s="295" t="n">
        <v>100000000</v>
      </c>
      <c r="G642" s="289" t="inlineStr">
        <is>
          <t>IDR</t>
        </is>
      </c>
      <c r="H642" s="293" t="n">
        <v>1</v>
      </c>
      <c r="I642" s="291" t="n"/>
      <c r="J642" s="292">
        <f>$F642*$H642</f>
        <v/>
      </c>
      <c r="K642" s="291" t="n"/>
      <c r="L642" s="291" t="n"/>
      <c r="M642" s="291" t="n"/>
      <c r="N642" s="291" t="n"/>
      <c r="O642" s="291" t="n"/>
      <c r="P642" s="291" t="n"/>
      <c r="Q642" s="291" t="n"/>
      <c r="R642" s="287" t="n"/>
      <c r="S642" s="287" t="n"/>
      <c r="T642" s="287" t="n"/>
      <c r="U642" s="287" t="n"/>
      <c r="V642" s="287" t="n"/>
      <c r="W642" s="287" t="n"/>
      <c r="X642" s="287" t="n"/>
      <c r="Y642" s="287" t="n"/>
      <c r="Z642" s="287" t="n"/>
      <c r="AA642" s="287" t="n"/>
      <c r="AB642" s="287" t="n"/>
      <c r="AC642" s="287" t="n"/>
      <c r="AD642" s="287" t="n"/>
      <c r="AE642" s="287" t="n"/>
      <c r="AF642" s="287" t="n"/>
      <c r="AG642" s="287" t="n"/>
      <c r="AH642" s="287" t="n"/>
      <c r="AI642" s="287" t="n"/>
      <c r="AJ642" s="287" t="n"/>
      <c r="AK642" s="287" t="n"/>
      <c r="AL642" s="287" t="n"/>
      <c r="AM642" s="287" t="n"/>
      <c r="AN642" s="287" t="n"/>
      <c r="AO642" s="287" t="n"/>
      <c r="AP642" s="287" t="n"/>
      <c r="AQ642" s="287" t="n"/>
      <c r="AR642" s="287" t="n"/>
      <c r="AS642" s="287" t="n"/>
      <c r="AT642" s="287" t="n"/>
      <c r="AU642" s="287" t="n"/>
      <c r="AV642" s="287" t="n"/>
      <c r="AW642" s="287" t="n"/>
      <c r="AX642" s="287" t="n"/>
      <c r="AY642" s="287" t="n"/>
      <c r="AZ642" s="287" t="n"/>
      <c r="BA642" s="287" t="n"/>
      <c r="BB642" s="287" t="n"/>
      <c r="BC642" s="287" t="n"/>
      <c r="BD642" s="287" t="n"/>
      <c r="BE642" s="287" t="n"/>
      <c r="BF642" s="287" t="n"/>
      <c r="BG642" s="287" t="n"/>
      <c r="BH642" s="287" t="n"/>
    </row>
    <row r="643" ht="34.5" customHeight="1">
      <c r="B643" s="298" t="n">
        <v>45502</v>
      </c>
      <c r="C643" s="289" t="n">
        <v>114</v>
      </c>
      <c r="D643" s="299" t="inlineStr">
        <is>
          <t>Ralika Jaya Utama | Permbuatan alat injeksi listrik (EAS)</t>
        </is>
      </c>
      <c r="E643" s="300" t="inlineStr">
        <is>
          <t>BRI</t>
        </is>
      </c>
      <c r="F643" s="295" t="n">
        <v>100000000</v>
      </c>
      <c r="G643" s="289" t="inlineStr">
        <is>
          <t>IDR</t>
        </is>
      </c>
      <c r="H643" s="293" t="n">
        <v>1</v>
      </c>
      <c r="I643" s="291" t="n"/>
      <c r="J643" s="292">
        <f>$F643*$H643</f>
        <v/>
      </c>
      <c r="K643" s="291" t="n"/>
      <c r="L643" s="291" t="n"/>
      <c r="M643" s="291" t="n"/>
      <c r="N643" s="291" t="n"/>
      <c r="O643" s="291" t="n"/>
      <c r="P643" s="291" t="n"/>
      <c r="Q643" s="291" t="n"/>
      <c r="R643" s="287" t="n"/>
      <c r="S643" s="287" t="n"/>
      <c r="T643" s="287" t="n"/>
      <c r="U643" s="287" t="n"/>
      <c r="V643" s="287" t="n"/>
      <c r="W643" s="287" t="n"/>
      <c r="X643" s="287" t="n"/>
      <c r="Y643" s="287" t="n"/>
      <c r="Z643" s="287" t="n"/>
      <c r="AA643" s="287" t="n"/>
      <c r="AB643" s="287" t="n"/>
      <c r="AC643" s="287" t="n"/>
      <c r="AD643" s="287" t="n"/>
      <c r="AE643" s="287" t="n"/>
      <c r="AF643" s="287" t="n"/>
      <c r="AG643" s="287" t="n"/>
      <c r="AH643" s="287" t="n"/>
      <c r="AI643" s="287" t="n"/>
      <c r="AJ643" s="287" t="n"/>
      <c r="AK643" s="287" t="n"/>
      <c r="AL643" s="287" t="n"/>
      <c r="AM643" s="287" t="n"/>
      <c r="AN643" s="287" t="n"/>
      <c r="AO643" s="287" t="n"/>
      <c r="AP643" s="287" t="n"/>
      <c r="AQ643" s="287" t="n"/>
      <c r="AR643" s="287" t="n"/>
      <c r="AS643" s="287" t="n"/>
      <c r="AT643" s="287" t="n"/>
      <c r="AU643" s="287" t="n"/>
      <c r="AV643" s="287" t="n"/>
      <c r="AW643" s="287" t="n"/>
      <c r="AX643" s="287" t="n"/>
      <c r="AY643" s="287" t="n"/>
      <c r="AZ643" s="287" t="n"/>
      <c r="BA643" s="287" t="n"/>
      <c r="BB643" s="287" t="n"/>
      <c r="BC643" s="287" t="n"/>
      <c r="BD643" s="287" t="n"/>
      <c r="BE643" s="287" t="n"/>
      <c r="BF643" s="287" t="n"/>
      <c r="BG643" s="287" t="n"/>
      <c r="BH643" s="287" t="n"/>
    </row>
    <row r="644" ht="34.5" customHeight="1">
      <c r="B644" s="298" t="n">
        <v>45502</v>
      </c>
      <c r="C644" s="289" t="n">
        <v>115</v>
      </c>
      <c r="D644" s="299" t="inlineStr">
        <is>
          <t>Ralika Jaya Utama | Permbuatan alat injeksi listrik (EAS)</t>
        </is>
      </c>
      <c r="E644" s="300" t="inlineStr">
        <is>
          <t>BRI</t>
        </is>
      </c>
      <c r="F644" s="295" t="n">
        <v>100000000</v>
      </c>
      <c r="G644" s="289" t="inlineStr">
        <is>
          <t>IDR</t>
        </is>
      </c>
      <c r="H644" s="293" t="n">
        <v>1</v>
      </c>
      <c r="I644" s="291" t="n"/>
      <c r="J644" s="292">
        <f>$F644*$H644</f>
        <v/>
      </c>
      <c r="K644" s="291" t="n"/>
      <c r="L644" s="291" t="n"/>
      <c r="M644" s="291" t="n"/>
      <c r="N644" s="291" t="n"/>
      <c r="O644" s="291" t="n"/>
      <c r="P644" s="291" t="n"/>
      <c r="Q644" s="291" t="n"/>
      <c r="R644" s="287" t="n"/>
      <c r="S644" s="287" t="n"/>
      <c r="T644" s="287" t="n"/>
      <c r="U644" s="287" t="n"/>
      <c r="V644" s="287" t="n"/>
      <c r="W644" s="287" t="n"/>
      <c r="X644" s="287" t="n"/>
      <c r="Y644" s="287" t="n"/>
      <c r="Z644" s="287" t="n"/>
      <c r="AA644" s="287" t="n"/>
      <c r="AB644" s="287" t="n"/>
      <c r="AC644" s="287" t="n"/>
      <c r="AD644" s="287" t="n"/>
      <c r="AE644" s="287" t="n"/>
      <c r="AF644" s="287" t="n"/>
      <c r="AG644" s="287" t="n"/>
      <c r="AH644" s="287" t="n"/>
      <c r="AI644" s="287" t="n"/>
      <c r="AJ644" s="287" t="n"/>
      <c r="AK644" s="287" t="n"/>
      <c r="AL644" s="287" t="n"/>
      <c r="AM644" s="287" t="n"/>
      <c r="AN644" s="287" t="n"/>
      <c r="AO644" s="287" t="n"/>
      <c r="AP644" s="287" t="n"/>
      <c r="AQ644" s="287" t="n"/>
      <c r="AR644" s="287" t="n"/>
      <c r="AS644" s="287" t="n"/>
      <c r="AT644" s="287" t="n"/>
      <c r="AU644" s="287" t="n"/>
      <c r="AV644" s="287" t="n"/>
      <c r="AW644" s="287" t="n"/>
      <c r="AX644" s="287" t="n"/>
      <c r="AY644" s="287" t="n"/>
      <c r="AZ644" s="287" t="n"/>
      <c r="BA644" s="287" t="n"/>
      <c r="BB644" s="287" t="n"/>
      <c r="BC644" s="287" t="n"/>
      <c r="BD644" s="287" t="n"/>
      <c r="BE644" s="287" t="n"/>
      <c r="BF644" s="287" t="n"/>
      <c r="BG644" s="287" t="n"/>
      <c r="BH644" s="287" t="n"/>
    </row>
    <row r="645" ht="34.5" customHeight="1">
      <c r="B645" s="298" t="n">
        <v>45502</v>
      </c>
      <c r="C645" s="289" t="n">
        <v>116</v>
      </c>
      <c r="D645" s="299" t="inlineStr">
        <is>
          <t>Ralika Jaya Utama | Permbuatan alat injeksi listrik (EAS)</t>
        </is>
      </c>
      <c r="E645" s="300" t="inlineStr">
        <is>
          <t>BRI</t>
        </is>
      </c>
      <c r="F645" s="295" t="n">
        <v>100000000</v>
      </c>
      <c r="G645" s="289" t="inlineStr">
        <is>
          <t>IDR</t>
        </is>
      </c>
      <c r="H645" s="293" t="n">
        <v>1</v>
      </c>
      <c r="I645" s="291" t="n"/>
      <c r="J645" s="292">
        <f>$F645*$H645</f>
        <v/>
      </c>
      <c r="K645" s="291" t="n"/>
      <c r="L645" s="291" t="n"/>
      <c r="M645" s="291" t="n"/>
      <c r="N645" s="291" t="n"/>
      <c r="O645" s="291" t="n"/>
      <c r="P645" s="291" t="n"/>
      <c r="Q645" s="291" t="n"/>
      <c r="R645" s="287" t="n"/>
      <c r="S645" s="287" t="n"/>
      <c r="T645" s="287" t="n"/>
      <c r="U645" s="287" t="n"/>
      <c r="V645" s="287" t="n"/>
      <c r="W645" s="287" t="n"/>
      <c r="X645" s="287" t="n"/>
      <c r="Y645" s="287" t="n"/>
      <c r="Z645" s="287" t="n"/>
      <c r="AA645" s="287" t="n"/>
      <c r="AB645" s="287" t="n"/>
      <c r="AC645" s="287" t="n"/>
      <c r="AD645" s="287" t="n"/>
      <c r="AE645" s="287" t="n"/>
      <c r="AF645" s="287" t="n"/>
      <c r="AG645" s="287" t="n"/>
      <c r="AH645" s="287" t="n"/>
      <c r="AI645" s="287" t="n"/>
      <c r="AJ645" s="287" t="n"/>
      <c r="AK645" s="287" t="n"/>
      <c r="AL645" s="287" t="n"/>
      <c r="AM645" s="287" t="n"/>
      <c r="AN645" s="287" t="n"/>
      <c r="AO645" s="287" t="n"/>
      <c r="AP645" s="287" t="n"/>
      <c r="AQ645" s="287" t="n"/>
      <c r="AR645" s="287" t="n"/>
      <c r="AS645" s="287" t="n"/>
      <c r="AT645" s="287" t="n"/>
      <c r="AU645" s="287" t="n"/>
      <c r="AV645" s="287" t="n"/>
      <c r="AW645" s="287" t="n"/>
      <c r="AX645" s="287" t="n"/>
      <c r="AY645" s="287" t="n"/>
      <c r="AZ645" s="287" t="n"/>
      <c r="BA645" s="287" t="n"/>
      <c r="BB645" s="287" t="n"/>
      <c r="BC645" s="287" t="n"/>
      <c r="BD645" s="287" t="n"/>
      <c r="BE645" s="287" t="n"/>
      <c r="BF645" s="287" t="n"/>
      <c r="BG645" s="287" t="n"/>
      <c r="BH645" s="287" t="n"/>
    </row>
    <row r="646" ht="18.75" customHeight="1">
      <c r="B646" s="298" t="n">
        <v>45548</v>
      </c>
      <c r="C646" s="289" t="n">
        <v>117</v>
      </c>
      <c r="D646" s="299" t="inlineStr">
        <is>
          <t>Ralika Jaya Utama | Permbuatan alat EMR</t>
        </is>
      </c>
      <c r="E646" s="300" t="inlineStr">
        <is>
          <t>BRI</t>
        </is>
      </c>
      <c r="F646" s="295" t="n">
        <v>150000000</v>
      </c>
      <c r="G646" s="289" t="inlineStr">
        <is>
          <t>IDR</t>
        </is>
      </c>
      <c r="H646" s="293" t="n">
        <v>1</v>
      </c>
      <c r="I646" s="291" t="n"/>
      <c r="J646" s="292">
        <f>$F646*$H646</f>
        <v/>
      </c>
      <c r="K646" s="291" t="n"/>
      <c r="L646" s="291" t="n"/>
      <c r="M646" s="291" t="n"/>
      <c r="N646" s="291" t="n"/>
      <c r="O646" s="291" t="n"/>
      <c r="P646" s="291" t="n"/>
      <c r="Q646" s="291" t="n"/>
      <c r="R646" s="287" t="n"/>
      <c r="S646" s="287" t="n"/>
      <c r="T646" s="287" t="n"/>
      <c r="U646" s="287" t="n"/>
      <c r="V646" s="287" t="n"/>
      <c r="W646" s="287" t="n"/>
      <c r="X646" s="287" t="n"/>
      <c r="Y646" s="287" t="n"/>
      <c r="Z646" s="287" t="n"/>
      <c r="AA646" s="287" t="n"/>
      <c r="AB646" s="287" t="n"/>
      <c r="AC646" s="287" t="n"/>
      <c r="AD646" s="287" t="n"/>
      <c r="AE646" s="287" t="n"/>
      <c r="AF646" s="287" t="n"/>
      <c r="AG646" s="287" t="n"/>
      <c r="AH646" s="287" t="n"/>
      <c r="AI646" s="287" t="n"/>
      <c r="AJ646" s="287" t="n"/>
      <c r="AK646" s="287" t="n"/>
      <c r="AL646" s="287" t="n"/>
      <c r="AM646" s="287" t="n"/>
      <c r="AN646" s="287" t="n"/>
      <c r="AO646" s="287" t="n"/>
      <c r="AP646" s="287" t="n"/>
      <c r="AQ646" s="287" t="n"/>
      <c r="AR646" s="287" t="n"/>
      <c r="AS646" s="287" t="n"/>
      <c r="AT646" s="287" t="n"/>
      <c r="AU646" s="287" t="n"/>
      <c r="AV646" s="287" t="n"/>
      <c r="AW646" s="287" t="n"/>
      <c r="AX646" s="287" t="n"/>
      <c r="AY646" s="287" t="n"/>
      <c r="AZ646" s="287" t="n"/>
      <c r="BA646" s="287" t="n"/>
      <c r="BB646" s="287" t="n"/>
      <c r="BC646" s="287" t="n"/>
      <c r="BD646" s="287" t="n"/>
      <c r="BE646" s="287" t="n"/>
      <c r="BF646" s="287" t="n"/>
      <c r="BG646" s="287" t="n"/>
      <c r="BH646" s="287" t="n"/>
    </row>
    <row r="647" ht="18.75" customHeight="1">
      <c r="B647" s="298" t="n">
        <v>45548</v>
      </c>
      <c r="C647" s="289" t="n">
        <v>118</v>
      </c>
      <c r="D647" s="299" t="inlineStr">
        <is>
          <t>Ralika Jaya Utama | Permbuatan alat EMR</t>
        </is>
      </c>
      <c r="E647" s="300" t="inlineStr">
        <is>
          <t>BRI</t>
        </is>
      </c>
      <c r="F647" s="295" t="n">
        <v>150000000</v>
      </c>
      <c r="G647" s="289" t="inlineStr">
        <is>
          <t>IDR</t>
        </is>
      </c>
      <c r="H647" s="293" t="n">
        <v>1</v>
      </c>
      <c r="I647" s="291" t="n"/>
      <c r="J647" s="292">
        <f>$F647*$H647</f>
        <v/>
      </c>
      <c r="K647" s="291" t="n"/>
      <c r="L647" s="291" t="n"/>
      <c r="M647" s="291" t="n"/>
      <c r="N647" s="291" t="n"/>
      <c r="O647" s="291" t="n"/>
      <c r="P647" s="291" t="n"/>
      <c r="Q647" s="291" t="n"/>
      <c r="R647" s="287" t="n"/>
      <c r="S647" s="287" t="n"/>
      <c r="T647" s="287" t="n"/>
      <c r="U647" s="287" t="n"/>
      <c r="V647" s="287" t="n"/>
      <c r="W647" s="287" t="n"/>
      <c r="X647" s="287" t="n"/>
      <c r="Y647" s="287" t="n"/>
      <c r="Z647" s="287" t="n"/>
      <c r="AA647" s="287" t="n"/>
      <c r="AB647" s="287" t="n"/>
      <c r="AC647" s="287" t="n"/>
      <c r="AD647" s="287" t="n"/>
      <c r="AE647" s="287" t="n"/>
      <c r="AF647" s="287" t="n"/>
      <c r="AG647" s="287" t="n"/>
      <c r="AH647" s="287" t="n"/>
      <c r="AI647" s="287" t="n"/>
      <c r="AJ647" s="287" t="n"/>
      <c r="AK647" s="287" t="n"/>
      <c r="AL647" s="287" t="n"/>
      <c r="AM647" s="287" t="n"/>
      <c r="AN647" s="287" t="n"/>
      <c r="AO647" s="287" t="n"/>
      <c r="AP647" s="287" t="n"/>
      <c r="AQ647" s="287" t="n"/>
      <c r="AR647" s="287" t="n"/>
      <c r="AS647" s="287" t="n"/>
      <c r="AT647" s="287" t="n"/>
      <c r="AU647" s="287" t="n"/>
      <c r="AV647" s="287" t="n"/>
      <c r="AW647" s="287" t="n"/>
      <c r="AX647" s="287" t="n"/>
      <c r="AY647" s="287" t="n"/>
      <c r="AZ647" s="287" t="n"/>
      <c r="BA647" s="287" t="n"/>
      <c r="BB647" s="287" t="n"/>
      <c r="BC647" s="287" t="n"/>
      <c r="BD647" s="287" t="n"/>
      <c r="BE647" s="287" t="n"/>
      <c r="BF647" s="287" t="n"/>
      <c r="BG647" s="287" t="n"/>
      <c r="BH647" s="287" t="n"/>
    </row>
    <row r="648" ht="18.75" customHeight="1">
      <c r="B648" s="298" t="n">
        <v>45548</v>
      </c>
      <c r="C648" s="289" t="n">
        <v>119</v>
      </c>
      <c r="D648" s="299" t="inlineStr">
        <is>
          <t>Ralika Jaya Utama | Permbuatan alat EMR</t>
        </is>
      </c>
      <c r="E648" s="300" t="inlineStr">
        <is>
          <t>BRI</t>
        </is>
      </c>
      <c r="F648" s="295" t="n">
        <v>150000000</v>
      </c>
      <c r="G648" s="289" t="inlineStr">
        <is>
          <t>IDR</t>
        </is>
      </c>
      <c r="H648" s="293" t="n">
        <v>1</v>
      </c>
      <c r="I648" s="291" t="n"/>
      <c r="J648" s="292">
        <f>$F648*$H648</f>
        <v/>
      </c>
      <c r="K648" s="291" t="n"/>
      <c r="L648" s="291" t="n"/>
      <c r="M648" s="291" t="n"/>
      <c r="N648" s="291" t="n"/>
      <c r="O648" s="291" t="n"/>
      <c r="P648" s="291" t="n"/>
      <c r="Q648" s="291" t="n"/>
      <c r="R648" s="287" t="n"/>
      <c r="S648" s="287" t="n"/>
      <c r="T648" s="287" t="n"/>
      <c r="U648" s="287" t="n"/>
      <c r="V648" s="287" t="n"/>
      <c r="W648" s="287" t="n"/>
      <c r="X648" s="287" t="n"/>
      <c r="Y648" s="287" t="n"/>
      <c r="Z648" s="287" t="n"/>
      <c r="AA648" s="287" t="n"/>
      <c r="AB648" s="287" t="n"/>
      <c r="AC648" s="287" t="n"/>
      <c r="AD648" s="287" t="n"/>
      <c r="AE648" s="287" t="n"/>
      <c r="AF648" s="287" t="n"/>
      <c r="AG648" s="287" t="n"/>
      <c r="AH648" s="287" t="n"/>
      <c r="AI648" s="287" t="n"/>
      <c r="AJ648" s="287" t="n"/>
      <c r="AK648" s="287" t="n"/>
      <c r="AL648" s="287" t="n"/>
      <c r="AM648" s="287" t="n"/>
      <c r="AN648" s="287" t="n"/>
      <c r="AO648" s="287" t="n"/>
      <c r="AP648" s="287" t="n"/>
      <c r="AQ648" s="287" t="n"/>
      <c r="AR648" s="287" t="n"/>
      <c r="AS648" s="287" t="n"/>
      <c r="AT648" s="287" t="n"/>
      <c r="AU648" s="287" t="n"/>
      <c r="AV648" s="287" t="n"/>
      <c r="AW648" s="287" t="n"/>
      <c r="AX648" s="287" t="n"/>
      <c r="AY648" s="287" t="n"/>
      <c r="AZ648" s="287" t="n"/>
      <c r="BA648" s="287" t="n"/>
      <c r="BB648" s="287" t="n"/>
      <c r="BC648" s="287" t="n"/>
      <c r="BD648" s="287" t="n"/>
      <c r="BE648" s="287" t="n"/>
      <c r="BF648" s="287" t="n"/>
      <c r="BG648" s="287" t="n"/>
      <c r="BH648" s="287" t="n"/>
    </row>
    <row r="649" ht="18.75" customHeight="1">
      <c r="B649" s="298" t="n">
        <v>45548</v>
      </c>
      <c r="C649" s="289" t="n">
        <v>120</v>
      </c>
      <c r="D649" s="299" t="inlineStr">
        <is>
          <t>Ralika Jaya Utama | Permbuatan alat EMR</t>
        </is>
      </c>
      <c r="E649" s="300" t="inlineStr">
        <is>
          <t>BRI</t>
        </is>
      </c>
      <c r="F649" s="295" t="n">
        <v>150000000</v>
      </c>
      <c r="G649" s="289" t="inlineStr">
        <is>
          <t>IDR</t>
        </is>
      </c>
      <c r="H649" s="293" t="n">
        <v>1</v>
      </c>
      <c r="I649" s="291" t="n"/>
      <c r="J649" s="292">
        <f>$F649*$H649</f>
        <v/>
      </c>
      <c r="K649" s="291" t="n"/>
      <c r="L649" s="291" t="n"/>
      <c r="M649" s="291" t="n"/>
      <c r="N649" s="291" t="n"/>
      <c r="O649" s="291" t="n"/>
      <c r="P649" s="291" t="n"/>
      <c r="Q649" s="291" t="n"/>
      <c r="R649" s="287" t="n"/>
      <c r="S649" s="287" t="n"/>
      <c r="T649" s="287" t="n"/>
      <c r="U649" s="287" t="n"/>
      <c r="V649" s="287" t="n"/>
      <c r="W649" s="287" t="n"/>
      <c r="X649" s="287" t="n"/>
      <c r="Y649" s="287" t="n"/>
      <c r="Z649" s="287" t="n"/>
      <c r="AA649" s="287" t="n"/>
      <c r="AB649" s="287" t="n"/>
      <c r="AC649" s="287" t="n"/>
      <c r="AD649" s="287" t="n"/>
      <c r="AE649" s="287" t="n"/>
      <c r="AF649" s="287" t="n"/>
      <c r="AG649" s="287" t="n"/>
      <c r="AH649" s="287" t="n"/>
      <c r="AI649" s="287" t="n"/>
      <c r="AJ649" s="287" t="n"/>
      <c r="AK649" s="287" t="n"/>
      <c r="AL649" s="287" t="n"/>
      <c r="AM649" s="287" t="n"/>
      <c r="AN649" s="287" t="n"/>
      <c r="AO649" s="287" t="n"/>
      <c r="AP649" s="287" t="n"/>
      <c r="AQ649" s="287" t="n"/>
      <c r="AR649" s="287" t="n"/>
      <c r="AS649" s="287" t="n"/>
      <c r="AT649" s="287" t="n"/>
      <c r="AU649" s="287" t="n"/>
      <c r="AV649" s="287" t="n"/>
      <c r="AW649" s="287" t="n"/>
      <c r="AX649" s="287" t="n"/>
      <c r="AY649" s="287" t="n"/>
      <c r="AZ649" s="287" t="n"/>
      <c r="BA649" s="287" t="n"/>
      <c r="BB649" s="287" t="n"/>
      <c r="BC649" s="287" t="n"/>
      <c r="BD649" s="287" t="n"/>
      <c r="BE649" s="287" t="n"/>
      <c r="BF649" s="287" t="n"/>
      <c r="BG649" s="287" t="n"/>
      <c r="BH649" s="287" t="n"/>
    </row>
    <row r="650" ht="34.5" customHeight="1">
      <c r="B650" s="298" t="n">
        <v>45631</v>
      </c>
      <c r="C650" s="289" t="n">
        <v>121</v>
      </c>
      <c r="D650" s="299" t="inlineStr">
        <is>
          <t>Ralika Jaya Utama | Permbuatan alat injeksi listrik (EAS)</t>
        </is>
      </c>
      <c r="E650" s="300" t="inlineStr">
        <is>
          <t>BRI</t>
        </is>
      </c>
      <c r="F650" s="295" t="n">
        <v>400000000</v>
      </c>
      <c r="G650" s="289" t="inlineStr">
        <is>
          <t>IDR</t>
        </is>
      </c>
      <c r="H650" s="293" t="n">
        <v>1</v>
      </c>
      <c r="I650" s="291" t="n"/>
      <c r="J650" s="292">
        <f>$F650*$H650</f>
        <v/>
      </c>
      <c r="K650" s="291" t="n"/>
      <c r="L650" s="291" t="n"/>
      <c r="M650" s="291" t="n"/>
      <c r="N650" s="291" t="n"/>
      <c r="O650" s="291" t="n"/>
      <c r="P650" s="291" t="n"/>
      <c r="Q650" s="291" t="n"/>
      <c r="R650" s="287" t="n"/>
      <c r="S650" s="287" t="n"/>
      <c r="T650" s="287" t="n"/>
      <c r="U650" s="287" t="n"/>
      <c r="V650" s="287" t="n"/>
      <c r="W650" s="287" t="n"/>
      <c r="X650" s="287" t="n"/>
      <c r="Y650" s="287" t="n"/>
      <c r="Z650" s="287" t="n"/>
      <c r="AA650" s="287" t="n"/>
      <c r="AB650" s="287" t="n"/>
      <c r="AC650" s="287" t="n"/>
      <c r="AD650" s="287" t="n"/>
      <c r="AE650" s="287" t="n"/>
      <c r="AF650" s="287" t="n"/>
      <c r="AG650" s="287" t="n"/>
      <c r="AH650" s="287" t="n"/>
      <c r="AI650" s="287" t="n"/>
      <c r="AJ650" s="287" t="n"/>
      <c r="AK650" s="287" t="n"/>
      <c r="AL650" s="287" t="n"/>
      <c r="AM650" s="287" t="n"/>
      <c r="AN650" s="287" t="n"/>
      <c r="AO650" s="287" t="n"/>
      <c r="AP650" s="287" t="n"/>
      <c r="AQ650" s="287" t="n"/>
      <c r="AR650" s="287" t="n"/>
      <c r="AS650" s="287" t="n"/>
      <c r="AT650" s="287" t="n"/>
      <c r="AU650" s="287" t="n"/>
      <c r="AV650" s="287" t="n"/>
      <c r="AW650" s="287" t="n"/>
      <c r="AX650" s="287" t="n"/>
      <c r="AY650" s="287" t="n"/>
      <c r="AZ650" s="287" t="n"/>
      <c r="BA650" s="287" t="n"/>
      <c r="BB650" s="287" t="n"/>
      <c r="BC650" s="287" t="n"/>
      <c r="BD650" s="287" t="n"/>
      <c r="BE650" s="287" t="n"/>
      <c r="BF650" s="287" t="n"/>
      <c r="BG650" s="287" t="n"/>
      <c r="BH650" s="287" t="n"/>
    </row>
    <row r="651" ht="34.5" customHeight="1">
      <c r="B651" s="298" t="n">
        <v>45631</v>
      </c>
      <c r="C651" s="289" t="n">
        <v>122</v>
      </c>
      <c r="D651" s="299" t="inlineStr">
        <is>
          <t>Ralika Jaya Utama | Permbuatan alat injeksi listrik (EAS)</t>
        </is>
      </c>
      <c r="E651" s="300" t="inlineStr">
        <is>
          <t>BRI</t>
        </is>
      </c>
      <c r="F651" s="295" t="n">
        <v>400000000</v>
      </c>
      <c r="G651" s="289" t="inlineStr">
        <is>
          <t>IDR</t>
        </is>
      </c>
      <c r="H651" s="293" t="n">
        <v>1</v>
      </c>
      <c r="I651" s="291" t="n"/>
      <c r="J651" s="292">
        <f>$F651*$H651</f>
        <v/>
      </c>
      <c r="K651" s="291" t="n"/>
      <c r="L651" s="291" t="n"/>
      <c r="M651" s="291" t="n"/>
      <c r="N651" s="291" t="n"/>
      <c r="O651" s="291" t="n"/>
      <c r="P651" s="291" t="n"/>
      <c r="Q651" s="291" t="n"/>
      <c r="R651" s="287" t="n"/>
      <c r="S651" s="287" t="n"/>
      <c r="T651" s="287" t="n"/>
      <c r="U651" s="287" t="n"/>
      <c r="V651" s="287" t="n"/>
      <c r="W651" s="287" t="n"/>
      <c r="X651" s="287" t="n"/>
      <c r="Y651" s="287" t="n"/>
      <c r="Z651" s="287" t="n"/>
      <c r="AA651" s="287" t="n"/>
      <c r="AB651" s="287" t="n"/>
      <c r="AC651" s="287" t="n"/>
      <c r="AD651" s="287" t="n"/>
      <c r="AE651" s="287" t="n"/>
      <c r="AF651" s="287" t="n"/>
      <c r="AG651" s="287" t="n"/>
      <c r="AH651" s="287" t="n"/>
      <c r="AI651" s="287" t="n"/>
      <c r="AJ651" s="287" t="n"/>
      <c r="AK651" s="287" t="n"/>
      <c r="AL651" s="287" t="n"/>
      <c r="AM651" s="287" t="n"/>
      <c r="AN651" s="287" t="n"/>
      <c r="AO651" s="287" t="n"/>
      <c r="AP651" s="287" t="n"/>
      <c r="AQ651" s="287" t="n"/>
      <c r="AR651" s="287" t="n"/>
      <c r="AS651" s="287" t="n"/>
      <c r="AT651" s="287" t="n"/>
      <c r="AU651" s="287" t="n"/>
      <c r="AV651" s="287" t="n"/>
      <c r="AW651" s="287" t="n"/>
      <c r="AX651" s="287" t="n"/>
      <c r="AY651" s="287" t="n"/>
      <c r="AZ651" s="287" t="n"/>
      <c r="BA651" s="287" t="n"/>
      <c r="BB651" s="287" t="n"/>
      <c r="BC651" s="287" t="n"/>
      <c r="BD651" s="287" t="n"/>
      <c r="BE651" s="287" t="n"/>
      <c r="BF651" s="287" t="n"/>
      <c r="BG651" s="287" t="n"/>
      <c r="BH651" s="287" t="n"/>
    </row>
    <row r="652" ht="34.5" customHeight="1">
      <c r="B652" s="288" t="n">
        <v>45631</v>
      </c>
      <c r="C652" s="289" t="n">
        <v>123</v>
      </c>
      <c r="D652" s="290" t="inlineStr">
        <is>
          <t>Ralika Jaya Utama | Permbuatan alat injeksi listrik (EAS)</t>
        </is>
      </c>
      <c r="E652" s="291" t="inlineStr">
        <is>
          <t>BRI</t>
        </is>
      </c>
      <c r="F652" s="295" t="n">
        <v>400000000</v>
      </c>
      <c r="G652" s="289" t="inlineStr">
        <is>
          <t>IDR</t>
        </is>
      </c>
      <c r="H652" s="293" t="n">
        <v>1</v>
      </c>
      <c r="I652" s="291" t="n"/>
      <c r="J652" s="292">
        <f>$F652*$H652</f>
        <v/>
      </c>
      <c r="K652" s="291" t="n"/>
      <c r="L652" s="291" t="n"/>
      <c r="M652" s="291" t="n"/>
      <c r="N652" s="291" t="n"/>
      <c r="O652" s="291" t="n"/>
      <c r="P652" s="291" t="n"/>
      <c r="Q652" s="291" t="n"/>
      <c r="R652" s="287" t="n"/>
      <c r="S652" s="287" t="n"/>
      <c r="T652" s="287" t="n"/>
      <c r="U652" s="287" t="n"/>
      <c r="V652" s="287" t="n"/>
      <c r="W652" s="287" t="n"/>
      <c r="X652" s="287" t="n"/>
      <c r="Y652" s="287" t="n"/>
      <c r="Z652" s="287" t="n"/>
      <c r="AA652" s="287" t="n"/>
      <c r="AB652" s="287" t="n"/>
      <c r="AC652" s="287" t="n"/>
      <c r="AD652" s="287" t="n"/>
      <c r="AE652" s="287" t="n"/>
      <c r="AF652" s="287" t="n"/>
      <c r="AG652" s="287" t="n"/>
      <c r="AH652" s="287" t="n"/>
      <c r="AI652" s="287" t="n"/>
      <c r="AJ652" s="287" t="n"/>
      <c r="AK652" s="287" t="n"/>
      <c r="AL652" s="287" t="n"/>
      <c r="AM652" s="287" t="n"/>
      <c r="AN652" s="287" t="n"/>
      <c r="AO652" s="287" t="n"/>
      <c r="AP652" s="287" t="n"/>
      <c r="AQ652" s="287" t="n"/>
      <c r="AR652" s="287" t="n"/>
      <c r="AS652" s="287" t="n"/>
      <c r="AT652" s="287" t="n"/>
      <c r="AU652" s="287" t="n"/>
      <c r="AV652" s="287" t="n"/>
      <c r="AW652" s="287" t="n"/>
      <c r="AX652" s="287" t="n"/>
      <c r="AY652" s="287" t="n"/>
      <c r="AZ652" s="287" t="n"/>
      <c r="BA652" s="287" t="n"/>
      <c r="BB652" s="287" t="n"/>
      <c r="BC652" s="287" t="n"/>
      <c r="BD652" s="287" t="n"/>
      <c r="BE652" s="287" t="n"/>
      <c r="BF652" s="287" t="n"/>
      <c r="BG652" s="287" t="n"/>
      <c r="BH652" s="287" t="n"/>
    </row>
    <row r="653" ht="34.5" customHeight="1">
      <c r="B653" s="298" t="n">
        <v>45631</v>
      </c>
      <c r="C653" s="289" t="n">
        <v>124</v>
      </c>
      <c r="D653" s="299" t="inlineStr">
        <is>
          <t>Ralika Jaya Utama | Permbuatan alat injeksi listrik (EAS)</t>
        </is>
      </c>
      <c r="E653" s="300" t="inlineStr">
        <is>
          <t>BRI</t>
        </is>
      </c>
      <c r="F653" s="295" t="n">
        <v>400000000</v>
      </c>
      <c r="G653" s="289" t="inlineStr">
        <is>
          <t>IDR</t>
        </is>
      </c>
      <c r="H653" s="293" t="n">
        <v>1</v>
      </c>
      <c r="I653" s="291" t="n"/>
      <c r="J653" s="292">
        <f>$F653*$H653</f>
        <v/>
      </c>
      <c r="K653" s="291" t="n"/>
      <c r="L653" s="291" t="n"/>
      <c r="M653" s="291" t="n"/>
      <c r="N653" s="291" t="n"/>
      <c r="O653" s="291" t="n"/>
      <c r="P653" s="291" t="n"/>
      <c r="Q653" s="291" t="n"/>
      <c r="R653" s="287" t="n"/>
      <c r="S653" s="287" t="n"/>
      <c r="T653" s="287" t="n"/>
      <c r="U653" s="287" t="n"/>
      <c r="V653" s="287" t="n"/>
      <c r="W653" s="287" t="n"/>
      <c r="X653" s="287" t="n"/>
      <c r="Y653" s="287" t="n"/>
      <c r="Z653" s="287" t="n"/>
      <c r="AA653" s="287" t="n"/>
      <c r="AB653" s="287" t="n"/>
      <c r="AC653" s="287" t="n"/>
      <c r="AD653" s="287" t="n"/>
      <c r="AE653" s="287" t="n"/>
      <c r="AF653" s="287" t="n"/>
      <c r="AG653" s="287" t="n"/>
      <c r="AH653" s="287" t="n"/>
      <c r="AI653" s="287" t="n"/>
      <c r="AJ653" s="287" t="n"/>
      <c r="AK653" s="287" t="n"/>
      <c r="AL653" s="287" t="n"/>
      <c r="AM653" s="287" t="n"/>
      <c r="AN653" s="287" t="n"/>
      <c r="AO653" s="287" t="n"/>
      <c r="AP653" s="287" t="n"/>
      <c r="AQ653" s="287" t="n"/>
      <c r="AR653" s="287" t="n"/>
      <c r="AS653" s="287" t="n"/>
      <c r="AT653" s="287" t="n"/>
      <c r="AU653" s="287" t="n"/>
      <c r="AV653" s="287" t="n"/>
      <c r="AW653" s="287" t="n"/>
      <c r="AX653" s="287" t="n"/>
      <c r="AY653" s="287" t="n"/>
      <c r="AZ653" s="287" t="n"/>
      <c r="BA653" s="287" t="n"/>
      <c r="BB653" s="287" t="n"/>
      <c r="BC653" s="287" t="n"/>
      <c r="BD653" s="287" t="n"/>
      <c r="BE653" s="287" t="n"/>
      <c r="BF653" s="287" t="n"/>
      <c r="BG653" s="287" t="n"/>
      <c r="BH653" s="287" t="n"/>
    </row>
    <row r="654" ht="34.5" customHeight="1">
      <c r="B654" s="298" t="n">
        <v>45653</v>
      </c>
      <c r="C654" s="289" t="n">
        <v>125</v>
      </c>
      <c r="D654" s="299" t="inlineStr">
        <is>
          <t>KUPA | Pembelian Mesin Retort Horizontal 500 Lt Automatic Control</t>
        </is>
      </c>
      <c r="E654" s="300" t="inlineStr">
        <is>
          <t>BCA</t>
        </is>
      </c>
      <c r="F654" s="295" t="n">
        <v>141500000</v>
      </c>
      <c r="G654" s="289" t="inlineStr">
        <is>
          <t>IDR</t>
        </is>
      </c>
      <c r="H654" s="293" t="n">
        <v>1</v>
      </c>
      <c r="I654" s="291" t="n"/>
      <c r="J654" s="292">
        <f>$F654*$H654</f>
        <v/>
      </c>
      <c r="K654" s="291" t="n"/>
      <c r="L654" s="291" t="n"/>
      <c r="M654" s="291" t="n"/>
      <c r="N654" s="291" t="n"/>
      <c r="O654" s="291" t="n"/>
      <c r="P654" s="291" t="n"/>
      <c r="Q654" s="291" t="n"/>
      <c r="R654" s="287" t="n"/>
      <c r="S654" s="287" t="n"/>
      <c r="T654" s="287" t="n"/>
      <c r="U654" s="287" t="n"/>
      <c r="V654" s="287" t="n"/>
      <c r="W654" s="287" t="n"/>
      <c r="X654" s="287" t="n"/>
      <c r="Y654" s="287" t="n"/>
      <c r="Z654" s="287" t="n"/>
      <c r="AA654" s="287" t="n"/>
      <c r="AB654" s="287" t="n"/>
      <c r="AC654" s="287" t="n"/>
      <c r="AD654" s="287" t="n"/>
      <c r="AE654" s="287" t="n"/>
      <c r="AF654" s="287" t="n"/>
      <c r="AG654" s="287" t="n"/>
      <c r="AH654" s="287" t="n"/>
      <c r="AI654" s="287" t="n"/>
      <c r="AJ654" s="287" t="n"/>
      <c r="AK654" s="287" t="n"/>
      <c r="AL654" s="287" t="n"/>
      <c r="AM654" s="287" t="n"/>
      <c r="AN654" s="287" t="n"/>
      <c r="AO654" s="287" t="n"/>
      <c r="AP654" s="287" t="n"/>
      <c r="AQ654" s="287" t="n"/>
      <c r="AR654" s="287" t="n"/>
      <c r="AS654" s="287" t="n"/>
      <c r="AT654" s="287" t="n"/>
      <c r="AU654" s="287" t="n"/>
      <c r="AV654" s="287" t="n"/>
      <c r="AW654" s="287" t="n"/>
      <c r="AX654" s="287" t="n"/>
      <c r="AY654" s="287" t="n"/>
      <c r="AZ654" s="287" t="n"/>
      <c r="BA654" s="287" t="n"/>
      <c r="BB654" s="287" t="n"/>
      <c r="BC654" s="287" t="n"/>
      <c r="BD654" s="287" t="n"/>
      <c r="BE654" s="287" t="n"/>
      <c r="BF654" s="287" t="n"/>
      <c r="BG654" s="287" t="n"/>
      <c r="BH654" s="287" t="n"/>
    </row>
    <row r="655" ht="34.5" customHeight="1">
      <c r="B655" s="298" t="n">
        <v>45653</v>
      </c>
      <c r="C655" s="289" t="n">
        <v>126</v>
      </c>
      <c r="D655" s="299" t="inlineStr">
        <is>
          <t>KUPA | Pembelian Mesin Retort Horizontal 500 Lt Automatic Control</t>
        </is>
      </c>
      <c r="E655" s="300" t="inlineStr">
        <is>
          <t>BCA</t>
        </is>
      </c>
      <c r="F655" s="295" t="n">
        <v>141500000</v>
      </c>
      <c r="G655" s="289" t="inlineStr">
        <is>
          <t>IDR</t>
        </is>
      </c>
      <c r="H655" s="293" t="n">
        <v>1</v>
      </c>
      <c r="I655" s="291" t="n"/>
      <c r="J655" s="292">
        <f>$F655*$H655</f>
        <v/>
      </c>
      <c r="K655" s="291" t="n"/>
      <c r="L655" s="291" t="n"/>
      <c r="M655" s="291" t="n"/>
      <c r="N655" s="291" t="n"/>
      <c r="O655" s="291" t="n"/>
      <c r="P655" s="291" t="n"/>
      <c r="Q655" s="291" t="n"/>
      <c r="R655" s="287" t="n"/>
      <c r="S655" s="287" t="n"/>
      <c r="T655" s="287" t="n"/>
      <c r="U655" s="287" t="n"/>
      <c r="V655" s="287" t="n"/>
      <c r="W655" s="287" t="n"/>
      <c r="X655" s="287" t="n"/>
      <c r="Y655" s="287" t="n"/>
      <c r="Z655" s="287" t="n"/>
      <c r="AA655" s="287" t="n"/>
      <c r="AB655" s="287" t="n"/>
      <c r="AC655" s="287" t="n"/>
      <c r="AD655" s="287" t="n"/>
      <c r="AE655" s="287" t="n"/>
      <c r="AF655" s="287" t="n"/>
      <c r="AG655" s="287" t="n"/>
      <c r="AH655" s="287" t="n"/>
      <c r="AI655" s="287" t="n"/>
      <c r="AJ655" s="287" t="n"/>
      <c r="AK655" s="287" t="n"/>
      <c r="AL655" s="287" t="n"/>
      <c r="AM655" s="287" t="n"/>
      <c r="AN655" s="287" t="n"/>
      <c r="AO655" s="287" t="n"/>
      <c r="AP655" s="287" t="n"/>
      <c r="AQ655" s="287" t="n"/>
      <c r="AR655" s="287" t="n"/>
      <c r="AS655" s="287" t="n"/>
      <c r="AT655" s="287" t="n"/>
      <c r="AU655" s="287" t="n"/>
      <c r="AV655" s="287" t="n"/>
      <c r="AW655" s="287" t="n"/>
      <c r="AX655" s="287" t="n"/>
      <c r="AY655" s="287" t="n"/>
      <c r="AZ655" s="287" t="n"/>
      <c r="BA655" s="287" t="n"/>
      <c r="BB655" s="287" t="n"/>
      <c r="BC655" s="287" t="n"/>
      <c r="BD655" s="287" t="n"/>
      <c r="BE655" s="287" t="n"/>
      <c r="BF655" s="287" t="n"/>
      <c r="BG655" s="287" t="n"/>
      <c r="BH655" s="287" t="n"/>
    </row>
    <row r="656" ht="34.5" customHeight="1">
      <c r="B656" s="298" t="n">
        <v>45653</v>
      </c>
      <c r="C656" s="289" t="n">
        <v>127</v>
      </c>
      <c r="D656" s="299" t="inlineStr">
        <is>
          <t>KUPA | Pembelian Mesin Retort Horizontal 500 Lt Automatic Control</t>
        </is>
      </c>
      <c r="E656" s="300" t="inlineStr">
        <is>
          <t>BCA</t>
        </is>
      </c>
      <c r="F656" s="295" t="n">
        <v>141500000</v>
      </c>
      <c r="G656" s="289" t="inlineStr">
        <is>
          <t>IDR</t>
        </is>
      </c>
      <c r="H656" s="293" t="n">
        <v>1</v>
      </c>
      <c r="I656" s="291" t="n"/>
      <c r="J656" s="292">
        <f>$F656*$H656</f>
        <v/>
      </c>
      <c r="K656" s="291" t="n"/>
      <c r="L656" s="291" t="n"/>
      <c r="M656" s="291" t="n"/>
      <c r="N656" s="291" t="n"/>
      <c r="O656" s="291" t="n"/>
      <c r="P656" s="291" t="n"/>
      <c r="Q656" s="291" t="n"/>
      <c r="R656" s="287" t="n"/>
      <c r="S656" s="287" t="n"/>
      <c r="T656" s="287" t="n"/>
      <c r="U656" s="287" t="n"/>
      <c r="V656" s="287" t="n"/>
      <c r="W656" s="287" t="n"/>
      <c r="X656" s="287" t="n"/>
      <c r="Y656" s="287" t="n"/>
      <c r="Z656" s="287" t="n"/>
      <c r="AA656" s="287" t="n"/>
      <c r="AB656" s="287" t="n"/>
      <c r="AC656" s="287" t="n"/>
      <c r="AD656" s="287" t="n"/>
      <c r="AE656" s="287" t="n"/>
      <c r="AF656" s="287" t="n"/>
      <c r="AG656" s="287" t="n"/>
      <c r="AH656" s="287" t="n"/>
      <c r="AI656" s="287" t="n"/>
      <c r="AJ656" s="287" t="n"/>
      <c r="AK656" s="287" t="n"/>
      <c r="AL656" s="287" t="n"/>
      <c r="AM656" s="287" t="n"/>
      <c r="AN656" s="287" t="n"/>
      <c r="AO656" s="287" t="n"/>
      <c r="AP656" s="287" t="n"/>
      <c r="AQ656" s="287" t="n"/>
      <c r="AR656" s="287" t="n"/>
      <c r="AS656" s="287" t="n"/>
      <c r="AT656" s="287" t="n"/>
      <c r="AU656" s="287" t="n"/>
      <c r="AV656" s="287" t="n"/>
      <c r="AW656" s="287" t="n"/>
      <c r="AX656" s="287" t="n"/>
      <c r="AY656" s="287" t="n"/>
      <c r="AZ656" s="287" t="n"/>
      <c r="BA656" s="287" t="n"/>
      <c r="BB656" s="287" t="n"/>
      <c r="BC656" s="287" t="n"/>
      <c r="BD656" s="287" t="n"/>
      <c r="BE656" s="287" t="n"/>
      <c r="BF656" s="287" t="n"/>
      <c r="BG656" s="287" t="n"/>
      <c r="BH656" s="287" t="n"/>
    </row>
    <row r="657" ht="34.5" customHeight="1">
      <c r="B657" s="298" t="n">
        <v>45653</v>
      </c>
      <c r="C657" s="289" t="n">
        <v>128</v>
      </c>
      <c r="D657" s="299" t="inlineStr">
        <is>
          <t>KUPA | Pembelian Mesin Retort Horizontal 500 Lt Automatic Control</t>
        </is>
      </c>
      <c r="E657" s="300" t="inlineStr">
        <is>
          <t>BCA</t>
        </is>
      </c>
      <c r="F657" s="295" t="n">
        <v>141500000</v>
      </c>
      <c r="G657" s="289" t="inlineStr">
        <is>
          <t>IDR</t>
        </is>
      </c>
      <c r="H657" s="293" t="n">
        <v>1</v>
      </c>
      <c r="I657" s="291" t="n"/>
      <c r="J657" s="292">
        <f>$F657*$H657</f>
        <v/>
      </c>
      <c r="K657" s="291" t="n"/>
      <c r="L657" s="291" t="n"/>
      <c r="M657" s="291" t="n"/>
      <c r="N657" s="291" t="n"/>
      <c r="O657" s="291" t="n"/>
      <c r="P657" s="291" t="n"/>
      <c r="Q657" s="291" t="n"/>
      <c r="R657" s="287" t="n"/>
      <c r="S657" s="287" t="n"/>
      <c r="T657" s="287" t="n"/>
      <c r="U657" s="287" t="n"/>
      <c r="V657" s="287" t="n"/>
      <c r="W657" s="287" t="n"/>
      <c r="X657" s="287" t="n"/>
      <c r="Y657" s="287" t="n"/>
      <c r="Z657" s="287" t="n"/>
      <c r="AA657" s="287" t="n"/>
      <c r="AB657" s="287" t="n"/>
      <c r="AC657" s="287" t="n"/>
      <c r="AD657" s="287" t="n"/>
      <c r="AE657" s="287" t="n"/>
      <c r="AF657" s="287" t="n"/>
      <c r="AG657" s="287" t="n"/>
      <c r="AH657" s="287" t="n"/>
      <c r="AI657" s="287" t="n"/>
      <c r="AJ657" s="287" t="n"/>
      <c r="AK657" s="287" t="n"/>
      <c r="AL657" s="287" t="n"/>
      <c r="AM657" s="287" t="n"/>
      <c r="AN657" s="287" t="n"/>
      <c r="AO657" s="287" t="n"/>
      <c r="AP657" s="287" t="n"/>
      <c r="AQ657" s="287" t="n"/>
      <c r="AR657" s="287" t="n"/>
      <c r="AS657" s="287" t="n"/>
      <c r="AT657" s="287" t="n"/>
      <c r="AU657" s="287" t="n"/>
      <c r="AV657" s="287" t="n"/>
      <c r="AW657" s="287" t="n"/>
      <c r="AX657" s="287" t="n"/>
      <c r="AY657" s="287" t="n"/>
      <c r="AZ657" s="287" t="n"/>
      <c r="BA657" s="287" t="n"/>
      <c r="BB657" s="287" t="n"/>
      <c r="BC657" s="287" t="n"/>
      <c r="BD657" s="287" t="n"/>
      <c r="BE657" s="287" t="n"/>
      <c r="BF657" s="287" t="n"/>
      <c r="BG657" s="287" t="n"/>
      <c r="BH657" s="287" t="n"/>
    </row>
    <row r="658" ht="15.5" customHeight="1">
      <c r="B658" s="303" t="n"/>
      <c r="C658" s="284" t="n"/>
      <c r="D658" s="304" t="inlineStr">
        <is>
          <t>Project Operation</t>
        </is>
      </c>
      <c r="E658" s="305" t="n"/>
      <c r="F658" s="286" t="n"/>
      <c r="G658" s="284" t="n"/>
      <c r="H658" s="284" t="n"/>
      <c r="I658" s="284" t="n"/>
      <c r="J658" s="284" t="n"/>
      <c r="K658" s="284" t="n"/>
      <c r="L658" s="284" t="n"/>
      <c r="M658" s="284" t="n"/>
      <c r="N658" s="284" t="n"/>
      <c r="O658" s="284" t="n"/>
      <c r="P658" s="284" t="n"/>
      <c r="Q658" s="284" t="n"/>
      <c r="R658" s="287" t="n"/>
      <c r="S658" s="287" t="n"/>
      <c r="T658" s="287" t="n"/>
      <c r="U658" s="287" t="n"/>
      <c r="V658" s="287" t="n"/>
      <c r="W658" s="287" t="n"/>
      <c r="X658" s="287" t="n"/>
      <c r="Y658" s="287" t="n"/>
      <c r="Z658" s="287" t="n"/>
      <c r="AA658" s="287" t="n"/>
      <c r="AB658" s="287" t="n"/>
      <c r="AC658" s="287" t="n"/>
      <c r="AD658" s="287" t="n"/>
      <c r="AE658" s="287" t="n"/>
      <c r="AF658" s="287" t="n"/>
      <c r="AG658" s="287" t="n"/>
      <c r="AH658" s="287" t="n"/>
      <c r="AI658" s="287" t="n"/>
      <c r="AJ658" s="287" t="n"/>
      <c r="AK658" s="287" t="n"/>
      <c r="AL658" s="287" t="n"/>
      <c r="AM658" s="287" t="n"/>
      <c r="AN658" s="287" t="n"/>
      <c r="AO658" s="287" t="n"/>
      <c r="AP658" s="287" t="n"/>
      <c r="AQ658" s="287" t="n"/>
      <c r="AR658" s="287" t="n"/>
      <c r="AS658" s="287" t="n"/>
      <c r="AT658" s="287" t="n"/>
      <c r="AU658" s="287" t="n"/>
      <c r="AV658" s="287" t="n"/>
      <c r="AW658" s="287" t="n"/>
      <c r="AX658" s="287" t="n"/>
      <c r="AY658" s="287" t="n"/>
      <c r="AZ658" s="287" t="n"/>
      <c r="BA658" s="287" t="n"/>
      <c r="BB658" s="287" t="n"/>
      <c r="BC658" s="287" t="n"/>
      <c r="BD658" s="287" t="n"/>
      <c r="BE658" s="287" t="n"/>
      <c r="BF658" s="287" t="n"/>
      <c r="BG658" s="287" t="n"/>
      <c r="BH658" s="287" t="n"/>
    </row>
    <row r="659" ht="34.5" customHeight="1">
      <c r="B659" s="298" t="n">
        <v>45446</v>
      </c>
      <c r="C659" s="289" t="n">
        <v>129</v>
      </c>
      <c r="D659" s="299" t="inlineStr">
        <is>
          <t>PT Laka Indonesia |  Wastafel for WIKA Anantara Ubud Bali</t>
        </is>
      </c>
      <c r="E659" s="300" t="inlineStr">
        <is>
          <t>BCA</t>
        </is>
      </c>
      <c r="F659" s="295" t="n">
        <v>300000000</v>
      </c>
      <c r="G659" s="289" t="inlineStr">
        <is>
          <t>IDR</t>
        </is>
      </c>
      <c r="H659" s="293" t="n">
        <v>1</v>
      </c>
      <c r="I659" s="291" t="n"/>
      <c r="J659" s="291" t="n"/>
      <c r="K659" s="291" t="n"/>
      <c r="L659" s="292">
        <f>$F659*$H659</f>
        <v/>
      </c>
      <c r="M659" s="291" t="n"/>
      <c r="N659" s="291" t="n"/>
      <c r="O659" s="291" t="n"/>
      <c r="P659" s="291" t="n"/>
      <c r="Q659" s="291" t="n"/>
      <c r="R659" s="287" t="n"/>
      <c r="S659" s="287" t="n"/>
      <c r="T659" s="287" t="n"/>
      <c r="U659" s="287" t="n"/>
      <c r="V659" s="287" t="n"/>
      <c r="W659" s="287" t="n"/>
      <c r="X659" s="287" t="n"/>
      <c r="Y659" s="287" t="n"/>
      <c r="Z659" s="287" t="n"/>
      <c r="AA659" s="287" t="n"/>
      <c r="AB659" s="287" t="n"/>
      <c r="AC659" s="287" t="n"/>
      <c r="AD659" s="287" t="n"/>
      <c r="AE659" s="287" t="n"/>
      <c r="AF659" s="287" t="n"/>
      <c r="AG659" s="287" t="n"/>
      <c r="AH659" s="287" t="n"/>
      <c r="AI659" s="287" t="n"/>
      <c r="AJ659" s="287" t="n"/>
      <c r="AK659" s="287" t="n"/>
      <c r="AL659" s="287" t="n"/>
      <c r="AM659" s="287" t="n"/>
      <c r="AN659" s="287" t="n"/>
      <c r="AO659" s="287" t="n"/>
      <c r="AP659" s="287" t="n"/>
      <c r="AQ659" s="287" t="n"/>
      <c r="AR659" s="287" t="n"/>
      <c r="AS659" s="287" t="n"/>
      <c r="AT659" s="287" t="n"/>
      <c r="AU659" s="287" t="n"/>
      <c r="AV659" s="287" t="n"/>
      <c r="AW659" s="287" t="n"/>
      <c r="AX659" s="287" t="n"/>
      <c r="AY659" s="287" t="n"/>
      <c r="AZ659" s="287" t="n"/>
      <c r="BA659" s="287" t="n"/>
      <c r="BB659" s="287" t="n"/>
      <c r="BC659" s="287" t="n"/>
      <c r="BD659" s="287" t="n"/>
      <c r="BE659" s="287" t="n"/>
      <c r="BF659" s="287" t="n"/>
      <c r="BG659" s="287" t="n"/>
      <c r="BH659" s="287" t="n"/>
    </row>
    <row r="660" ht="34.5" customHeight="1">
      <c r="B660" s="298" t="n">
        <v>45446</v>
      </c>
      <c r="C660" s="289" t="n">
        <v>130</v>
      </c>
      <c r="D660" s="299" t="inlineStr">
        <is>
          <t>PT Laka Indonesia |  Wastafel for WIKA Anantara Ubud Bali</t>
        </is>
      </c>
      <c r="E660" s="300" t="inlineStr">
        <is>
          <t>BCA</t>
        </is>
      </c>
      <c r="F660" s="295" t="n">
        <v>300000000</v>
      </c>
      <c r="G660" s="289" t="inlineStr">
        <is>
          <t>IDR</t>
        </is>
      </c>
      <c r="H660" s="293" t="n">
        <v>1</v>
      </c>
      <c r="I660" s="291" t="n"/>
      <c r="J660" s="291" t="n"/>
      <c r="K660" s="291" t="n"/>
      <c r="L660" s="292">
        <f>$F660*$H660</f>
        <v/>
      </c>
      <c r="M660" s="291" t="n"/>
      <c r="N660" s="291" t="n"/>
      <c r="O660" s="291" t="n"/>
      <c r="P660" s="291" t="n"/>
      <c r="Q660" s="291" t="n"/>
      <c r="R660" s="287" t="n"/>
      <c r="S660" s="287" t="n"/>
      <c r="T660" s="287" t="n"/>
      <c r="U660" s="287" t="n"/>
      <c r="V660" s="287" t="n"/>
      <c r="W660" s="287" t="n"/>
      <c r="X660" s="287" t="n"/>
      <c r="Y660" s="287" t="n"/>
      <c r="Z660" s="287" t="n"/>
      <c r="AA660" s="287" t="n"/>
      <c r="AB660" s="287" t="n"/>
      <c r="AC660" s="287" t="n"/>
      <c r="AD660" s="287" t="n"/>
      <c r="AE660" s="287" t="n"/>
      <c r="AF660" s="287" t="n"/>
      <c r="AG660" s="287" t="n"/>
      <c r="AH660" s="287" t="n"/>
      <c r="AI660" s="287" t="n"/>
      <c r="AJ660" s="287" t="n"/>
      <c r="AK660" s="287" t="n"/>
      <c r="AL660" s="287" t="n"/>
      <c r="AM660" s="287" t="n"/>
      <c r="AN660" s="287" t="n"/>
      <c r="AO660" s="287" t="n"/>
      <c r="AP660" s="287" t="n"/>
      <c r="AQ660" s="287" t="n"/>
      <c r="AR660" s="287" t="n"/>
      <c r="AS660" s="287" t="n"/>
      <c r="AT660" s="287" t="n"/>
      <c r="AU660" s="287" t="n"/>
      <c r="AV660" s="287" t="n"/>
      <c r="AW660" s="287" t="n"/>
      <c r="AX660" s="287" t="n"/>
      <c r="AY660" s="287" t="n"/>
      <c r="AZ660" s="287" t="n"/>
      <c r="BA660" s="287" t="n"/>
      <c r="BB660" s="287" t="n"/>
      <c r="BC660" s="287" t="n"/>
      <c r="BD660" s="287" t="n"/>
      <c r="BE660" s="287" t="n"/>
      <c r="BF660" s="287" t="n"/>
      <c r="BG660" s="287" t="n"/>
      <c r="BH660" s="287" t="n"/>
    </row>
    <row r="661" ht="34.5" customHeight="1">
      <c r="B661" s="288" t="n">
        <v>45446</v>
      </c>
      <c r="C661" s="289" t="n">
        <v>131</v>
      </c>
      <c r="D661" s="290" t="inlineStr">
        <is>
          <t>PT Laka Indonesia |  Wastafel for WIKA Anantara Ubud Bali</t>
        </is>
      </c>
      <c r="E661" s="291" t="inlineStr">
        <is>
          <t>BCA</t>
        </is>
      </c>
      <c r="F661" s="292" t="n">
        <v>300000000</v>
      </c>
      <c r="G661" s="289" t="inlineStr">
        <is>
          <t>IDR</t>
        </is>
      </c>
      <c r="H661" s="293" t="n">
        <v>1</v>
      </c>
      <c r="I661" s="291" t="n"/>
      <c r="J661" s="291" t="n"/>
      <c r="K661" s="291" t="n"/>
      <c r="L661" s="292">
        <f>$F661*$H661</f>
        <v/>
      </c>
      <c r="M661" s="291" t="n"/>
      <c r="N661" s="291" t="n"/>
      <c r="O661" s="291" t="n"/>
      <c r="P661" s="291" t="n"/>
      <c r="Q661" s="291" t="n"/>
      <c r="R661" s="287" t="n"/>
      <c r="S661" s="287" t="n"/>
      <c r="T661" s="287" t="n"/>
      <c r="U661" s="287" t="n"/>
      <c r="V661" s="287" t="n"/>
      <c r="W661" s="287" t="n"/>
      <c r="X661" s="287" t="n"/>
      <c r="Y661" s="287" t="n"/>
      <c r="Z661" s="287" t="n"/>
      <c r="AA661" s="287" t="n"/>
      <c r="AB661" s="287" t="n"/>
      <c r="AC661" s="287" t="n"/>
      <c r="AD661" s="287" t="n"/>
      <c r="AE661" s="287" t="n"/>
      <c r="AF661" s="287" t="n"/>
      <c r="AG661" s="287" t="n"/>
      <c r="AH661" s="287" t="n"/>
      <c r="AI661" s="287" t="n"/>
      <c r="AJ661" s="287" t="n"/>
      <c r="AK661" s="287" t="n"/>
      <c r="AL661" s="287" t="n"/>
      <c r="AM661" s="287" t="n"/>
      <c r="AN661" s="287" t="n"/>
      <c r="AO661" s="287" t="n"/>
      <c r="AP661" s="287" t="n"/>
      <c r="AQ661" s="287" t="n"/>
      <c r="AR661" s="287" t="n"/>
      <c r="AS661" s="287" t="n"/>
      <c r="AT661" s="287" t="n"/>
      <c r="AU661" s="287" t="n"/>
      <c r="AV661" s="287" t="n"/>
      <c r="AW661" s="287" t="n"/>
      <c r="AX661" s="287" t="n"/>
      <c r="AY661" s="287" t="n"/>
      <c r="AZ661" s="287" t="n"/>
      <c r="BA661" s="287" t="n"/>
      <c r="BB661" s="287" t="n"/>
      <c r="BC661" s="287" t="n"/>
      <c r="BD661" s="287" t="n"/>
      <c r="BE661" s="287" t="n"/>
      <c r="BF661" s="287" t="n"/>
      <c r="BG661" s="287" t="n"/>
      <c r="BH661" s="287" t="n"/>
    </row>
    <row r="662" ht="34.5" customHeight="1">
      <c r="B662" s="288" t="n">
        <v>45446</v>
      </c>
      <c r="C662" s="289" t="n">
        <v>132</v>
      </c>
      <c r="D662" s="290" t="inlineStr">
        <is>
          <t>PT Laka Indonesia |  Wastafel for WIKA Anantara Ubud Bali</t>
        </is>
      </c>
      <c r="E662" s="291" t="inlineStr">
        <is>
          <t>BCA</t>
        </is>
      </c>
      <c r="F662" s="295" t="n">
        <v>300000000</v>
      </c>
      <c r="G662" s="289" t="inlineStr">
        <is>
          <t>IDR</t>
        </is>
      </c>
      <c r="H662" s="293" t="n">
        <v>1</v>
      </c>
      <c r="I662" s="291" t="n"/>
      <c r="J662" s="291" t="n"/>
      <c r="K662" s="291" t="n"/>
      <c r="L662" s="292">
        <f>$F662*$H662</f>
        <v/>
      </c>
      <c r="M662" s="291" t="n"/>
      <c r="N662" s="291" t="n"/>
      <c r="O662" s="291" t="n"/>
      <c r="P662" s="291" t="n"/>
      <c r="Q662" s="291" t="n"/>
      <c r="R662" s="287" t="n"/>
      <c r="S662" s="287" t="n"/>
      <c r="T662" s="287" t="n"/>
      <c r="U662" s="287" t="n"/>
      <c r="V662" s="287" t="n"/>
      <c r="W662" s="287" t="n"/>
      <c r="X662" s="287" t="n"/>
      <c r="Y662" s="287" t="n"/>
      <c r="Z662" s="287" t="n"/>
      <c r="AA662" s="287" t="n"/>
      <c r="AB662" s="287" t="n"/>
      <c r="AC662" s="287" t="n"/>
      <c r="AD662" s="287" t="n"/>
      <c r="AE662" s="287" t="n"/>
      <c r="AF662" s="287" t="n"/>
      <c r="AG662" s="287" t="n"/>
      <c r="AH662" s="287" t="n"/>
      <c r="AI662" s="287" t="n"/>
      <c r="AJ662" s="287" t="n"/>
      <c r="AK662" s="287" t="n"/>
      <c r="AL662" s="287" t="n"/>
      <c r="AM662" s="287" t="n"/>
      <c r="AN662" s="287" t="n"/>
      <c r="AO662" s="287" t="n"/>
      <c r="AP662" s="287" t="n"/>
      <c r="AQ662" s="287" t="n"/>
      <c r="AR662" s="287" t="n"/>
      <c r="AS662" s="287" t="n"/>
      <c r="AT662" s="287" t="n"/>
      <c r="AU662" s="287" t="n"/>
      <c r="AV662" s="287" t="n"/>
      <c r="AW662" s="287" t="n"/>
      <c r="AX662" s="287" t="n"/>
      <c r="AY662" s="287" t="n"/>
      <c r="AZ662" s="287" t="n"/>
      <c r="BA662" s="287" t="n"/>
      <c r="BB662" s="287" t="n"/>
      <c r="BC662" s="287" t="n"/>
      <c r="BD662" s="287" t="n"/>
      <c r="BE662" s="287" t="n"/>
      <c r="BF662" s="287" t="n"/>
      <c r="BG662" s="287" t="n"/>
      <c r="BH662" s="287" t="n"/>
    </row>
    <row r="663" ht="34.5" customHeight="1">
      <c r="B663" s="288" t="n">
        <v>45478</v>
      </c>
      <c r="C663" s="289" t="n">
        <v>133</v>
      </c>
      <c r="D663" s="290" t="inlineStr">
        <is>
          <t>Repair ESOR panel &amp; Fabricate dummy test load, Payment#2</t>
        </is>
      </c>
      <c r="E663" s="291" t="inlineStr">
        <is>
          <t>BRI</t>
        </is>
      </c>
      <c r="F663" s="292" t="n">
        <v>25000000</v>
      </c>
      <c r="G663" s="289" t="inlineStr">
        <is>
          <t>IDR</t>
        </is>
      </c>
      <c r="H663" s="293" t="n">
        <v>1</v>
      </c>
      <c r="I663" s="291" t="n"/>
      <c r="J663" s="291" t="n"/>
      <c r="K663" s="291" t="n"/>
      <c r="L663" s="292">
        <f>$F663*$H663</f>
        <v/>
      </c>
      <c r="M663" s="291" t="n"/>
      <c r="N663" s="291" t="n"/>
      <c r="O663" s="291" t="n"/>
      <c r="P663" s="291" t="n"/>
      <c r="Q663" s="291" t="n"/>
      <c r="R663" s="287" t="n"/>
      <c r="S663" s="287" t="n"/>
      <c r="T663" s="287" t="n"/>
      <c r="U663" s="287" t="n"/>
      <c r="V663" s="287" t="n"/>
      <c r="W663" s="287" t="n"/>
      <c r="X663" s="287" t="n"/>
      <c r="Y663" s="287" t="n"/>
      <c r="Z663" s="287" t="n"/>
      <c r="AA663" s="287" t="n"/>
      <c r="AB663" s="287" t="n"/>
      <c r="AC663" s="287" t="n"/>
      <c r="AD663" s="287" t="n"/>
      <c r="AE663" s="287" t="n"/>
      <c r="AF663" s="287" t="n"/>
      <c r="AG663" s="287" t="n"/>
      <c r="AH663" s="287" t="n"/>
      <c r="AI663" s="287" t="n"/>
      <c r="AJ663" s="287" t="n"/>
      <c r="AK663" s="287" t="n"/>
      <c r="AL663" s="287" t="n"/>
      <c r="AM663" s="287" t="n"/>
      <c r="AN663" s="287" t="n"/>
      <c r="AO663" s="287" t="n"/>
      <c r="AP663" s="287" t="n"/>
      <c r="AQ663" s="287" t="n"/>
      <c r="AR663" s="287" t="n"/>
      <c r="AS663" s="287" t="n"/>
      <c r="AT663" s="287" t="n"/>
      <c r="AU663" s="287" t="n"/>
      <c r="AV663" s="287" t="n"/>
      <c r="AW663" s="287" t="n"/>
      <c r="AX663" s="287" t="n"/>
      <c r="AY663" s="287" t="n"/>
      <c r="AZ663" s="287" t="n"/>
      <c r="BA663" s="287" t="n"/>
      <c r="BB663" s="287" t="n"/>
      <c r="BC663" s="287" t="n"/>
      <c r="BD663" s="287" t="n"/>
      <c r="BE663" s="287" t="n"/>
      <c r="BF663" s="287" t="n"/>
      <c r="BG663" s="287" t="n"/>
      <c r="BH663" s="287" t="n"/>
    </row>
    <row r="664" ht="34.5" customHeight="1">
      <c r="B664" s="288" t="n">
        <v>45478</v>
      </c>
      <c r="C664" s="289" t="n">
        <v>134</v>
      </c>
      <c r="D664" s="290" t="inlineStr">
        <is>
          <t>Repair ESOR panel &amp; Fabricate dummy test load, Payment#2</t>
        </is>
      </c>
      <c r="E664" s="291" t="inlineStr">
        <is>
          <t>BRI</t>
        </is>
      </c>
      <c r="F664" s="292" t="n">
        <v>25000000</v>
      </c>
      <c r="G664" s="289" t="inlineStr">
        <is>
          <t>IDR</t>
        </is>
      </c>
      <c r="H664" s="293" t="n">
        <v>1</v>
      </c>
      <c r="I664" s="291" t="n"/>
      <c r="J664" s="291" t="n"/>
      <c r="K664" s="291" t="n"/>
      <c r="L664" s="292">
        <f>$F664*$H664</f>
        <v/>
      </c>
      <c r="M664" s="291" t="n"/>
      <c r="N664" s="291" t="n"/>
      <c r="O664" s="291" t="n"/>
      <c r="P664" s="291" t="n"/>
      <c r="Q664" s="291" t="n"/>
      <c r="R664" s="287" t="n"/>
      <c r="S664" s="287" t="n"/>
      <c r="T664" s="287" t="n"/>
      <c r="U664" s="287" t="n"/>
      <c r="V664" s="287" t="n"/>
      <c r="W664" s="287" t="n"/>
      <c r="X664" s="287" t="n"/>
      <c r="Y664" s="287" t="n"/>
      <c r="Z664" s="287" t="n"/>
      <c r="AA664" s="287" t="n"/>
      <c r="AB664" s="287" t="n"/>
      <c r="AC664" s="287" t="n"/>
      <c r="AD664" s="287" t="n"/>
      <c r="AE664" s="287" t="n"/>
      <c r="AF664" s="287" t="n"/>
      <c r="AG664" s="287" t="n"/>
      <c r="AH664" s="287" t="n"/>
      <c r="AI664" s="287" t="n"/>
      <c r="AJ664" s="287" t="n"/>
      <c r="AK664" s="287" t="n"/>
      <c r="AL664" s="287" t="n"/>
      <c r="AM664" s="287" t="n"/>
      <c r="AN664" s="287" t="n"/>
      <c r="AO664" s="287" t="n"/>
      <c r="AP664" s="287" t="n"/>
      <c r="AQ664" s="287" t="n"/>
      <c r="AR664" s="287" t="n"/>
      <c r="AS664" s="287" t="n"/>
      <c r="AT664" s="287" t="n"/>
      <c r="AU664" s="287" t="n"/>
      <c r="AV664" s="287" t="n"/>
      <c r="AW664" s="287" t="n"/>
      <c r="AX664" s="287" t="n"/>
      <c r="AY664" s="287" t="n"/>
      <c r="AZ664" s="287" t="n"/>
      <c r="BA664" s="287" t="n"/>
      <c r="BB664" s="287" t="n"/>
      <c r="BC664" s="287" t="n"/>
      <c r="BD664" s="287" t="n"/>
      <c r="BE664" s="287" t="n"/>
      <c r="BF664" s="287" t="n"/>
      <c r="BG664" s="287" t="n"/>
      <c r="BH664" s="287" t="n"/>
    </row>
    <row r="665" ht="34.5" customHeight="1">
      <c r="B665" s="288" t="n">
        <v>45478</v>
      </c>
      <c r="C665" s="289" t="n">
        <v>135</v>
      </c>
      <c r="D665" s="290" t="inlineStr">
        <is>
          <t>Repair ESOR panel &amp; Fabricate dummy test load, Payment#2</t>
        </is>
      </c>
      <c r="E665" s="291" t="inlineStr">
        <is>
          <t>BRI</t>
        </is>
      </c>
      <c r="F665" s="292" t="n">
        <v>25000000</v>
      </c>
      <c r="G665" s="289" t="inlineStr">
        <is>
          <t>IDR</t>
        </is>
      </c>
      <c r="H665" s="293" t="n">
        <v>1</v>
      </c>
      <c r="I665" s="291" t="n"/>
      <c r="J665" s="291" t="n"/>
      <c r="K665" s="291" t="n"/>
      <c r="L665" s="292">
        <f>$F665*$H665</f>
        <v/>
      </c>
      <c r="M665" s="291" t="n"/>
      <c r="N665" s="291" t="n"/>
      <c r="O665" s="291" t="n"/>
      <c r="P665" s="291" t="n"/>
      <c r="Q665" s="291" t="n"/>
      <c r="R665" s="287" t="n"/>
      <c r="S665" s="287" t="n"/>
      <c r="T665" s="287" t="n"/>
      <c r="U665" s="287" t="n"/>
      <c r="V665" s="287" t="n"/>
      <c r="W665" s="287" t="n"/>
      <c r="X665" s="287" t="n"/>
      <c r="Y665" s="287" t="n"/>
      <c r="Z665" s="287" t="n"/>
      <c r="AA665" s="287" t="n"/>
      <c r="AB665" s="287" t="n"/>
      <c r="AC665" s="287" t="n"/>
      <c r="AD665" s="287" t="n"/>
      <c r="AE665" s="287" t="n"/>
      <c r="AF665" s="287" t="n"/>
      <c r="AG665" s="287" t="n"/>
      <c r="AH665" s="287" t="n"/>
      <c r="AI665" s="287" t="n"/>
      <c r="AJ665" s="287" t="n"/>
      <c r="AK665" s="287" t="n"/>
      <c r="AL665" s="287" t="n"/>
      <c r="AM665" s="287" t="n"/>
      <c r="AN665" s="287" t="n"/>
      <c r="AO665" s="287" t="n"/>
      <c r="AP665" s="287" t="n"/>
      <c r="AQ665" s="287" t="n"/>
      <c r="AR665" s="287" t="n"/>
      <c r="AS665" s="287" t="n"/>
      <c r="AT665" s="287" t="n"/>
      <c r="AU665" s="287" t="n"/>
      <c r="AV665" s="287" t="n"/>
      <c r="AW665" s="287" t="n"/>
      <c r="AX665" s="287" t="n"/>
      <c r="AY665" s="287" t="n"/>
      <c r="AZ665" s="287" t="n"/>
      <c r="BA665" s="287" t="n"/>
      <c r="BB665" s="287" t="n"/>
      <c r="BC665" s="287" t="n"/>
      <c r="BD665" s="287" t="n"/>
      <c r="BE665" s="287" t="n"/>
      <c r="BF665" s="287" t="n"/>
      <c r="BG665" s="287" t="n"/>
      <c r="BH665" s="287" t="n"/>
    </row>
    <row r="666" ht="34.5" customHeight="1">
      <c r="B666" s="288" t="n">
        <v>45478</v>
      </c>
      <c r="C666" s="289" t="n">
        <v>136</v>
      </c>
      <c r="D666" s="290" t="inlineStr">
        <is>
          <t>Repair ESOR panel &amp; Fabricate dummy test load, Payment#2</t>
        </is>
      </c>
      <c r="E666" s="291" t="inlineStr">
        <is>
          <t>BRI</t>
        </is>
      </c>
      <c r="F666" s="292" t="n">
        <v>25000000</v>
      </c>
      <c r="G666" s="289" t="inlineStr">
        <is>
          <t>IDR</t>
        </is>
      </c>
      <c r="H666" s="293" t="n">
        <v>1</v>
      </c>
      <c r="I666" s="291" t="n"/>
      <c r="J666" s="291" t="n"/>
      <c r="K666" s="291" t="n"/>
      <c r="L666" s="292">
        <f>$F666*$H666</f>
        <v/>
      </c>
      <c r="M666" s="291" t="n"/>
      <c r="N666" s="291" t="n"/>
      <c r="O666" s="291" t="n"/>
      <c r="P666" s="291" t="n"/>
      <c r="Q666" s="291" t="n"/>
      <c r="R666" s="287" t="n"/>
      <c r="S666" s="287" t="n"/>
      <c r="T666" s="287" t="n"/>
      <c r="U666" s="287" t="n"/>
      <c r="V666" s="287" t="n"/>
      <c r="W666" s="287" t="n"/>
      <c r="X666" s="287" t="n"/>
      <c r="Y666" s="287" t="n"/>
      <c r="Z666" s="287" t="n"/>
      <c r="AA666" s="287" t="n"/>
      <c r="AB666" s="287" t="n"/>
      <c r="AC666" s="287" t="n"/>
      <c r="AD666" s="287" t="n"/>
      <c r="AE666" s="287" t="n"/>
      <c r="AF666" s="287" t="n"/>
      <c r="AG666" s="287" t="n"/>
      <c r="AH666" s="287" t="n"/>
      <c r="AI666" s="287" t="n"/>
      <c r="AJ666" s="287" t="n"/>
      <c r="AK666" s="287" t="n"/>
      <c r="AL666" s="287" t="n"/>
      <c r="AM666" s="287" t="n"/>
      <c r="AN666" s="287" t="n"/>
      <c r="AO666" s="287" t="n"/>
      <c r="AP666" s="287" t="n"/>
      <c r="AQ666" s="287" t="n"/>
      <c r="AR666" s="287" t="n"/>
      <c r="AS666" s="287" t="n"/>
      <c r="AT666" s="287" t="n"/>
      <c r="AU666" s="287" t="n"/>
      <c r="AV666" s="287" t="n"/>
      <c r="AW666" s="287" t="n"/>
      <c r="AX666" s="287" t="n"/>
      <c r="AY666" s="287" t="n"/>
      <c r="AZ666" s="287" t="n"/>
      <c r="BA666" s="287" t="n"/>
      <c r="BB666" s="287" t="n"/>
      <c r="BC666" s="287" t="n"/>
      <c r="BD666" s="287" t="n"/>
      <c r="BE666" s="287" t="n"/>
      <c r="BF666" s="287" t="n"/>
      <c r="BG666" s="287" t="n"/>
      <c r="BH666" s="287" t="n"/>
    </row>
    <row r="667" ht="34.5" customHeight="1">
      <c r="B667" s="288" t="n">
        <v>45480</v>
      </c>
      <c r="C667" s="289" t="n">
        <v>137</v>
      </c>
      <c r="D667" s="290" t="inlineStr">
        <is>
          <t>PT Laka Indonesia |  Wastafel for WIKA Anantara Ubud Bali</t>
        </is>
      </c>
      <c r="E667" s="291" t="inlineStr">
        <is>
          <t>BCA</t>
        </is>
      </c>
      <c r="F667" s="295" t="n">
        <v>25000000</v>
      </c>
      <c r="G667" s="289" t="inlineStr">
        <is>
          <t>IDR</t>
        </is>
      </c>
      <c r="H667" s="293" t="n">
        <v>1</v>
      </c>
      <c r="I667" s="291" t="n"/>
      <c r="J667" s="291" t="n"/>
      <c r="K667" s="291" t="n"/>
      <c r="L667" s="292">
        <f>$F667*$H667</f>
        <v/>
      </c>
      <c r="M667" s="291" t="n"/>
      <c r="N667" s="291" t="n"/>
      <c r="O667" s="291" t="n"/>
      <c r="P667" s="291" t="n"/>
      <c r="Q667" s="291" t="n"/>
      <c r="R667" s="287" t="n"/>
      <c r="S667" s="287" t="n"/>
      <c r="T667" s="287" t="n"/>
      <c r="U667" s="287" t="n"/>
      <c r="V667" s="287" t="n"/>
      <c r="W667" s="287" t="n"/>
      <c r="X667" s="287" t="n"/>
      <c r="Y667" s="287" t="n"/>
      <c r="Z667" s="287" t="n"/>
      <c r="AA667" s="287" t="n"/>
      <c r="AB667" s="287" t="n"/>
      <c r="AC667" s="287" t="n"/>
      <c r="AD667" s="287" t="n"/>
      <c r="AE667" s="287" t="n"/>
      <c r="AF667" s="287" t="n"/>
      <c r="AG667" s="287" t="n"/>
      <c r="AH667" s="287" t="n"/>
      <c r="AI667" s="287" t="n"/>
      <c r="AJ667" s="287" t="n"/>
      <c r="AK667" s="287" t="n"/>
      <c r="AL667" s="287" t="n"/>
      <c r="AM667" s="287" t="n"/>
      <c r="AN667" s="287" t="n"/>
      <c r="AO667" s="287" t="n"/>
      <c r="AP667" s="287" t="n"/>
      <c r="AQ667" s="287" t="n"/>
      <c r="AR667" s="287" t="n"/>
      <c r="AS667" s="287" t="n"/>
      <c r="AT667" s="287" t="n"/>
      <c r="AU667" s="287" t="n"/>
      <c r="AV667" s="287" t="n"/>
      <c r="AW667" s="287" t="n"/>
      <c r="AX667" s="287" t="n"/>
      <c r="AY667" s="287" t="n"/>
      <c r="AZ667" s="287" t="n"/>
      <c r="BA667" s="287" t="n"/>
      <c r="BB667" s="287" t="n"/>
      <c r="BC667" s="287" t="n"/>
      <c r="BD667" s="287" t="n"/>
      <c r="BE667" s="287" t="n"/>
      <c r="BF667" s="287" t="n"/>
      <c r="BG667" s="287" t="n"/>
      <c r="BH667" s="287" t="n"/>
    </row>
    <row r="668" ht="34.5" customHeight="1">
      <c r="B668" s="288" t="n">
        <v>45480</v>
      </c>
      <c r="C668" s="289" t="n">
        <v>138</v>
      </c>
      <c r="D668" s="290" t="inlineStr">
        <is>
          <t>PT Laka Indonesia |  Wastafel for WIKA Anantara Ubud Bali</t>
        </is>
      </c>
      <c r="E668" s="291" t="inlineStr">
        <is>
          <t>BCA</t>
        </is>
      </c>
      <c r="F668" s="295" t="n">
        <v>25000000</v>
      </c>
      <c r="G668" s="289" t="inlineStr">
        <is>
          <t>IDR</t>
        </is>
      </c>
      <c r="H668" s="293" t="n">
        <v>1</v>
      </c>
      <c r="I668" s="291" t="n"/>
      <c r="J668" s="291" t="n"/>
      <c r="K668" s="291" t="n"/>
      <c r="L668" s="292">
        <f>$F668*$H668</f>
        <v/>
      </c>
      <c r="M668" s="291" t="n"/>
      <c r="N668" s="291" t="n"/>
      <c r="O668" s="291" t="n"/>
      <c r="P668" s="291" t="n"/>
      <c r="Q668" s="291" t="n"/>
      <c r="R668" s="287" t="n"/>
      <c r="S668" s="287" t="n"/>
      <c r="T668" s="287" t="n"/>
      <c r="U668" s="287" t="n"/>
      <c r="V668" s="287" t="n"/>
      <c r="W668" s="287" t="n"/>
      <c r="X668" s="287" t="n"/>
      <c r="Y668" s="287" t="n"/>
      <c r="Z668" s="287" t="n"/>
      <c r="AA668" s="287" t="n"/>
      <c r="AB668" s="287" t="n"/>
      <c r="AC668" s="287" t="n"/>
      <c r="AD668" s="287" t="n"/>
      <c r="AE668" s="287" t="n"/>
      <c r="AF668" s="287" t="n"/>
      <c r="AG668" s="287" t="n"/>
      <c r="AH668" s="287" t="n"/>
      <c r="AI668" s="287" t="n"/>
      <c r="AJ668" s="287" t="n"/>
      <c r="AK668" s="287" t="n"/>
      <c r="AL668" s="287" t="n"/>
      <c r="AM668" s="287" t="n"/>
      <c r="AN668" s="287" t="n"/>
      <c r="AO668" s="287" t="n"/>
      <c r="AP668" s="287" t="n"/>
      <c r="AQ668" s="287" t="n"/>
      <c r="AR668" s="287" t="n"/>
      <c r="AS668" s="287" t="n"/>
      <c r="AT668" s="287" t="n"/>
      <c r="AU668" s="287" t="n"/>
      <c r="AV668" s="287" t="n"/>
      <c r="AW668" s="287" t="n"/>
      <c r="AX668" s="287" t="n"/>
      <c r="AY668" s="287" t="n"/>
      <c r="AZ668" s="287" t="n"/>
      <c r="BA668" s="287" t="n"/>
      <c r="BB668" s="287" t="n"/>
      <c r="BC668" s="287" t="n"/>
      <c r="BD668" s="287" t="n"/>
      <c r="BE668" s="287" t="n"/>
      <c r="BF668" s="287" t="n"/>
      <c r="BG668" s="287" t="n"/>
      <c r="BH668" s="287" t="n"/>
    </row>
    <row r="669" ht="34.5" customHeight="1">
      <c r="B669" s="288" t="n">
        <v>45480</v>
      </c>
      <c r="C669" s="289" t="n">
        <v>139</v>
      </c>
      <c r="D669" s="290" t="inlineStr">
        <is>
          <t>PT Laka Indonesia |  Wastafel for WIKA Anantara Ubud Bali</t>
        </is>
      </c>
      <c r="E669" s="291" t="inlineStr">
        <is>
          <t>BCA</t>
        </is>
      </c>
      <c r="F669" s="295" t="n">
        <v>25000000</v>
      </c>
      <c r="G669" s="289" t="inlineStr">
        <is>
          <t>IDR</t>
        </is>
      </c>
      <c r="H669" s="293" t="n">
        <v>1</v>
      </c>
      <c r="I669" s="291" t="n"/>
      <c r="J669" s="291" t="n"/>
      <c r="K669" s="291" t="n"/>
      <c r="L669" s="292">
        <f>$F669*$H669</f>
        <v/>
      </c>
      <c r="M669" s="291" t="n"/>
      <c r="N669" s="291" t="n"/>
      <c r="O669" s="291" t="n"/>
      <c r="P669" s="291" t="n"/>
      <c r="Q669" s="291" t="n"/>
      <c r="R669" s="287" t="n"/>
      <c r="S669" s="287" t="n"/>
      <c r="T669" s="287" t="n"/>
      <c r="U669" s="287" t="n"/>
      <c r="V669" s="287" t="n"/>
      <c r="W669" s="287" t="n"/>
      <c r="X669" s="287" t="n"/>
      <c r="Y669" s="287" t="n"/>
      <c r="Z669" s="287" t="n"/>
      <c r="AA669" s="287" t="n"/>
      <c r="AB669" s="287" t="n"/>
      <c r="AC669" s="287" t="n"/>
      <c r="AD669" s="287" t="n"/>
      <c r="AE669" s="287" t="n"/>
      <c r="AF669" s="287" t="n"/>
      <c r="AG669" s="287" t="n"/>
      <c r="AH669" s="287" t="n"/>
      <c r="AI669" s="287" t="n"/>
      <c r="AJ669" s="287" t="n"/>
      <c r="AK669" s="287" t="n"/>
      <c r="AL669" s="287" t="n"/>
      <c r="AM669" s="287" t="n"/>
      <c r="AN669" s="287" t="n"/>
      <c r="AO669" s="287" t="n"/>
      <c r="AP669" s="287" t="n"/>
      <c r="AQ669" s="287" t="n"/>
      <c r="AR669" s="287" t="n"/>
      <c r="AS669" s="287" t="n"/>
      <c r="AT669" s="287" t="n"/>
      <c r="AU669" s="287" t="n"/>
      <c r="AV669" s="287" t="n"/>
      <c r="AW669" s="287" t="n"/>
      <c r="AX669" s="287" t="n"/>
      <c r="AY669" s="287" t="n"/>
      <c r="AZ669" s="287" t="n"/>
      <c r="BA669" s="287" t="n"/>
      <c r="BB669" s="287" t="n"/>
      <c r="BC669" s="287" t="n"/>
      <c r="BD669" s="287" t="n"/>
      <c r="BE669" s="287" t="n"/>
      <c r="BF669" s="287" t="n"/>
      <c r="BG669" s="287" t="n"/>
      <c r="BH669" s="287" t="n"/>
    </row>
    <row r="670" ht="34.5" customHeight="1">
      <c r="B670" s="288" t="n">
        <v>45480</v>
      </c>
      <c r="C670" s="289" t="n">
        <v>140</v>
      </c>
      <c r="D670" s="290" t="inlineStr">
        <is>
          <t>PT Laka Indonesia |  Wastafel for WIKA Anantara Ubud Bali</t>
        </is>
      </c>
      <c r="E670" s="291" t="inlineStr">
        <is>
          <t>BCA</t>
        </is>
      </c>
      <c r="F670" s="295" t="n">
        <v>25000000</v>
      </c>
      <c r="G670" s="289" t="inlineStr">
        <is>
          <t>IDR</t>
        </is>
      </c>
      <c r="H670" s="293" t="n">
        <v>1</v>
      </c>
      <c r="I670" s="291" t="n"/>
      <c r="J670" s="291" t="n"/>
      <c r="K670" s="291" t="n"/>
      <c r="L670" s="292">
        <f>$F670*$H670</f>
        <v/>
      </c>
      <c r="M670" s="291" t="n"/>
      <c r="N670" s="291" t="n"/>
      <c r="O670" s="291" t="n"/>
      <c r="P670" s="291" t="n"/>
      <c r="Q670" s="291" t="n"/>
      <c r="R670" s="287" t="n"/>
      <c r="S670" s="287" t="n"/>
      <c r="T670" s="287" t="n"/>
      <c r="U670" s="287" t="n"/>
      <c r="V670" s="287" t="n"/>
      <c r="W670" s="287" t="n"/>
      <c r="X670" s="287" t="n"/>
      <c r="Y670" s="287" t="n"/>
      <c r="Z670" s="287" t="n"/>
      <c r="AA670" s="287" t="n"/>
      <c r="AB670" s="287" t="n"/>
      <c r="AC670" s="287" t="n"/>
      <c r="AD670" s="287" t="n"/>
      <c r="AE670" s="287" t="n"/>
      <c r="AF670" s="287" t="n"/>
      <c r="AG670" s="287" t="n"/>
      <c r="AH670" s="287" t="n"/>
      <c r="AI670" s="287" t="n"/>
      <c r="AJ670" s="287" t="n"/>
      <c r="AK670" s="287" t="n"/>
      <c r="AL670" s="287" t="n"/>
      <c r="AM670" s="287" t="n"/>
      <c r="AN670" s="287" t="n"/>
      <c r="AO670" s="287" t="n"/>
      <c r="AP670" s="287" t="n"/>
      <c r="AQ670" s="287" t="n"/>
      <c r="AR670" s="287" t="n"/>
      <c r="AS670" s="287" t="n"/>
      <c r="AT670" s="287" t="n"/>
      <c r="AU670" s="287" t="n"/>
      <c r="AV670" s="287" t="n"/>
      <c r="AW670" s="287" t="n"/>
      <c r="AX670" s="287" t="n"/>
      <c r="AY670" s="287" t="n"/>
      <c r="AZ670" s="287" t="n"/>
      <c r="BA670" s="287" t="n"/>
      <c r="BB670" s="287" t="n"/>
      <c r="BC670" s="287" t="n"/>
      <c r="BD670" s="287" t="n"/>
      <c r="BE670" s="287" t="n"/>
      <c r="BF670" s="287" t="n"/>
      <c r="BG670" s="287" t="n"/>
      <c r="BH670" s="287" t="n"/>
    </row>
    <row r="671" ht="34.5" customHeight="1">
      <c r="B671" s="288" t="n">
        <v>45492</v>
      </c>
      <c r="C671" s="289" t="n">
        <v>141</v>
      </c>
      <c r="D671" s="290" t="inlineStr">
        <is>
          <t>PT Laka Indonesia |  Wastafel for WIKA Anantara Ubud Bali</t>
        </is>
      </c>
      <c r="E671" s="291" t="inlineStr">
        <is>
          <t>BCA</t>
        </is>
      </c>
      <c r="F671" s="295" t="n">
        <v>25000000</v>
      </c>
      <c r="G671" s="289" t="inlineStr">
        <is>
          <t>IDR</t>
        </is>
      </c>
      <c r="H671" s="293" t="n">
        <v>1</v>
      </c>
      <c r="I671" s="291" t="n"/>
      <c r="J671" s="291" t="n"/>
      <c r="K671" s="291" t="n"/>
      <c r="L671" s="292">
        <f>$F671*$H671</f>
        <v/>
      </c>
      <c r="M671" s="291" t="n"/>
      <c r="N671" s="291" t="n"/>
      <c r="O671" s="291" t="n"/>
      <c r="P671" s="291" t="n"/>
      <c r="Q671" s="291" t="n"/>
      <c r="R671" s="287" t="n"/>
      <c r="S671" s="287" t="n"/>
      <c r="T671" s="287" t="n"/>
      <c r="U671" s="287" t="n"/>
      <c r="V671" s="287" t="n"/>
      <c r="W671" s="287" t="n"/>
      <c r="X671" s="287" t="n"/>
      <c r="Y671" s="287" t="n"/>
      <c r="Z671" s="287" t="n"/>
      <c r="AA671" s="287" t="n"/>
      <c r="AB671" s="287" t="n"/>
      <c r="AC671" s="287" t="n"/>
      <c r="AD671" s="287" t="n"/>
      <c r="AE671" s="287" t="n"/>
      <c r="AF671" s="287" t="n"/>
      <c r="AG671" s="287" t="n"/>
      <c r="AH671" s="287" t="n"/>
      <c r="AI671" s="287" t="n"/>
      <c r="AJ671" s="287" t="n"/>
      <c r="AK671" s="287" t="n"/>
      <c r="AL671" s="287" t="n"/>
      <c r="AM671" s="287" t="n"/>
      <c r="AN671" s="287" t="n"/>
      <c r="AO671" s="287" t="n"/>
      <c r="AP671" s="287" t="n"/>
      <c r="AQ671" s="287" t="n"/>
      <c r="AR671" s="287" t="n"/>
      <c r="AS671" s="287" t="n"/>
      <c r="AT671" s="287" t="n"/>
      <c r="AU671" s="287" t="n"/>
      <c r="AV671" s="287" t="n"/>
      <c r="AW671" s="287" t="n"/>
      <c r="AX671" s="287" t="n"/>
      <c r="AY671" s="287" t="n"/>
      <c r="AZ671" s="287" t="n"/>
      <c r="BA671" s="287" t="n"/>
      <c r="BB671" s="287" t="n"/>
      <c r="BC671" s="287" t="n"/>
      <c r="BD671" s="287" t="n"/>
      <c r="BE671" s="287" t="n"/>
      <c r="BF671" s="287" t="n"/>
      <c r="BG671" s="287" t="n"/>
      <c r="BH671" s="287" t="n"/>
    </row>
    <row r="672" ht="34.5" customHeight="1">
      <c r="B672" s="288" t="n">
        <v>45492</v>
      </c>
      <c r="C672" s="289" t="n">
        <v>142</v>
      </c>
      <c r="D672" s="290" t="inlineStr">
        <is>
          <t>PT Laka Indonesia |  Wastafel for WIKA Anantara Ubud Bali</t>
        </is>
      </c>
      <c r="E672" s="291" t="inlineStr">
        <is>
          <t>BCA</t>
        </is>
      </c>
      <c r="F672" s="295" t="n">
        <v>25000000</v>
      </c>
      <c r="G672" s="289" t="inlineStr">
        <is>
          <t>IDR</t>
        </is>
      </c>
      <c r="H672" s="293" t="n">
        <v>1</v>
      </c>
      <c r="I672" s="291" t="n"/>
      <c r="J672" s="291" t="n"/>
      <c r="K672" s="291" t="n"/>
      <c r="L672" s="292">
        <f>$F672*$H672</f>
        <v/>
      </c>
      <c r="M672" s="291" t="n"/>
      <c r="N672" s="291" t="n"/>
      <c r="O672" s="291" t="n"/>
      <c r="P672" s="291" t="n"/>
      <c r="Q672" s="291" t="n"/>
      <c r="R672" s="287" t="n"/>
      <c r="S672" s="287" t="n"/>
      <c r="T672" s="287" t="n"/>
      <c r="U672" s="287" t="n"/>
      <c r="V672" s="287" t="n"/>
      <c r="W672" s="287" t="n"/>
      <c r="X672" s="287" t="n"/>
      <c r="Y672" s="287" t="n"/>
      <c r="Z672" s="287" t="n"/>
      <c r="AA672" s="287" t="n"/>
      <c r="AB672" s="287" t="n"/>
      <c r="AC672" s="287" t="n"/>
      <c r="AD672" s="287" t="n"/>
      <c r="AE672" s="287" t="n"/>
      <c r="AF672" s="287" t="n"/>
      <c r="AG672" s="287" t="n"/>
      <c r="AH672" s="287" t="n"/>
      <c r="AI672" s="287" t="n"/>
      <c r="AJ672" s="287" t="n"/>
      <c r="AK672" s="287" t="n"/>
      <c r="AL672" s="287" t="n"/>
      <c r="AM672" s="287" t="n"/>
      <c r="AN672" s="287" t="n"/>
      <c r="AO672" s="287" t="n"/>
      <c r="AP672" s="287" t="n"/>
      <c r="AQ672" s="287" t="n"/>
      <c r="AR672" s="287" t="n"/>
      <c r="AS672" s="287" t="n"/>
      <c r="AT672" s="287" t="n"/>
      <c r="AU672" s="287" t="n"/>
      <c r="AV672" s="287" t="n"/>
      <c r="AW672" s="287" t="n"/>
      <c r="AX672" s="287" t="n"/>
      <c r="AY672" s="287" t="n"/>
      <c r="AZ672" s="287" t="n"/>
      <c r="BA672" s="287" t="n"/>
      <c r="BB672" s="287" t="n"/>
      <c r="BC672" s="287" t="n"/>
      <c r="BD672" s="287" t="n"/>
      <c r="BE672" s="287" t="n"/>
      <c r="BF672" s="287" t="n"/>
      <c r="BG672" s="287" t="n"/>
      <c r="BH672" s="287" t="n"/>
    </row>
    <row r="673" ht="34.5" customHeight="1">
      <c r="B673" s="288" t="n">
        <v>45492</v>
      </c>
      <c r="C673" s="289" t="n">
        <v>143</v>
      </c>
      <c r="D673" s="290" t="inlineStr">
        <is>
          <t>PT Laka Indonesia |  Wastafel for WIKA Anantara Ubud Bali</t>
        </is>
      </c>
      <c r="E673" s="291" t="inlineStr">
        <is>
          <t>BCA</t>
        </is>
      </c>
      <c r="F673" s="295" t="n">
        <v>25000000</v>
      </c>
      <c r="G673" s="289" t="inlineStr">
        <is>
          <t>IDR</t>
        </is>
      </c>
      <c r="H673" s="293" t="n">
        <v>1</v>
      </c>
      <c r="I673" s="291" t="n"/>
      <c r="J673" s="291" t="n"/>
      <c r="K673" s="291" t="n"/>
      <c r="L673" s="292">
        <f>$F673*$H673</f>
        <v/>
      </c>
      <c r="M673" s="291" t="n"/>
      <c r="N673" s="291" t="n"/>
      <c r="O673" s="291" t="n"/>
      <c r="P673" s="291" t="n"/>
      <c r="Q673" s="291" t="n"/>
      <c r="R673" s="287" t="n"/>
      <c r="S673" s="287" t="n"/>
      <c r="T673" s="287" t="n"/>
      <c r="U673" s="287" t="n"/>
      <c r="V673" s="287" t="n"/>
      <c r="W673" s="287" t="n"/>
      <c r="X673" s="287" t="n"/>
      <c r="Y673" s="287" t="n"/>
      <c r="Z673" s="287" t="n"/>
      <c r="AA673" s="287" t="n"/>
      <c r="AB673" s="287" t="n"/>
      <c r="AC673" s="287" t="n"/>
      <c r="AD673" s="287" t="n"/>
      <c r="AE673" s="287" t="n"/>
      <c r="AF673" s="287" t="n"/>
      <c r="AG673" s="287" t="n"/>
      <c r="AH673" s="287" t="n"/>
      <c r="AI673" s="287" t="n"/>
      <c r="AJ673" s="287" t="n"/>
      <c r="AK673" s="287" t="n"/>
      <c r="AL673" s="287" t="n"/>
      <c r="AM673" s="287" t="n"/>
      <c r="AN673" s="287" t="n"/>
      <c r="AO673" s="287" t="n"/>
      <c r="AP673" s="287" t="n"/>
      <c r="AQ673" s="287" t="n"/>
      <c r="AR673" s="287" t="n"/>
      <c r="AS673" s="287" t="n"/>
      <c r="AT673" s="287" t="n"/>
      <c r="AU673" s="287" t="n"/>
      <c r="AV673" s="287" t="n"/>
      <c r="AW673" s="287" t="n"/>
      <c r="AX673" s="287" t="n"/>
      <c r="AY673" s="287" t="n"/>
      <c r="AZ673" s="287" t="n"/>
      <c r="BA673" s="287" t="n"/>
      <c r="BB673" s="287" t="n"/>
      <c r="BC673" s="287" t="n"/>
      <c r="BD673" s="287" t="n"/>
      <c r="BE673" s="287" t="n"/>
      <c r="BF673" s="287" t="n"/>
      <c r="BG673" s="287" t="n"/>
      <c r="BH673" s="287" t="n"/>
    </row>
    <row r="674" ht="34.5" customHeight="1">
      <c r="B674" s="288" t="n">
        <v>45492</v>
      </c>
      <c r="C674" s="289" t="n">
        <v>144</v>
      </c>
      <c r="D674" s="290" t="inlineStr">
        <is>
          <t>PT Laka Indonesia |  Wastafel for WIKA Anantara Ubud Bali</t>
        </is>
      </c>
      <c r="E674" s="291" t="inlineStr">
        <is>
          <t>BCA</t>
        </is>
      </c>
      <c r="F674" s="295" t="n">
        <v>25000000</v>
      </c>
      <c r="G674" s="289" t="inlineStr">
        <is>
          <t>IDR</t>
        </is>
      </c>
      <c r="H674" s="293" t="n">
        <v>1</v>
      </c>
      <c r="I674" s="291" t="n"/>
      <c r="J674" s="291" t="n"/>
      <c r="K674" s="291" t="n"/>
      <c r="L674" s="292">
        <f>$F674*$H674</f>
        <v/>
      </c>
      <c r="M674" s="291" t="n"/>
      <c r="N674" s="291" t="n"/>
      <c r="O674" s="291" t="n"/>
      <c r="P674" s="291" t="n"/>
      <c r="Q674" s="291" t="n"/>
      <c r="R674" s="287" t="n"/>
      <c r="S674" s="287" t="n"/>
      <c r="T674" s="287" t="n"/>
      <c r="U674" s="287" t="n"/>
      <c r="V674" s="287" t="n"/>
      <c r="W674" s="287" t="n"/>
      <c r="X674" s="287" t="n"/>
      <c r="Y674" s="287" t="n"/>
      <c r="Z674" s="287" t="n"/>
      <c r="AA674" s="287" t="n"/>
      <c r="AB674" s="287" t="n"/>
      <c r="AC674" s="287" t="n"/>
      <c r="AD674" s="287" t="n"/>
      <c r="AE674" s="287" t="n"/>
      <c r="AF674" s="287" t="n"/>
      <c r="AG674" s="287" t="n"/>
      <c r="AH674" s="287" t="n"/>
      <c r="AI674" s="287" t="n"/>
      <c r="AJ674" s="287" t="n"/>
      <c r="AK674" s="287" t="n"/>
      <c r="AL674" s="287" t="n"/>
      <c r="AM674" s="287" t="n"/>
      <c r="AN674" s="287" t="n"/>
      <c r="AO674" s="287" t="n"/>
      <c r="AP674" s="287" t="n"/>
      <c r="AQ674" s="287" t="n"/>
      <c r="AR674" s="287" t="n"/>
      <c r="AS674" s="287" t="n"/>
      <c r="AT674" s="287" t="n"/>
      <c r="AU674" s="287" t="n"/>
      <c r="AV674" s="287" t="n"/>
      <c r="AW674" s="287" t="n"/>
      <c r="AX674" s="287" t="n"/>
      <c r="AY674" s="287" t="n"/>
      <c r="AZ674" s="287" t="n"/>
      <c r="BA674" s="287" t="n"/>
      <c r="BB674" s="287" t="n"/>
      <c r="BC674" s="287" t="n"/>
      <c r="BD674" s="287" t="n"/>
      <c r="BE674" s="287" t="n"/>
      <c r="BF674" s="287" t="n"/>
      <c r="BG674" s="287" t="n"/>
      <c r="BH674" s="287" t="n"/>
    </row>
    <row r="675" ht="34.5" customHeight="1">
      <c r="B675" s="288" t="n">
        <v>45493</v>
      </c>
      <c r="C675" s="289" t="n">
        <v>145</v>
      </c>
      <c r="D675" s="290" t="inlineStr">
        <is>
          <t>Repair ESOR panel &amp; Fabricate dummy test load, Payment#1</t>
        </is>
      </c>
      <c r="E675" s="291" t="inlineStr">
        <is>
          <t>BCA</t>
        </is>
      </c>
      <c r="F675" s="295" t="n">
        <v>20000000</v>
      </c>
      <c r="G675" s="289" t="inlineStr">
        <is>
          <t>IDR</t>
        </is>
      </c>
      <c r="H675" s="293" t="n">
        <v>1</v>
      </c>
      <c r="I675" s="291" t="n"/>
      <c r="J675" s="291" t="n"/>
      <c r="K675" s="291" t="n"/>
      <c r="L675" s="292">
        <f>$F675*$H675</f>
        <v/>
      </c>
      <c r="M675" s="291" t="n"/>
      <c r="N675" s="291" t="n"/>
      <c r="O675" s="291" t="n"/>
      <c r="P675" s="291" t="n"/>
      <c r="Q675" s="291" t="n"/>
      <c r="R675" s="287" t="n"/>
      <c r="S675" s="287" t="n"/>
      <c r="T675" s="287" t="n"/>
      <c r="U675" s="287" t="n"/>
      <c r="V675" s="287" t="n"/>
      <c r="W675" s="287" t="n"/>
      <c r="X675" s="287" t="n"/>
      <c r="Y675" s="287" t="n"/>
      <c r="Z675" s="287" t="n"/>
      <c r="AA675" s="287" t="n"/>
      <c r="AB675" s="287" t="n"/>
      <c r="AC675" s="287" t="n"/>
      <c r="AD675" s="287" t="n"/>
      <c r="AE675" s="287" t="n"/>
      <c r="AF675" s="287" t="n"/>
      <c r="AG675" s="287" t="n"/>
      <c r="AH675" s="287" t="n"/>
      <c r="AI675" s="287" t="n"/>
      <c r="AJ675" s="287" t="n"/>
      <c r="AK675" s="287" t="n"/>
      <c r="AL675" s="287" t="n"/>
      <c r="AM675" s="287" t="n"/>
      <c r="AN675" s="287" t="n"/>
      <c r="AO675" s="287" t="n"/>
      <c r="AP675" s="287" t="n"/>
      <c r="AQ675" s="287" t="n"/>
      <c r="AR675" s="287" t="n"/>
      <c r="AS675" s="287" t="n"/>
      <c r="AT675" s="287" t="n"/>
      <c r="AU675" s="287" t="n"/>
      <c r="AV675" s="287" t="n"/>
      <c r="AW675" s="287" t="n"/>
      <c r="AX675" s="287" t="n"/>
      <c r="AY675" s="287" t="n"/>
      <c r="AZ675" s="287" t="n"/>
      <c r="BA675" s="287" t="n"/>
      <c r="BB675" s="287" t="n"/>
      <c r="BC675" s="287" t="n"/>
      <c r="BD675" s="287" t="n"/>
      <c r="BE675" s="287" t="n"/>
      <c r="BF675" s="287" t="n"/>
      <c r="BG675" s="287" t="n"/>
      <c r="BH675" s="287" t="n"/>
    </row>
    <row r="676" ht="34.5" customHeight="1">
      <c r="B676" s="288" t="n">
        <v>45493</v>
      </c>
      <c r="C676" s="289" t="n">
        <v>146</v>
      </c>
      <c r="D676" s="290" t="inlineStr">
        <is>
          <t>Repair ESOR panel &amp; Fabricate dummy test load, Payment#1</t>
        </is>
      </c>
      <c r="E676" s="291" t="inlineStr">
        <is>
          <t>BCA</t>
        </is>
      </c>
      <c r="F676" s="295" t="n">
        <v>20000000</v>
      </c>
      <c r="G676" s="289" t="inlineStr">
        <is>
          <t>IDR</t>
        </is>
      </c>
      <c r="H676" s="293" t="n">
        <v>1</v>
      </c>
      <c r="I676" s="291" t="n"/>
      <c r="J676" s="291" t="n"/>
      <c r="K676" s="291" t="n"/>
      <c r="L676" s="292">
        <f>$F676*$H676</f>
        <v/>
      </c>
      <c r="M676" s="291" t="n"/>
      <c r="N676" s="291" t="n"/>
      <c r="O676" s="291" t="n"/>
      <c r="P676" s="291" t="n"/>
      <c r="Q676" s="291" t="n"/>
      <c r="R676" s="287" t="n"/>
      <c r="S676" s="287" t="n"/>
      <c r="T676" s="287" t="n"/>
      <c r="U676" s="287" t="n"/>
      <c r="V676" s="287" t="n"/>
      <c r="W676" s="287" t="n"/>
      <c r="X676" s="287" t="n"/>
      <c r="Y676" s="287" t="n"/>
      <c r="Z676" s="287" t="n"/>
      <c r="AA676" s="287" t="n"/>
      <c r="AB676" s="287" t="n"/>
      <c r="AC676" s="287" t="n"/>
      <c r="AD676" s="287" t="n"/>
      <c r="AE676" s="287" t="n"/>
      <c r="AF676" s="287" t="n"/>
      <c r="AG676" s="287" t="n"/>
      <c r="AH676" s="287" t="n"/>
      <c r="AI676" s="287" t="n"/>
      <c r="AJ676" s="287" t="n"/>
      <c r="AK676" s="287" t="n"/>
      <c r="AL676" s="287" t="n"/>
      <c r="AM676" s="287" t="n"/>
      <c r="AN676" s="287" t="n"/>
      <c r="AO676" s="287" t="n"/>
      <c r="AP676" s="287" t="n"/>
      <c r="AQ676" s="287" t="n"/>
      <c r="AR676" s="287" t="n"/>
      <c r="AS676" s="287" t="n"/>
      <c r="AT676" s="287" t="n"/>
      <c r="AU676" s="287" t="n"/>
      <c r="AV676" s="287" t="n"/>
      <c r="AW676" s="287" t="n"/>
      <c r="AX676" s="287" t="n"/>
      <c r="AY676" s="287" t="n"/>
      <c r="AZ676" s="287" t="n"/>
      <c r="BA676" s="287" t="n"/>
      <c r="BB676" s="287" t="n"/>
      <c r="BC676" s="287" t="n"/>
      <c r="BD676" s="287" t="n"/>
      <c r="BE676" s="287" t="n"/>
      <c r="BF676" s="287" t="n"/>
      <c r="BG676" s="287" t="n"/>
      <c r="BH676" s="287" t="n"/>
    </row>
    <row r="677" ht="34.5" customHeight="1">
      <c r="B677" s="288" t="n">
        <v>45493</v>
      </c>
      <c r="C677" s="289" t="n">
        <v>147</v>
      </c>
      <c r="D677" s="290" t="inlineStr">
        <is>
          <t>Repair ESOR panel &amp; Fabricate dummy test load, Payment#1</t>
        </is>
      </c>
      <c r="E677" s="291" t="inlineStr">
        <is>
          <t>BCA</t>
        </is>
      </c>
      <c r="F677" s="295" t="n">
        <v>20000000</v>
      </c>
      <c r="G677" s="289" t="inlineStr">
        <is>
          <t>IDR</t>
        </is>
      </c>
      <c r="H677" s="293" t="n">
        <v>1</v>
      </c>
      <c r="I677" s="291" t="n"/>
      <c r="J677" s="291" t="n"/>
      <c r="K677" s="291" t="n"/>
      <c r="L677" s="292">
        <f>$F677*$H677</f>
        <v/>
      </c>
      <c r="M677" s="291" t="n"/>
      <c r="N677" s="291" t="n"/>
      <c r="O677" s="291" t="n"/>
      <c r="P677" s="291" t="n"/>
      <c r="Q677" s="291" t="n"/>
      <c r="R677" s="287" t="n"/>
      <c r="S677" s="287" t="n"/>
      <c r="T677" s="287" t="n"/>
      <c r="U677" s="287" t="n"/>
      <c r="V677" s="287" t="n"/>
      <c r="W677" s="287" t="n"/>
      <c r="X677" s="287" t="n"/>
      <c r="Y677" s="287" t="n"/>
      <c r="Z677" s="287" t="n"/>
      <c r="AA677" s="287" t="n"/>
      <c r="AB677" s="287" t="n"/>
      <c r="AC677" s="287" t="n"/>
      <c r="AD677" s="287" t="n"/>
      <c r="AE677" s="287" t="n"/>
      <c r="AF677" s="287" t="n"/>
      <c r="AG677" s="287" t="n"/>
      <c r="AH677" s="287" t="n"/>
      <c r="AI677" s="287" t="n"/>
      <c r="AJ677" s="287" t="n"/>
      <c r="AK677" s="287" t="n"/>
      <c r="AL677" s="287" t="n"/>
      <c r="AM677" s="287" t="n"/>
      <c r="AN677" s="287" t="n"/>
      <c r="AO677" s="287" t="n"/>
      <c r="AP677" s="287" t="n"/>
      <c r="AQ677" s="287" t="n"/>
      <c r="AR677" s="287" t="n"/>
      <c r="AS677" s="287" t="n"/>
      <c r="AT677" s="287" t="n"/>
      <c r="AU677" s="287" t="n"/>
      <c r="AV677" s="287" t="n"/>
      <c r="AW677" s="287" t="n"/>
      <c r="AX677" s="287" t="n"/>
      <c r="AY677" s="287" t="n"/>
      <c r="AZ677" s="287" t="n"/>
      <c r="BA677" s="287" t="n"/>
      <c r="BB677" s="287" t="n"/>
      <c r="BC677" s="287" t="n"/>
      <c r="BD677" s="287" t="n"/>
      <c r="BE677" s="287" t="n"/>
      <c r="BF677" s="287" t="n"/>
      <c r="BG677" s="287" t="n"/>
      <c r="BH677" s="287" t="n"/>
    </row>
    <row r="678" ht="34.5" customHeight="1">
      <c r="B678" s="288" t="n">
        <v>45493</v>
      </c>
      <c r="C678" s="289" t="n">
        <v>148</v>
      </c>
      <c r="D678" s="290" t="inlineStr">
        <is>
          <t>Repair ESOR panel &amp; Fabricate dummy test load, Payment#1</t>
        </is>
      </c>
      <c r="E678" s="291" t="inlineStr">
        <is>
          <t>BCA</t>
        </is>
      </c>
      <c r="F678" s="295" t="n">
        <v>20000000</v>
      </c>
      <c r="G678" s="289" t="inlineStr">
        <is>
          <t>IDR</t>
        </is>
      </c>
      <c r="H678" s="293" t="n">
        <v>1</v>
      </c>
      <c r="I678" s="291" t="n"/>
      <c r="J678" s="291" t="n"/>
      <c r="K678" s="291" t="n"/>
      <c r="L678" s="292">
        <f>$F678*$H678</f>
        <v/>
      </c>
      <c r="M678" s="291" t="n"/>
      <c r="N678" s="291" t="n"/>
      <c r="O678" s="291" t="n"/>
      <c r="P678" s="291" t="n"/>
      <c r="Q678" s="291" t="n"/>
      <c r="R678" s="287" t="n"/>
      <c r="S678" s="287" t="n"/>
      <c r="T678" s="287" t="n"/>
      <c r="U678" s="287" t="n"/>
      <c r="V678" s="287" t="n"/>
      <c r="W678" s="287" t="n"/>
      <c r="X678" s="287" t="n"/>
      <c r="Y678" s="287" t="n"/>
      <c r="Z678" s="287" t="n"/>
      <c r="AA678" s="287" t="n"/>
      <c r="AB678" s="287" t="n"/>
      <c r="AC678" s="287" t="n"/>
      <c r="AD678" s="287" t="n"/>
      <c r="AE678" s="287" t="n"/>
      <c r="AF678" s="287" t="n"/>
      <c r="AG678" s="287" t="n"/>
      <c r="AH678" s="287" t="n"/>
      <c r="AI678" s="287" t="n"/>
      <c r="AJ678" s="287" t="n"/>
      <c r="AK678" s="287" t="n"/>
      <c r="AL678" s="287" t="n"/>
      <c r="AM678" s="287" t="n"/>
      <c r="AN678" s="287" t="n"/>
      <c r="AO678" s="287" t="n"/>
      <c r="AP678" s="287" t="n"/>
      <c r="AQ678" s="287" t="n"/>
      <c r="AR678" s="287" t="n"/>
      <c r="AS678" s="287" t="n"/>
      <c r="AT678" s="287" t="n"/>
      <c r="AU678" s="287" t="n"/>
      <c r="AV678" s="287" t="n"/>
      <c r="AW678" s="287" t="n"/>
      <c r="AX678" s="287" t="n"/>
      <c r="AY678" s="287" t="n"/>
      <c r="AZ678" s="287" t="n"/>
      <c r="BA678" s="287" t="n"/>
      <c r="BB678" s="287" t="n"/>
      <c r="BC678" s="287" t="n"/>
      <c r="BD678" s="287" t="n"/>
      <c r="BE678" s="287" t="n"/>
      <c r="BF678" s="287" t="n"/>
      <c r="BG678" s="287" t="n"/>
      <c r="BH678" s="287" t="n"/>
    </row>
    <row r="679" ht="34.5" customHeight="1">
      <c r="B679" s="288" t="n">
        <v>45581</v>
      </c>
      <c r="C679" s="289" t="n">
        <v>149</v>
      </c>
      <c r="D679" s="290" t="inlineStr">
        <is>
          <t>PT Laka Indonesia | Project Lampu Taman Istana Negara Jakarta</t>
        </is>
      </c>
      <c r="E679" s="291" t="inlineStr">
        <is>
          <t>BRI</t>
        </is>
      </c>
      <c r="F679" s="295" t="n">
        <v>100000000</v>
      </c>
      <c r="G679" s="289" t="inlineStr">
        <is>
          <t>IDR</t>
        </is>
      </c>
      <c r="H679" s="293" t="n">
        <v>1</v>
      </c>
      <c r="I679" s="291" t="n"/>
      <c r="J679" s="291" t="n"/>
      <c r="K679" s="291" t="n"/>
      <c r="L679" s="292">
        <f>$F679*$H679</f>
        <v/>
      </c>
      <c r="M679" s="291" t="n"/>
      <c r="N679" s="291" t="n"/>
      <c r="O679" s="291" t="n"/>
      <c r="P679" s="291" t="n"/>
      <c r="Q679" s="291" t="n"/>
      <c r="R679" s="287" t="n"/>
      <c r="S679" s="287" t="n"/>
      <c r="T679" s="287" t="n"/>
      <c r="U679" s="287" t="n"/>
      <c r="V679" s="287" t="n"/>
      <c r="W679" s="287" t="n"/>
      <c r="X679" s="287" t="n"/>
      <c r="Y679" s="287" t="n"/>
      <c r="Z679" s="287" t="n"/>
      <c r="AA679" s="287" t="n"/>
      <c r="AB679" s="287" t="n"/>
      <c r="AC679" s="287" t="n"/>
      <c r="AD679" s="287" t="n"/>
      <c r="AE679" s="287" t="n"/>
      <c r="AF679" s="287" t="n"/>
      <c r="AG679" s="287" t="n"/>
      <c r="AH679" s="287" t="n"/>
      <c r="AI679" s="287" t="n"/>
      <c r="AJ679" s="287" t="n"/>
      <c r="AK679" s="287" t="n"/>
      <c r="AL679" s="287" t="n"/>
      <c r="AM679" s="287" t="n"/>
      <c r="AN679" s="287" t="n"/>
      <c r="AO679" s="287" t="n"/>
      <c r="AP679" s="287" t="n"/>
      <c r="AQ679" s="287" t="n"/>
      <c r="AR679" s="287" t="n"/>
      <c r="AS679" s="287" t="n"/>
      <c r="AT679" s="287" t="n"/>
      <c r="AU679" s="287" t="n"/>
      <c r="AV679" s="287" t="n"/>
      <c r="AW679" s="287" t="n"/>
      <c r="AX679" s="287" t="n"/>
      <c r="AY679" s="287" t="n"/>
      <c r="AZ679" s="287" t="n"/>
      <c r="BA679" s="287" t="n"/>
      <c r="BB679" s="287" t="n"/>
      <c r="BC679" s="287" t="n"/>
      <c r="BD679" s="287" t="n"/>
      <c r="BE679" s="287" t="n"/>
      <c r="BF679" s="287" t="n"/>
      <c r="BG679" s="287" t="n"/>
      <c r="BH679" s="287" t="n"/>
    </row>
    <row r="680" ht="34.5" customHeight="1">
      <c r="B680" s="288" t="n">
        <v>45581</v>
      </c>
      <c r="C680" s="289" t="n">
        <v>150</v>
      </c>
      <c r="D680" s="290" t="inlineStr">
        <is>
          <t>PT Laka Indonesia | Project Lampu Taman Istana Negara Jakarta</t>
        </is>
      </c>
      <c r="E680" s="291" t="inlineStr">
        <is>
          <t>BRI</t>
        </is>
      </c>
      <c r="F680" s="295" t="n">
        <v>100000000</v>
      </c>
      <c r="G680" s="289" t="inlineStr">
        <is>
          <t>IDR</t>
        </is>
      </c>
      <c r="H680" s="293" t="n">
        <v>1</v>
      </c>
      <c r="I680" s="291" t="n"/>
      <c r="J680" s="291" t="n"/>
      <c r="K680" s="291" t="n"/>
      <c r="L680" s="292">
        <f>$F680*$H680</f>
        <v/>
      </c>
      <c r="M680" s="291" t="n"/>
      <c r="N680" s="291" t="n"/>
      <c r="O680" s="291" t="n"/>
      <c r="P680" s="291" t="n"/>
      <c r="Q680" s="291" t="n"/>
      <c r="R680" s="287" t="n"/>
      <c r="S680" s="287" t="n"/>
      <c r="T680" s="287" t="n"/>
      <c r="U680" s="287" t="n"/>
      <c r="V680" s="287" t="n"/>
      <c r="W680" s="287" t="n"/>
      <c r="X680" s="287" t="n"/>
      <c r="Y680" s="287" t="n"/>
      <c r="Z680" s="287" t="n"/>
      <c r="AA680" s="287" t="n"/>
      <c r="AB680" s="287" t="n"/>
      <c r="AC680" s="287" t="n"/>
      <c r="AD680" s="287" t="n"/>
      <c r="AE680" s="287" t="n"/>
      <c r="AF680" s="287" t="n"/>
      <c r="AG680" s="287" t="n"/>
      <c r="AH680" s="287" t="n"/>
      <c r="AI680" s="287" t="n"/>
      <c r="AJ680" s="287" t="n"/>
      <c r="AK680" s="287" t="n"/>
      <c r="AL680" s="287" t="n"/>
      <c r="AM680" s="287" t="n"/>
      <c r="AN680" s="287" t="n"/>
      <c r="AO680" s="287" t="n"/>
      <c r="AP680" s="287" t="n"/>
      <c r="AQ680" s="287" t="n"/>
      <c r="AR680" s="287" t="n"/>
      <c r="AS680" s="287" t="n"/>
      <c r="AT680" s="287" t="n"/>
      <c r="AU680" s="287" t="n"/>
      <c r="AV680" s="287" t="n"/>
      <c r="AW680" s="287" t="n"/>
      <c r="AX680" s="287" t="n"/>
      <c r="AY680" s="287" t="n"/>
      <c r="AZ680" s="287" t="n"/>
      <c r="BA680" s="287" t="n"/>
      <c r="BB680" s="287" t="n"/>
      <c r="BC680" s="287" t="n"/>
      <c r="BD680" s="287" t="n"/>
      <c r="BE680" s="287" t="n"/>
      <c r="BF680" s="287" t="n"/>
      <c r="BG680" s="287" t="n"/>
      <c r="BH680" s="287" t="n"/>
    </row>
    <row r="681" ht="34.5" customHeight="1">
      <c r="B681" s="288" t="n">
        <v>45581</v>
      </c>
      <c r="C681" s="289" t="n">
        <v>151</v>
      </c>
      <c r="D681" s="290" t="inlineStr">
        <is>
          <t>PT Laka Indonesia | Project Lampu Taman Istana Negara Jakarta</t>
        </is>
      </c>
      <c r="E681" s="291" t="inlineStr">
        <is>
          <t>BRI</t>
        </is>
      </c>
      <c r="F681" s="295" t="n">
        <v>100000000</v>
      </c>
      <c r="G681" s="289" t="inlineStr">
        <is>
          <t>IDR</t>
        </is>
      </c>
      <c r="H681" s="293" t="n">
        <v>1</v>
      </c>
      <c r="I681" s="291" t="n"/>
      <c r="J681" s="291" t="n"/>
      <c r="K681" s="291" t="n"/>
      <c r="L681" s="292">
        <f>$F681*$H681</f>
        <v/>
      </c>
      <c r="M681" s="291" t="n"/>
      <c r="N681" s="291" t="n"/>
      <c r="O681" s="291" t="n"/>
      <c r="P681" s="291" t="n"/>
      <c r="Q681" s="291" t="n"/>
      <c r="R681" s="287" t="n"/>
      <c r="S681" s="287" t="n"/>
      <c r="T681" s="287" t="n"/>
      <c r="U681" s="287" t="n"/>
      <c r="V681" s="287" t="n"/>
      <c r="W681" s="287" t="n"/>
      <c r="X681" s="287" t="n"/>
      <c r="Y681" s="287" t="n"/>
      <c r="Z681" s="287" t="n"/>
      <c r="AA681" s="287" t="n"/>
      <c r="AB681" s="287" t="n"/>
      <c r="AC681" s="287" t="n"/>
      <c r="AD681" s="287" t="n"/>
      <c r="AE681" s="287" t="n"/>
      <c r="AF681" s="287" t="n"/>
      <c r="AG681" s="287" t="n"/>
      <c r="AH681" s="287" t="n"/>
      <c r="AI681" s="287" t="n"/>
      <c r="AJ681" s="287" t="n"/>
      <c r="AK681" s="287" t="n"/>
      <c r="AL681" s="287" t="n"/>
      <c r="AM681" s="287" t="n"/>
      <c r="AN681" s="287" t="n"/>
      <c r="AO681" s="287" t="n"/>
      <c r="AP681" s="287" t="n"/>
      <c r="AQ681" s="287" t="n"/>
      <c r="AR681" s="287" t="n"/>
      <c r="AS681" s="287" t="n"/>
      <c r="AT681" s="287" t="n"/>
      <c r="AU681" s="287" t="n"/>
      <c r="AV681" s="287" t="n"/>
      <c r="AW681" s="287" t="n"/>
      <c r="AX681" s="287" t="n"/>
      <c r="AY681" s="287" t="n"/>
      <c r="AZ681" s="287" t="n"/>
      <c r="BA681" s="287" t="n"/>
      <c r="BB681" s="287" t="n"/>
      <c r="BC681" s="287" t="n"/>
      <c r="BD681" s="287" t="n"/>
      <c r="BE681" s="287" t="n"/>
      <c r="BF681" s="287" t="n"/>
      <c r="BG681" s="287" t="n"/>
      <c r="BH681" s="287" t="n"/>
    </row>
    <row r="682" ht="34.5" customHeight="1">
      <c r="B682" s="288" t="n">
        <v>45581</v>
      </c>
      <c r="C682" s="289" t="n">
        <v>152</v>
      </c>
      <c r="D682" s="290" t="inlineStr">
        <is>
          <t>PT Laka Indonesia | Project Lampu Taman Istana Negara Jakarta</t>
        </is>
      </c>
      <c r="E682" s="291" t="inlineStr">
        <is>
          <t>BRI</t>
        </is>
      </c>
      <c r="F682" s="292" t="n">
        <v>100000000</v>
      </c>
      <c r="G682" s="289" t="inlineStr">
        <is>
          <t>IDR</t>
        </is>
      </c>
      <c r="H682" s="293" t="n">
        <v>1</v>
      </c>
      <c r="I682" s="291" t="n"/>
      <c r="J682" s="291" t="n"/>
      <c r="K682" s="291" t="n"/>
      <c r="L682" s="292">
        <f>$F682*$H682</f>
        <v/>
      </c>
      <c r="M682" s="291" t="n"/>
      <c r="N682" s="291" t="n"/>
      <c r="O682" s="291" t="n"/>
      <c r="P682" s="291" t="n"/>
      <c r="Q682" s="291" t="n"/>
      <c r="R682" s="287" t="n"/>
      <c r="S682" s="287" t="n"/>
      <c r="T682" s="287" t="n"/>
      <c r="U682" s="287" t="n"/>
      <c r="V682" s="287" t="n"/>
      <c r="W682" s="287" t="n"/>
      <c r="X682" s="287" t="n"/>
      <c r="Y682" s="287" t="n"/>
      <c r="Z682" s="287" t="n"/>
      <c r="AA682" s="287" t="n"/>
      <c r="AB682" s="287" t="n"/>
      <c r="AC682" s="287" t="n"/>
      <c r="AD682" s="287" t="n"/>
      <c r="AE682" s="287" t="n"/>
      <c r="AF682" s="287" t="n"/>
      <c r="AG682" s="287" t="n"/>
      <c r="AH682" s="287" t="n"/>
      <c r="AI682" s="287" t="n"/>
      <c r="AJ682" s="287" t="n"/>
      <c r="AK682" s="287" t="n"/>
      <c r="AL682" s="287" t="n"/>
      <c r="AM682" s="287" t="n"/>
      <c r="AN682" s="287" t="n"/>
      <c r="AO682" s="287" t="n"/>
      <c r="AP682" s="287" t="n"/>
      <c r="AQ682" s="287" t="n"/>
      <c r="AR682" s="287" t="n"/>
      <c r="AS682" s="287" t="n"/>
      <c r="AT682" s="287" t="n"/>
      <c r="AU682" s="287" t="n"/>
      <c r="AV682" s="287" t="n"/>
      <c r="AW682" s="287" t="n"/>
      <c r="AX682" s="287" t="n"/>
      <c r="AY682" s="287" t="n"/>
      <c r="AZ682" s="287" t="n"/>
      <c r="BA682" s="287" t="n"/>
      <c r="BB682" s="287" t="n"/>
      <c r="BC682" s="287" t="n"/>
      <c r="BD682" s="287" t="n"/>
      <c r="BE682" s="287" t="n"/>
      <c r="BF682" s="287" t="n"/>
      <c r="BG682" s="287" t="n"/>
      <c r="BH682" s="287" t="n"/>
    </row>
    <row r="683" ht="15.5" customHeight="1">
      <c r="B683" s="284" t="n"/>
      <c r="C683" s="284" t="n"/>
      <c r="D683" s="285" t="inlineStr">
        <is>
          <t>Rental Tool</t>
        </is>
      </c>
      <c r="E683" s="284" t="n"/>
      <c r="F683" s="286" t="n"/>
      <c r="G683" s="284" t="n"/>
      <c r="H683" s="284" t="n"/>
      <c r="I683" s="284" t="n"/>
      <c r="J683" s="284" t="n"/>
      <c r="K683" s="284" t="n"/>
      <c r="L683" s="284" t="n"/>
      <c r="M683" s="284" t="n"/>
      <c r="N683" s="284" t="n"/>
      <c r="O683" s="284" t="n"/>
      <c r="P683" s="284" t="n"/>
      <c r="Q683" s="284" t="n"/>
      <c r="R683" s="287" t="n"/>
      <c r="S683" s="287" t="n"/>
      <c r="T683" s="287" t="n"/>
      <c r="U683" s="287" t="n"/>
      <c r="V683" s="287" t="n"/>
      <c r="W683" s="287" t="n"/>
      <c r="X683" s="287" t="n"/>
      <c r="Y683" s="287" t="n"/>
      <c r="Z683" s="287" t="n"/>
      <c r="AA683" s="287" t="n"/>
      <c r="AB683" s="287" t="n"/>
      <c r="AC683" s="287" t="n"/>
      <c r="AD683" s="287" t="n"/>
      <c r="AE683" s="287" t="n"/>
      <c r="AF683" s="287" t="n"/>
      <c r="AG683" s="287" t="n"/>
      <c r="AH683" s="287" t="n"/>
      <c r="AI683" s="287" t="n"/>
      <c r="AJ683" s="287" t="n"/>
      <c r="AK683" s="287" t="n"/>
      <c r="AL683" s="287" t="n"/>
      <c r="AM683" s="287" t="n"/>
      <c r="AN683" s="287" t="n"/>
      <c r="AO683" s="287" t="n"/>
      <c r="AP683" s="287" t="n"/>
      <c r="AQ683" s="287" t="n"/>
      <c r="AR683" s="287" t="n"/>
      <c r="AS683" s="287" t="n"/>
      <c r="AT683" s="287" t="n"/>
      <c r="AU683" s="287" t="n"/>
      <c r="AV683" s="287" t="n"/>
      <c r="AW683" s="287" t="n"/>
      <c r="AX683" s="287" t="n"/>
      <c r="AY683" s="287" t="n"/>
      <c r="AZ683" s="287" t="n"/>
      <c r="BA683" s="287" t="n"/>
      <c r="BB683" s="287" t="n"/>
      <c r="BC683" s="287" t="n"/>
      <c r="BD683" s="287" t="n"/>
      <c r="BE683" s="287" t="n"/>
      <c r="BF683" s="287" t="n"/>
      <c r="BG683" s="287" t="n"/>
      <c r="BH683" s="287" t="n"/>
    </row>
    <row r="684" ht="34.5" customHeight="1">
      <c r="B684" s="288" t="n">
        <v>45302</v>
      </c>
      <c r="C684" s="289" t="n">
        <v>153</v>
      </c>
      <c r="D684" s="290" t="inlineStr">
        <is>
          <t>ALFA Service PDP-075 Pertamina Zona#4 - Rental Tool</t>
        </is>
      </c>
      <c r="E684" s="291" t="inlineStr">
        <is>
          <t>BCA</t>
        </is>
      </c>
      <c r="F684" s="295" t="n">
        <v>29640916</v>
      </c>
      <c r="G684" s="289" t="inlineStr">
        <is>
          <t>IDR</t>
        </is>
      </c>
      <c r="H684" s="293" t="n">
        <v>1</v>
      </c>
      <c r="I684" s="292">
        <f>$F684*$H684</f>
        <v/>
      </c>
      <c r="J684" s="291" t="n"/>
      <c r="K684" s="291" t="n"/>
      <c r="L684" s="291" t="n"/>
      <c r="M684" s="291" t="n"/>
      <c r="N684" s="291" t="n"/>
      <c r="O684" s="291" t="n"/>
      <c r="P684" s="291" t="n"/>
      <c r="Q684" s="291" t="n"/>
      <c r="R684" s="287" t="n"/>
      <c r="S684" s="287" t="n"/>
      <c r="T684" s="287" t="n"/>
      <c r="U684" s="287" t="n"/>
      <c r="V684" s="287" t="n"/>
      <c r="W684" s="287" t="n"/>
      <c r="X684" s="287" t="n"/>
      <c r="Y684" s="287" t="n"/>
      <c r="Z684" s="287" t="n"/>
      <c r="AA684" s="287" t="n"/>
      <c r="AB684" s="287" t="n"/>
      <c r="AC684" s="287" t="n"/>
      <c r="AD684" s="287" t="n"/>
      <c r="AE684" s="287" t="n"/>
      <c r="AF684" s="287" t="n"/>
      <c r="AG684" s="287" t="n"/>
      <c r="AH684" s="287" t="n"/>
      <c r="AI684" s="287" t="n"/>
      <c r="AJ684" s="287" t="n"/>
      <c r="AK684" s="287" t="n"/>
      <c r="AL684" s="287" t="n"/>
      <c r="AM684" s="287" t="n"/>
      <c r="AN684" s="287" t="n"/>
      <c r="AO684" s="287" t="n"/>
      <c r="AP684" s="287" t="n"/>
      <c r="AQ684" s="287" t="n"/>
      <c r="AR684" s="287" t="n"/>
      <c r="AS684" s="287" t="n"/>
      <c r="AT684" s="287" t="n"/>
      <c r="AU684" s="287" t="n"/>
      <c r="AV684" s="287" t="n"/>
      <c r="AW684" s="287" t="n"/>
      <c r="AX684" s="287" t="n"/>
      <c r="AY684" s="287" t="n"/>
      <c r="AZ684" s="287" t="n"/>
      <c r="BA684" s="287" t="n"/>
      <c r="BB684" s="287" t="n"/>
      <c r="BC684" s="287" t="n"/>
      <c r="BD684" s="287" t="n"/>
      <c r="BE684" s="287" t="n"/>
      <c r="BF684" s="287" t="n"/>
      <c r="BG684" s="287" t="n"/>
      <c r="BH684" s="287" t="n"/>
    </row>
    <row r="685" ht="34.5" customHeight="1">
      <c r="B685" s="288" t="n">
        <v>45302</v>
      </c>
      <c r="C685" s="289" t="n">
        <v>154</v>
      </c>
      <c r="D685" s="290" t="inlineStr">
        <is>
          <t>ALFA Service PDP-075 Pertamina Zona#4 - Rental Tool</t>
        </is>
      </c>
      <c r="E685" s="291" t="inlineStr">
        <is>
          <t>BCA</t>
        </is>
      </c>
      <c r="F685" s="295" t="n">
        <v>29640916</v>
      </c>
      <c r="G685" s="289" t="inlineStr">
        <is>
          <t>IDR</t>
        </is>
      </c>
      <c r="H685" s="293" t="n">
        <v>1</v>
      </c>
      <c r="I685" s="292">
        <f>$F685*$H685</f>
        <v/>
      </c>
      <c r="J685" s="291" t="n"/>
      <c r="K685" s="291" t="n"/>
      <c r="L685" s="291" t="n"/>
      <c r="M685" s="291" t="n"/>
      <c r="N685" s="291" t="n"/>
      <c r="O685" s="291" t="n"/>
      <c r="P685" s="291" t="n"/>
      <c r="Q685" s="291" t="n"/>
      <c r="R685" s="287" t="n"/>
      <c r="S685" s="287" t="n"/>
      <c r="T685" s="287" t="n"/>
      <c r="U685" s="287" t="n"/>
      <c r="V685" s="287" t="n"/>
      <c r="W685" s="287" t="n"/>
      <c r="X685" s="287" t="n"/>
      <c r="Y685" s="287" t="n"/>
      <c r="Z685" s="287" t="n"/>
      <c r="AA685" s="287" t="n"/>
      <c r="AB685" s="287" t="n"/>
      <c r="AC685" s="287" t="n"/>
      <c r="AD685" s="287" t="n"/>
      <c r="AE685" s="287" t="n"/>
      <c r="AF685" s="287" t="n"/>
      <c r="AG685" s="287" t="n"/>
      <c r="AH685" s="287" t="n"/>
      <c r="AI685" s="287" t="n"/>
      <c r="AJ685" s="287" t="n"/>
      <c r="AK685" s="287" t="n"/>
      <c r="AL685" s="287" t="n"/>
      <c r="AM685" s="287" t="n"/>
      <c r="AN685" s="287" t="n"/>
      <c r="AO685" s="287" t="n"/>
      <c r="AP685" s="287" t="n"/>
      <c r="AQ685" s="287" t="n"/>
      <c r="AR685" s="287" t="n"/>
      <c r="AS685" s="287" t="n"/>
      <c r="AT685" s="287" t="n"/>
      <c r="AU685" s="287" t="n"/>
      <c r="AV685" s="287" t="n"/>
      <c r="AW685" s="287" t="n"/>
      <c r="AX685" s="287" t="n"/>
      <c r="AY685" s="287" t="n"/>
      <c r="AZ685" s="287" t="n"/>
      <c r="BA685" s="287" t="n"/>
      <c r="BB685" s="287" t="n"/>
      <c r="BC685" s="287" t="n"/>
      <c r="BD685" s="287" t="n"/>
      <c r="BE685" s="287" t="n"/>
      <c r="BF685" s="287" t="n"/>
      <c r="BG685" s="287" t="n"/>
      <c r="BH685" s="287" t="n"/>
    </row>
    <row r="686" ht="34.5" customHeight="1">
      <c r="B686" s="288" t="n">
        <v>45302</v>
      </c>
      <c r="C686" s="289" t="n">
        <v>155</v>
      </c>
      <c r="D686" s="290" t="inlineStr">
        <is>
          <t>ALFA Service PDP-075 Pertamina Zona#4 - Rental Tool</t>
        </is>
      </c>
      <c r="E686" s="291" t="inlineStr">
        <is>
          <t>BCA</t>
        </is>
      </c>
      <c r="F686" s="295" t="n">
        <v>29640916</v>
      </c>
      <c r="G686" s="289" t="inlineStr">
        <is>
          <t>IDR</t>
        </is>
      </c>
      <c r="H686" s="293" t="n">
        <v>1</v>
      </c>
      <c r="I686" s="292">
        <f>$F686*$H686</f>
        <v/>
      </c>
      <c r="J686" s="291" t="n"/>
      <c r="K686" s="291" t="n"/>
      <c r="L686" s="291" t="n"/>
      <c r="M686" s="291" t="n"/>
      <c r="N686" s="291" t="n"/>
      <c r="O686" s="291" t="n"/>
      <c r="P686" s="291" t="n"/>
      <c r="Q686" s="291" t="n"/>
      <c r="R686" s="287" t="n"/>
      <c r="S686" s="287" t="n"/>
      <c r="T686" s="287" t="n"/>
      <c r="U686" s="287" t="n"/>
      <c r="V686" s="287" t="n"/>
      <c r="W686" s="287" t="n"/>
      <c r="X686" s="287" t="n"/>
      <c r="Y686" s="287" t="n"/>
      <c r="Z686" s="287" t="n"/>
      <c r="AA686" s="287" t="n"/>
      <c r="AB686" s="287" t="n"/>
      <c r="AC686" s="287" t="n"/>
      <c r="AD686" s="287" t="n"/>
      <c r="AE686" s="287" t="n"/>
      <c r="AF686" s="287" t="n"/>
      <c r="AG686" s="287" t="n"/>
      <c r="AH686" s="287" t="n"/>
      <c r="AI686" s="287" t="n"/>
      <c r="AJ686" s="287" t="n"/>
      <c r="AK686" s="287" t="n"/>
      <c r="AL686" s="287" t="n"/>
      <c r="AM686" s="287" t="n"/>
      <c r="AN686" s="287" t="n"/>
      <c r="AO686" s="287" t="n"/>
      <c r="AP686" s="287" t="n"/>
      <c r="AQ686" s="287" t="n"/>
      <c r="AR686" s="287" t="n"/>
      <c r="AS686" s="287" t="n"/>
      <c r="AT686" s="287" t="n"/>
      <c r="AU686" s="287" t="n"/>
      <c r="AV686" s="287" t="n"/>
      <c r="AW686" s="287" t="n"/>
      <c r="AX686" s="287" t="n"/>
      <c r="AY686" s="287" t="n"/>
      <c r="AZ686" s="287" t="n"/>
      <c r="BA686" s="287" t="n"/>
      <c r="BB686" s="287" t="n"/>
      <c r="BC686" s="287" t="n"/>
      <c r="BD686" s="287" t="n"/>
      <c r="BE686" s="287" t="n"/>
      <c r="BF686" s="287" t="n"/>
      <c r="BG686" s="287" t="n"/>
      <c r="BH686" s="287" t="n"/>
    </row>
    <row r="687" ht="34.5" customHeight="1">
      <c r="B687" s="288" t="n">
        <v>45302</v>
      </c>
      <c r="C687" s="289" t="n">
        <v>156</v>
      </c>
      <c r="D687" s="290" t="inlineStr">
        <is>
          <t>ALFA Service PDP-075 Pertamina Zona#4 - Rental Tool</t>
        </is>
      </c>
      <c r="E687" s="291" t="inlineStr">
        <is>
          <t>BCA</t>
        </is>
      </c>
      <c r="F687" s="295" t="n">
        <v>29640916</v>
      </c>
      <c r="G687" s="289" t="inlineStr">
        <is>
          <t>IDR</t>
        </is>
      </c>
      <c r="H687" s="293" t="n">
        <v>1</v>
      </c>
      <c r="I687" s="292">
        <f>$F687*$H687</f>
        <v/>
      </c>
      <c r="J687" s="291" t="n"/>
      <c r="K687" s="291" t="n"/>
      <c r="L687" s="291" t="n"/>
      <c r="M687" s="291" t="n"/>
      <c r="N687" s="291" t="n"/>
      <c r="O687" s="291" t="n"/>
      <c r="P687" s="291" t="n"/>
      <c r="Q687" s="291" t="n"/>
      <c r="R687" s="287" t="n"/>
      <c r="S687" s="287" t="n"/>
      <c r="T687" s="287" t="n"/>
      <c r="U687" s="287" t="n"/>
      <c r="V687" s="287" t="n"/>
      <c r="W687" s="287" t="n"/>
      <c r="X687" s="287" t="n"/>
      <c r="Y687" s="287" t="n"/>
      <c r="Z687" s="287" t="n"/>
      <c r="AA687" s="287" t="n"/>
      <c r="AB687" s="287" t="n"/>
      <c r="AC687" s="287" t="n"/>
      <c r="AD687" s="287" t="n"/>
      <c r="AE687" s="287" t="n"/>
      <c r="AF687" s="287" t="n"/>
      <c r="AG687" s="287" t="n"/>
      <c r="AH687" s="287" t="n"/>
      <c r="AI687" s="287" t="n"/>
      <c r="AJ687" s="287" t="n"/>
      <c r="AK687" s="287" t="n"/>
      <c r="AL687" s="287" t="n"/>
      <c r="AM687" s="287" t="n"/>
      <c r="AN687" s="287" t="n"/>
      <c r="AO687" s="287" t="n"/>
      <c r="AP687" s="287" t="n"/>
      <c r="AQ687" s="287" t="n"/>
      <c r="AR687" s="287" t="n"/>
      <c r="AS687" s="287" t="n"/>
      <c r="AT687" s="287" t="n"/>
      <c r="AU687" s="287" t="n"/>
      <c r="AV687" s="287" t="n"/>
      <c r="AW687" s="287" t="n"/>
      <c r="AX687" s="287" t="n"/>
      <c r="AY687" s="287" t="n"/>
      <c r="AZ687" s="287" t="n"/>
      <c r="BA687" s="287" t="n"/>
      <c r="BB687" s="287" t="n"/>
      <c r="BC687" s="287" t="n"/>
      <c r="BD687" s="287" t="n"/>
      <c r="BE687" s="287" t="n"/>
      <c r="BF687" s="287" t="n"/>
      <c r="BG687" s="287" t="n"/>
      <c r="BH687" s="287" t="n"/>
    </row>
    <row r="688" ht="34.5" customHeight="1">
      <c r="B688" s="288" t="n">
        <v>45302</v>
      </c>
      <c r="C688" s="289" t="n">
        <v>157</v>
      </c>
      <c r="D688" s="290" t="inlineStr">
        <is>
          <t>ALFA Service PDS-01ST Pertamina Zona#4 - Rental Tool</t>
        </is>
      </c>
      <c r="E688" s="291" t="inlineStr">
        <is>
          <t>BCA</t>
        </is>
      </c>
      <c r="F688" s="295" t="n">
        <v>29640916</v>
      </c>
      <c r="G688" s="289" t="inlineStr">
        <is>
          <t>IDR</t>
        </is>
      </c>
      <c r="H688" s="293" t="n">
        <v>1</v>
      </c>
      <c r="I688" s="292">
        <f>$F688*$H688</f>
        <v/>
      </c>
      <c r="J688" s="291" t="n"/>
      <c r="K688" s="291" t="n"/>
      <c r="L688" s="291" t="n"/>
      <c r="M688" s="291" t="n"/>
      <c r="N688" s="291" t="n"/>
      <c r="O688" s="291" t="n"/>
      <c r="P688" s="291" t="n"/>
      <c r="Q688" s="291" t="n"/>
      <c r="R688" s="287" t="n"/>
      <c r="S688" s="287" t="n"/>
      <c r="T688" s="287" t="n"/>
      <c r="U688" s="287" t="n"/>
      <c r="V688" s="287" t="n"/>
      <c r="W688" s="287" t="n"/>
      <c r="X688" s="287" t="n"/>
      <c r="Y688" s="287" t="n"/>
      <c r="Z688" s="287" t="n"/>
      <c r="AA688" s="287" t="n"/>
      <c r="AB688" s="287" t="n"/>
      <c r="AC688" s="287" t="n"/>
      <c r="AD688" s="287" t="n"/>
      <c r="AE688" s="287" t="n"/>
      <c r="AF688" s="287" t="n"/>
      <c r="AG688" s="287" t="n"/>
      <c r="AH688" s="287" t="n"/>
      <c r="AI688" s="287" t="n"/>
      <c r="AJ688" s="287" t="n"/>
      <c r="AK688" s="287" t="n"/>
      <c r="AL688" s="287" t="n"/>
      <c r="AM688" s="287" t="n"/>
      <c r="AN688" s="287" t="n"/>
      <c r="AO688" s="287" t="n"/>
      <c r="AP688" s="287" t="n"/>
      <c r="AQ688" s="287" t="n"/>
      <c r="AR688" s="287" t="n"/>
      <c r="AS688" s="287" t="n"/>
      <c r="AT688" s="287" t="n"/>
      <c r="AU688" s="287" t="n"/>
      <c r="AV688" s="287" t="n"/>
      <c r="AW688" s="287" t="n"/>
      <c r="AX688" s="287" t="n"/>
      <c r="AY688" s="287" t="n"/>
      <c r="AZ688" s="287" t="n"/>
      <c r="BA688" s="287" t="n"/>
      <c r="BB688" s="287" t="n"/>
      <c r="BC688" s="287" t="n"/>
      <c r="BD688" s="287" t="n"/>
      <c r="BE688" s="287" t="n"/>
      <c r="BF688" s="287" t="n"/>
      <c r="BG688" s="287" t="n"/>
      <c r="BH688" s="287" t="n"/>
    </row>
    <row r="689" ht="34.5" customHeight="1">
      <c r="B689" s="288" t="n">
        <v>45302</v>
      </c>
      <c r="C689" s="289" t="n">
        <v>158</v>
      </c>
      <c r="D689" s="290" t="inlineStr">
        <is>
          <t>ALFA Service PDS-01ST Pertamina Zona#4 - Rental Tool</t>
        </is>
      </c>
      <c r="E689" s="291" t="inlineStr">
        <is>
          <t>BCA</t>
        </is>
      </c>
      <c r="F689" s="295" t="n">
        <v>29640916</v>
      </c>
      <c r="G689" s="289" t="inlineStr">
        <is>
          <t>IDR</t>
        </is>
      </c>
      <c r="H689" s="293" t="n">
        <v>1</v>
      </c>
      <c r="I689" s="292">
        <f>$F689*$H689</f>
        <v/>
      </c>
      <c r="J689" s="291" t="n"/>
      <c r="K689" s="291" t="n"/>
      <c r="L689" s="291" t="n"/>
      <c r="M689" s="291" t="n"/>
      <c r="N689" s="291" t="n"/>
      <c r="O689" s="291" t="n"/>
      <c r="P689" s="291" t="n"/>
      <c r="Q689" s="291" t="n"/>
      <c r="R689" s="287" t="n"/>
      <c r="S689" s="287" t="n"/>
      <c r="T689" s="287" t="n"/>
      <c r="U689" s="287" t="n"/>
      <c r="V689" s="287" t="n"/>
      <c r="W689" s="287" t="n"/>
      <c r="X689" s="287" t="n"/>
      <c r="Y689" s="287" t="n"/>
      <c r="Z689" s="287" t="n"/>
      <c r="AA689" s="287" t="n"/>
      <c r="AB689" s="287" t="n"/>
      <c r="AC689" s="287" t="n"/>
      <c r="AD689" s="287" t="n"/>
      <c r="AE689" s="287" t="n"/>
      <c r="AF689" s="287" t="n"/>
      <c r="AG689" s="287" t="n"/>
      <c r="AH689" s="287" t="n"/>
      <c r="AI689" s="287" t="n"/>
      <c r="AJ689" s="287" t="n"/>
      <c r="AK689" s="287" t="n"/>
      <c r="AL689" s="287" t="n"/>
      <c r="AM689" s="287" t="n"/>
      <c r="AN689" s="287" t="n"/>
      <c r="AO689" s="287" t="n"/>
      <c r="AP689" s="287" t="n"/>
      <c r="AQ689" s="287" t="n"/>
      <c r="AR689" s="287" t="n"/>
      <c r="AS689" s="287" t="n"/>
      <c r="AT689" s="287" t="n"/>
      <c r="AU689" s="287" t="n"/>
      <c r="AV689" s="287" t="n"/>
      <c r="AW689" s="287" t="n"/>
      <c r="AX689" s="287" t="n"/>
      <c r="AY689" s="287" t="n"/>
      <c r="AZ689" s="287" t="n"/>
      <c r="BA689" s="287" t="n"/>
      <c r="BB689" s="287" t="n"/>
      <c r="BC689" s="287" t="n"/>
      <c r="BD689" s="287" t="n"/>
      <c r="BE689" s="287" t="n"/>
      <c r="BF689" s="287" t="n"/>
      <c r="BG689" s="287" t="n"/>
      <c r="BH689" s="287" t="n"/>
    </row>
    <row r="690" ht="34.5" customHeight="1">
      <c r="B690" s="288" t="n">
        <v>45302</v>
      </c>
      <c r="C690" s="289" t="n">
        <v>159</v>
      </c>
      <c r="D690" s="290" t="inlineStr">
        <is>
          <t>ALFA Service PDS-01ST Pertamina Zona#4 - Rental Tool</t>
        </is>
      </c>
      <c r="E690" s="291" t="inlineStr">
        <is>
          <t>BCA</t>
        </is>
      </c>
      <c r="F690" s="295" t="n">
        <v>29640916</v>
      </c>
      <c r="G690" s="289" t="inlineStr">
        <is>
          <t>IDR</t>
        </is>
      </c>
      <c r="H690" s="293" t="n">
        <v>1</v>
      </c>
      <c r="I690" s="292">
        <f>$F690*$H690</f>
        <v/>
      </c>
      <c r="J690" s="291" t="n"/>
      <c r="K690" s="291" t="n"/>
      <c r="L690" s="291" t="n"/>
      <c r="M690" s="291" t="n"/>
      <c r="N690" s="291" t="n"/>
      <c r="O690" s="291" t="n"/>
      <c r="P690" s="291" t="n"/>
      <c r="Q690" s="291" t="n"/>
      <c r="R690" s="287" t="n"/>
      <c r="S690" s="287" t="n"/>
      <c r="T690" s="287" t="n"/>
      <c r="U690" s="287" t="n"/>
      <c r="V690" s="287" t="n"/>
      <c r="W690" s="287" t="n"/>
      <c r="X690" s="287" t="n"/>
      <c r="Y690" s="287" t="n"/>
      <c r="Z690" s="287" t="n"/>
      <c r="AA690" s="287" t="n"/>
      <c r="AB690" s="287" t="n"/>
      <c r="AC690" s="287" t="n"/>
      <c r="AD690" s="287" t="n"/>
      <c r="AE690" s="287" t="n"/>
      <c r="AF690" s="287" t="n"/>
      <c r="AG690" s="287" t="n"/>
      <c r="AH690" s="287" t="n"/>
      <c r="AI690" s="287" t="n"/>
      <c r="AJ690" s="287" t="n"/>
      <c r="AK690" s="287" t="n"/>
      <c r="AL690" s="287" t="n"/>
      <c r="AM690" s="287" t="n"/>
      <c r="AN690" s="287" t="n"/>
      <c r="AO690" s="287" t="n"/>
      <c r="AP690" s="287" t="n"/>
      <c r="AQ690" s="287" t="n"/>
      <c r="AR690" s="287" t="n"/>
      <c r="AS690" s="287" t="n"/>
      <c r="AT690" s="287" t="n"/>
      <c r="AU690" s="287" t="n"/>
      <c r="AV690" s="287" t="n"/>
      <c r="AW690" s="287" t="n"/>
      <c r="AX690" s="287" t="n"/>
      <c r="AY690" s="287" t="n"/>
      <c r="AZ690" s="287" t="n"/>
      <c r="BA690" s="287" t="n"/>
      <c r="BB690" s="287" t="n"/>
      <c r="BC690" s="287" t="n"/>
      <c r="BD690" s="287" t="n"/>
      <c r="BE690" s="287" t="n"/>
      <c r="BF690" s="287" t="n"/>
      <c r="BG690" s="287" t="n"/>
      <c r="BH690" s="287" t="n"/>
    </row>
    <row r="691" ht="34.5" customHeight="1">
      <c r="B691" s="288" t="n">
        <v>45302</v>
      </c>
      <c r="C691" s="289" t="n">
        <v>160</v>
      </c>
      <c r="D691" s="290" t="inlineStr">
        <is>
          <t>ALFA Service PDS-01ST Pertamina Zona#4 - Rental Tool</t>
        </is>
      </c>
      <c r="E691" s="291" t="inlineStr">
        <is>
          <t>BCA</t>
        </is>
      </c>
      <c r="F691" s="295" t="n">
        <v>29640916</v>
      </c>
      <c r="G691" s="289" t="inlineStr">
        <is>
          <t>IDR</t>
        </is>
      </c>
      <c r="H691" s="293" t="n">
        <v>1</v>
      </c>
      <c r="I691" s="292">
        <f>$F691*$H691</f>
        <v/>
      </c>
      <c r="J691" s="291" t="n"/>
      <c r="K691" s="291" t="n"/>
      <c r="L691" s="291" t="n"/>
      <c r="M691" s="291" t="n"/>
      <c r="N691" s="291" t="n"/>
      <c r="O691" s="291" t="n"/>
      <c r="P691" s="291" t="n"/>
      <c r="Q691" s="291" t="n"/>
      <c r="R691" s="287" t="n"/>
      <c r="S691" s="287" t="n"/>
      <c r="T691" s="287" t="n"/>
      <c r="U691" s="287" t="n"/>
      <c r="V691" s="287" t="n"/>
      <c r="W691" s="287" t="n"/>
      <c r="X691" s="287" t="n"/>
      <c r="Y691" s="287" t="n"/>
      <c r="Z691" s="287" t="n"/>
      <c r="AA691" s="287" t="n"/>
      <c r="AB691" s="287" t="n"/>
      <c r="AC691" s="287" t="n"/>
      <c r="AD691" s="287" t="n"/>
      <c r="AE691" s="287" t="n"/>
      <c r="AF691" s="287" t="n"/>
      <c r="AG691" s="287" t="n"/>
      <c r="AH691" s="287" t="n"/>
      <c r="AI691" s="287" t="n"/>
      <c r="AJ691" s="287" t="n"/>
      <c r="AK691" s="287" t="n"/>
      <c r="AL691" s="287" t="n"/>
      <c r="AM691" s="287" t="n"/>
      <c r="AN691" s="287" t="n"/>
      <c r="AO691" s="287" t="n"/>
      <c r="AP691" s="287" t="n"/>
      <c r="AQ691" s="287" t="n"/>
      <c r="AR691" s="287" t="n"/>
      <c r="AS691" s="287" t="n"/>
      <c r="AT691" s="287" t="n"/>
      <c r="AU691" s="287" t="n"/>
      <c r="AV691" s="287" t="n"/>
      <c r="AW691" s="287" t="n"/>
      <c r="AX691" s="287" t="n"/>
      <c r="AY691" s="287" t="n"/>
      <c r="AZ691" s="287" t="n"/>
      <c r="BA691" s="287" t="n"/>
      <c r="BB691" s="287" t="n"/>
      <c r="BC691" s="287" t="n"/>
      <c r="BD691" s="287" t="n"/>
      <c r="BE691" s="287" t="n"/>
      <c r="BF691" s="287" t="n"/>
      <c r="BG691" s="287" t="n"/>
      <c r="BH691" s="287" t="n"/>
    </row>
    <row r="692" ht="34.5" customHeight="1">
      <c r="B692" s="288" t="n">
        <v>45302</v>
      </c>
      <c r="C692" s="289" t="n">
        <v>161</v>
      </c>
      <c r="D692" s="290" t="inlineStr">
        <is>
          <t>ALFA Service JRK-254 Pertamina Zona#4 - Rental Tool</t>
        </is>
      </c>
      <c r="E692" s="291" t="inlineStr">
        <is>
          <t>BCA</t>
        </is>
      </c>
      <c r="F692" s="295" t="n">
        <v>29640916</v>
      </c>
      <c r="G692" s="289" t="inlineStr">
        <is>
          <t>IDR</t>
        </is>
      </c>
      <c r="H692" s="293" t="n">
        <v>1</v>
      </c>
      <c r="I692" s="292">
        <f>$F692*$H692</f>
        <v/>
      </c>
      <c r="J692" s="291" t="n"/>
      <c r="K692" s="291" t="n"/>
      <c r="L692" s="291" t="n"/>
      <c r="M692" s="291" t="n"/>
      <c r="N692" s="291" t="n"/>
      <c r="O692" s="291" t="n"/>
      <c r="P692" s="291" t="n"/>
      <c r="Q692" s="291" t="n"/>
      <c r="R692" s="287" t="n"/>
      <c r="S692" s="287" t="n"/>
      <c r="T692" s="287" t="n"/>
      <c r="U692" s="287" t="n"/>
      <c r="V692" s="287" t="n"/>
      <c r="W692" s="287" t="n"/>
      <c r="X692" s="287" t="n"/>
      <c r="Y692" s="287" t="n"/>
      <c r="Z692" s="287" t="n"/>
      <c r="AA692" s="287" t="n"/>
      <c r="AB692" s="287" t="n"/>
      <c r="AC692" s="287" t="n"/>
      <c r="AD692" s="287" t="n"/>
      <c r="AE692" s="287" t="n"/>
      <c r="AF692" s="287" t="n"/>
      <c r="AG692" s="287" t="n"/>
      <c r="AH692" s="287" t="n"/>
      <c r="AI692" s="287" t="n"/>
      <c r="AJ692" s="287" t="n"/>
      <c r="AK692" s="287" t="n"/>
      <c r="AL692" s="287" t="n"/>
      <c r="AM692" s="287" t="n"/>
      <c r="AN692" s="287" t="n"/>
      <c r="AO692" s="287" t="n"/>
      <c r="AP692" s="287" t="n"/>
      <c r="AQ692" s="287" t="n"/>
      <c r="AR692" s="287" t="n"/>
      <c r="AS692" s="287" t="n"/>
      <c r="AT692" s="287" t="n"/>
      <c r="AU692" s="287" t="n"/>
      <c r="AV692" s="287" t="n"/>
      <c r="AW692" s="287" t="n"/>
      <c r="AX692" s="287" t="n"/>
      <c r="AY692" s="287" t="n"/>
      <c r="AZ692" s="287" t="n"/>
      <c r="BA692" s="287" t="n"/>
      <c r="BB692" s="287" t="n"/>
      <c r="BC692" s="287" t="n"/>
      <c r="BD692" s="287" t="n"/>
      <c r="BE692" s="287" t="n"/>
      <c r="BF692" s="287" t="n"/>
      <c r="BG692" s="287" t="n"/>
      <c r="BH692" s="287" t="n"/>
    </row>
    <row r="693" ht="34.5" customHeight="1">
      <c r="B693" s="288" t="n">
        <v>45302</v>
      </c>
      <c r="C693" s="289" t="n">
        <v>162</v>
      </c>
      <c r="D693" s="290" t="inlineStr">
        <is>
          <t>ALFA Service JRK-254 Pertamina Zona#4 - Rental Tool</t>
        </is>
      </c>
      <c r="E693" s="291" t="inlineStr">
        <is>
          <t>BCA</t>
        </is>
      </c>
      <c r="F693" s="292" t="n">
        <v>29640916</v>
      </c>
      <c r="G693" s="289" t="inlineStr">
        <is>
          <t>IDR</t>
        </is>
      </c>
      <c r="H693" s="293" t="n">
        <v>1</v>
      </c>
      <c r="I693" s="292">
        <f>$F693*$H693</f>
        <v/>
      </c>
      <c r="J693" s="291" t="n"/>
      <c r="K693" s="291" t="n"/>
      <c r="L693" s="291" t="n"/>
      <c r="M693" s="291" t="n"/>
      <c r="N693" s="291" t="n"/>
      <c r="O693" s="291" t="n"/>
      <c r="P693" s="291" t="n"/>
      <c r="Q693" s="291" t="n"/>
      <c r="R693" s="287" t="n"/>
      <c r="S693" s="287" t="n"/>
      <c r="T693" s="287" t="n"/>
      <c r="U693" s="287" t="n"/>
      <c r="V693" s="287" t="n"/>
      <c r="W693" s="287" t="n"/>
      <c r="X693" s="287" t="n"/>
      <c r="Y693" s="287" t="n"/>
      <c r="Z693" s="287" t="n"/>
      <c r="AA693" s="287" t="n"/>
      <c r="AB693" s="287" t="n"/>
      <c r="AC693" s="287" t="n"/>
      <c r="AD693" s="287" t="n"/>
      <c r="AE693" s="287" t="n"/>
      <c r="AF693" s="287" t="n"/>
      <c r="AG693" s="287" t="n"/>
      <c r="AH693" s="287" t="n"/>
      <c r="AI693" s="287" t="n"/>
      <c r="AJ693" s="287" t="n"/>
      <c r="AK693" s="287" t="n"/>
      <c r="AL693" s="287" t="n"/>
      <c r="AM693" s="287" t="n"/>
      <c r="AN693" s="287" t="n"/>
      <c r="AO693" s="287" t="n"/>
      <c r="AP693" s="287" t="n"/>
      <c r="AQ693" s="287" t="n"/>
      <c r="AR693" s="287" t="n"/>
      <c r="AS693" s="287" t="n"/>
      <c r="AT693" s="287" t="n"/>
      <c r="AU693" s="287" t="n"/>
      <c r="AV693" s="287" t="n"/>
      <c r="AW693" s="287" t="n"/>
      <c r="AX693" s="287" t="n"/>
      <c r="AY693" s="287" t="n"/>
      <c r="AZ693" s="287" t="n"/>
      <c r="BA693" s="287" t="n"/>
      <c r="BB693" s="287" t="n"/>
      <c r="BC693" s="287" t="n"/>
      <c r="BD693" s="287" t="n"/>
      <c r="BE693" s="287" t="n"/>
      <c r="BF693" s="287" t="n"/>
      <c r="BG693" s="287" t="n"/>
      <c r="BH693" s="287" t="n"/>
    </row>
    <row r="694" ht="34.5" customHeight="1">
      <c r="B694" s="288" t="n">
        <v>45302</v>
      </c>
      <c r="C694" s="289" t="n">
        <v>163</v>
      </c>
      <c r="D694" s="290" t="inlineStr">
        <is>
          <t>ALFA Service JRK-254 Pertamina Zona#4 - Rental Tool</t>
        </is>
      </c>
      <c r="E694" s="291" t="inlineStr">
        <is>
          <t>BCA</t>
        </is>
      </c>
      <c r="F694" s="295" t="n">
        <v>29640916</v>
      </c>
      <c r="G694" s="289" t="inlineStr">
        <is>
          <t>IDR</t>
        </is>
      </c>
      <c r="H694" s="293" t="n">
        <v>1</v>
      </c>
      <c r="I694" s="292">
        <f>$F694*$H694</f>
        <v/>
      </c>
      <c r="J694" s="291" t="n"/>
      <c r="K694" s="291" t="n"/>
      <c r="L694" s="291" t="n"/>
      <c r="M694" s="291" t="n"/>
      <c r="N694" s="291" t="n"/>
      <c r="O694" s="291" t="n"/>
      <c r="P694" s="291" t="n"/>
      <c r="Q694" s="291" t="n"/>
      <c r="R694" s="287" t="n"/>
      <c r="S694" s="287" t="n"/>
      <c r="T694" s="287" t="n"/>
      <c r="U694" s="287" t="n"/>
      <c r="V694" s="287" t="n"/>
      <c r="W694" s="287" t="n"/>
      <c r="X694" s="287" t="n"/>
      <c r="Y694" s="287" t="n"/>
      <c r="Z694" s="287" t="n"/>
      <c r="AA694" s="287" t="n"/>
      <c r="AB694" s="287" t="n"/>
      <c r="AC694" s="287" t="n"/>
      <c r="AD694" s="287" t="n"/>
      <c r="AE694" s="287" t="n"/>
      <c r="AF694" s="287" t="n"/>
      <c r="AG694" s="287" t="n"/>
      <c r="AH694" s="287" t="n"/>
      <c r="AI694" s="287" t="n"/>
      <c r="AJ694" s="287" t="n"/>
      <c r="AK694" s="287" t="n"/>
      <c r="AL694" s="287" t="n"/>
      <c r="AM694" s="287" t="n"/>
      <c r="AN694" s="287" t="n"/>
      <c r="AO694" s="287" t="n"/>
      <c r="AP694" s="287" t="n"/>
      <c r="AQ694" s="287" t="n"/>
      <c r="AR694" s="287" t="n"/>
      <c r="AS694" s="287" t="n"/>
      <c r="AT694" s="287" t="n"/>
      <c r="AU694" s="287" t="n"/>
      <c r="AV694" s="287" t="n"/>
      <c r="AW694" s="287" t="n"/>
      <c r="AX694" s="287" t="n"/>
      <c r="AY694" s="287" t="n"/>
      <c r="AZ694" s="287" t="n"/>
      <c r="BA694" s="287" t="n"/>
      <c r="BB694" s="287" t="n"/>
      <c r="BC694" s="287" t="n"/>
      <c r="BD694" s="287" t="n"/>
      <c r="BE694" s="287" t="n"/>
      <c r="BF694" s="287" t="n"/>
      <c r="BG694" s="287" t="n"/>
      <c r="BH694" s="287" t="n"/>
    </row>
    <row r="695" ht="34.5" customHeight="1">
      <c r="B695" s="288" t="n">
        <v>45302</v>
      </c>
      <c r="C695" s="289" t="n">
        <v>164</v>
      </c>
      <c r="D695" s="290" t="inlineStr">
        <is>
          <t>ALFA Service JRK-254 Pertamina Zona#4 - Rental Tool</t>
        </is>
      </c>
      <c r="E695" s="291" t="inlineStr">
        <is>
          <t>BCA</t>
        </is>
      </c>
      <c r="F695" s="295" t="n">
        <v>29640916</v>
      </c>
      <c r="G695" s="289" t="inlineStr">
        <is>
          <t>IDR</t>
        </is>
      </c>
      <c r="H695" s="293" t="n">
        <v>1</v>
      </c>
      <c r="I695" s="292">
        <f>$F695*$H695</f>
        <v/>
      </c>
      <c r="J695" s="291" t="n"/>
      <c r="K695" s="291" t="n"/>
      <c r="L695" s="291" t="n"/>
      <c r="M695" s="291" t="n"/>
      <c r="N695" s="291" t="n"/>
      <c r="O695" s="291" t="n"/>
      <c r="P695" s="291" t="n"/>
      <c r="Q695" s="291" t="n"/>
      <c r="R695" s="287" t="n"/>
      <c r="S695" s="287" t="n"/>
      <c r="T695" s="287" t="n"/>
      <c r="U695" s="287" t="n"/>
      <c r="V695" s="287" t="n"/>
      <c r="W695" s="287" t="n"/>
      <c r="X695" s="287" t="n"/>
      <c r="Y695" s="287" t="n"/>
      <c r="Z695" s="287" t="n"/>
      <c r="AA695" s="287" t="n"/>
      <c r="AB695" s="287" t="n"/>
      <c r="AC695" s="287" t="n"/>
      <c r="AD695" s="287" t="n"/>
      <c r="AE695" s="287" t="n"/>
      <c r="AF695" s="287" t="n"/>
      <c r="AG695" s="287" t="n"/>
      <c r="AH695" s="287" t="n"/>
      <c r="AI695" s="287" t="n"/>
      <c r="AJ695" s="287" t="n"/>
      <c r="AK695" s="287" t="n"/>
      <c r="AL695" s="287" t="n"/>
      <c r="AM695" s="287" t="n"/>
      <c r="AN695" s="287" t="n"/>
      <c r="AO695" s="287" t="n"/>
      <c r="AP695" s="287" t="n"/>
      <c r="AQ695" s="287" t="n"/>
      <c r="AR695" s="287" t="n"/>
      <c r="AS695" s="287" t="n"/>
      <c r="AT695" s="287" t="n"/>
      <c r="AU695" s="287" t="n"/>
      <c r="AV695" s="287" t="n"/>
      <c r="AW695" s="287" t="n"/>
      <c r="AX695" s="287" t="n"/>
      <c r="AY695" s="287" t="n"/>
      <c r="AZ695" s="287" t="n"/>
      <c r="BA695" s="287" t="n"/>
      <c r="BB695" s="287" t="n"/>
      <c r="BC695" s="287" t="n"/>
      <c r="BD695" s="287" t="n"/>
      <c r="BE695" s="287" t="n"/>
      <c r="BF695" s="287" t="n"/>
      <c r="BG695" s="287" t="n"/>
      <c r="BH695" s="287" t="n"/>
    </row>
    <row r="696" ht="18.75" customHeight="1">
      <c r="B696" s="288" t="n">
        <v>45446</v>
      </c>
      <c r="C696" s="289" t="n">
        <v>165</v>
      </c>
      <c r="D696" s="290" t="inlineStr">
        <is>
          <t>ALFA Service TLJ-58 Pertamina Zona#4 - Rental Tool</t>
        </is>
      </c>
      <c r="E696" s="291" t="inlineStr">
        <is>
          <t>BCA</t>
        </is>
      </c>
      <c r="F696" s="295" t="n">
        <v>29640916</v>
      </c>
      <c r="G696" s="289" t="inlineStr">
        <is>
          <t>IDR</t>
        </is>
      </c>
      <c r="H696" s="293" t="n">
        <v>1</v>
      </c>
      <c r="I696" s="292">
        <f>$F696*$H696</f>
        <v/>
      </c>
      <c r="J696" s="291" t="n"/>
      <c r="K696" s="291" t="n"/>
      <c r="L696" s="291" t="n"/>
      <c r="M696" s="291" t="n"/>
      <c r="N696" s="291" t="n"/>
      <c r="O696" s="291" t="n"/>
      <c r="P696" s="291" t="n"/>
      <c r="Q696" s="291" t="n"/>
      <c r="R696" s="287" t="n"/>
      <c r="S696" s="287" t="n"/>
      <c r="T696" s="287" t="n"/>
      <c r="U696" s="287" t="n"/>
      <c r="V696" s="287" t="n"/>
      <c r="W696" s="287" t="n"/>
      <c r="X696" s="287" t="n"/>
      <c r="Y696" s="287" t="n"/>
      <c r="Z696" s="287" t="n"/>
      <c r="AA696" s="287" t="n"/>
      <c r="AB696" s="287" t="n"/>
      <c r="AC696" s="287" t="n"/>
      <c r="AD696" s="287" t="n"/>
      <c r="AE696" s="287" t="n"/>
      <c r="AF696" s="287" t="n"/>
      <c r="AG696" s="287" t="n"/>
      <c r="AH696" s="287" t="n"/>
      <c r="AI696" s="287" t="n"/>
      <c r="AJ696" s="287" t="n"/>
      <c r="AK696" s="287" t="n"/>
      <c r="AL696" s="287" t="n"/>
      <c r="AM696" s="287" t="n"/>
      <c r="AN696" s="287" t="n"/>
      <c r="AO696" s="287" t="n"/>
      <c r="AP696" s="287" t="n"/>
      <c r="AQ696" s="287" t="n"/>
      <c r="AR696" s="287" t="n"/>
      <c r="AS696" s="287" t="n"/>
      <c r="AT696" s="287" t="n"/>
      <c r="AU696" s="287" t="n"/>
      <c r="AV696" s="287" t="n"/>
      <c r="AW696" s="287" t="n"/>
      <c r="AX696" s="287" t="n"/>
      <c r="AY696" s="287" t="n"/>
      <c r="AZ696" s="287" t="n"/>
      <c r="BA696" s="287" t="n"/>
      <c r="BB696" s="287" t="n"/>
      <c r="BC696" s="287" t="n"/>
      <c r="BD696" s="287" t="n"/>
      <c r="BE696" s="287" t="n"/>
      <c r="BF696" s="287" t="n"/>
      <c r="BG696" s="287" t="n"/>
      <c r="BH696" s="287" t="n"/>
    </row>
    <row r="697" ht="18.75" customHeight="1">
      <c r="B697" s="288" t="n">
        <v>45446</v>
      </c>
      <c r="C697" s="289" t="n">
        <v>166</v>
      </c>
      <c r="D697" s="290" t="inlineStr">
        <is>
          <t>ALFA Service TLJ-58 Pertamina Zona#4 - Rental Tool</t>
        </is>
      </c>
      <c r="E697" s="291" t="inlineStr">
        <is>
          <t>BCA</t>
        </is>
      </c>
      <c r="F697" s="295" t="n">
        <v>29640916</v>
      </c>
      <c r="G697" s="289" t="inlineStr">
        <is>
          <t>IDR</t>
        </is>
      </c>
      <c r="H697" s="293" t="n">
        <v>1</v>
      </c>
      <c r="I697" s="292">
        <f>$F697*$H697</f>
        <v/>
      </c>
      <c r="J697" s="291" t="n"/>
      <c r="K697" s="291" t="n"/>
      <c r="L697" s="291" t="n"/>
      <c r="M697" s="291" t="n"/>
      <c r="N697" s="291" t="n"/>
      <c r="O697" s="291" t="n"/>
      <c r="P697" s="291" t="n"/>
      <c r="Q697" s="291" t="n"/>
      <c r="R697" s="287" t="n"/>
      <c r="S697" s="287" t="n"/>
      <c r="T697" s="287" t="n"/>
      <c r="U697" s="287" t="n"/>
      <c r="V697" s="287" t="n"/>
      <c r="W697" s="287" t="n"/>
      <c r="X697" s="287" t="n"/>
      <c r="Y697" s="287" t="n"/>
      <c r="Z697" s="287" t="n"/>
      <c r="AA697" s="287" t="n"/>
      <c r="AB697" s="287" t="n"/>
      <c r="AC697" s="287" t="n"/>
      <c r="AD697" s="287" t="n"/>
      <c r="AE697" s="287" t="n"/>
      <c r="AF697" s="287" t="n"/>
      <c r="AG697" s="287" t="n"/>
      <c r="AH697" s="287" t="n"/>
      <c r="AI697" s="287" t="n"/>
      <c r="AJ697" s="287" t="n"/>
      <c r="AK697" s="287" t="n"/>
      <c r="AL697" s="287" t="n"/>
      <c r="AM697" s="287" t="n"/>
      <c r="AN697" s="287" t="n"/>
      <c r="AO697" s="287" t="n"/>
      <c r="AP697" s="287" t="n"/>
      <c r="AQ697" s="287" t="n"/>
      <c r="AR697" s="287" t="n"/>
      <c r="AS697" s="287" t="n"/>
      <c r="AT697" s="287" t="n"/>
      <c r="AU697" s="287" t="n"/>
      <c r="AV697" s="287" t="n"/>
      <c r="AW697" s="287" t="n"/>
      <c r="AX697" s="287" t="n"/>
      <c r="AY697" s="287" t="n"/>
      <c r="AZ697" s="287" t="n"/>
      <c r="BA697" s="287" t="n"/>
      <c r="BB697" s="287" t="n"/>
      <c r="BC697" s="287" t="n"/>
      <c r="BD697" s="287" t="n"/>
      <c r="BE697" s="287" t="n"/>
      <c r="BF697" s="287" t="n"/>
      <c r="BG697" s="287" t="n"/>
      <c r="BH697" s="287" t="n"/>
    </row>
    <row r="698" ht="18.75" customHeight="1">
      <c r="B698" s="288" t="n">
        <v>45446</v>
      </c>
      <c r="C698" s="289" t="n">
        <v>167</v>
      </c>
      <c r="D698" s="290" t="inlineStr">
        <is>
          <t>ALFA Service TLJ-58 Pertamina Zona#4 - Rental Tool</t>
        </is>
      </c>
      <c r="E698" s="291" t="inlineStr">
        <is>
          <t>BCA</t>
        </is>
      </c>
      <c r="F698" s="295" t="n">
        <v>29640916</v>
      </c>
      <c r="G698" s="289" t="inlineStr">
        <is>
          <t>IDR</t>
        </is>
      </c>
      <c r="H698" s="293" t="n">
        <v>1</v>
      </c>
      <c r="I698" s="292">
        <f>$F698*$H698</f>
        <v/>
      </c>
      <c r="J698" s="291" t="n"/>
      <c r="K698" s="291" t="n"/>
      <c r="L698" s="291" t="n"/>
      <c r="M698" s="291" t="n"/>
      <c r="N698" s="291" t="n"/>
      <c r="O698" s="291" t="n"/>
      <c r="P698" s="291" t="n"/>
      <c r="Q698" s="291" t="n"/>
      <c r="R698" s="287" t="n"/>
      <c r="S698" s="287" t="n"/>
      <c r="T698" s="287" t="n"/>
      <c r="U698" s="287" t="n"/>
      <c r="V698" s="287" t="n"/>
      <c r="W698" s="287" t="n"/>
      <c r="X698" s="287" t="n"/>
      <c r="Y698" s="287" t="n"/>
      <c r="Z698" s="287" t="n"/>
      <c r="AA698" s="287" t="n"/>
      <c r="AB698" s="287" t="n"/>
      <c r="AC698" s="287" t="n"/>
      <c r="AD698" s="287" t="n"/>
      <c r="AE698" s="287" t="n"/>
      <c r="AF698" s="287" t="n"/>
      <c r="AG698" s="287" t="n"/>
      <c r="AH698" s="287" t="n"/>
      <c r="AI698" s="287" t="n"/>
      <c r="AJ698" s="287" t="n"/>
      <c r="AK698" s="287" t="n"/>
      <c r="AL698" s="287" t="n"/>
      <c r="AM698" s="287" t="n"/>
      <c r="AN698" s="287" t="n"/>
      <c r="AO698" s="287" t="n"/>
      <c r="AP698" s="287" t="n"/>
      <c r="AQ698" s="287" t="n"/>
      <c r="AR698" s="287" t="n"/>
      <c r="AS698" s="287" t="n"/>
      <c r="AT698" s="287" t="n"/>
      <c r="AU698" s="287" t="n"/>
      <c r="AV698" s="287" t="n"/>
      <c r="AW698" s="287" t="n"/>
      <c r="AX698" s="287" t="n"/>
      <c r="AY698" s="287" t="n"/>
      <c r="AZ698" s="287" t="n"/>
      <c r="BA698" s="287" t="n"/>
      <c r="BB698" s="287" t="n"/>
      <c r="BC698" s="287" t="n"/>
      <c r="BD698" s="287" t="n"/>
      <c r="BE698" s="287" t="n"/>
      <c r="BF698" s="287" t="n"/>
      <c r="BG698" s="287" t="n"/>
      <c r="BH698" s="287" t="n"/>
    </row>
    <row r="699" ht="18.75" customHeight="1">
      <c r="B699" s="288" t="n">
        <v>45446</v>
      </c>
      <c r="C699" s="289" t="n">
        <v>168</v>
      </c>
      <c r="D699" s="290" t="inlineStr">
        <is>
          <t>ALFA Service TLJ-58 Pertamina Zona#4 - Rental Tool</t>
        </is>
      </c>
      <c r="E699" s="291" t="inlineStr">
        <is>
          <t>BCA</t>
        </is>
      </c>
      <c r="F699" s="295" t="n">
        <v>29640916</v>
      </c>
      <c r="G699" s="289" t="inlineStr">
        <is>
          <t>IDR</t>
        </is>
      </c>
      <c r="H699" s="293" t="n">
        <v>1</v>
      </c>
      <c r="I699" s="292">
        <f>$F699*$H699</f>
        <v/>
      </c>
      <c r="J699" s="291" t="n"/>
      <c r="K699" s="291" t="n"/>
      <c r="L699" s="291" t="n"/>
      <c r="M699" s="291" t="n"/>
      <c r="N699" s="291" t="n"/>
      <c r="O699" s="291" t="n"/>
      <c r="P699" s="291" t="n"/>
      <c r="Q699" s="291" t="n"/>
      <c r="R699" s="287" t="n"/>
      <c r="S699" s="287" t="n"/>
      <c r="T699" s="287" t="n"/>
      <c r="U699" s="287" t="n"/>
      <c r="V699" s="287" t="n"/>
      <c r="W699" s="287" t="n"/>
      <c r="X699" s="287" t="n"/>
      <c r="Y699" s="287" t="n"/>
      <c r="Z699" s="287" t="n"/>
      <c r="AA699" s="287" t="n"/>
      <c r="AB699" s="287" t="n"/>
      <c r="AC699" s="287" t="n"/>
      <c r="AD699" s="287" t="n"/>
      <c r="AE699" s="287" t="n"/>
      <c r="AF699" s="287" t="n"/>
      <c r="AG699" s="287" t="n"/>
      <c r="AH699" s="287" t="n"/>
      <c r="AI699" s="287" t="n"/>
      <c r="AJ699" s="287" t="n"/>
      <c r="AK699" s="287" t="n"/>
      <c r="AL699" s="287" t="n"/>
      <c r="AM699" s="287" t="n"/>
      <c r="AN699" s="287" t="n"/>
      <c r="AO699" s="287" t="n"/>
      <c r="AP699" s="287" t="n"/>
      <c r="AQ699" s="287" t="n"/>
      <c r="AR699" s="287" t="n"/>
      <c r="AS699" s="287" t="n"/>
      <c r="AT699" s="287" t="n"/>
      <c r="AU699" s="287" t="n"/>
      <c r="AV699" s="287" t="n"/>
      <c r="AW699" s="287" t="n"/>
      <c r="AX699" s="287" t="n"/>
      <c r="AY699" s="287" t="n"/>
      <c r="AZ699" s="287" t="n"/>
      <c r="BA699" s="287" t="n"/>
      <c r="BB699" s="287" t="n"/>
      <c r="BC699" s="287" t="n"/>
      <c r="BD699" s="287" t="n"/>
      <c r="BE699" s="287" t="n"/>
      <c r="BF699" s="287" t="n"/>
      <c r="BG699" s="287" t="n"/>
      <c r="BH699" s="287" t="n"/>
    </row>
    <row r="700" ht="34.5" customHeight="1">
      <c r="B700" s="288" t="n">
        <v>45447</v>
      </c>
      <c r="C700" s="289" t="n">
        <v>169</v>
      </c>
      <c r="D700" s="290" t="inlineStr">
        <is>
          <t>ALFA Service JRK-193 Pertamina Zona#4 - Rental Tool</t>
        </is>
      </c>
      <c r="E700" s="291" t="inlineStr">
        <is>
          <t>BCA</t>
        </is>
      </c>
      <c r="F700" s="295" t="n">
        <v>29640916</v>
      </c>
      <c r="G700" s="289" t="inlineStr">
        <is>
          <t>IDR</t>
        </is>
      </c>
      <c r="H700" s="293" t="n">
        <v>1</v>
      </c>
      <c r="I700" s="292">
        <f>$F700*$H700</f>
        <v/>
      </c>
      <c r="J700" s="291" t="n"/>
      <c r="K700" s="291" t="n"/>
      <c r="L700" s="291" t="n"/>
      <c r="M700" s="291" t="n"/>
      <c r="N700" s="291" t="n"/>
      <c r="O700" s="291" t="n"/>
      <c r="P700" s="291" t="n"/>
      <c r="Q700" s="291" t="n"/>
      <c r="R700" s="287" t="n"/>
      <c r="S700" s="287" t="n"/>
      <c r="T700" s="287" t="n"/>
      <c r="U700" s="287" t="n"/>
      <c r="V700" s="287" t="n"/>
      <c r="W700" s="287" t="n"/>
      <c r="X700" s="287" t="n"/>
      <c r="Y700" s="287" t="n"/>
      <c r="Z700" s="287" t="n"/>
      <c r="AA700" s="287" t="n"/>
      <c r="AB700" s="287" t="n"/>
      <c r="AC700" s="287" t="n"/>
      <c r="AD700" s="287" t="n"/>
      <c r="AE700" s="287" t="n"/>
      <c r="AF700" s="287" t="n"/>
      <c r="AG700" s="287" t="n"/>
      <c r="AH700" s="287" t="n"/>
      <c r="AI700" s="287" t="n"/>
      <c r="AJ700" s="287" t="n"/>
      <c r="AK700" s="287" t="n"/>
      <c r="AL700" s="287" t="n"/>
      <c r="AM700" s="287" t="n"/>
      <c r="AN700" s="287" t="n"/>
      <c r="AO700" s="287" t="n"/>
      <c r="AP700" s="287" t="n"/>
      <c r="AQ700" s="287" t="n"/>
      <c r="AR700" s="287" t="n"/>
      <c r="AS700" s="287" t="n"/>
      <c r="AT700" s="287" t="n"/>
      <c r="AU700" s="287" t="n"/>
      <c r="AV700" s="287" t="n"/>
      <c r="AW700" s="287" t="n"/>
      <c r="AX700" s="287" t="n"/>
      <c r="AY700" s="287" t="n"/>
      <c r="AZ700" s="287" t="n"/>
      <c r="BA700" s="287" t="n"/>
      <c r="BB700" s="287" t="n"/>
      <c r="BC700" s="287" t="n"/>
      <c r="BD700" s="287" t="n"/>
      <c r="BE700" s="287" t="n"/>
      <c r="BF700" s="287" t="n"/>
      <c r="BG700" s="287" t="n"/>
      <c r="BH700" s="287" t="n"/>
    </row>
    <row r="701" ht="34.5" customHeight="1">
      <c r="B701" s="288" t="n">
        <v>45447</v>
      </c>
      <c r="C701" s="289" t="n">
        <v>170</v>
      </c>
      <c r="D701" s="290" t="inlineStr">
        <is>
          <t>ALFA Service JRK-193 Pertamina Zona#4 - Rental Tool</t>
        </is>
      </c>
      <c r="E701" s="291" t="inlineStr">
        <is>
          <t>BCA</t>
        </is>
      </c>
      <c r="F701" s="295" t="n">
        <v>29640916</v>
      </c>
      <c r="G701" s="289" t="inlineStr">
        <is>
          <t>IDR</t>
        </is>
      </c>
      <c r="H701" s="293" t="n">
        <v>1</v>
      </c>
      <c r="I701" s="292">
        <f>$F701*$H701</f>
        <v/>
      </c>
      <c r="J701" s="291" t="n"/>
      <c r="K701" s="291" t="n"/>
      <c r="L701" s="291" t="n"/>
      <c r="M701" s="291" t="n"/>
      <c r="N701" s="291" t="n"/>
      <c r="O701" s="291" t="n"/>
      <c r="P701" s="291" t="n"/>
      <c r="Q701" s="291" t="n"/>
      <c r="R701" s="287" t="n"/>
      <c r="S701" s="287" t="n"/>
      <c r="T701" s="287" t="n"/>
      <c r="U701" s="287" t="n"/>
      <c r="V701" s="287" t="n"/>
      <c r="W701" s="287" t="n"/>
      <c r="X701" s="287" t="n"/>
      <c r="Y701" s="287" t="n"/>
      <c r="Z701" s="287" t="n"/>
      <c r="AA701" s="287" t="n"/>
      <c r="AB701" s="287" t="n"/>
      <c r="AC701" s="287" t="n"/>
      <c r="AD701" s="287" t="n"/>
      <c r="AE701" s="287" t="n"/>
      <c r="AF701" s="287" t="n"/>
      <c r="AG701" s="287" t="n"/>
      <c r="AH701" s="287" t="n"/>
      <c r="AI701" s="287" t="n"/>
      <c r="AJ701" s="287" t="n"/>
      <c r="AK701" s="287" t="n"/>
      <c r="AL701" s="287" t="n"/>
      <c r="AM701" s="287" t="n"/>
      <c r="AN701" s="287" t="n"/>
      <c r="AO701" s="287" t="n"/>
      <c r="AP701" s="287" t="n"/>
      <c r="AQ701" s="287" t="n"/>
      <c r="AR701" s="287" t="n"/>
      <c r="AS701" s="287" t="n"/>
      <c r="AT701" s="287" t="n"/>
      <c r="AU701" s="287" t="n"/>
      <c r="AV701" s="287" t="n"/>
      <c r="AW701" s="287" t="n"/>
      <c r="AX701" s="287" t="n"/>
      <c r="AY701" s="287" t="n"/>
      <c r="AZ701" s="287" t="n"/>
      <c r="BA701" s="287" t="n"/>
      <c r="BB701" s="287" t="n"/>
      <c r="BC701" s="287" t="n"/>
      <c r="BD701" s="287" t="n"/>
      <c r="BE701" s="287" t="n"/>
      <c r="BF701" s="287" t="n"/>
      <c r="BG701" s="287" t="n"/>
      <c r="BH701" s="287" t="n"/>
    </row>
    <row r="702" ht="34.5" customHeight="1">
      <c r="B702" s="288" t="n">
        <v>45447</v>
      </c>
      <c r="C702" s="289" t="n">
        <v>171</v>
      </c>
      <c r="D702" s="290" t="inlineStr">
        <is>
          <t>ALFA Service JRK-193 Pertamina Zona#4 - Rental Tool</t>
        </is>
      </c>
      <c r="E702" s="291" t="inlineStr">
        <is>
          <t>BCA</t>
        </is>
      </c>
      <c r="F702" s="295" t="n">
        <v>29640916</v>
      </c>
      <c r="G702" s="289" t="inlineStr">
        <is>
          <t>IDR</t>
        </is>
      </c>
      <c r="H702" s="293" t="n">
        <v>1</v>
      </c>
      <c r="I702" s="292">
        <f>$F702*$H702</f>
        <v/>
      </c>
      <c r="J702" s="291" t="n"/>
      <c r="K702" s="291" t="n"/>
      <c r="L702" s="291" t="n"/>
      <c r="M702" s="291" t="n"/>
      <c r="N702" s="291" t="n"/>
      <c r="O702" s="291" t="n"/>
      <c r="P702" s="291" t="n"/>
      <c r="Q702" s="291" t="n"/>
      <c r="R702" s="287" t="n"/>
      <c r="S702" s="287" t="n"/>
      <c r="T702" s="287" t="n"/>
      <c r="U702" s="287" t="n"/>
      <c r="V702" s="287" t="n"/>
      <c r="W702" s="287" t="n"/>
      <c r="X702" s="287" t="n"/>
      <c r="Y702" s="287" t="n"/>
      <c r="Z702" s="287" t="n"/>
      <c r="AA702" s="287" t="n"/>
      <c r="AB702" s="287" t="n"/>
      <c r="AC702" s="287" t="n"/>
      <c r="AD702" s="287" t="n"/>
      <c r="AE702" s="287" t="n"/>
      <c r="AF702" s="287" t="n"/>
      <c r="AG702" s="287" t="n"/>
      <c r="AH702" s="287" t="n"/>
      <c r="AI702" s="287" t="n"/>
      <c r="AJ702" s="287" t="n"/>
      <c r="AK702" s="287" t="n"/>
      <c r="AL702" s="287" t="n"/>
      <c r="AM702" s="287" t="n"/>
      <c r="AN702" s="287" t="n"/>
      <c r="AO702" s="287" t="n"/>
      <c r="AP702" s="287" t="n"/>
      <c r="AQ702" s="287" t="n"/>
      <c r="AR702" s="287" t="n"/>
      <c r="AS702" s="287" t="n"/>
      <c r="AT702" s="287" t="n"/>
      <c r="AU702" s="287" t="n"/>
      <c r="AV702" s="287" t="n"/>
      <c r="AW702" s="287" t="n"/>
      <c r="AX702" s="287" t="n"/>
      <c r="AY702" s="287" t="n"/>
      <c r="AZ702" s="287" t="n"/>
      <c r="BA702" s="287" t="n"/>
      <c r="BB702" s="287" t="n"/>
      <c r="BC702" s="287" t="n"/>
      <c r="BD702" s="287" t="n"/>
      <c r="BE702" s="287" t="n"/>
      <c r="BF702" s="287" t="n"/>
      <c r="BG702" s="287" t="n"/>
      <c r="BH702" s="287" t="n"/>
    </row>
    <row r="703" ht="34.5" customHeight="1">
      <c r="B703" s="288" t="n">
        <v>45447</v>
      </c>
      <c r="C703" s="289" t="n">
        <v>172</v>
      </c>
      <c r="D703" s="290" t="inlineStr">
        <is>
          <t>ALFA Service JRK-193 Pertamina Zona#4 - Rental Tool</t>
        </is>
      </c>
      <c r="E703" s="291" t="inlineStr">
        <is>
          <t>BCA</t>
        </is>
      </c>
      <c r="F703" s="295" t="n">
        <v>29640916</v>
      </c>
      <c r="G703" s="289" t="inlineStr">
        <is>
          <t>IDR</t>
        </is>
      </c>
      <c r="H703" s="293" t="n">
        <v>1</v>
      </c>
      <c r="I703" s="292">
        <f>$F703*$H703</f>
        <v/>
      </c>
      <c r="J703" s="291" t="n"/>
      <c r="K703" s="291" t="n"/>
      <c r="L703" s="291" t="n"/>
      <c r="M703" s="291" t="n"/>
      <c r="N703" s="291" t="n"/>
      <c r="O703" s="291" t="n"/>
      <c r="P703" s="291" t="n"/>
      <c r="Q703" s="291" t="n"/>
      <c r="R703" s="287" t="n"/>
      <c r="S703" s="287" t="n"/>
      <c r="T703" s="287" t="n"/>
      <c r="U703" s="287" t="n"/>
      <c r="V703" s="287" t="n"/>
      <c r="W703" s="287" t="n"/>
      <c r="X703" s="287" t="n"/>
      <c r="Y703" s="287" t="n"/>
      <c r="Z703" s="287" t="n"/>
      <c r="AA703" s="287" t="n"/>
      <c r="AB703" s="287" t="n"/>
      <c r="AC703" s="287" t="n"/>
      <c r="AD703" s="287" t="n"/>
      <c r="AE703" s="287" t="n"/>
      <c r="AF703" s="287" t="n"/>
      <c r="AG703" s="287" t="n"/>
      <c r="AH703" s="287" t="n"/>
      <c r="AI703" s="287" t="n"/>
      <c r="AJ703" s="287" t="n"/>
      <c r="AK703" s="287" t="n"/>
      <c r="AL703" s="287" t="n"/>
      <c r="AM703" s="287" t="n"/>
      <c r="AN703" s="287" t="n"/>
      <c r="AO703" s="287" t="n"/>
      <c r="AP703" s="287" t="n"/>
      <c r="AQ703" s="287" t="n"/>
      <c r="AR703" s="287" t="n"/>
      <c r="AS703" s="287" t="n"/>
      <c r="AT703" s="287" t="n"/>
      <c r="AU703" s="287" t="n"/>
      <c r="AV703" s="287" t="n"/>
      <c r="AW703" s="287" t="n"/>
      <c r="AX703" s="287" t="n"/>
      <c r="AY703" s="287" t="n"/>
      <c r="AZ703" s="287" t="n"/>
      <c r="BA703" s="287" t="n"/>
      <c r="BB703" s="287" t="n"/>
      <c r="BC703" s="287" t="n"/>
      <c r="BD703" s="287" t="n"/>
      <c r="BE703" s="287" t="n"/>
      <c r="BF703" s="287" t="n"/>
      <c r="BG703" s="287" t="n"/>
      <c r="BH703" s="287" t="n"/>
    </row>
    <row r="704" ht="34.5" customHeight="1">
      <c r="B704" s="288" t="n">
        <v>45537</v>
      </c>
      <c r="C704" s="289" t="n">
        <v>173</v>
      </c>
      <c r="D704" s="290" t="inlineStr">
        <is>
          <t>ALFA Service JRK-163 Pertamina Zona#4 - Rental Tool</t>
        </is>
      </c>
      <c r="E704" s="291" t="inlineStr">
        <is>
          <t>BCA</t>
        </is>
      </c>
      <c r="F704" s="295" t="n">
        <v>29640916</v>
      </c>
      <c r="G704" s="289" t="inlineStr">
        <is>
          <t>IDR</t>
        </is>
      </c>
      <c r="H704" s="293" t="n">
        <v>1</v>
      </c>
      <c r="I704" s="292">
        <f>$F704*$H704</f>
        <v/>
      </c>
      <c r="J704" s="291" t="n"/>
      <c r="K704" s="291" t="n"/>
      <c r="L704" s="291" t="n"/>
      <c r="M704" s="291" t="n"/>
      <c r="N704" s="291" t="n"/>
      <c r="O704" s="291" t="n"/>
      <c r="P704" s="291" t="n"/>
      <c r="Q704" s="291" t="n"/>
      <c r="R704" s="287" t="n"/>
      <c r="S704" s="287" t="n"/>
      <c r="T704" s="287" t="n"/>
      <c r="U704" s="287" t="n"/>
      <c r="V704" s="287" t="n"/>
      <c r="W704" s="287" t="n"/>
      <c r="X704" s="287" t="n"/>
      <c r="Y704" s="287" t="n"/>
      <c r="Z704" s="287" t="n"/>
      <c r="AA704" s="287" t="n"/>
      <c r="AB704" s="287" t="n"/>
      <c r="AC704" s="287" t="n"/>
      <c r="AD704" s="287" t="n"/>
      <c r="AE704" s="287" t="n"/>
      <c r="AF704" s="287" t="n"/>
      <c r="AG704" s="287" t="n"/>
      <c r="AH704" s="287" t="n"/>
      <c r="AI704" s="287" t="n"/>
      <c r="AJ704" s="287" t="n"/>
      <c r="AK704" s="287" t="n"/>
      <c r="AL704" s="287" t="n"/>
      <c r="AM704" s="287" t="n"/>
      <c r="AN704" s="287" t="n"/>
      <c r="AO704" s="287" t="n"/>
      <c r="AP704" s="287" t="n"/>
      <c r="AQ704" s="287" t="n"/>
      <c r="AR704" s="287" t="n"/>
      <c r="AS704" s="287" t="n"/>
      <c r="AT704" s="287" t="n"/>
      <c r="AU704" s="287" t="n"/>
      <c r="AV704" s="287" t="n"/>
      <c r="AW704" s="287" t="n"/>
      <c r="AX704" s="287" t="n"/>
      <c r="AY704" s="287" t="n"/>
      <c r="AZ704" s="287" t="n"/>
      <c r="BA704" s="287" t="n"/>
      <c r="BB704" s="287" t="n"/>
      <c r="BC704" s="287" t="n"/>
      <c r="BD704" s="287" t="n"/>
      <c r="BE704" s="287" t="n"/>
      <c r="BF704" s="287" t="n"/>
      <c r="BG704" s="287" t="n"/>
      <c r="BH704" s="287" t="n"/>
    </row>
    <row r="705" ht="34.5" customHeight="1">
      <c r="B705" s="288" t="n">
        <v>45537</v>
      </c>
      <c r="C705" s="289" t="n">
        <v>174</v>
      </c>
      <c r="D705" s="290" t="inlineStr">
        <is>
          <t>ALFA Service JRK-163 Pertamina Zona#4 - Rental Tool</t>
        </is>
      </c>
      <c r="E705" s="291" t="inlineStr">
        <is>
          <t>BCA</t>
        </is>
      </c>
      <c r="F705" s="295" t="n">
        <v>29640916</v>
      </c>
      <c r="G705" s="289" t="inlineStr">
        <is>
          <t>IDR</t>
        </is>
      </c>
      <c r="H705" s="293" t="n">
        <v>1</v>
      </c>
      <c r="I705" s="292">
        <f>$F705*$H705</f>
        <v/>
      </c>
      <c r="J705" s="291" t="n"/>
      <c r="K705" s="291" t="n"/>
      <c r="L705" s="291" t="n"/>
      <c r="M705" s="291" t="n"/>
      <c r="N705" s="291" t="n"/>
      <c r="O705" s="291" t="n"/>
      <c r="P705" s="291" t="n"/>
      <c r="Q705" s="291" t="n"/>
      <c r="R705" s="287" t="n"/>
      <c r="S705" s="287" t="n"/>
      <c r="T705" s="287" t="n"/>
      <c r="U705" s="287" t="n"/>
      <c r="V705" s="287" t="n"/>
      <c r="W705" s="287" t="n"/>
      <c r="X705" s="287" t="n"/>
      <c r="Y705" s="287" t="n"/>
      <c r="Z705" s="287" t="n"/>
      <c r="AA705" s="287" t="n"/>
      <c r="AB705" s="287" t="n"/>
      <c r="AC705" s="287" t="n"/>
      <c r="AD705" s="287" t="n"/>
      <c r="AE705" s="287" t="n"/>
      <c r="AF705" s="287" t="n"/>
      <c r="AG705" s="287" t="n"/>
      <c r="AH705" s="287" t="n"/>
      <c r="AI705" s="287" t="n"/>
      <c r="AJ705" s="287" t="n"/>
      <c r="AK705" s="287" t="n"/>
      <c r="AL705" s="287" t="n"/>
      <c r="AM705" s="287" t="n"/>
      <c r="AN705" s="287" t="n"/>
      <c r="AO705" s="287" t="n"/>
      <c r="AP705" s="287" t="n"/>
      <c r="AQ705" s="287" t="n"/>
      <c r="AR705" s="287" t="n"/>
      <c r="AS705" s="287" t="n"/>
      <c r="AT705" s="287" t="n"/>
      <c r="AU705" s="287" t="n"/>
      <c r="AV705" s="287" t="n"/>
      <c r="AW705" s="287" t="n"/>
      <c r="AX705" s="287" t="n"/>
      <c r="AY705" s="287" t="n"/>
      <c r="AZ705" s="287" t="n"/>
      <c r="BA705" s="287" t="n"/>
      <c r="BB705" s="287" t="n"/>
      <c r="BC705" s="287" t="n"/>
      <c r="BD705" s="287" t="n"/>
      <c r="BE705" s="287" t="n"/>
      <c r="BF705" s="287" t="n"/>
      <c r="BG705" s="287" t="n"/>
      <c r="BH705" s="287" t="n"/>
    </row>
    <row r="706" ht="34.5" customHeight="1">
      <c r="B706" s="288" t="n">
        <v>45537</v>
      </c>
      <c r="C706" s="289" t="n">
        <v>175</v>
      </c>
      <c r="D706" s="290" t="inlineStr">
        <is>
          <t>ALFA Service JRK-163 Pertamina Zona#4 - Rental Tool</t>
        </is>
      </c>
      <c r="E706" s="291" t="inlineStr">
        <is>
          <t>BCA</t>
        </is>
      </c>
      <c r="F706" s="295" t="n">
        <v>29640916</v>
      </c>
      <c r="G706" s="289" t="inlineStr">
        <is>
          <t>IDR</t>
        </is>
      </c>
      <c r="H706" s="293" t="n">
        <v>1</v>
      </c>
      <c r="I706" s="292">
        <f>$F706*$H706</f>
        <v/>
      </c>
      <c r="J706" s="291" t="n"/>
      <c r="K706" s="291" t="n"/>
      <c r="L706" s="291" t="n"/>
      <c r="M706" s="291" t="n"/>
      <c r="N706" s="291" t="n"/>
      <c r="O706" s="291" t="n"/>
      <c r="P706" s="291" t="n"/>
      <c r="Q706" s="291" t="n"/>
      <c r="R706" s="287" t="n"/>
      <c r="S706" s="287" t="n"/>
      <c r="T706" s="287" t="n"/>
      <c r="U706" s="287" t="n"/>
      <c r="V706" s="287" t="n"/>
      <c r="W706" s="287" t="n"/>
      <c r="X706" s="287" t="n"/>
      <c r="Y706" s="287" t="n"/>
      <c r="Z706" s="287" t="n"/>
      <c r="AA706" s="287" t="n"/>
      <c r="AB706" s="287" t="n"/>
      <c r="AC706" s="287" t="n"/>
      <c r="AD706" s="287" t="n"/>
      <c r="AE706" s="287" t="n"/>
      <c r="AF706" s="287" t="n"/>
      <c r="AG706" s="287" t="n"/>
      <c r="AH706" s="287" t="n"/>
      <c r="AI706" s="287" t="n"/>
      <c r="AJ706" s="287" t="n"/>
      <c r="AK706" s="287" t="n"/>
      <c r="AL706" s="287" t="n"/>
      <c r="AM706" s="287" t="n"/>
      <c r="AN706" s="287" t="n"/>
      <c r="AO706" s="287" t="n"/>
      <c r="AP706" s="287" t="n"/>
      <c r="AQ706" s="287" t="n"/>
      <c r="AR706" s="287" t="n"/>
      <c r="AS706" s="287" t="n"/>
      <c r="AT706" s="287" t="n"/>
      <c r="AU706" s="287" t="n"/>
      <c r="AV706" s="287" t="n"/>
      <c r="AW706" s="287" t="n"/>
      <c r="AX706" s="287" t="n"/>
      <c r="AY706" s="287" t="n"/>
      <c r="AZ706" s="287" t="n"/>
      <c r="BA706" s="287" t="n"/>
      <c r="BB706" s="287" t="n"/>
      <c r="BC706" s="287" t="n"/>
      <c r="BD706" s="287" t="n"/>
      <c r="BE706" s="287" t="n"/>
      <c r="BF706" s="287" t="n"/>
      <c r="BG706" s="287" t="n"/>
      <c r="BH706" s="287" t="n"/>
    </row>
    <row r="707" ht="34.5" customHeight="1">
      <c r="B707" s="288" t="n">
        <v>45537</v>
      </c>
      <c r="C707" s="289" t="n">
        <v>176</v>
      </c>
      <c r="D707" s="290" t="inlineStr">
        <is>
          <t>ALFA Service JRK-163 Pertamina Zona#4 - Rental Tool</t>
        </is>
      </c>
      <c r="E707" s="291" t="inlineStr">
        <is>
          <t>BCA</t>
        </is>
      </c>
      <c r="F707" s="295" t="n">
        <v>29640916</v>
      </c>
      <c r="G707" s="289" t="inlineStr">
        <is>
          <t>IDR</t>
        </is>
      </c>
      <c r="H707" s="293" t="n">
        <v>1</v>
      </c>
      <c r="I707" s="292">
        <f>$F707*$H707</f>
        <v/>
      </c>
      <c r="J707" s="291" t="n"/>
      <c r="K707" s="291" t="n"/>
      <c r="L707" s="291" t="n"/>
      <c r="M707" s="291" t="n"/>
      <c r="N707" s="291" t="n"/>
      <c r="O707" s="291" t="n"/>
      <c r="P707" s="291" t="n"/>
      <c r="Q707" s="291" t="n"/>
      <c r="R707" s="287" t="n"/>
      <c r="S707" s="287" t="n"/>
      <c r="T707" s="287" t="n"/>
      <c r="U707" s="287" t="n"/>
      <c r="V707" s="287" t="n"/>
      <c r="W707" s="287" t="n"/>
      <c r="X707" s="287" t="n"/>
      <c r="Y707" s="287" t="n"/>
      <c r="Z707" s="287" t="n"/>
      <c r="AA707" s="287" t="n"/>
      <c r="AB707" s="287" t="n"/>
      <c r="AC707" s="287" t="n"/>
      <c r="AD707" s="287" t="n"/>
      <c r="AE707" s="287" t="n"/>
      <c r="AF707" s="287" t="n"/>
      <c r="AG707" s="287" t="n"/>
      <c r="AH707" s="287" t="n"/>
      <c r="AI707" s="287" t="n"/>
      <c r="AJ707" s="287" t="n"/>
      <c r="AK707" s="287" t="n"/>
      <c r="AL707" s="287" t="n"/>
      <c r="AM707" s="287" t="n"/>
      <c r="AN707" s="287" t="n"/>
      <c r="AO707" s="287" t="n"/>
      <c r="AP707" s="287" t="n"/>
      <c r="AQ707" s="287" t="n"/>
      <c r="AR707" s="287" t="n"/>
      <c r="AS707" s="287" t="n"/>
      <c r="AT707" s="287" t="n"/>
      <c r="AU707" s="287" t="n"/>
      <c r="AV707" s="287" t="n"/>
      <c r="AW707" s="287" t="n"/>
      <c r="AX707" s="287" t="n"/>
      <c r="AY707" s="287" t="n"/>
      <c r="AZ707" s="287" t="n"/>
      <c r="BA707" s="287" t="n"/>
      <c r="BB707" s="287" t="n"/>
      <c r="BC707" s="287" t="n"/>
      <c r="BD707" s="287" t="n"/>
      <c r="BE707" s="287" t="n"/>
      <c r="BF707" s="287" t="n"/>
      <c r="BG707" s="287" t="n"/>
      <c r="BH707" s="287" t="n"/>
    </row>
    <row r="708" ht="34.5" customHeight="1">
      <c r="B708" s="288" t="n">
        <v>45569</v>
      </c>
      <c r="C708" s="289" t="n">
        <v>177</v>
      </c>
      <c r="D708" s="290" t="inlineStr">
        <is>
          <t>PLT Service TGB-033 Pertamina Cirebon - Rental Tool</t>
        </is>
      </c>
      <c r="E708" s="291" t="inlineStr">
        <is>
          <t>BCA</t>
        </is>
      </c>
      <c r="F708" s="295" t="n">
        <v>16165271</v>
      </c>
      <c r="G708" s="289" t="inlineStr">
        <is>
          <t>IDR</t>
        </is>
      </c>
      <c r="H708" s="293" t="n">
        <v>1</v>
      </c>
      <c r="I708" s="292">
        <f>$F708*$H708</f>
        <v/>
      </c>
      <c r="J708" s="291" t="n"/>
      <c r="K708" s="291" t="n"/>
      <c r="L708" s="291" t="n"/>
      <c r="M708" s="291" t="n"/>
      <c r="N708" s="291" t="n"/>
      <c r="O708" s="291" t="n"/>
      <c r="P708" s="291" t="n"/>
      <c r="Q708" s="291" t="n"/>
      <c r="R708" s="287" t="n"/>
      <c r="S708" s="287" t="n"/>
      <c r="T708" s="287" t="n"/>
      <c r="U708" s="287" t="n"/>
      <c r="V708" s="287" t="n"/>
      <c r="W708" s="287" t="n"/>
      <c r="X708" s="287" t="n"/>
      <c r="Y708" s="287" t="n"/>
      <c r="Z708" s="287" t="n"/>
      <c r="AA708" s="287" t="n"/>
      <c r="AB708" s="287" t="n"/>
      <c r="AC708" s="287" t="n"/>
      <c r="AD708" s="287" t="n"/>
      <c r="AE708" s="287" t="n"/>
      <c r="AF708" s="287" t="n"/>
      <c r="AG708" s="287" t="n"/>
      <c r="AH708" s="287" t="n"/>
      <c r="AI708" s="287" t="n"/>
      <c r="AJ708" s="287" t="n"/>
      <c r="AK708" s="287" t="n"/>
      <c r="AL708" s="287" t="n"/>
      <c r="AM708" s="287" t="n"/>
      <c r="AN708" s="287" t="n"/>
      <c r="AO708" s="287" t="n"/>
      <c r="AP708" s="287" t="n"/>
      <c r="AQ708" s="287" t="n"/>
      <c r="AR708" s="287" t="n"/>
      <c r="AS708" s="287" t="n"/>
      <c r="AT708" s="287" t="n"/>
      <c r="AU708" s="287" t="n"/>
      <c r="AV708" s="287" t="n"/>
      <c r="AW708" s="287" t="n"/>
      <c r="AX708" s="287" t="n"/>
      <c r="AY708" s="287" t="n"/>
      <c r="AZ708" s="287" t="n"/>
      <c r="BA708" s="287" t="n"/>
      <c r="BB708" s="287" t="n"/>
      <c r="BC708" s="287" t="n"/>
      <c r="BD708" s="287" t="n"/>
      <c r="BE708" s="287" t="n"/>
      <c r="BF708" s="287" t="n"/>
      <c r="BG708" s="287" t="n"/>
      <c r="BH708" s="287" t="n"/>
    </row>
    <row r="709" ht="34.5" customHeight="1">
      <c r="B709" s="288" t="n">
        <v>45569</v>
      </c>
      <c r="C709" s="289" t="n">
        <v>178</v>
      </c>
      <c r="D709" s="290" t="inlineStr">
        <is>
          <t>PLT Service TGB-033 Pertamina Cirebon - Rental Tool</t>
        </is>
      </c>
      <c r="E709" s="291" t="inlineStr">
        <is>
          <t>BCA</t>
        </is>
      </c>
      <c r="F709" s="295" t="n">
        <v>16165271</v>
      </c>
      <c r="G709" s="289" t="inlineStr">
        <is>
          <t>IDR</t>
        </is>
      </c>
      <c r="H709" s="293" t="n">
        <v>1</v>
      </c>
      <c r="I709" s="292">
        <f>$F709*$H709</f>
        <v/>
      </c>
      <c r="J709" s="291" t="n"/>
      <c r="K709" s="291" t="n"/>
      <c r="L709" s="291" t="n"/>
      <c r="M709" s="291" t="n"/>
      <c r="N709" s="291" t="n"/>
      <c r="O709" s="291" t="n"/>
      <c r="P709" s="291" t="n"/>
      <c r="Q709" s="291" t="n"/>
      <c r="R709" s="287" t="n"/>
      <c r="S709" s="287" t="n"/>
      <c r="T709" s="287" t="n"/>
      <c r="U709" s="287" t="n"/>
      <c r="V709" s="287" t="n"/>
      <c r="W709" s="287" t="n"/>
      <c r="X709" s="287" t="n"/>
      <c r="Y709" s="287" t="n"/>
      <c r="Z709" s="287" t="n"/>
      <c r="AA709" s="287" t="n"/>
      <c r="AB709" s="287" t="n"/>
      <c r="AC709" s="287" t="n"/>
      <c r="AD709" s="287" t="n"/>
      <c r="AE709" s="287" t="n"/>
      <c r="AF709" s="287" t="n"/>
      <c r="AG709" s="287" t="n"/>
      <c r="AH709" s="287" t="n"/>
      <c r="AI709" s="287" t="n"/>
      <c r="AJ709" s="287" t="n"/>
      <c r="AK709" s="287" t="n"/>
      <c r="AL709" s="287" t="n"/>
      <c r="AM709" s="287" t="n"/>
      <c r="AN709" s="287" t="n"/>
      <c r="AO709" s="287" t="n"/>
      <c r="AP709" s="287" t="n"/>
      <c r="AQ709" s="287" t="n"/>
      <c r="AR709" s="287" t="n"/>
      <c r="AS709" s="287" t="n"/>
      <c r="AT709" s="287" t="n"/>
      <c r="AU709" s="287" t="n"/>
      <c r="AV709" s="287" t="n"/>
      <c r="AW709" s="287" t="n"/>
      <c r="AX709" s="287" t="n"/>
      <c r="AY709" s="287" t="n"/>
      <c r="AZ709" s="287" t="n"/>
      <c r="BA709" s="287" t="n"/>
      <c r="BB709" s="287" t="n"/>
      <c r="BC709" s="287" t="n"/>
      <c r="BD709" s="287" t="n"/>
      <c r="BE709" s="287" t="n"/>
      <c r="BF709" s="287" t="n"/>
      <c r="BG709" s="287" t="n"/>
      <c r="BH709" s="287" t="n"/>
    </row>
    <row r="710" ht="34.5" customHeight="1">
      <c r="B710" s="288" t="n">
        <v>45569</v>
      </c>
      <c r="C710" s="289" t="n">
        <v>179</v>
      </c>
      <c r="D710" s="290" t="inlineStr">
        <is>
          <t>PLT Service TGB-033 Pertamina Cirebon - Rental Tool</t>
        </is>
      </c>
      <c r="E710" s="291" t="inlineStr">
        <is>
          <t>BCA</t>
        </is>
      </c>
      <c r="F710" s="295" t="n">
        <v>16165271</v>
      </c>
      <c r="G710" s="289" t="inlineStr">
        <is>
          <t>IDR</t>
        </is>
      </c>
      <c r="H710" s="293" t="n">
        <v>1</v>
      </c>
      <c r="I710" s="292">
        <f>$F710*$H710</f>
        <v/>
      </c>
      <c r="J710" s="291" t="n"/>
      <c r="K710" s="291" t="n"/>
      <c r="L710" s="291" t="n"/>
      <c r="M710" s="291" t="n"/>
      <c r="N710" s="291" t="n"/>
      <c r="O710" s="291" t="n"/>
      <c r="P710" s="291" t="n"/>
      <c r="Q710" s="291" t="n"/>
      <c r="R710" s="287" t="n"/>
      <c r="S710" s="287" t="n"/>
      <c r="T710" s="287" t="n"/>
      <c r="U710" s="287" t="n"/>
      <c r="V710" s="287" t="n"/>
      <c r="W710" s="287" t="n"/>
      <c r="X710" s="287" t="n"/>
      <c r="Y710" s="287" t="n"/>
      <c r="Z710" s="287" t="n"/>
      <c r="AA710" s="287" t="n"/>
      <c r="AB710" s="287" t="n"/>
      <c r="AC710" s="287" t="n"/>
      <c r="AD710" s="287" t="n"/>
      <c r="AE710" s="287" t="n"/>
      <c r="AF710" s="287" t="n"/>
      <c r="AG710" s="287" t="n"/>
      <c r="AH710" s="287" t="n"/>
      <c r="AI710" s="287" t="n"/>
      <c r="AJ710" s="287" t="n"/>
      <c r="AK710" s="287" t="n"/>
      <c r="AL710" s="287" t="n"/>
      <c r="AM710" s="287" t="n"/>
      <c r="AN710" s="287" t="n"/>
      <c r="AO710" s="287" t="n"/>
      <c r="AP710" s="287" t="n"/>
      <c r="AQ710" s="287" t="n"/>
      <c r="AR710" s="287" t="n"/>
      <c r="AS710" s="287" t="n"/>
      <c r="AT710" s="287" t="n"/>
      <c r="AU710" s="287" t="n"/>
      <c r="AV710" s="287" t="n"/>
      <c r="AW710" s="287" t="n"/>
      <c r="AX710" s="287" t="n"/>
      <c r="AY710" s="287" t="n"/>
      <c r="AZ710" s="287" t="n"/>
      <c r="BA710" s="287" t="n"/>
      <c r="BB710" s="287" t="n"/>
      <c r="BC710" s="287" t="n"/>
      <c r="BD710" s="287" t="n"/>
      <c r="BE710" s="287" t="n"/>
      <c r="BF710" s="287" t="n"/>
      <c r="BG710" s="287" t="n"/>
      <c r="BH710" s="287" t="n"/>
    </row>
    <row r="711" ht="34.5" customHeight="1">
      <c r="B711" s="288" t="n">
        <v>45569</v>
      </c>
      <c r="C711" s="289" t="n">
        <v>180</v>
      </c>
      <c r="D711" s="290" t="inlineStr">
        <is>
          <t>PLT Service TGB-033 Pertamina Cirebon - Rental Tool</t>
        </is>
      </c>
      <c r="E711" s="291" t="inlineStr">
        <is>
          <t>BCA</t>
        </is>
      </c>
      <c r="F711" s="295" t="n">
        <v>16165271</v>
      </c>
      <c r="G711" s="289" t="inlineStr">
        <is>
          <t>IDR</t>
        </is>
      </c>
      <c r="H711" s="293" t="n">
        <v>1</v>
      </c>
      <c r="I711" s="292">
        <f>$F711*$H711</f>
        <v/>
      </c>
      <c r="J711" s="291" t="n"/>
      <c r="K711" s="291" t="n"/>
      <c r="L711" s="291" t="n"/>
      <c r="M711" s="291" t="n"/>
      <c r="N711" s="291" t="n"/>
      <c r="O711" s="291" t="n"/>
      <c r="P711" s="291" t="n"/>
      <c r="Q711" s="291" t="n"/>
      <c r="R711" s="287" t="n"/>
      <c r="S711" s="287" t="n"/>
      <c r="T711" s="287" t="n"/>
      <c r="U711" s="287" t="n"/>
      <c r="V711" s="287" t="n"/>
      <c r="W711" s="287" t="n"/>
      <c r="X711" s="287" t="n"/>
      <c r="Y711" s="287" t="n"/>
      <c r="Z711" s="287" t="n"/>
      <c r="AA711" s="287" t="n"/>
      <c r="AB711" s="287" t="n"/>
      <c r="AC711" s="287" t="n"/>
      <c r="AD711" s="287" t="n"/>
      <c r="AE711" s="287" t="n"/>
      <c r="AF711" s="287" t="n"/>
      <c r="AG711" s="287" t="n"/>
      <c r="AH711" s="287" t="n"/>
      <c r="AI711" s="287" t="n"/>
      <c r="AJ711" s="287" t="n"/>
      <c r="AK711" s="287" t="n"/>
      <c r="AL711" s="287" t="n"/>
      <c r="AM711" s="287" t="n"/>
      <c r="AN711" s="287" t="n"/>
      <c r="AO711" s="287" t="n"/>
      <c r="AP711" s="287" t="n"/>
      <c r="AQ711" s="287" t="n"/>
      <c r="AR711" s="287" t="n"/>
      <c r="AS711" s="287" t="n"/>
      <c r="AT711" s="287" t="n"/>
      <c r="AU711" s="287" t="n"/>
      <c r="AV711" s="287" t="n"/>
      <c r="AW711" s="287" t="n"/>
      <c r="AX711" s="287" t="n"/>
      <c r="AY711" s="287" t="n"/>
      <c r="AZ711" s="287" t="n"/>
      <c r="BA711" s="287" t="n"/>
      <c r="BB711" s="287" t="n"/>
      <c r="BC711" s="287" t="n"/>
      <c r="BD711" s="287" t="n"/>
      <c r="BE711" s="287" t="n"/>
      <c r="BF711" s="287" t="n"/>
      <c r="BG711" s="287" t="n"/>
      <c r="BH711" s="287" t="n"/>
    </row>
    <row r="712" ht="34.5" customHeight="1">
      <c r="B712" s="288" t="n">
        <v>45569</v>
      </c>
      <c r="C712" s="289" t="n">
        <v>181</v>
      </c>
      <c r="D712" s="290" t="inlineStr">
        <is>
          <t>ALFA Service TGB-033 Pertamina Cirebon - Rental Tool</t>
        </is>
      </c>
      <c r="E712" s="291" t="inlineStr">
        <is>
          <t>BCA</t>
        </is>
      </c>
      <c r="F712" s="295" t="n">
        <v>25967616</v>
      </c>
      <c r="G712" s="289" t="inlineStr">
        <is>
          <t>IDR</t>
        </is>
      </c>
      <c r="H712" s="293" t="n">
        <v>1</v>
      </c>
      <c r="I712" s="292">
        <f>$F712*$H712</f>
        <v/>
      </c>
      <c r="J712" s="291" t="n"/>
      <c r="K712" s="291" t="n"/>
      <c r="L712" s="291" t="n"/>
      <c r="M712" s="291" t="n"/>
      <c r="N712" s="291" t="n"/>
      <c r="O712" s="291" t="n"/>
      <c r="P712" s="291" t="n"/>
      <c r="Q712" s="291" t="n"/>
      <c r="R712" s="287" t="n"/>
      <c r="S712" s="287" t="n"/>
      <c r="T712" s="287" t="n"/>
      <c r="U712" s="287" t="n"/>
      <c r="V712" s="287" t="n"/>
      <c r="W712" s="287" t="n"/>
      <c r="X712" s="287" t="n"/>
      <c r="Y712" s="287" t="n"/>
      <c r="Z712" s="287" t="n"/>
      <c r="AA712" s="287" t="n"/>
      <c r="AB712" s="287" t="n"/>
      <c r="AC712" s="287" t="n"/>
      <c r="AD712" s="287" t="n"/>
      <c r="AE712" s="287" t="n"/>
      <c r="AF712" s="287" t="n"/>
      <c r="AG712" s="287" t="n"/>
      <c r="AH712" s="287" t="n"/>
      <c r="AI712" s="287" t="n"/>
      <c r="AJ712" s="287" t="n"/>
      <c r="AK712" s="287" t="n"/>
      <c r="AL712" s="287" t="n"/>
      <c r="AM712" s="287" t="n"/>
      <c r="AN712" s="287" t="n"/>
      <c r="AO712" s="287" t="n"/>
      <c r="AP712" s="287" t="n"/>
      <c r="AQ712" s="287" t="n"/>
      <c r="AR712" s="287" t="n"/>
      <c r="AS712" s="287" t="n"/>
      <c r="AT712" s="287" t="n"/>
      <c r="AU712" s="287" t="n"/>
      <c r="AV712" s="287" t="n"/>
      <c r="AW712" s="287" t="n"/>
      <c r="AX712" s="287" t="n"/>
      <c r="AY712" s="287" t="n"/>
      <c r="AZ712" s="287" t="n"/>
      <c r="BA712" s="287" t="n"/>
      <c r="BB712" s="287" t="n"/>
      <c r="BC712" s="287" t="n"/>
      <c r="BD712" s="287" t="n"/>
      <c r="BE712" s="287" t="n"/>
      <c r="BF712" s="287" t="n"/>
      <c r="BG712" s="287" t="n"/>
      <c r="BH712" s="287" t="n"/>
    </row>
    <row r="713" ht="34.5" customHeight="1">
      <c r="B713" s="288" t="n">
        <v>45569</v>
      </c>
      <c r="C713" s="289" t="n">
        <v>182</v>
      </c>
      <c r="D713" s="290" t="inlineStr">
        <is>
          <t>ALFA Service TGB-033 Pertamina Cirebon - Rental Tool</t>
        </is>
      </c>
      <c r="E713" s="291" t="inlineStr">
        <is>
          <t>BCA</t>
        </is>
      </c>
      <c r="F713" s="295" t="n">
        <v>25967616</v>
      </c>
      <c r="G713" s="289" t="inlineStr">
        <is>
          <t>IDR</t>
        </is>
      </c>
      <c r="H713" s="293" t="n">
        <v>1</v>
      </c>
      <c r="I713" s="292">
        <f>$F713*$H713</f>
        <v/>
      </c>
      <c r="J713" s="291" t="n"/>
      <c r="K713" s="291" t="n"/>
      <c r="L713" s="291" t="n"/>
      <c r="M713" s="291" t="n"/>
      <c r="N713" s="291" t="n"/>
      <c r="O713" s="291" t="n"/>
      <c r="P713" s="291" t="n"/>
      <c r="Q713" s="291" t="n"/>
      <c r="R713" s="287" t="n"/>
      <c r="S713" s="287" t="n"/>
      <c r="T713" s="287" t="n"/>
      <c r="U713" s="287" t="n"/>
      <c r="V713" s="287" t="n"/>
      <c r="W713" s="287" t="n"/>
      <c r="X713" s="287" t="n"/>
      <c r="Y713" s="287" t="n"/>
      <c r="Z713" s="287" t="n"/>
      <c r="AA713" s="287" t="n"/>
      <c r="AB713" s="287" t="n"/>
      <c r="AC713" s="287" t="n"/>
      <c r="AD713" s="287" t="n"/>
      <c r="AE713" s="287" t="n"/>
      <c r="AF713" s="287" t="n"/>
      <c r="AG713" s="287" t="n"/>
      <c r="AH713" s="287" t="n"/>
      <c r="AI713" s="287" t="n"/>
      <c r="AJ713" s="287" t="n"/>
      <c r="AK713" s="287" t="n"/>
      <c r="AL713" s="287" t="n"/>
      <c r="AM713" s="287" t="n"/>
      <c r="AN713" s="287" t="n"/>
      <c r="AO713" s="287" t="n"/>
      <c r="AP713" s="287" t="n"/>
      <c r="AQ713" s="287" t="n"/>
      <c r="AR713" s="287" t="n"/>
      <c r="AS713" s="287" t="n"/>
      <c r="AT713" s="287" t="n"/>
      <c r="AU713" s="287" t="n"/>
      <c r="AV713" s="287" t="n"/>
      <c r="AW713" s="287" t="n"/>
      <c r="AX713" s="287" t="n"/>
      <c r="AY713" s="287" t="n"/>
      <c r="AZ713" s="287" t="n"/>
      <c r="BA713" s="287" t="n"/>
      <c r="BB713" s="287" t="n"/>
      <c r="BC713" s="287" t="n"/>
      <c r="BD713" s="287" t="n"/>
      <c r="BE713" s="287" t="n"/>
      <c r="BF713" s="287" t="n"/>
      <c r="BG713" s="287" t="n"/>
      <c r="BH713" s="287" t="n"/>
    </row>
    <row r="714" ht="34.5" customHeight="1">
      <c r="B714" s="288" t="n">
        <v>45569</v>
      </c>
      <c r="C714" s="289" t="n">
        <v>183</v>
      </c>
      <c r="D714" s="290" t="inlineStr">
        <is>
          <t>ALFA Service TGB-033 Pertamina Cirebon - Rental Tool</t>
        </is>
      </c>
      <c r="E714" s="291" t="inlineStr">
        <is>
          <t>BCA</t>
        </is>
      </c>
      <c r="F714" s="295" t="n">
        <v>25967616</v>
      </c>
      <c r="G714" s="289" t="inlineStr">
        <is>
          <t>IDR</t>
        </is>
      </c>
      <c r="H714" s="293" t="n">
        <v>1</v>
      </c>
      <c r="I714" s="292">
        <f>$F714*$H714</f>
        <v/>
      </c>
      <c r="J714" s="291" t="n"/>
      <c r="K714" s="291" t="n"/>
      <c r="L714" s="291" t="n"/>
      <c r="M714" s="291" t="n"/>
      <c r="N714" s="291" t="n"/>
      <c r="O714" s="291" t="n"/>
      <c r="P714" s="291" t="n"/>
      <c r="Q714" s="291" t="n"/>
      <c r="R714" s="287" t="n"/>
      <c r="S714" s="287" t="n"/>
      <c r="T714" s="287" t="n"/>
      <c r="U714" s="287" t="n"/>
      <c r="V714" s="287" t="n"/>
      <c r="W714" s="287" t="n"/>
      <c r="X714" s="287" t="n"/>
      <c r="Y714" s="287" t="n"/>
      <c r="Z714" s="287" t="n"/>
      <c r="AA714" s="287" t="n"/>
      <c r="AB714" s="287" t="n"/>
      <c r="AC714" s="287" t="n"/>
      <c r="AD714" s="287" t="n"/>
      <c r="AE714" s="287" t="n"/>
      <c r="AF714" s="287" t="n"/>
      <c r="AG714" s="287" t="n"/>
      <c r="AH714" s="287" t="n"/>
      <c r="AI714" s="287" t="n"/>
      <c r="AJ714" s="287" t="n"/>
      <c r="AK714" s="287" t="n"/>
      <c r="AL714" s="287" t="n"/>
      <c r="AM714" s="287" t="n"/>
      <c r="AN714" s="287" t="n"/>
      <c r="AO714" s="287" t="n"/>
      <c r="AP714" s="287" t="n"/>
      <c r="AQ714" s="287" t="n"/>
      <c r="AR714" s="287" t="n"/>
      <c r="AS714" s="287" t="n"/>
      <c r="AT714" s="287" t="n"/>
      <c r="AU714" s="287" t="n"/>
      <c r="AV714" s="287" t="n"/>
      <c r="AW714" s="287" t="n"/>
      <c r="AX714" s="287" t="n"/>
      <c r="AY714" s="287" t="n"/>
      <c r="AZ714" s="287" t="n"/>
      <c r="BA714" s="287" t="n"/>
      <c r="BB714" s="287" t="n"/>
      <c r="BC714" s="287" t="n"/>
      <c r="BD714" s="287" t="n"/>
      <c r="BE714" s="287" t="n"/>
      <c r="BF714" s="287" t="n"/>
      <c r="BG714" s="287" t="n"/>
      <c r="BH714" s="287" t="n"/>
    </row>
    <row r="715" ht="34.5" customHeight="1">
      <c r="B715" s="288" t="n">
        <v>45569</v>
      </c>
      <c r="C715" s="289" t="n">
        <v>184</v>
      </c>
      <c r="D715" s="290" t="inlineStr">
        <is>
          <t>ALFA Service TGB-033 Pertamina Cirebon - Rental Tool</t>
        </is>
      </c>
      <c r="E715" s="291" t="inlineStr">
        <is>
          <t>BCA</t>
        </is>
      </c>
      <c r="F715" s="295" t="n">
        <v>25967616</v>
      </c>
      <c r="G715" s="289" t="inlineStr">
        <is>
          <t>IDR</t>
        </is>
      </c>
      <c r="H715" s="293" t="n">
        <v>1</v>
      </c>
      <c r="I715" s="292">
        <f>$F715*$H715</f>
        <v/>
      </c>
      <c r="J715" s="291" t="n"/>
      <c r="K715" s="291" t="n"/>
      <c r="L715" s="291" t="n"/>
      <c r="M715" s="291" t="n"/>
      <c r="N715" s="291" t="n"/>
      <c r="O715" s="291" t="n"/>
      <c r="P715" s="291" t="n"/>
      <c r="Q715" s="291" t="n"/>
      <c r="R715" s="287" t="n"/>
      <c r="S715" s="287" t="n"/>
      <c r="T715" s="287" t="n"/>
      <c r="U715" s="287" t="n"/>
      <c r="V715" s="287" t="n"/>
      <c r="W715" s="287" t="n"/>
      <c r="X715" s="287" t="n"/>
      <c r="Y715" s="287" t="n"/>
      <c r="Z715" s="287" t="n"/>
      <c r="AA715" s="287" t="n"/>
      <c r="AB715" s="287" t="n"/>
      <c r="AC715" s="287" t="n"/>
      <c r="AD715" s="287" t="n"/>
      <c r="AE715" s="287" t="n"/>
      <c r="AF715" s="287" t="n"/>
      <c r="AG715" s="287" t="n"/>
      <c r="AH715" s="287" t="n"/>
      <c r="AI715" s="287" t="n"/>
      <c r="AJ715" s="287" t="n"/>
      <c r="AK715" s="287" t="n"/>
      <c r="AL715" s="287" t="n"/>
      <c r="AM715" s="287" t="n"/>
      <c r="AN715" s="287" t="n"/>
      <c r="AO715" s="287" t="n"/>
      <c r="AP715" s="287" t="n"/>
      <c r="AQ715" s="287" t="n"/>
      <c r="AR715" s="287" t="n"/>
      <c r="AS715" s="287" t="n"/>
      <c r="AT715" s="287" t="n"/>
      <c r="AU715" s="287" t="n"/>
      <c r="AV715" s="287" t="n"/>
      <c r="AW715" s="287" t="n"/>
      <c r="AX715" s="287" t="n"/>
      <c r="AY715" s="287" t="n"/>
      <c r="AZ715" s="287" t="n"/>
      <c r="BA715" s="287" t="n"/>
      <c r="BB715" s="287" t="n"/>
      <c r="BC715" s="287" t="n"/>
      <c r="BD715" s="287" t="n"/>
      <c r="BE715" s="287" t="n"/>
      <c r="BF715" s="287" t="n"/>
      <c r="BG715" s="287" t="n"/>
      <c r="BH715" s="287" t="n"/>
    </row>
    <row r="716" ht="34.5" customHeight="1">
      <c r="B716" s="288" t="n">
        <v>45569</v>
      </c>
      <c r="C716" s="289" t="n">
        <v>185</v>
      </c>
      <c r="D716" s="290" t="inlineStr">
        <is>
          <t>MFC Service TGB-033 Pertamina Cirebon - Rental Tool</t>
        </is>
      </c>
      <c r="E716" s="291" t="inlineStr">
        <is>
          <t>BCA</t>
        </is>
      </c>
      <c r="F716" s="295" t="n">
        <v>32101247</v>
      </c>
      <c r="G716" s="289" t="inlineStr">
        <is>
          <t>IDR</t>
        </is>
      </c>
      <c r="H716" s="293" t="n">
        <v>1</v>
      </c>
      <c r="I716" s="292">
        <f>$F716*$H716</f>
        <v/>
      </c>
      <c r="J716" s="291" t="n"/>
      <c r="K716" s="291" t="n"/>
      <c r="L716" s="291" t="n"/>
      <c r="M716" s="291" t="n"/>
      <c r="N716" s="291" t="n"/>
      <c r="O716" s="291" t="n"/>
      <c r="P716" s="291" t="n"/>
      <c r="Q716" s="291" t="n"/>
      <c r="R716" s="287" t="n"/>
      <c r="S716" s="287" t="n"/>
      <c r="T716" s="287" t="n"/>
      <c r="U716" s="287" t="n"/>
      <c r="V716" s="287" t="n"/>
      <c r="W716" s="287" t="n"/>
      <c r="X716" s="287" t="n"/>
      <c r="Y716" s="287" t="n"/>
      <c r="Z716" s="287" t="n"/>
      <c r="AA716" s="287" t="n"/>
      <c r="AB716" s="287" t="n"/>
      <c r="AC716" s="287" t="n"/>
      <c r="AD716" s="287" t="n"/>
      <c r="AE716" s="287" t="n"/>
      <c r="AF716" s="287" t="n"/>
      <c r="AG716" s="287" t="n"/>
      <c r="AH716" s="287" t="n"/>
      <c r="AI716" s="287" t="n"/>
      <c r="AJ716" s="287" t="n"/>
      <c r="AK716" s="287" t="n"/>
      <c r="AL716" s="287" t="n"/>
      <c r="AM716" s="287" t="n"/>
      <c r="AN716" s="287" t="n"/>
      <c r="AO716" s="287" t="n"/>
      <c r="AP716" s="287" t="n"/>
      <c r="AQ716" s="287" t="n"/>
      <c r="AR716" s="287" t="n"/>
      <c r="AS716" s="287" t="n"/>
      <c r="AT716" s="287" t="n"/>
      <c r="AU716" s="287" t="n"/>
      <c r="AV716" s="287" t="n"/>
      <c r="AW716" s="287" t="n"/>
      <c r="AX716" s="287" t="n"/>
      <c r="AY716" s="287" t="n"/>
      <c r="AZ716" s="287" t="n"/>
      <c r="BA716" s="287" t="n"/>
      <c r="BB716" s="287" t="n"/>
      <c r="BC716" s="287" t="n"/>
      <c r="BD716" s="287" t="n"/>
      <c r="BE716" s="287" t="n"/>
      <c r="BF716" s="287" t="n"/>
      <c r="BG716" s="287" t="n"/>
      <c r="BH716" s="287" t="n"/>
    </row>
    <row r="717" ht="34.5" customHeight="1">
      <c r="B717" s="288" t="n">
        <v>45569</v>
      </c>
      <c r="C717" s="289" t="n">
        <v>186</v>
      </c>
      <c r="D717" s="290" t="inlineStr">
        <is>
          <t>MFC Service TGB-033 Pertamina Cirebon - Rental Tool</t>
        </is>
      </c>
      <c r="E717" s="291" t="inlineStr">
        <is>
          <t>BCA</t>
        </is>
      </c>
      <c r="F717" s="295" t="n">
        <v>32101247</v>
      </c>
      <c r="G717" s="289" t="inlineStr">
        <is>
          <t>IDR</t>
        </is>
      </c>
      <c r="H717" s="293" t="n">
        <v>1</v>
      </c>
      <c r="I717" s="292">
        <f>$F717*$H717</f>
        <v/>
      </c>
      <c r="J717" s="291" t="n"/>
      <c r="K717" s="291" t="n"/>
      <c r="L717" s="291" t="n"/>
      <c r="M717" s="291" t="n"/>
      <c r="N717" s="291" t="n"/>
      <c r="O717" s="291" t="n"/>
      <c r="P717" s="291" t="n"/>
      <c r="Q717" s="291" t="n"/>
      <c r="R717" s="287" t="n"/>
      <c r="S717" s="287" t="n"/>
      <c r="T717" s="287" t="n"/>
      <c r="U717" s="287" t="n"/>
      <c r="V717" s="287" t="n"/>
      <c r="W717" s="287" t="n"/>
      <c r="X717" s="287" t="n"/>
      <c r="Y717" s="287" t="n"/>
      <c r="Z717" s="287" t="n"/>
      <c r="AA717" s="287" t="n"/>
      <c r="AB717" s="287" t="n"/>
      <c r="AC717" s="287" t="n"/>
      <c r="AD717" s="287" t="n"/>
      <c r="AE717" s="287" t="n"/>
      <c r="AF717" s="287" t="n"/>
      <c r="AG717" s="287" t="n"/>
      <c r="AH717" s="287" t="n"/>
      <c r="AI717" s="287" t="n"/>
      <c r="AJ717" s="287" t="n"/>
      <c r="AK717" s="287" t="n"/>
      <c r="AL717" s="287" t="n"/>
      <c r="AM717" s="287" t="n"/>
      <c r="AN717" s="287" t="n"/>
      <c r="AO717" s="287" t="n"/>
      <c r="AP717" s="287" t="n"/>
      <c r="AQ717" s="287" t="n"/>
      <c r="AR717" s="287" t="n"/>
      <c r="AS717" s="287" t="n"/>
      <c r="AT717" s="287" t="n"/>
      <c r="AU717" s="287" t="n"/>
      <c r="AV717" s="287" t="n"/>
      <c r="AW717" s="287" t="n"/>
      <c r="AX717" s="287" t="n"/>
      <c r="AY717" s="287" t="n"/>
      <c r="AZ717" s="287" t="n"/>
      <c r="BA717" s="287" t="n"/>
      <c r="BB717" s="287" t="n"/>
      <c r="BC717" s="287" t="n"/>
      <c r="BD717" s="287" t="n"/>
      <c r="BE717" s="287" t="n"/>
      <c r="BF717" s="287" t="n"/>
      <c r="BG717" s="287" t="n"/>
      <c r="BH717" s="287" t="n"/>
    </row>
    <row r="718" ht="34.5" customHeight="1">
      <c r="B718" s="288" t="n">
        <v>45569</v>
      </c>
      <c r="C718" s="289" t="n">
        <v>187</v>
      </c>
      <c r="D718" s="290" t="inlineStr">
        <is>
          <t>MFC Service TGB-033 Pertamina Cirebon - Rental Tool</t>
        </is>
      </c>
      <c r="E718" s="291" t="inlineStr">
        <is>
          <t>BCA</t>
        </is>
      </c>
      <c r="F718" s="295" t="n">
        <v>32101247</v>
      </c>
      <c r="G718" s="289" t="inlineStr">
        <is>
          <t>IDR</t>
        </is>
      </c>
      <c r="H718" s="293" t="n">
        <v>1</v>
      </c>
      <c r="I718" s="292">
        <f>$F718*$H718</f>
        <v/>
      </c>
      <c r="J718" s="291" t="n"/>
      <c r="K718" s="291" t="n"/>
      <c r="L718" s="291" t="n"/>
      <c r="M718" s="291" t="n"/>
      <c r="N718" s="291" t="n"/>
      <c r="O718" s="291" t="n"/>
      <c r="P718" s="291" t="n"/>
      <c r="Q718" s="291" t="n"/>
      <c r="R718" s="287" t="n"/>
      <c r="S718" s="287" t="n"/>
      <c r="T718" s="287" t="n"/>
      <c r="U718" s="287" t="n"/>
      <c r="V718" s="287" t="n"/>
      <c r="W718" s="287" t="n"/>
      <c r="X718" s="287" t="n"/>
      <c r="Y718" s="287" t="n"/>
      <c r="Z718" s="287" t="n"/>
      <c r="AA718" s="287" t="n"/>
      <c r="AB718" s="287" t="n"/>
      <c r="AC718" s="287" t="n"/>
      <c r="AD718" s="287" t="n"/>
      <c r="AE718" s="287" t="n"/>
      <c r="AF718" s="287" t="n"/>
      <c r="AG718" s="287" t="n"/>
      <c r="AH718" s="287" t="n"/>
      <c r="AI718" s="287" t="n"/>
      <c r="AJ718" s="287" t="n"/>
      <c r="AK718" s="287" t="n"/>
      <c r="AL718" s="287" t="n"/>
      <c r="AM718" s="287" t="n"/>
      <c r="AN718" s="287" t="n"/>
      <c r="AO718" s="287" t="n"/>
      <c r="AP718" s="287" t="n"/>
      <c r="AQ718" s="287" t="n"/>
      <c r="AR718" s="287" t="n"/>
      <c r="AS718" s="287" t="n"/>
      <c r="AT718" s="287" t="n"/>
      <c r="AU718" s="287" t="n"/>
      <c r="AV718" s="287" t="n"/>
      <c r="AW718" s="287" t="n"/>
      <c r="AX718" s="287" t="n"/>
      <c r="AY718" s="287" t="n"/>
      <c r="AZ718" s="287" t="n"/>
      <c r="BA718" s="287" t="n"/>
      <c r="BB718" s="287" t="n"/>
      <c r="BC718" s="287" t="n"/>
      <c r="BD718" s="287" t="n"/>
      <c r="BE718" s="287" t="n"/>
      <c r="BF718" s="287" t="n"/>
      <c r="BG718" s="287" t="n"/>
      <c r="BH718" s="287" t="n"/>
    </row>
    <row r="719" ht="34.5" customHeight="1">
      <c r="B719" s="288" t="n">
        <v>45569</v>
      </c>
      <c r="C719" s="289" t="n">
        <v>188</v>
      </c>
      <c r="D719" s="290" t="inlineStr">
        <is>
          <t>MFC Service TGB-033 Pertamina Cirebon - Rental Tool</t>
        </is>
      </c>
      <c r="E719" s="291" t="inlineStr">
        <is>
          <t>BCA</t>
        </is>
      </c>
      <c r="F719" s="295" t="n">
        <v>32101247</v>
      </c>
      <c r="G719" s="289" t="inlineStr">
        <is>
          <t>IDR</t>
        </is>
      </c>
      <c r="H719" s="293" t="n">
        <v>1</v>
      </c>
      <c r="I719" s="292">
        <f>$F719*$H719</f>
        <v/>
      </c>
      <c r="J719" s="291" t="n"/>
      <c r="K719" s="291" t="n"/>
      <c r="L719" s="291" t="n"/>
      <c r="M719" s="291" t="n"/>
      <c r="N719" s="291" t="n"/>
      <c r="O719" s="291" t="n"/>
      <c r="P719" s="291" t="n"/>
      <c r="Q719" s="291" t="n"/>
      <c r="R719" s="287" t="n"/>
      <c r="S719" s="287" t="n"/>
      <c r="T719" s="287" t="n"/>
      <c r="U719" s="287" t="n"/>
      <c r="V719" s="287" t="n"/>
      <c r="W719" s="287" t="n"/>
      <c r="X719" s="287" t="n"/>
      <c r="Y719" s="287" t="n"/>
      <c r="Z719" s="287" t="n"/>
      <c r="AA719" s="287" t="n"/>
      <c r="AB719" s="287" t="n"/>
      <c r="AC719" s="287" t="n"/>
      <c r="AD719" s="287" t="n"/>
      <c r="AE719" s="287" t="n"/>
      <c r="AF719" s="287" t="n"/>
      <c r="AG719" s="287" t="n"/>
      <c r="AH719" s="287" t="n"/>
      <c r="AI719" s="287" t="n"/>
      <c r="AJ719" s="287" t="n"/>
      <c r="AK719" s="287" t="n"/>
      <c r="AL719" s="287" t="n"/>
      <c r="AM719" s="287" t="n"/>
      <c r="AN719" s="287" t="n"/>
      <c r="AO719" s="287" t="n"/>
      <c r="AP719" s="287" t="n"/>
      <c r="AQ719" s="287" t="n"/>
      <c r="AR719" s="287" t="n"/>
      <c r="AS719" s="287" t="n"/>
      <c r="AT719" s="287" t="n"/>
      <c r="AU719" s="287" t="n"/>
      <c r="AV719" s="287" t="n"/>
      <c r="AW719" s="287" t="n"/>
      <c r="AX719" s="287" t="n"/>
      <c r="AY719" s="287" t="n"/>
      <c r="AZ719" s="287" t="n"/>
      <c r="BA719" s="287" t="n"/>
      <c r="BB719" s="287" t="n"/>
      <c r="BC719" s="287" t="n"/>
      <c r="BD719" s="287" t="n"/>
      <c r="BE719" s="287" t="n"/>
      <c r="BF719" s="287" t="n"/>
      <c r="BG719" s="287" t="n"/>
      <c r="BH719" s="287" t="n"/>
    </row>
    <row r="720" ht="34.5" customHeight="1">
      <c r="B720" s="288" t="n">
        <v>45572</v>
      </c>
      <c r="C720" s="289" t="n">
        <v>189</v>
      </c>
      <c r="D720" s="290" t="inlineStr">
        <is>
          <t>ALFA Service JRK-095 Pertamina Zona#4 - Rental Tool</t>
        </is>
      </c>
      <c r="E720" s="291" t="inlineStr">
        <is>
          <t>BCA</t>
        </is>
      </c>
      <c r="F720" s="295" t="n">
        <v>29640916</v>
      </c>
      <c r="G720" s="289" t="inlineStr">
        <is>
          <t>IDR</t>
        </is>
      </c>
      <c r="H720" s="293" t="n">
        <v>1</v>
      </c>
      <c r="I720" s="292">
        <f>$F720*$H720</f>
        <v/>
      </c>
      <c r="J720" s="291" t="n"/>
      <c r="K720" s="291" t="n"/>
      <c r="L720" s="291" t="n"/>
      <c r="M720" s="291" t="n"/>
      <c r="N720" s="291" t="n"/>
      <c r="O720" s="291" t="n"/>
      <c r="P720" s="291" t="n"/>
      <c r="Q720" s="291" t="n"/>
      <c r="R720" s="287" t="n"/>
      <c r="S720" s="287" t="n"/>
      <c r="T720" s="287" t="n"/>
      <c r="U720" s="287" t="n"/>
      <c r="V720" s="287" t="n"/>
      <c r="W720" s="287" t="n"/>
      <c r="X720" s="287" t="n"/>
      <c r="Y720" s="287" t="n"/>
      <c r="Z720" s="287" t="n"/>
      <c r="AA720" s="287" t="n"/>
      <c r="AB720" s="287" t="n"/>
      <c r="AC720" s="287" t="n"/>
      <c r="AD720" s="287" t="n"/>
      <c r="AE720" s="287" t="n"/>
      <c r="AF720" s="287" t="n"/>
      <c r="AG720" s="287" t="n"/>
      <c r="AH720" s="287" t="n"/>
      <c r="AI720" s="287" t="n"/>
      <c r="AJ720" s="287" t="n"/>
      <c r="AK720" s="287" t="n"/>
      <c r="AL720" s="287" t="n"/>
      <c r="AM720" s="287" t="n"/>
      <c r="AN720" s="287" t="n"/>
      <c r="AO720" s="287" t="n"/>
      <c r="AP720" s="287" t="n"/>
      <c r="AQ720" s="287" t="n"/>
      <c r="AR720" s="287" t="n"/>
      <c r="AS720" s="287" t="n"/>
      <c r="AT720" s="287" t="n"/>
      <c r="AU720" s="287" t="n"/>
      <c r="AV720" s="287" t="n"/>
      <c r="AW720" s="287" t="n"/>
      <c r="AX720" s="287" t="n"/>
      <c r="AY720" s="287" t="n"/>
      <c r="AZ720" s="287" t="n"/>
      <c r="BA720" s="287" t="n"/>
      <c r="BB720" s="287" t="n"/>
      <c r="BC720" s="287" t="n"/>
      <c r="BD720" s="287" t="n"/>
      <c r="BE720" s="287" t="n"/>
      <c r="BF720" s="287" t="n"/>
      <c r="BG720" s="287" t="n"/>
      <c r="BH720" s="287" t="n"/>
    </row>
    <row r="721" ht="34.5" customHeight="1">
      <c r="B721" s="288" t="n">
        <v>45572</v>
      </c>
      <c r="C721" s="289" t="n">
        <v>190</v>
      </c>
      <c r="D721" s="290" t="inlineStr">
        <is>
          <t>ALFA Service JRK-095 Pertamina Zona#4 - Rental Tool</t>
        </is>
      </c>
      <c r="E721" s="291" t="inlineStr">
        <is>
          <t>BCA</t>
        </is>
      </c>
      <c r="F721" s="295" t="n">
        <v>29640916</v>
      </c>
      <c r="G721" s="289" t="inlineStr">
        <is>
          <t>IDR</t>
        </is>
      </c>
      <c r="H721" s="293" t="n">
        <v>1</v>
      </c>
      <c r="I721" s="292">
        <f>$F721*$H721</f>
        <v/>
      </c>
      <c r="J721" s="291" t="n"/>
      <c r="K721" s="291" t="n"/>
      <c r="L721" s="291" t="n"/>
      <c r="M721" s="291" t="n"/>
      <c r="N721" s="291" t="n"/>
      <c r="O721" s="291" t="n"/>
      <c r="P721" s="291" t="n"/>
      <c r="Q721" s="291" t="n"/>
      <c r="R721" s="287" t="n"/>
      <c r="S721" s="287" t="n"/>
      <c r="T721" s="287" t="n"/>
      <c r="U721" s="287" t="n"/>
      <c r="V721" s="287" t="n"/>
      <c r="W721" s="287" t="n"/>
      <c r="X721" s="287" t="n"/>
      <c r="Y721" s="287" t="n"/>
      <c r="Z721" s="287" t="n"/>
      <c r="AA721" s="287" t="n"/>
      <c r="AB721" s="287" t="n"/>
      <c r="AC721" s="287" t="n"/>
      <c r="AD721" s="287" t="n"/>
      <c r="AE721" s="287" t="n"/>
      <c r="AF721" s="287" t="n"/>
      <c r="AG721" s="287" t="n"/>
      <c r="AH721" s="287" t="n"/>
      <c r="AI721" s="287" t="n"/>
      <c r="AJ721" s="287" t="n"/>
      <c r="AK721" s="287" t="n"/>
      <c r="AL721" s="287" t="n"/>
      <c r="AM721" s="287" t="n"/>
      <c r="AN721" s="287" t="n"/>
      <c r="AO721" s="287" t="n"/>
      <c r="AP721" s="287" t="n"/>
      <c r="AQ721" s="287" t="n"/>
      <c r="AR721" s="287" t="n"/>
      <c r="AS721" s="287" t="n"/>
      <c r="AT721" s="287" t="n"/>
      <c r="AU721" s="287" t="n"/>
      <c r="AV721" s="287" t="n"/>
      <c r="AW721" s="287" t="n"/>
      <c r="AX721" s="287" t="n"/>
      <c r="AY721" s="287" t="n"/>
      <c r="AZ721" s="287" t="n"/>
      <c r="BA721" s="287" t="n"/>
      <c r="BB721" s="287" t="n"/>
      <c r="BC721" s="287" t="n"/>
      <c r="BD721" s="287" t="n"/>
      <c r="BE721" s="287" t="n"/>
      <c r="BF721" s="287" t="n"/>
      <c r="BG721" s="287" t="n"/>
      <c r="BH721" s="287" t="n"/>
    </row>
    <row r="722" ht="34.5" customHeight="1">
      <c r="B722" s="288" t="n">
        <v>45572</v>
      </c>
      <c r="C722" s="289" t="n">
        <v>191</v>
      </c>
      <c r="D722" s="290" t="inlineStr">
        <is>
          <t>ALFA Service JRK-095 Pertamina Zona#4 - Rental Tool</t>
        </is>
      </c>
      <c r="E722" s="291" t="inlineStr">
        <is>
          <t>BCA</t>
        </is>
      </c>
      <c r="F722" s="295" t="n">
        <v>29640916</v>
      </c>
      <c r="G722" s="289" t="inlineStr">
        <is>
          <t>IDR</t>
        </is>
      </c>
      <c r="H722" s="293" t="n">
        <v>1</v>
      </c>
      <c r="I722" s="292">
        <f>$F722*$H722</f>
        <v/>
      </c>
      <c r="J722" s="291" t="n"/>
      <c r="K722" s="291" t="n"/>
      <c r="L722" s="291" t="n"/>
      <c r="M722" s="291" t="n"/>
      <c r="N722" s="291" t="n"/>
      <c r="O722" s="291" t="n"/>
      <c r="P722" s="291" t="n"/>
      <c r="Q722" s="291" t="n"/>
      <c r="R722" s="287" t="n"/>
      <c r="S722" s="287" t="n"/>
      <c r="T722" s="287" t="n"/>
      <c r="U722" s="287" t="n"/>
      <c r="V722" s="287" t="n"/>
      <c r="W722" s="287" t="n"/>
      <c r="X722" s="287" t="n"/>
      <c r="Y722" s="287" t="n"/>
      <c r="Z722" s="287" t="n"/>
      <c r="AA722" s="287" t="n"/>
      <c r="AB722" s="287" t="n"/>
      <c r="AC722" s="287" t="n"/>
      <c r="AD722" s="287" t="n"/>
      <c r="AE722" s="287" t="n"/>
      <c r="AF722" s="287" t="n"/>
      <c r="AG722" s="287" t="n"/>
      <c r="AH722" s="287" t="n"/>
      <c r="AI722" s="287" t="n"/>
      <c r="AJ722" s="287" t="n"/>
      <c r="AK722" s="287" t="n"/>
      <c r="AL722" s="287" t="n"/>
      <c r="AM722" s="287" t="n"/>
      <c r="AN722" s="287" t="n"/>
      <c r="AO722" s="287" t="n"/>
      <c r="AP722" s="287" t="n"/>
      <c r="AQ722" s="287" t="n"/>
      <c r="AR722" s="287" t="n"/>
      <c r="AS722" s="287" t="n"/>
      <c r="AT722" s="287" t="n"/>
      <c r="AU722" s="287" t="n"/>
      <c r="AV722" s="287" t="n"/>
      <c r="AW722" s="287" t="n"/>
      <c r="AX722" s="287" t="n"/>
      <c r="AY722" s="287" t="n"/>
      <c r="AZ722" s="287" t="n"/>
      <c r="BA722" s="287" t="n"/>
      <c r="BB722" s="287" t="n"/>
      <c r="BC722" s="287" t="n"/>
      <c r="BD722" s="287" t="n"/>
      <c r="BE722" s="287" t="n"/>
      <c r="BF722" s="287" t="n"/>
      <c r="BG722" s="287" t="n"/>
      <c r="BH722" s="287" t="n"/>
    </row>
    <row r="723" ht="34.5" customHeight="1">
      <c r="B723" s="288" t="n">
        <v>45572</v>
      </c>
      <c r="C723" s="289" t="n">
        <v>192</v>
      </c>
      <c r="D723" s="290" t="inlineStr">
        <is>
          <t>ALFA Service JRK-095 Pertamina Zona#4 - Rental Tool</t>
        </is>
      </c>
      <c r="E723" s="291" t="inlineStr">
        <is>
          <t>BCA</t>
        </is>
      </c>
      <c r="F723" s="295" t="n">
        <v>29640916</v>
      </c>
      <c r="G723" s="289" t="inlineStr">
        <is>
          <t>IDR</t>
        </is>
      </c>
      <c r="H723" s="293" t="n">
        <v>1</v>
      </c>
      <c r="I723" s="292">
        <f>$F723*$H723</f>
        <v/>
      </c>
      <c r="J723" s="291" t="n"/>
      <c r="K723" s="291" t="n"/>
      <c r="L723" s="291" t="n"/>
      <c r="M723" s="291" t="n"/>
      <c r="N723" s="291" t="n"/>
      <c r="O723" s="291" t="n"/>
      <c r="P723" s="291" t="n"/>
      <c r="Q723" s="291" t="n"/>
      <c r="R723" s="287" t="n"/>
      <c r="S723" s="287" t="n"/>
      <c r="T723" s="287" t="n"/>
      <c r="U723" s="287" t="n"/>
      <c r="V723" s="287" t="n"/>
      <c r="W723" s="287" t="n"/>
      <c r="X723" s="287" t="n"/>
      <c r="Y723" s="287" t="n"/>
      <c r="Z723" s="287" t="n"/>
      <c r="AA723" s="287" t="n"/>
      <c r="AB723" s="287" t="n"/>
      <c r="AC723" s="287" t="n"/>
      <c r="AD723" s="287" t="n"/>
      <c r="AE723" s="287" t="n"/>
      <c r="AF723" s="287" t="n"/>
      <c r="AG723" s="287" t="n"/>
      <c r="AH723" s="287" t="n"/>
      <c r="AI723" s="287" t="n"/>
      <c r="AJ723" s="287" t="n"/>
      <c r="AK723" s="287" t="n"/>
      <c r="AL723" s="287" t="n"/>
      <c r="AM723" s="287" t="n"/>
      <c r="AN723" s="287" t="n"/>
      <c r="AO723" s="287" t="n"/>
      <c r="AP723" s="287" t="n"/>
      <c r="AQ723" s="287" t="n"/>
      <c r="AR723" s="287" t="n"/>
      <c r="AS723" s="287" t="n"/>
      <c r="AT723" s="287" t="n"/>
      <c r="AU723" s="287" t="n"/>
      <c r="AV723" s="287" t="n"/>
      <c r="AW723" s="287" t="n"/>
      <c r="AX723" s="287" t="n"/>
      <c r="AY723" s="287" t="n"/>
      <c r="AZ723" s="287" t="n"/>
      <c r="BA723" s="287" t="n"/>
      <c r="BB723" s="287" t="n"/>
      <c r="BC723" s="287" t="n"/>
      <c r="BD723" s="287" t="n"/>
      <c r="BE723" s="287" t="n"/>
      <c r="BF723" s="287" t="n"/>
      <c r="BG723" s="287" t="n"/>
      <c r="BH723" s="287" t="n"/>
    </row>
    <row r="724" ht="18.75" customHeight="1">
      <c r="B724" s="288" t="n">
        <v>45576</v>
      </c>
      <c r="C724" s="289" t="n">
        <v>193</v>
      </c>
      <c r="D724" s="290" t="inlineStr">
        <is>
          <t>MPLT/GR-CCL/ALFA TIS - Rental Tool</t>
        </is>
      </c>
      <c r="E724" s="291" t="inlineStr">
        <is>
          <t>BCA</t>
        </is>
      </c>
      <c r="F724" s="295" t="n">
        <v>74291457</v>
      </c>
      <c r="G724" s="289" t="inlineStr">
        <is>
          <t>IDR</t>
        </is>
      </c>
      <c r="H724" s="293" t="n">
        <v>1</v>
      </c>
      <c r="I724" s="292">
        <f>$F724*$H724</f>
        <v/>
      </c>
      <c r="J724" s="291" t="n"/>
      <c r="K724" s="291" t="n"/>
      <c r="L724" s="291" t="n"/>
      <c r="M724" s="291" t="n"/>
      <c r="N724" s="291" t="n"/>
      <c r="O724" s="291" t="n"/>
      <c r="P724" s="291" t="n"/>
      <c r="Q724" s="291" t="n"/>
      <c r="R724" s="287" t="n"/>
      <c r="S724" s="287" t="n"/>
      <c r="T724" s="287" t="n"/>
      <c r="U724" s="287" t="n"/>
      <c r="V724" s="287" t="n"/>
      <c r="W724" s="287" t="n"/>
      <c r="X724" s="287" t="n"/>
      <c r="Y724" s="287" t="n"/>
      <c r="Z724" s="287" t="n"/>
      <c r="AA724" s="287" t="n"/>
      <c r="AB724" s="287" t="n"/>
      <c r="AC724" s="287" t="n"/>
      <c r="AD724" s="287" t="n"/>
      <c r="AE724" s="287" t="n"/>
      <c r="AF724" s="287" t="n"/>
      <c r="AG724" s="287" t="n"/>
      <c r="AH724" s="287" t="n"/>
      <c r="AI724" s="287" t="n"/>
      <c r="AJ724" s="287" t="n"/>
      <c r="AK724" s="287" t="n"/>
      <c r="AL724" s="287" t="n"/>
      <c r="AM724" s="287" t="n"/>
      <c r="AN724" s="287" t="n"/>
      <c r="AO724" s="287" t="n"/>
      <c r="AP724" s="287" t="n"/>
      <c r="AQ724" s="287" t="n"/>
      <c r="AR724" s="287" t="n"/>
      <c r="AS724" s="287" t="n"/>
      <c r="AT724" s="287" t="n"/>
      <c r="AU724" s="287" t="n"/>
      <c r="AV724" s="287" t="n"/>
      <c r="AW724" s="287" t="n"/>
      <c r="AX724" s="287" t="n"/>
      <c r="AY724" s="287" t="n"/>
      <c r="AZ724" s="287" t="n"/>
      <c r="BA724" s="287" t="n"/>
      <c r="BB724" s="287" t="n"/>
      <c r="BC724" s="287" t="n"/>
      <c r="BD724" s="287" t="n"/>
      <c r="BE724" s="287" t="n"/>
      <c r="BF724" s="287" t="n"/>
      <c r="BG724" s="287" t="n"/>
      <c r="BH724" s="287" t="n"/>
    </row>
    <row r="725" ht="18.75" customHeight="1">
      <c r="B725" s="288" t="n">
        <v>45576</v>
      </c>
      <c r="C725" s="289" t="n">
        <v>194</v>
      </c>
      <c r="D725" s="290" t="inlineStr">
        <is>
          <t>MPLT/GR-CCL/ALFA TIS - Rental Tool</t>
        </is>
      </c>
      <c r="E725" s="291" t="inlineStr">
        <is>
          <t>BCA</t>
        </is>
      </c>
      <c r="F725" s="295" t="n">
        <v>74291457</v>
      </c>
      <c r="G725" s="289" t="inlineStr">
        <is>
          <t>IDR</t>
        </is>
      </c>
      <c r="H725" s="293" t="n">
        <v>1</v>
      </c>
      <c r="I725" s="292">
        <f>$F725*$H725</f>
        <v/>
      </c>
      <c r="J725" s="291" t="n"/>
      <c r="K725" s="291" t="n"/>
      <c r="L725" s="291" t="n"/>
      <c r="M725" s="291" t="n"/>
      <c r="N725" s="291" t="n"/>
      <c r="O725" s="291" t="n"/>
      <c r="P725" s="291" t="n"/>
      <c r="Q725" s="291" t="n"/>
      <c r="R725" s="287" t="n"/>
      <c r="S725" s="287" t="n"/>
      <c r="T725" s="287" t="n"/>
      <c r="U725" s="287" t="n"/>
      <c r="V725" s="287" t="n"/>
      <c r="W725" s="287" t="n"/>
      <c r="X725" s="287" t="n"/>
      <c r="Y725" s="287" t="n"/>
      <c r="Z725" s="287" t="n"/>
      <c r="AA725" s="287" t="n"/>
      <c r="AB725" s="287" t="n"/>
      <c r="AC725" s="287" t="n"/>
      <c r="AD725" s="287" t="n"/>
      <c r="AE725" s="287" t="n"/>
      <c r="AF725" s="287" t="n"/>
      <c r="AG725" s="287" t="n"/>
      <c r="AH725" s="287" t="n"/>
      <c r="AI725" s="287" t="n"/>
      <c r="AJ725" s="287" t="n"/>
      <c r="AK725" s="287" t="n"/>
      <c r="AL725" s="287" t="n"/>
      <c r="AM725" s="287" t="n"/>
      <c r="AN725" s="287" t="n"/>
      <c r="AO725" s="287" t="n"/>
      <c r="AP725" s="287" t="n"/>
      <c r="AQ725" s="287" t="n"/>
      <c r="AR725" s="287" t="n"/>
      <c r="AS725" s="287" t="n"/>
      <c r="AT725" s="287" t="n"/>
      <c r="AU725" s="287" t="n"/>
      <c r="AV725" s="287" t="n"/>
      <c r="AW725" s="287" t="n"/>
      <c r="AX725" s="287" t="n"/>
      <c r="AY725" s="287" t="n"/>
      <c r="AZ725" s="287" t="n"/>
      <c r="BA725" s="287" t="n"/>
      <c r="BB725" s="287" t="n"/>
      <c r="BC725" s="287" t="n"/>
      <c r="BD725" s="287" t="n"/>
      <c r="BE725" s="287" t="n"/>
      <c r="BF725" s="287" t="n"/>
      <c r="BG725" s="287" t="n"/>
      <c r="BH725" s="287" t="n"/>
    </row>
    <row r="726" ht="18.75" customHeight="1">
      <c r="B726" s="288" t="n">
        <v>45576</v>
      </c>
      <c r="C726" s="289" t="n">
        <v>195</v>
      </c>
      <c r="D726" s="290" t="inlineStr">
        <is>
          <t>MPLT/GR-CCL/ALFA TIS - Rental Tool</t>
        </is>
      </c>
      <c r="E726" s="291" t="inlineStr">
        <is>
          <t>BCA</t>
        </is>
      </c>
      <c r="F726" s="295" t="n">
        <v>74291457</v>
      </c>
      <c r="G726" s="289" t="inlineStr">
        <is>
          <t>IDR</t>
        </is>
      </c>
      <c r="H726" s="293" t="n">
        <v>1</v>
      </c>
      <c r="I726" s="292">
        <f>$F726*$H726</f>
        <v/>
      </c>
      <c r="J726" s="291" t="n"/>
      <c r="K726" s="291" t="n"/>
      <c r="L726" s="291" t="n"/>
      <c r="M726" s="291" t="n"/>
      <c r="N726" s="291" t="n"/>
      <c r="O726" s="291" t="n"/>
      <c r="P726" s="291" t="n"/>
      <c r="Q726" s="291" t="n"/>
      <c r="R726" s="287" t="n"/>
      <c r="S726" s="287" t="n"/>
      <c r="T726" s="287" t="n"/>
      <c r="U726" s="287" t="n"/>
      <c r="V726" s="287" t="n"/>
      <c r="W726" s="287" t="n"/>
      <c r="X726" s="287" t="n"/>
      <c r="Y726" s="287" t="n"/>
      <c r="Z726" s="287" t="n"/>
      <c r="AA726" s="287" t="n"/>
      <c r="AB726" s="287" t="n"/>
      <c r="AC726" s="287" t="n"/>
      <c r="AD726" s="287" t="n"/>
      <c r="AE726" s="287" t="n"/>
      <c r="AF726" s="287" t="n"/>
      <c r="AG726" s="287" t="n"/>
      <c r="AH726" s="287" t="n"/>
      <c r="AI726" s="287" t="n"/>
      <c r="AJ726" s="287" t="n"/>
      <c r="AK726" s="287" t="n"/>
      <c r="AL726" s="287" t="n"/>
      <c r="AM726" s="287" t="n"/>
      <c r="AN726" s="287" t="n"/>
      <c r="AO726" s="287" t="n"/>
      <c r="AP726" s="287" t="n"/>
      <c r="AQ726" s="287" t="n"/>
      <c r="AR726" s="287" t="n"/>
      <c r="AS726" s="287" t="n"/>
      <c r="AT726" s="287" t="n"/>
      <c r="AU726" s="287" t="n"/>
      <c r="AV726" s="287" t="n"/>
      <c r="AW726" s="287" t="n"/>
      <c r="AX726" s="287" t="n"/>
      <c r="AY726" s="287" t="n"/>
      <c r="AZ726" s="287" t="n"/>
      <c r="BA726" s="287" t="n"/>
      <c r="BB726" s="287" t="n"/>
      <c r="BC726" s="287" t="n"/>
      <c r="BD726" s="287" t="n"/>
      <c r="BE726" s="287" t="n"/>
      <c r="BF726" s="287" t="n"/>
      <c r="BG726" s="287" t="n"/>
      <c r="BH726" s="287" t="n"/>
    </row>
    <row r="727" ht="18.75" customHeight="1">
      <c r="B727" s="288" t="n">
        <v>45576</v>
      </c>
      <c r="C727" s="289" t="n">
        <v>196</v>
      </c>
      <c r="D727" s="290" t="inlineStr">
        <is>
          <t>MPLT/GR-CCL/ALFA TIS - Rental Tool</t>
        </is>
      </c>
      <c r="E727" s="291" t="inlineStr">
        <is>
          <t>BCA</t>
        </is>
      </c>
      <c r="F727" s="295" t="n">
        <v>74291457</v>
      </c>
      <c r="G727" s="289" t="inlineStr">
        <is>
          <t>IDR</t>
        </is>
      </c>
      <c r="H727" s="293" t="n">
        <v>1</v>
      </c>
      <c r="I727" s="292">
        <f>$F727*$H727</f>
        <v/>
      </c>
      <c r="J727" s="291" t="n"/>
      <c r="K727" s="291" t="n"/>
      <c r="L727" s="291" t="n"/>
      <c r="M727" s="291" t="n"/>
      <c r="N727" s="291" t="n"/>
      <c r="O727" s="291" t="n"/>
      <c r="P727" s="291" t="n"/>
      <c r="Q727" s="291" t="n"/>
      <c r="R727" s="287" t="n"/>
      <c r="S727" s="287" t="n"/>
      <c r="T727" s="287" t="n"/>
      <c r="U727" s="287" t="n"/>
      <c r="V727" s="287" t="n"/>
      <c r="W727" s="287" t="n"/>
      <c r="X727" s="287" t="n"/>
      <c r="Y727" s="287" t="n"/>
      <c r="Z727" s="287" t="n"/>
      <c r="AA727" s="287" t="n"/>
      <c r="AB727" s="287" t="n"/>
      <c r="AC727" s="287" t="n"/>
      <c r="AD727" s="287" t="n"/>
      <c r="AE727" s="287" t="n"/>
      <c r="AF727" s="287" t="n"/>
      <c r="AG727" s="287" t="n"/>
      <c r="AH727" s="287" t="n"/>
      <c r="AI727" s="287" t="n"/>
      <c r="AJ727" s="287" t="n"/>
      <c r="AK727" s="287" t="n"/>
      <c r="AL727" s="287" t="n"/>
      <c r="AM727" s="287" t="n"/>
      <c r="AN727" s="287" t="n"/>
      <c r="AO727" s="287" t="n"/>
      <c r="AP727" s="287" t="n"/>
      <c r="AQ727" s="287" t="n"/>
      <c r="AR727" s="287" t="n"/>
      <c r="AS727" s="287" t="n"/>
      <c r="AT727" s="287" t="n"/>
      <c r="AU727" s="287" t="n"/>
      <c r="AV727" s="287" t="n"/>
      <c r="AW727" s="287" t="n"/>
      <c r="AX727" s="287" t="n"/>
      <c r="AY727" s="287" t="n"/>
      <c r="AZ727" s="287" t="n"/>
      <c r="BA727" s="287" t="n"/>
      <c r="BB727" s="287" t="n"/>
      <c r="BC727" s="287" t="n"/>
      <c r="BD727" s="287" t="n"/>
      <c r="BE727" s="287" t="n"/>
      <c r="BF727" s="287" t="n"/>
      <c r="BG727" s="287" t="n"/>
      <c r="BH727" s="287" t="n"/>
    </row>
    <row r="728" ht="15.5" customHeight="1">
      <c r="B728" s="284" t="n"/>
      <c r="C728" s="284" t="n"/>
      <c r="D728" s="285" t="inlineStr">
        <is>
          <t>Sales</t>
        </is>
      </c>
      <c r="E728" s="284" t="n"/>
      <c r="F728" s="286" t="n"/>
      <c r="G728" s="284" t="n"/>
      <c r="H728" s="284" t="n"/>
      <c r="I728" s="284" t="n"/>
      <c r="J728" s="284" t="n"/>
      <c r="K728" s="284" t="n"/>
      <c r="L728" s="284" t="n"/>
      <c r="M728" s="284" t="n"/>
      <c r="N728" s="284" t="n"/>
      <c r="O728" s="284" t="n"/>
      <c r="P728" s="284" t="n"/>
      <c r="Q728" s="284" t="n"/>
      <c r="R728" s="287" t="n"/>
      <c r="S728" s="287" t="n"/>
      <c r="T728" s="287" t="n"/>
      <c r="U728" s="287" t="n"/>
      <c r="V728" s="287" t="n"/>
      <c r="W728" s="287" t="n"/>
      <c r="X728" s="287" t="n"/>
      <c r="Y728" s="287" t="n"/>
      <c r="Z728" s="287" t="n"/>
      <c r="AA728" s="287" t="n"/>
      <c r="AB728" s="287" t="n"/>
      <c r="AC728" s="287" t="n"/>
      <c r="AD728" s="287" t="n"/>
      <c r="AE728" s="287" t="n"/>
      <c r="AF728" s="287" t="n"/>
      <c r="AG728" s="287" t="n"/>
      <c r="AH728" s="287" t="n"/>
      <c r="AI728" s="287" t="n"/>
      <c r="AJ728" s="287" t="n"/>
      <c r="AK728" s="287" t="n"/>
      <c r="AL728" s="287" t="n"/>
      <c r="AM728" s="287" t="n"/>
      <c r="AN728" s="287" t="n"/>
      <c r="AO728" s="287" t="n"/>
      <c r="AP728" s="287" t="n"/>
      <c r="AQ728" s="287" t="n"/>
      <c r="AR728" s="287" t="n"/>
      <c r="AS728" s="287" t="n"/>
      <c r="AT728" s="287" t="n"/>
      <c r="AU728" s="287" t="n"/>
      <c r="AV728" s="287" t="n"/>
      <c r="AW728" s="287" t="n"/>
      <c r="AX728" s="287" t="n"/>
      <c r="AY728" s="287" t="n"/>
      <c r="AZ728" s="287" t="n"/>
      <c r="BA728" s="287" t="n"/>
      <c r="BB728" s="287" t="n"/>
      <c r="BC728" s="287" t="n"/>
      <c r="BD728" s="287" t="n"/>
      <c r="BE728" s="287" t="n"/>
      <c r="BF728" s="287" t="n"/>
      <c r="BG728" s="287" t="n"/>
      <c r="BH728" s="287" t="n"/>
    </row>
    <row r="729" ht="18.75" customHeight="1">
      <c r="B729" s="288" t="n">
        <v>45304</v>
      </c>
      <c r="C729" s="289" t="n">
        <v>197</v>
      </c>
      <c r="D729" s="290" t="inlineStr">
        <is>
          <t>Sales cost 4 Well Integrity Pertamina Z.4</t>
        </is>
      </c>
      <c r="E729" s="291" t="inlineStr">
        <is>
          <t>BRI</t>
        </is>
      </c>
      <c r="F729" s="295" t="n">
        <v>77672400</v>
      </c>
      <c r="G729" s="289" t="inlineStr">
        <is>
          <t>IDR</t>
        </is>
      </c>
      <c r="H729" s="293" t="n">
        <v>1</v>
      </c>
      <c r="I729" s="291" t="n"/>
      <c r="J729" s="291" t="n"/>
      <c r="K729" s="291" t="n"/>
      <c r="L729" s="292">
        <f>$F729*$H729</f>
        <v/>
      </c>
      <c r="M729" s="291" t="n"/>
      <c r="N729" s="291" t="n"/>
      <c r="O729" s="291" t="n"/>
      <c r="P729" s="291" t="n"/>
      <c r="Q729" s="291" t="n"/>
      <c r="R729" s="287" t="n"/>
      <c r="S729" s="287" t="n"/>
      <c r="T729" s="287" t="n"/>
      <c r="U729" s="287" t="n"/>
      <c r="V729" s="287" t="n"/>
      <c r="W729" s="287" t="n"/>
      <c r="X729" s="287" t="n"/>
      <c r="Y729" s="287" t="n"/>
      <c r="Z729" s="287" t="n"/>
      <c r="AA729" s="287" t="n"/>
      <c r="AB729" s="287" t="n"/>
      <c r="AC729" s="287" t="n"/>
      <c r="AD729" s="287" t="n"/>
      <c r="AE729" s="287" t="n"/>
      <c r="AF729" s="287" t="n"/>
      <c r="AG729" s="287" t="n"/>
      <c r="AH729" s="287" t="n"/>
      <c r="AI729" s="287" t="n"/>
      <c r="AJ729" s="287" t="n"/>
      <c r="AK729" s="287" t="n"/>
      <c r="AL729" s="287" t="n"/>
      <c r="AM729" s="287" t="n"/>
      <c r="AN729" s="287" t="n"/>
      <c r="AO729" s="287" t="n"/>
      <c r="AP729" s="287" t="n"/>
      <c r="AQ729" s="287" t="n"/>
      <c r="AR729" s="287" t="n"/>
      <c r="AS729" s="287" t="n"/>
      <c r="AT729" s="287" t="n"/>
      <c r="AU729" s="287" t="n"/>
      <c r="AV729" s="287" t="n"/>
      <c r="AW729" s="287" t="n"/>
      <c r="AX729" s="287" t="n"/>
      <c r="AY729" s="287" t="n"/>
      <c r="AZ729" s="287" t="n"/>
      <c r="BA729" s="287" t="n"/>
      <c r="BB729" s="287" t="n"/>
      <c r="BC729" s="287" t="n"/>
      <c r="BD729" s="287" t="n"/>
      <c r="BE729" s="287" t="n"/>
      <c r="BF729" s="287" t="n"/>
      <c r="BG729" s="287" t="n"/>
      <c r="BH729" s="287" t="n"/>
    </row>
    <row r="730" ht="18.75" customHeight="1">
      <c r="B730" s="288" t="n">
        <v>45304</v>
      </c>
      <c r="C730" s="289" t="n">
        <v>198</v>
      </c>
      <c r="D730" s="290" t="inlineStr">
        <is>
          <t>Sales cost 4 Well Integrity Pertamina Z.4</t>
        </is>
      </c>
      <c r="E730" s="291" t="inlineStr">
        <is>
          <t>BRI</t>
        </is>
      </c>
      <c r="F730" s="295" t="n">
        <v>77672400</v>
      </c>
      <c r="G730" s="289" t="inlineStr">
        <is>
          <t>IDR</t>
        </is>
      </c>
      <c r="H730" s="293" t="n">
        <v>1</v>
      </c>
      <c r="I730" s="291" t="n"/>
      <c r="J730" s="291" t="n"/>
      <c r="K730" s="291" t="n"/>
      <c r="L730" s="292">
        <f>$F730*$H730</f>
        <v/>
      </c>
      <c r="M730" s="291" t="n"/>
      <c r="N730" s="291" t="n"/>
      <c r="O730" s="291" t="n"/>
      <c r="P730" s="291" t="n"/>
      <c r="Q730" s="291" t="n"/>
      <c r="R730" s="287" t="n"/>
      <c r="S730" s="287" t="n"/>
      <c r="T730" s="287" t="n"/>
      <c r="U730" s="287" t="n"/>
      <c r="V730" s="287" t="n"/>
      <c r="W730" s="287" t="n"/>
      <c r="X730" s="287" t="n"/>
      <c r="Y730" s="287" t="n"/>
      <c r="Z730" s="287" t="n"/>
      <c r="AA730" s="287" t="n"/>
      <c r="AB730" s="287" t="n"/>
      <c r="AC730" s="287" t="n"/>
      <c r="AD730" s="287" t="n"/>
      <c r="AE730" s="287" t="n"/>
      <c r="AF730" s="287" t="n"/>
      <c r="AG730" s="287" t="n"/>
      <c r="AH730" s="287" t="n"/>
      <c r="AI730" s="287" t="n"/>
      <c r="AJ730" s="287" t="n"/>
      <c r="AK730" s="287" t="n"/>
      <c r="AL730" s="287" t="n"/>
      <c r="AM730" s="287" t="n"/>
      <c r="AN730" s="287" t="n"/>
      <c r="AO730" s="287" t="n"/>
      <c r="AP730" s="287" t="n"/>
      <c r="AQ730" s="287" t="n"/>
      <c r="AR730" s="287" t="n"/>
      <c r="AS730" s="287" t="n"/>
      <c r="AT730" s="287" t="n"/>
      <c r="AU730" s="287" t="n"/>
      <c r="AV730" s="287" t="n"/>
      <c r="AW730" s="287" t="n"/>
      <c r="AX730" s="287" t="n"/>
      <c r="AY730" s="287" t="n"/>
      <c r="AZ730" s="287" t="n"/>
      <c r="BA730" s="287" t="n"/>
      <c r="BB730" s="287" t="n"/>
      <c r="BC730" s="287" t="n"/>
      <c r="BD730" s="287" t="n"/>
      <c r="BE730" s="287" t="n"/>
      <c r="BF730" s="287" t="n"/>
      <c r="BG730" s="287" t="n"/>
      <c r="BH730" s="287" t="n"/>
    </row>
    <row r="731" ht="18.75" customHeight="1">
      <c r="B731" s="288" t="n">
        <v>45304</v>
      </c>
      <c r="C731" s="289" t="n">
        <v>199</v>
      </c>
      <c r="D731" s="290" t="inlineStr">
        <is>
          <t>Sales cost 4 Well Integrity Pertamina Z.4</t>
        </is>
      </c>
      <c r="E731" s="291" t="inlineStr">
        <is>
          <t>BRI</t>
        </is>
      </c>
      <c r="F731" s="295" t="n">
        <v>77672400</v>
      </c>
      <c r="G731" s="289" t="inlineStr">
        <is>
          <t>IDR</t>
        </is>
      </c>
      <c r="H731" s="293" t="n">
        <v>1</v>
      </c>
      <c r="I731" s="291" t="n"/>
      <c r="J731" s="291" t="n"/>
      <c r="K731" s="291" t="n"/>
      <c r="L731" s="292">
        <f>$F731*$H731</f>
        <v/>
      </c>
      <c r="M731" s="291" t="n"/>
      <c r="N731" s="291" t="n"/>
      <c r="O731" s="291" t="n"/>
      <c r="P731" s="291" t="n"/>
      <c r="Q731" s="291" t="n"/>
      <c r="R731" s="287" t="n"/>
      <c r="S731" s="287" t="n"/>
      <c r="T731" s="287" t="n"/>
      <c r="U731" s="287" t="n"/>
      <c r="V731" s="287" t="n"/>
      <c r="W731" s="287" t="n"/>
      <c r="X731" s="287" t="n"/>
      <c r="Y731" s="287" t="n"/>
      <c r="Z731" s="287" t="n"/>
      <c r="AA731" s="287" t="n"/>
      <c r="AB731" s="287" t="n"/>
      <c r="AC731" s="287" t="n"/>
      <c r="AD731" s="287" t="n"/>
      <c r="AE731" s="287" t="n"/>
      <c r="AF731" s="287" t="n"/>
      <c r="AG731" s="287" t="n"/>
      <c r="AH731" s="287" t="n"/>
      <c r="AI731" s="287" t="n"/>
      <c r="AJ731" s="287" t="n"/>
      <c r="AK731" s="287" t="n"/>
      <c r="AL731" s="287" t="n"/>
      <c r="AM731" s="287" t="n"/>
      <c r="AN731" s="287" t="n"/>
      <c r="AO731" s="287" t="n"/>
      <c r="AP731" s="287" t="n"/>
      <c r="AQ731" s="287" t="n"/>
      <c r="AR731" s="287" t="n"/>
      <c r="AS731" s="287" t="n"/>
      <c r="AT731" s="287" t="n"/>
      <c r="AU731" s="287" t="n"/>
      <c r="AV731" s="287" t="n"/>
      <c r="AW731" s="287" t="n"/>
      <c r="AX731" s="287" t="n"/>
      <c r="AY731" s="287" t="n"/>
      <c r="AZ731" s="287" t="n"/>
      <c r="BA731" s="287" t="n"/>
      <c r="BB731" s="287" t="n"/>
      <c r="BC731" s="287" t="n"/>
      <c r="BD731" s="287" t="n"/>
      <c r="BE731" s="287" t="n"/>
      <c r="BF731" s="287" t="n"/>
      <c r="BG731" s="287" t="n"/>
      <c r="BH731" s="287" t="n"/>
    </row>
    <row r="732" ht="18.75" customHeight="1">
      <c r="B732" s="288" t="n">
        <v>45304</v>
      </c>
      <c r="C732" s="289" t="n">
        <v>200</v>
      </c>
      <c r="D732" s="290" t="inlineStr">
        <is>
          <t>Sales cost 4 Well Integrity Pertamina Z.4</t>
        </is>
      </c>
      <c r="E732" s="291" t="inlineStr">
        <is>
          <t>BRI</t>
        </is>
      </c>
      <c r="F732" s="295" t="n">
        <v>77672400</v>
      </c>
      <c r="G732" s="289" t="inlineStr">
        <is>
          <t>IDR</t>
        </is>
      </c>
      <c r="H732" s="293" t="n">
        <v>1</v>
      </c>
      <c r="I732" s="291" t="n"/>
      <c r="J732" s="291" t="n"/>
      <c r="K732" s="291" t="n"/>
      <c r="L732" s="292">
        <f>$F732*$H732</f>
        <v/>
      </c>
      <c r="M732" s="291" t="n"/>
      <c r="N732" s="291" t="n"/>
      <c r="O732" s="291" t="n"/>
      <c r="P732" s="291" t="n"/>
      <c r="Q732" s="291" t="n"/>
      <c r="R732" s="287" t="n"/>
      <c r="S732" s="287" t="n"/>
      <c r="T732" s="287" t="n"/>
      <c r="U732" s="287" t="n"/>
      <c r="V732" s="287" t="n"/>
      <c r="W732" s="287" t="n"/>
      <c r="X732" s="287" t="n"/>
      <c r="Y732" s="287" t="n"/>
      <c r="Z732" s="287" t="n"/>
      <c r="AA732" s="287" t="n"/>
      <c r="AB732" s="287" t="n"/>
      <c r="AC732" s="287" t="n"/>
      <c r="AD732" s="287" t="n"/>
      <c r="AE732" s="287" t="n"/>
      <c r="AF732" s="287" t="n"/>
      <c r="AG732" s="287" t="n"/>
      <c r="AH732" s="287" t="n"/>
      <c r="AI732" s="287" t="n"/>
      <c r="AJ732" s="287" t="n"/>
      <c r="AK732" s="287" t="n"/>
      <c r="AL732" s="287" t="n"/>
      <c r="AM732" s="287" t="n"/>
      <c r="AN732" s="287" t="n"/>
      <c r="AO732" s="287" t="n"/>
      <c r="AP732" s="287" t="n"/>
      <c r="AQ732" s="287" t="n"/>
      <c r="AR732" s="287" t="n"/>
      <c r="AS732" s="287" t="n"/>
      <c r="AT732" s="287" t="n"/>
      <c r="AU732" s="287" t="n"/>
      <c r="AV732" s="287" t="n"/>
      <c r="AW732" s="287" t="n"/>
      <c r="AX732" s="287" t="n"/>
      <c r="AY732" s="287" t="n"/>
      <c r="AZ732" s="287" t="n"/>
      <c r="BA732" s="287" t="n"/>
      <c r="BB732" s="287" t="n"/>
      <c r="BC732" s="287" t="n"/>
      <c r="BD732" s="287" t="n"/>
      <c r="BE732" s="287" t="n"/>
      <c r="BF732" s="287" t="n"/>
      <c r="BG732" s="287" t="n"/>
      <c r="BH732" s="287" t="n"/>
    </row>
    <row r="733" ht="15.5" customHeight="1">
      <c r="B733" s="284" t="n"/>
      <c r="C733" s="284" t="n"/>
      <c r="D733" s="285" t="inlineStr">
        <is>
          <t>Sewa Ruangan</t>
        </is>
      </c>
      <c r="E733" s="284" t="n"/>
      <c r="F733" s="286" t="n"/>
      <c r="G733" s="284" t="n"/>
      <c r="H733" s="284" t="n"/>
      <c r="I733" s="284" t="n"/>
      <c r="J733" s="284" t="n"/>
      <c r="K733" s="284" t="n"/>
      <c r="L733" s="284" t="n"/>
      <c r="M733" s="284" t="n"/>
      <c r="N733" s="284" t="n"/>
      <c r="O733" s="284" t="n"/>
      <c r="P733" s="284" t="n"/>
      <c r="Q733" s="284" t="n"/>
      <c r="R733" s="287" t="n"/>
      <c r="S733" s="287" t="n"/>
      <c r="T733" s="287" t="n"/>
      <c r="U733" s="287" t="n"/>
      <c r="V733" s="287" t="n"/>
      <c r="W733" s="287" t="n"/>
      <c r="X733" s="287" t="n"/>
      <c r="Y733" s="287" t="n"/>
      <c r="Z733" s="287" t="n"/>
      <c r="AA733" s="287" t="n"/>
      <c r="AB733" s="287" t="n"/>
      <c r="AC733" s="287" t="n"/>
      <c r="AD733" s="287" t="n"/>
      <c r="AE733" s="287" t="n"/>
      <c r="AF733" s="287" t="n"/>
      <c r="AG733" s="287" t="n"/>
      <c r="AH733" s="287" t="n"/>
      <c r="AI733" s="287" t="n"/>
      <c r="AJ733" s="287" t="n"/>
      <c r="AK733" s="287" t="n"/>
      <c r="AL733" s="287" t="n"/>
      <c r="AM733" s="287" t="n"/>
      <c r="AN733" s="287" t="n"/>
      <c r="AO733" s="287" t="n"/>
      <c r="AP733" s="287" t="n"/>
      <c r="AQ733" s="287" t="n"/>
      <c r="AR733" s="287" t="n"/>
      <c r="AS733" s="287" t="n"/>
      <c r="AT733" s="287" t="n"/>
      <c r="AU733" s="287" t="n"/>
      <c r="AV733" s="287" t="n"/>
      <c r="AW733" s="287" t="n"/>
      <c r="AX733" s="287" t="n"/>
      <c r="AY733" s="287" t="n"/>
      <c r="AZ733" s="287" t="n"/>
      <c r="BA733" s="287" t="n"/>
      <c r="BB733" s="287" t="n"/>
      <c r="BC733" s="287" t="n"/>
      <c r="BD733" s="287" t="n"/>
      <c r="BE733" s="287" t="n"/>
      <c r="BF733" s="287" t="n"/>
      <c r="BG733" s="287" t="n"/>
      <c r="BH733" s="287" t="n"/>
    </row>
    <row r="734" ht="34.5" customHeight="1">
      <c r="B734" s="288" t="n">
        <v>45632</v>
      </c>
      <c r="C734" s="289" t="n">
        <v>201</v>
      </c>
      <c r="D734" s="290" t="inlineStr">
        <is>
          <t>Sewa Virtual Office 1th, 1jan25 - 31des25_BBC_ Ganesha Dwipaya B</t>
        </is>
      </c>
      <c r="E734" s="291" t="inlineStr">
        <is>
          <t>BCA</t>
        </is>
      </c>
      <c r="F734" s="295" t="n">
        <v>4995000</v>
      </c>
      <c r="G734" s="289" t="inlineStr">
        <is>
          <t>IDR</t>
        </is>
      </c>
      <c r="H734" s="293" t="n">
        <v>1</v>
      </c>
      <c r="I734" s="291" t="n"/>
      <c r="J734" s="291" t="n"/>
      <c r="K734" s="291" t="n"/>
      <c r="L734" s="291" t="n"/>
      <c r="M734" s="291" t="n"/>
      <c r="N734" s="291" t="n"/>
      <c r="O734" s="292">
        <f>$F734*$H734</f>
        <v/>
      </c>
      <c r="P734" s="291" t="n"/>
      <c r="Q734" s="291" t="n"/>
      <c r="R734" s="287" t="n"/>
      <c r="S734" s="287" t="n"/>
      <c r="T734" s="287" t="n"/>
      <c r="U734" s="287" t="n"/>
      <c r="V734" s="287" t="n"/>
      <c r="W734" s="287" t="n"/>
      <c r="X734" s="287" t="n"/>
      <c r="Y734" s="287" t="n"/>
      <c r="Z734" s="287" t="n"/>
      <c r="AA734" s="287" t="n"/>
      <c r="AB734" s="287" t="n"/>
      <c r="AC734" s="287" t="n"/>
      <c r="AD734" s="287" t="n"/>
      <c r="AE734" s="287" t="n"/>
      <c r="AF734" s="287" t="n"/>
      <c r="AG734" s="287" t="n"/>
      <c r="AH734" s="287" t="n"/>
      <c r="AI734" s="287" t="n"/>
      <c r="AJ734" s="287" t="n"/>
      <c r="AK734" s="287" t="n"/>
      <c r="AL734" s="287" t="n"/>
      <c r="AM734" s="287" t="n"/>
      <c r="AN734" s="287" t="n"/>
      <c r="AO734" s="287" t="n"/>
      <c r="AP734" s="287" t="n"/>
      <c r="AQ734" s="287" t="n"/>
      <c r="AR734" s="287" t="n"/>
      <c r="AS734" s="287" t="n"/>
      <c r="AT734" s="287" t="n"/>
      <c r="AU734" s="287" t="n"/>
      <c r="AV734" s="287" t="n"/>
      <c r="AW734" s="287" t="n"/>
      <c r="AX734" s="287" t="n"/>
      <c r="AY734" s="287" t="n"/>
      <c r="AZ734" s="287" t="n"/>
      <c r="BA734" s="287" t="n"/>
      <c r="BB734" s="287" t="n"/>
      <c r="BC734" s="287" t="n"/>
      <c r="BD734" s="287" t="n"/>
      <c r="BE734" s="287" t="n"/>
      <c r="BF734" s="287" t="n"/>
      <c r="BG734" s="287" t="n"/>
      <c r="BH734" s="287" t="n"/>
    </row>
    <row r="735" ht="34.5" customHeight="1">
      <c r="B735" s="288" t="n">
        <v>45632</v>
      </c>
      <c r="C735" s="289" t="n">
        <v>202</v>
      </c>
      <c r="D735" s="290" t="inlineStr">
        <is>
          <t>Sewa Virtual Office 1th, 1jan25 - 31des25_BBC_ Ganesha Dwipaya B</t>
        </is>
      </c>
      <c r="E735" s="291" t="inlineStr">
        <is>
          <t>BCA</t>
        </is>
      </c>
      <c r="F735" s="295" t="n">
        <v>4995000</v>
      </c>
      <c r="G735" s="289" t="inlineStr">
        <is>
          <t>IDR</t>
        </is>
      </c>
      <c r="H735" s="293" t="n">
        <v>1</v>
      </c>
      <c r="I735" s="291" t="n"/>
      <c r="J735" s="291" t="n"/>
      <c r="K735" s="291" t="n"/>
      <c r="L735" s="291" t="n"/>
      <c r="M735" s="291" t="n"/>
      <c r="N735" s="291" t="n"/>
      <c r="O735" s="292">
        <f>$F735*$H735</f>
        <v/>
      </c>
      <c r="P735" s="291" t="n"/>
      <c r="Q735" s="291" t="n"/>
      <c r="R735" s="287" t="n"/>
      <c r="S735" s="287" t="n"/>
      <c r="T735" s="287" t="n"/>
      <c r="U735" s="287" t="n"/>
      <c r="V735" s="287" t="n"/>
      <c r="W735" s="287" t="n"/>
      <c r="X735" s="287" t="n"/>
      <c r="Y735" s="287" t="n"/>
      <c r="Z735" s="287" t="n"/>
      <c r="AA735" s="287" t="n"/>
      <c r="AB735" s="287" t="n"/>
      <c r="AC735" s="287" t="n"/>
      <c r="AD735" s="287" t="n"/>
      <c r="AE735" s="287" t="n"/>
      <c r="AF735" s="287" t="n"/>
      <c r="AG735" s="287" t="n"/>
      <c r="AH735" s="287" t="n"/>
      <c r="AI735" s="287" t="n"/>
      <c r="AJ735" s="287" t="n"/>
      <c r="AK735" s="287" t="n"/>
      <c r="AL735" s="287" t="n"/>
      <c r="AM735" s="287" t="n"/>
      <c r="AN735" s="287" t="n"/>
      <c r="AO735" s="287" t="n"/>
      <c r="AP735" s="287" t="n"/>
      <c r="AQ735" s="287" t="n"/>
      <c r="AR735" s="287" t="n"/>
      <c r="AS735" s="287" t="n"/>
      <c r="AT735" s="287" t="n"/>
      <c r="AU735" s="287" t="n"/>
      <c r="AV735" s="287" t="n"/>
      <c r="AW735" s="287" t="n"/>
      <c r="AX735" s="287" t="n"/>
      <c r="AY735" s="287" t="n"/>
      <c r="AZ735" s="287" t="n"/>
      <c r="BA735" s="287" t="n"/>
      <c r="BB735" s="287" t="n"/>
      <c r="BC735" s="287" t="n"/>
      <c r="BD735" s="287" t="n"/>
      <c r="BE735" s="287" t="n"/>
      <c r="BF735" s="287" t="n"/>
      <c r="BG735" s="287" t="n"/>
      <c r="BH735" s="287" t="n"/>
    </row>
    <row r="736" ht="34.5" customHeight="1">
      <c r="B736" s="288" t="n">
        <v>45632</v>
      </c>
      <c r="C736" s="289" t="n">
        <v>203</v>
      </c>
      <c r="D736" s="290" t="inlineStr">
        <is>
          <t>Sewa Virtual Office 1th, 1jan25 - 31des25_BBC_ Ganesha Dwipaya B</t>
        </is>
      </c>
      <c r="E736" s="291" t="inlineStr">
        <is>
          <t>BCA</t>
        </is>
      </c>
      <c r="F736" s="295" t="n">
        <v>4995000</v>
      </c>
      <c r="G736" s="289" t="inlineStr">
        <is>
          <t>IDR</t>
        </is>
      </c>
      <c r="H736" s="293" t="n">
        <v>1</v>
      </c>
      <c r="I736" s="291" t="n"/>
      <c r="J736" s="291" t="n"/>
      <c r="K736" s="291" t="n"/>
      <c r="L736" s="291" t="n"/>
      <c r="M736" s="291" t="n"/>
      <c r="N736" s="291" t="n"/>
      <c r="O736" s="292">
        <f>$F736*$H736</f>
        <v/>
      </c>
      <c r="P736" s="291" t="n"/>
      <c r="Q736" s="291" t="n"/>
      <c r="R736" s="287" t="n"/>
      <c r="S736" s="287" t="n"/>
      <c r="T736" s="287" t="n"/>
      <c r="U736" s="287" t="n"/>
      <c r="V736" s="287" t="n"/>
      <c r="W736" s="287" t="n"/>
      <c r="X736" s="287" t="n"/>
      <c r="Y736" s="287" t="n"/>
      <c r="Z736" s="287" t="n"/>
      <c r="AA736" s="287" t="n"/>
      <c r="AB736" s="287" t="n"/>
      <c r="AC736" s="287" t="n"/>
      <c r="AD736" s="287" t="n"/>
      <c r="AE736" s="287" t="n"/>
      <c r="AF736" s="287" t="n"/>
      <c r="AG736" s="287" t="n"/>
      <c r="AH736" s="287" t="n"/>
      <c r="AI736" s="287" t="n"/>
      <c r="AJ736" s="287" t="n"/>
      <c r="AK736" s="287" t="n"/>
      <c r="AL736" s="287" t="n"/>
      <c r="AM736" s="287" t="n"/>
      <c r="AN736" s="287" t="n"/>
      <c r="AO736" s="287" t="n"/>
      <c r="AP736" s="287" t="n"/>
      <c r="AQ736" s="287" t="n"/>
      <c r="AR736" s="287" t="n"/>
      <c r="AS736" s="287" t="n"/>
      <c r="AT736" s="287" t="n"/>
      <c r="AU736" s="287" t="n"/>
      <c r="AV736" s="287" t="n"/>
      <c r="AW736" s="287" t="n"/>
      <c r="AX736" s="287" t="n"/>
      <c r="AY736" s="287" t="n"/>
      <c r="AZ736" s="287" t="n"/>
      <c r="BA736" s="287" t="n"/>
      <c r="BB736" s="287" t="n"/>
      <c r="BC736" s="287" t="n"/>
      <c r="BD736" s="287" t="n"/>
      <c r="BE736" s="287" t="n"/>
      <c r="BF736" s="287" t="n"/>
      <c r="BG736" s="287" t="n"/>
      <c r="BH736" s="287" t="n"/>
    </row>
    <row r="737" ht="34.5" customHeight="1">
      <c r="B737" s="288" t="n">
        <v>45632</v>
      </c>
      <c r="C737" s="289" t="n">
        <v>204</v>
      </c>
      <c r="D737" s="290" t="inlineStr">
        <is>
          <t>Sewa Virtual Office 1th, 1jan25 - 31des25_BBC_ Ganesha Dwipaya B</t>
        </is>
      </c>
      <c r="E737" s="291" t="inlineStr">
        <is>
          <t>BCA</t>
        </is>
      </c>
      <c r="F737" s="295" t="n">
        <v>4995000</v>
      </c>
      <c r="G737" s="289" t="inlineStr">
        <is>
          <t>IDR</t>
        </is>
      </c>
      <c r="H737" s="293" t="n">
        <v>1</v>
      </c>
      <c r="I737" s="291" t="n"/>
      <c r="J737" s="291" t="n"/>
      <c r="K737" s="291" t="n"/>
      <c r="L737" s="291" t="n"/>
      <c r="M737" s="291" t="n"/>
      <c r="N737" s="291" t="n"/>
      <c r="O737" s="292">
        <f>$F737*$H737</f>
        <v/>
      </c>
      <c r="P737" s="291" t="n"/>
      <c r="Q737" s="291" t="n"/>
      <c r="R737" s="287" t="n"/>
      <c r="S737" s="287" t="n"/>
      <c r="T737" s="287" t="n"/>
      <c r="U737" s="287" t="n"/>
      <c r="V737" s="287" t="n"/>
      <c r="W737" s="287" t="n"/>
      <c r="X737" s="287" t="n"/>
      <c r="Y737" s="287" t="n"/>
      <c r="Z737" s="287" t="n"/>
      <c r="AA737" s="287" t="n"/>
      <c r="AB737" s="287" t="n"/>
      <c r="AC737" s="287" t="n"/>
      <c r="AD737" s="287" t="n"/>
      <c r="AE737" s="287" t="n"/>
      <c r="AF737" s="287" t="n"/>
      <c r="AG737" s="287" t="n"/>
      <c r="AH737" s="287" t="n"/>
      <c r="AI737" s="287" t="n"/>
      <c r="AJ737" s="287" t="n"/>
      <c r="AK737" s="287" t="n"/>
      <c r="AL737" s="287" t="n"/>
      <c r="AM737" s="287" t="n"/>
      <c r="AN737" s="287" t="n"/>
      <c r="AO737" s="287" t="n"/>
      <c r="AP737" s="287" t="n"/>
      <c r="AQ737" s="287" t="n"/>
      <c r="AR737" s="287" t="n"/>
      <c r="AS737" s="287" t="n"/>
      <c r="AT737" s="287" t="n"/>
      <c r="AU737" s="287" t="n"/>
      <c r="AV737" s="287" t="n"/>
      <c r="AW737" s="287" t="n"/>
      <c r="AX737" s="287" t="n"/>
      <c r="AY737" s="287" t="n"/>
      <c r="AZ737" s="287" t="n"/>
      <c r="BA737" s="287" t="n"/>
      <c r="BB737" s="287" t="n"/>
      <c r="BC737" s="287" t="n"/>
      <c r="BD737" s="287" t="n"/>
      <c r="BE737" s="287" t="n"/>
      <c r="BF737" s="287" t="n"/>
      <c r="BG737" s="287" t="n"/>
      <c r="BH737" s="287" t="n"/>
    </row>
    <row r="738" ht="15.5" customHeight="1">
      <c r="A738" s="162" t="n"/>
      <c r="B738" s="284" t="n"/>
      <c r="C738" s="284" t="n"/>
      <c r="D738" s="285" t="inlineStr">
        <is>
          <t>Sparepart</t>
        </is>
      </c>
      <c r="E738" s="284" t="n"/>
      <c r="F738" s="284" t="n"/>
      <c r="G738" s="284" t="n"/>
      <c r="H738" s="284" t="n"/>
      <c r="I738" s="284" t="n"/>
      <c r="J738" s="284" t="n"/>
      <c r="K738" s="284" t="n"/>
      <c r="L738" s="284" t="n"/>
      <c r="M738" s="284" t="n"/>
      <c r="N738" s="284" t="n"/>
      <c r="O738" s="284" t="n"/>
      <c r="P738" s="284" t="n"/>
      <c r="Q738" s="284" t="n"/>
      <c r="R738" s="287" t="n"/>
      <c r="S738" s="287" t="n"/>
      <c r="T738" s="287" t="n"/>
      <c r="U738" s="287" t="n"/>
      <c r="V738" s="287" t="n"/>
      <c r="W738" s="287" t="n"/>
      <c r="X738" s="287" t="n"/>
      <c r="Y738" s="287" t="n"/>
      <c r="Z738" s="287" t="n"/>
      <c r="AA738" s="287" t="n"/>
      <c r="AB738" s="287" t="n"/>
      <c r="AC738" s="287" t="n"/>
      <c r="AD738" s="287" t="n"/>
      <c r="AE738" s="287" t="n"/>
      <c r="AF738" s="287" t="n"/>
      <c r="AG738" s="287" t="n"/>
      <c r="AH738" s="287" t="n"/>
      <c r="AI738" s="287" t="n"/>
      <c r="AJ738" s="287" t="n"/>
      <c r="AK738" s="287" t="n"/>
      <c r="AL738" s="287" t="n"/>
      <c r="AM738" s="287" t="n"/>
      <c r="AN738" s="287" t="n"/>
      <c r="AO738" s="287" t="n"/>
      <c r="AP738" s="287" t="n"/>
      <c r="AQ738" s="287" t="n"/>
      <c r="AR738" s="287" t="n"/>
      <c r="AS738" s="287" t="n"/>
      <c r="AT738" s="287" t="n"/>
      <c r="AU738" s="287" t="n"/>
      <c r="AV738" s="287" t="n"/>
      <c r="AW738" s="287" t="n"/>
      <c r="AX738" s="287" t="n"/>
      <c r="AY738" s="287" t="n"/>
      <c r="AZ738" s="287" t="n"/>
      <c r="BA738" s="287" t="n"/>
      <c r="BB738" s="287" t="n"/>
      <c r="BC738" s="287" t="n"/>
      <c r="BD738" s="287" t="n"/>
      <c r="BE738" s="287" t="n"/>
      <c r="BF738" s="287" t="n"/>
      <c r="BG738" s="287" t="n"/>
      <c r="BH738" s="287" t="n"/>
    </row>
    <row r="739" ht="34.5" customHeight="1">
      <c r="B739" s="288" t="n">
        <v>45476</v>
      </c>
      <c r="C739" s="289" t="n">
        <v>205</v>
      </c>
      <c r="D739" s="290" t="inlineStr">
        <is>
          <t>Kekurangan (PPN ) ke PT Garindo sarana Baru (Downhole Sampling)</t>
        </is>
      </c>
      <c r="E739" s="291" t="inlineStr">
        <is>
          <t>BCA</t>
        </is>
      </c>
      <c r="F739" s="295" t="n">
        <v>3582000</v>
      </c>
      <c r="G739" s="289" t="inlineStr">
        <is>
          <t>IDR</t>
        </is>
      </c>
      <c r="H739" s="293" t="n">
        <v>1</v>
      </c>
      <c r="I739" s="291" t="n"/>
      <c r="J739" s="291" t="n"/>
      <c r="K739" s="291" t="n"/>
      <c r="L739" s="291" t="n"/>
      <c r="M739" s="291" t="n"/>
      <c r="N739" s="292">
        <f>$F739*$H739</f>
        <v/>
      </c>
      <c r="O739" s="291" t="n"/>
      <c r="P739" s="291" t="n"/>
      <c r="Q739" s="291" t="n"/>
      <c r="R739" s="287" t="n"/>
      <c r="S739" s="287" t="n"/>
      <c r="T739" s="287" t="n"/>
      <c r="U739" s="287" t="n"/>
      <c r="V739" s="287" t="n"/>
      <c r="W739" s="287" t="n"/>
      <c r="X739" s="287" t="n"/>
      <c r="Y739" s="287" t="n"/>
      <c r="Z739" s="287" t="n"/>
      <c r="AA739" s="287" t="n"/>
      <c r="AB739" s="287" t="n"/>
      <c r="AC739" s="287" t="n"/>
      <c r="AD739" s="287" t="n"/>
      <c r="AE739" s="287" t="n"/>
      <c r="AF739" s="287" t="n"/>
      <c r="AG739" s="287" t="n"/>
      <c r="AH739" s="287" t="n"/>
      <c r="AI739" s="287" t="n"/>
      <c r="AJ739" s="287" t="n"/>
      <c r="AK739" s="287" t="n"/>
      <c r="AL739" s="287" t="n"/>
      <c r="AM739" s="287" t="n"/>
      <c r="AN739" s="287" t="n"/>
      <c r="AO739" s="287" t="n"/>
      <c r="AP739" s="287" t="n"/>
      <c r="AQ739" s="287" t="n"/>
      <c r="AR739" s="287" t="n"/>
      <c r="AS739" s="287" t="n"/>
      <c r="AT739" s="287" t="n"/>
      <c r="AU739" s="287" t="n"/>
      <c r="AV739" s="287" t="n"/>
      <c r="AW739" s="287" t="n"/>
      <c r="AX739" s="287" t="n"/>
      <c r="AY739" s="287" t="n"/>
      <c r="AZ739" s="287" t="n"/>
      <c r="BA739" s="287" t="n"/>
      <c r="BB739" s="287" t="n"/>
      <c r="BC739" s="287" t="n"/>
      <c r="BD739" s="287" t="n"/>
      <c r="BE739" s="287" t="n"/>
      <c r="BF739" s="287" t="n"/>
      <c r="BG739" s="287" t="n"/>
      <c r="BH739" s="287" t="n"/>
    </row>
    <row r="740" ht="34.5" customHeight="1">
      <c r="B740" s="288" t="n">
        <v>45476</v>
      </c>
      <c r="C740" s="289" t="n">
        <v>206</v>
      </c>
      <c r="D740" s="290" t="inlineStr">
        <is>
          <t>Kekurangan (PPN ) ke PT Garindo sarana Baru (Downhole Sampling)</t>
        </is>
      </c>
      <c r="E740" s="291" t="inlineStr">
        <is>
          <t>BCA</t>
        </is>
      </c>
      <c r="F740" s="292" t="n">
        <v>3582000</v>
      </c>
      <c r="G740" s="289" t="inlineStr">
        <is>
          <t>IDR</t>
        </is>
      </c>
      <c r="H740" s="293" t="n">
        <v>1</v>
      </c>
      <c r="I740" s="291" t="n"/>
      <c r="J740" s="291" t="n"/>
      <c r="K740" s="291" t="n"/>
      <c r="L740" s="291" t="n"/>
      <c r="M740" s="291" t="n"/>
      <c r="N740" s="292">
        <f>$F740*$H740</f>
        <v/>
      </c>
      <c r="O740" s="291" t="n"/>
      <c r="P740" s="291" t="n"/>
      <c r="Q740" s="291" t="n"/>
      <c r="R740" s="287" t="n"/>
      <c r="S740" s="287" t="n"/>
      <c r="T740" s="287" t="n"/>
      <c r="U740" s="287" t="n"/>
      <c r="V740" s="287" t="n"/>
      <c r="W740" s="287" t="n"/>
      <c r="X740" s="287" t="n"/>
      <c r="Y740" s="287" t="n"/>
      <c r="Z740" s="287" t="n"/>
      <c r="AA740" s="287" t="n"/>
      <c r="AB740" s="287" t="n"/>
      <c r="AC740" s="287" t="n"/>
      <c r="AD740" s="287" t="n"/>
      <c r="AE740" s="287" t="n"/>
      <c r="AF740" s="287" t="n"/>
      <c r="AG740" s="287" t="n"/>
      <c r="AH740" s="287" t="n"/>
      <c r="AI740" s="287" t="n"/>
      <c r="AJ740" s="287" t="n"/>
      <c r="AK740" s="287" t="n"/>
      <c r="AL740" s="287" t="n"/>
      <c r="AM740" s="287" t="n"/>
      <c r="AN740" s="287" t="n"/>
      <c r="AO740" s="287" t="n"/>
      <c r="AP740" s="287" t="n"/>
      <c r="AQ740" s="287" t="n"/>
      <c r="AR740" s="287" t="n"/>
      <c r="AS740" s="287" t="n"/>
      <c r="AT740" s="287" t="n"/>
      <c r="AU740" s="287" t="n"/>
      <c r="AV740" s="287" t="n"/>
      <c r="AW740" s="287" t="n"/>
      <c r="AX740" s="287" t="n"/>
      <c r="AY740" s="287" t="n"/>
      <c r="AZ740" s="287" t="n"/>
      <c r="BA740" s="287" t="n"/>
      <c r="BB740" s="287" t="n"/>
      <c r="BC740" s="287" t="n"/>
      <c r="BD740" s="287" t="n"/>
      <c r="BE740" s="287" t="n"/>
      <c r="BF740" s="287" t="n"/>
      <c r="BG740" s="287" t="n"/>
      <c r="BH740" s="287" t="n"/>
    </row>
    <row r="741" ht="34.5" customHeight="1">
      <c r="B741" s="288" t="n">
        <v>45476</v>
      </c>
      <c r="C741" s="289" t="n">
        <v>207</v>
      </c>
      <c r="D741" s="290" t="inlineStr">
        <is>
          <t>Kekurangan (PPN ) ke PT Garindo sarana Baru (Downhole Sampling)</t>
        </is>
      </c>
      <c r="E741" s="291" t="inlineStr">
        <is>
          <t>BCA</t>
        </is>
      </c>
      <c r="F741" s="295" t="n">
        <v>3582000</v>
      </c>
      <c r="G741" s="289" t="inlineStr">
        <is>
          <t>IDR</t>
        </is>
      </c>
      <c r="H741" s="293" t="n">
        <v>1</v>
      </c>
      <c r="I741" s="291" t="n"/>
      <c r="J741" s="291" t="n"/>
      <c r="K741" s="291" t="n"/>
      <c r="L741" s="291" t="n"/>
      <c r="M741" s="291" t="n"/>
      <c r="N741" s="292">
        <f>$F741*$H741</f>
        <v/>
      </c>
      <c r="O741" s="291" t="n"/>
      <c r="P741" s="291" t="n"/>
      <c r="Q741" s="291" t="n"/>
      <c r="R741" s="287" t="n"/>
      <c r="S741" s="287" t="n"/>
      <c r="T741" s="287" t="n"/>
      <c r="U741" s="287" t="n"/>
      <c r="V741" s="287" t="n"/>
      <c r="W741" s="287" t="n"/>
      <c r="X741" s="287" t="n"/>
      <c r="Y741" s="287" t="n"/>
      <c r="Z741" s="287" t="n"/>
      <c r="AA741" s="287" t="n"/>
      <c r="AB741" s="287" t="n"/>
      <c r="AC741" s="287" t="n"/>
      <c r="AD741" s="287" t="n"/>
      <c r="AE741" s="287" t="n"/>
      <c r="AF741" s="287" t="n"/>
      <c r="AG741" s="287" t="n"/>
      <c r="AH741" s="287" t="n"/>
      <c r="AI741" s="287" t="n"/>
      <c r="AJ741" s="287" t="n"/>
      <c r="AK741" s="287" t="n"/>
      <c r="AL741" s="287" t="n"/>
      <c r="AM741" s="287" t="n"/>
      <c r="AN741" s="287" t="n"/>
      <c r="AO741" s="287" t="n"/>
      <c r="AP741" s="287" t="n"/>
      <c r="AQ741" s="287" t="n"/>
      <c r="AR741" s="287" t="n"/>
      <c r="AS741" s="287" t="n"/>
      <c r="AT741" s="287" t="n"/>
      <c r="AU741" s="287" t="n"/>
      <c r="AV741" s="287" t="n"/>
      <c r="AW741" s="287" t="n"/>
      <c r="AX741" s="287" t="n"/>
      <c r="AY741" s="287" t="n"/>
      <c r="AZ741" s="287" t="n"/>
      <c r="BA741" s="287" t="n"/>
      <c r="BB741" s="287" t="n"/>
      <c r="BC741" s="287" t="n"/>
      <c r="BD741" s="287" t="n"/>
      <c r="BE741" s="287" t="n"/>
      <c r="BF741" s="287" t="n"/>
      <c r="BG741" s="287" t="n"/>
      <c r="BH741" s="287" t="n"/>
    </row>
    <row r="742" ht="34.5" customHeight="1">
      <c r="B742" s="288" t="n">
        <v>45476</v>
      </c>
      <c r="C742" s="289" t="n">
        <v>208</v>
      </c>
      <c r="D742" s="290" t="inlineStr">
        <is>
          <t>Kekurangan (PPN ) ke PT Garindo sarana Baru (Downhole Sampling)</t>
        </is>
      </c>
      <c r="E742" s="291" t="inlineStr">
        <is>
          <t>BCA</t>
        </is>
      </c>
      <c r="F742" s="295" t="n">
        <v>3582000</v>
      </c>
      <c r="G742" s="289" t="inlineStr">
        <is>
          <t>IDR</t>
        </is>
      </c>
      <c r="H742" s="293" t="n">
        <v>1</v>
      </c>
      <c r="I742" s="291" t="n"/>
      <c r="J742" s="291" t="n"/>
      <c r="K742" s="291" t="n"/>
      <c r="L742" s="291" t="n"/>
      <c r="M742" s="291" t="n"/>
      <c r="N742" s="292">
        <f>$F742*$H742</f>
        <v/>
      </c>
      <c r="O742" s="291" t="n"/>
      <c r="P742" s="291" t="n"/>
      <c r="Q742" s="291" t="n"/>
      <c r="R742" s="287" t="n"/>
      <c r="S742" s="287" t="n"/>
      <c r="T742" s="287" t="n"/>
      <c r="U742" s="287" t="n"/>
      <c r="V742" s="287" t="n"/>
      <c r="W742" s="287" t="n"/>
      <c r="X742" s="287" t="n"/>
      <c r="Y742" s="287" t="n"/>
      <c r="Z742" s="287" t="n"/>
      <c r="AA742" s="287" t="n"/>
      <c r="AB742" s="287" t="n"/>
      <c r="AC742" s="287" t="n"/>
      <c r="AD742" s="287" t="n"/>
      <c r="AE742" s="287" t="n"/>
      <c r="AF742" s="287" t="n"/>
      <c r="AG742" s="287" t="n"/>
      <c r="AH742" s="287" t="n"/>
      <c r="AI742" s="287" t="n"/>
      <c r="AJ742" s="287" t="n"/>
      <c r="AK742" s="287" t="n"/>
      <c r="AL742" s="287" t="n"/>
      <c r="AM742" s="287" t="n"/>
      <c r="AN742" s="287" t="n"/>
      <c r="AO742" s="287" t="n"/>
      <c r="AP742" s="287" t="n"/>
      <c r="AQ742" s="287" t="n"/>
      <c r="AR742" s="287" t="n"/>
      <c r="AS742" s="287" t="n"/>
      <c r="AT742" s="287" t="n"/>
      <c r="AU742" s="287" t="n"/>
      <c r="AV742" s="287" t="n"/>
      <c r="AW742" s="287" t="n"/>
      <c r="AX742" s="287" t="n"/>
      <c r="AY742" s="287" t="n"/>
      <c r="AZ742" s="287" t="n"/>
      <c r="BA742" s="287" t="n"/>
      <c r="BB742" s="287" t="n"/>
      <c r="BC742" s="287" t="n"/>
      <c r="BD742" s="287" t="n"/>
      <c r="BE742" s="287" t="n"/>
      <c r="BF742" s="287" t="n"/>
      <c r="BG742" s="287" t="n"/>
      <c r="BH742" s="287" t="n"/>
    </row>
    <row r="743" ht="34.5" customHeight="1">
      <c r="B743" s="288" t="n">
        <v>45630</v>
      </c>
      <c r="C743" s="289" t="n">
        <v>209</v>
      </c>
      <c r="D743" s="290" t="inlineStr">
        <is>
          <t>Payment ke UPS Biaya Import pembelian sparepart dari Pei-Genesis</t>
        </is>
      </c>
      <c r="E743" s="291" t="inlineStr">
        <is>
          <t>BRI</t>
        </is>
      </c>
      <c r="F743" s="295" t="n">
        <v>777246</v>
      </c>
      <c r="G743" s="289" t="inlineStr">
        <is>
          <t>IDR</t>
        </is>
      </c>
      <c r="H743" s="293" t="n">
        <v>1</v>
      </c>
      <c r="I743" s="291" t="n"/>
      <c r="J743" s="291" t="n"/>
      <c r="K743" s="291" t="n"/>
      <c r="L743" s="291" t="n"/>
      <c r="M743" s="291" t="n"/>
      <c r="N743" s="292">
        <f>$F743*$H743</f>
        <v/>
      </c>
      <c r="O743" s="291" t="n"/>
      <c r="P743" s="291" t="n"/>
      <c r="Q743" s="291" t="n"/>
      <c r="R743" s="287" t="n"/>
      <c r="S743" s="287" t="n"/>
      <c r="T743" s="287" t="n"/>
      <c r="U743" s="287" t="n"/>
      <c r="V743" s="287" t="n"/>
      <c r="W743" s="287" t="n"/>
      <c r="X743" s="287" t="n"/>
      <c r="Y743" s="287" t="n"/>
      <c r="Z743" s="287" t="n"/>
      <c r="AA743" s="287" t="n"/>
      <c r="AB743" s="287" t="n"/>
      <c r="AC743" s="287" t="n"/>
      <c r="AD743" s="287" t="n"/>
      <c r="AE743" s="287" t="n"/>
      <c r="AF743" s="287" t="n"/>
      <c r="AG743" s="287" t="n"/>
      <c r="AH743" s="287" t="n"/>
      <c r="AI743" s="287" t="n"/>
      <c r="AJ743" s="287" t="n"/>
      <c r="AK743" s="287" t="n"/>
      <c r="AL743" s="287" t="n"/>
      <c r="AM743" s="287" t="n"/>
      <c r="AN743" s="287" t="n"/>
      <c r="AO743" s="287" t="n"/>
      <c r="AP743" s="287" t="n"/>
      <c r="AQ743" s="287" t="n"/>
      <c r="AR743" s="287" t="n"/>
      <c r="AS743" s="287" t="n"/>
      <c r="AT743" s="287" t="n"/>
      <c r="AU743" s="287" t="n"/>
      <c r="AV743" s="287" t="n"/>
      <c r="AW743" s="287" t="n"/>
      <c r="AX743" s="287" t="n"/>
      <c r="AY743" s="287" t="n"/>
      <c r="AZ743" s="287" t="n"/>
      <c r="BA743" s="287" t="n"/>
      <c r="BB743" s="287" t="n"/>
      <c r="BC743" s="287" t="n"/>
      <c r="BD743" s="287" t="n"/>
      <c r="BE743" s="287" t="n"/>
      <c r="BF743" s="287" t="n"/>
      <c r="BG743" s="287" t="n"/>
      <c r="BH743" s="287" t="n"/>
    </row>
    <row r="744" ht="34.5" customHeight="1">
      <c r="B744" s="288" t="n">
        <v>45630</v>
      </c>
      <c r="C744" s="289" t="n">
        <v>210</v>
      </c>
      <c r="D744" s="290" t="inlineStr">
        <is>
          <t>Payment ke UPS Biaya Import pembelian sparepart dari Pei-Genesis</t>
        </is>
      </c>
      <c r="E744" s="291" t="inlineStr">
        <is>
          <t>BRI</t>
        </is>
      </c>
      <c r="F744" s="295" t="n">
        <v>777246</v>
      </c>
      <c r="G744" s="289" t="inlineStr">
        <is>
          <t>IDR</t>
        </is>
      </c>
      <c r="H744" s="293" t="n">
        <v>1</v>
      </c>
      <c r="I744" s="291" t="n"/>
      <c r="J744" s="291" t="n"/>
      <c r="K744" s="291" t="n"/>
      <c r="L744" s="291" t="n"/>
      <c r="M744" s="291" t="n"/>
      <c r="N744" s="292">
        <f>$F744*$H744</f>
        <v/>
      </c>
      <c r="O744" s="291" t="n"/>
      <c r="P744" s="291" t="n"/>
      <c r="Q744" s="291" t="n"/>
      <c r="R744" s="287" t="n"/>
      <c r="S744" s="287" t="n"/>
      <c r="T744" s="287" t="n"/>
      <c r="U744" s="287" t="n"/>
      <c r="V744" s="287" t="n"/>
      <c r="W744" s="287" t="n"/>
      <c r="X744" s="287" t="n"/>
      <c r="Y744" s="287" t="n"/>
      <c r="Z744" s="287" t="n"/>
      <c r="AA744" s="287" t="n"/>
      <c r="AB744" s="287" t="n"/>
      <c r="AC744" s="287" t="n"/>
      <c r="AD744" s="287" t="n"/>
      <c r="AE744" s="287" t="n"/>
      <c r="AF744" s="287" t="n"/>
      <c r="AG744" s="287" t="n"/>
      <c r="AH744" s="287" t="n"/>
      <c r="AI744" s="287" t="n"/>
      <c r="AJ744" s="287" t="n"/>
      <c r="AK744" s="287" t="n"/>
      <c r="AL744" s="287" t="n"/>
      <c r="AM744" s="287" t="n"/>
      <c r="AN744" s="287" t="n"/>
      <c r="AO744" s="287" t="n"/>
      <c r="AP744" s="287" t="n"/>
      <c r="AQ744" s="287" t="n"/>
      <c r="AR744" s="287" t="n"/>
      <c r="AS744" s="287" t="n"/>
      <c r="AT744" s="287" t="n"/>
      <c r="AU744" s="287" t="n"/>
      <c r="AV744" s="287" t="n"/>
      <c r="AW744" s="287" t="n"/>
      <c r="AX744" s="287" t="n"/>
      <c r="AY744" s="287" t="n"/>
      <c r="AZ744" s="287" t="n"/>
      <c r="BA744" s="287" t="n"/>
      <c r="BB744" s="287" t="n"/>
      <c r="BC744" s="287" t="n"/>
      <c r="BD744" s="287" t="n"/>
      <c r="BE744" s="287" t="n"/>
      <c r="BF744" s="287" t="n"/>
      <c r="BG744" s="287" t="n"/>
      <c r="BH744" s="287" t="n"/>
    </row>
    <row r="745" ht="34.5" customHeight="1">
      <c r="B745" s="288" t="n">
        <v>45630</v>
      </c>
      <c r="C745" s="289" t="n">
        <v>211</v>
      </c>
      <c r="D745" s="290" t="inlineStr">
        <is>
          <t>Payment ke UPS Biaya Import pembelian sparepart dari Pei-Genesis</t>
        </is>
      </c>
      <c r="E745" s="291" t="inlineStr">
        <is>
          <t>BRI</t>
        </is>
      </c>
      <c r="F745" s="295" t="n">
        <v>777246</v>
      </c>
      <c r="G745" s="289" t="inlineStr">
        <is>
          <t>IDR</t>
        </is>
      </c>
      <c r="H745" s="293" t="n">
        <v>1</v>
      </c>
      <c r="I745" s="291" t="n"/>
      <c r="J745" s="291" t="n"/>
      <c r="K745" s="291" t="n"/>
      <c r="L745" s="291" t="n"/>
      <c r="M745" s="291" t="n"/>
      <c r="N745" s="292">
        <f>$F745*$H745</f>
        <v/>
      </c>
      <c r="O745" s="291" t="n"/>
      <c r="P745" s="291" t="n"/>
      <c r="Q745" s="291" t="n"/>
      <c r="R745" s="287" t="n"/>
      <c r="S745" s="287" t="n"/>
      <c r="T745" s="287" t="n"/>
      <c r="U745" s="287" t="n"/>
      <c r="V745" s="287" t="n"/>
      <c r="W745" s="287" t="n"/>
      <c r="X745" s="287" t="n"/>
      <c r="Y745" s="287" t="n"/>
      <c r="Z745" s="287" t="n"/>
      <c r="AA745" s="287" t="n"/>
      <c r="AB745" s="287" t="n"/>
      <c r="AC745" s="287" t="n"/>
      <c r="AD745" s="287" t="n"/>
      <c r="AE745" s="287" t="n"/>
      <c r="AF745" s="287" t="n"/>
      <c r="AG745" s="287" t="n"/>
      <c r="AH745" s="287" t="n"/>
      <c r="AI745" s="287" t="n"/>
      <c r="AJ745" s="287" t="n"/>
      <c r="AK745" s="287" t="n"/>
      <c r="AL745" s="287" t="n"/>
      <c r="AM745" s="287" t="n"/>
      <c r="AN745" s="287" t="n"/>
      <c r="AO745" s="287" t="n"/>
      <c r="AP745" s="287" t="n"/>
      <c r="AQ745" s="287" t="n"/>
      <c r="AR745" s="287" t="n"/>
      <c r="AS745" s="287" t="n"/>
      <c r="AT745" s="287" t="n"/>
      <c r="AU745" s="287" t="n"/>
      <c r="AV745" s="287" t="n"/>
      <c r="AW745" s="287" t="n"/>
      <c r="AX745" s="287" t="n"/>
      <c r="AY745" s="287" t="n"/>
      <c r="AZ745" s="287" t="n"/>
      <c r="BA745" s="287" t="n"/>
      <c r="BB745" s="287" t="n"/>
      <c r="BC745" s="287" t="n"/>
      <c r="BD745" s="287" t="n"/>
      <c r="BE745" s="287" t="n"/>
      <c r="BF745" s="287" t="n"/>
      <c r="BG745" s="287" t="n"/>
      <c r="BH745" s="287" t="n"/>
    </row>
    <row r="746" ht="34.5" customHeight="1">
      <c r="B746" s="288" t="n">
        <v>45630</v>
      </c>
      <c r="C746" s="289" t="n">
        <v>212</v>
      </c>
      <c r="D746" s="290" t="inlineStr">
        <is>
          <t>Payment ke UPS Biaya Import pembelian sparepart dari Pei-Genesis</t>
        </is>
      </c>
      <c r="E746" s="291" t="inlineStr">
        <is>
          <t>BRI</t>
        </is>
      </c>
      <c r="F746" s="295" t="n">
        <v>777246</v>
      </c>
      <c r="G746" s="289" t="inlineStr">
        <is>
          <t>IDR</t>
        </is>
      </c>
      <c r="H746" s="293" t="n">
        <v>1</v>
      </c>
      <c r="I746" s="291" t="n"/>
      <c r="J746" s="291" t="n"/>
      <c r="K746" s="291" t="n"/>
      <c r="L746" s="291" t="n"/>
      <c r="M746" s="291" t="n"/>
      <c r="N746" s="292">
        <f>$F746*$H746</f>
        <v/>
      </c>
      <c r="O746" s="291" t="n"/>
      <c r="P746" s="291" t="n"/>
      <c r="Q746" s="291" t="n"/>
      <c r="R746" s="287" t="n"/>
      <c r="S746" s="287" t="n"/>
      <c r="T746" s="287" t="n"/>
      <c r="U746" s="287" t="n"/>
      <c r="V746" s="287" t="n"/>
      <c r="W746" s="287" t="n"/>
      <c r="X746" s="287" t="n"/>
      <c r="Y746" s="287" t="n"/>
      <c r="Z746" s="287" t="n"/>
      <c r="AA746" s="287" t="n"/>
      <c r="AB746" s="287" t="n"/>
      <c r="AC746" s="287" t="n"/>
      <c r="AD746" s="287" t="n"/>
      <c r="AE746" s="287" t="n"/>
      <c r="AF746" s="287" t="n"/>
      <c r="AG746" s="287" t="n"/>
      <c r="AH746" s="287" t="n"/>
      <c r="AI746" s="287" t="n"/>
      <c r="AJ746" s="287" t="n"/>
      <c r="AK746" s="287" t="n"/>
      <c r="AL746" s="287" t="n"/>
      <c r="AM746" s="287" t="n"/>
      <c r="AN746" s="287" t="n"/>
      <c r="AO746" s="287" t="n"/>
      <c r="AP746" s="287" t="n"/>
      <c r="AQ746" s="287" t="n"/>
      <c r="AR746" s="287" t="n"/>
      <c r="AS746" s="287" t="n"/>
      <c r="AT746" s="287" t="n"/>
      <c r="AU746" s="287" t="n"/>
      <c r="AV746" s="287" t="n"/>
      <c r="AW746" s="287" t="n"/>
      <c r="AX746" s="287" t="n"/>
      <c r="AY746" s="287" t="n"/>
      <c r="AZ746" s="287" t="n"/>
      <c r="BA746" s="287" t="n"/>
      <c r="BB746" s="287" t="n"/>
      <c r="BC746" s="287" t="n"/>
      <c r="BD746" s="287" t="n"/>
      <c r="BE746" s="287" t="n"/>
      <c r="BF746" s="287" t="n"/>
      <c r="BG746" s="287" t="n"/>
      <c r="BH746" s="287" t="n"/>
    </row>
    <row r="747" ht="15.5" customHeight="1">
      <c r="B747" s="284" t="n"/>
      <c r="C747" s="284" t="n"/>
      <c r="D747" s="285" t="inlineStr">
        <is>
          <t>Transportation</t>
        </is>
      </c>
      <c r="E747" s="284" t="n"/>
      <c r="F747" s="286" t="n"/>
      <c r="G747" s="284" t="n"/>
      <c r="H747" s="284" t="n"/>
      <c r="I747" s="284" t="n"/>
      <c r="J747" s="284" t="n"/>
      <c r="K747" s="284" t="n"/>
      <c r="L747" s="284" t="n"/>
      <c r="M747" s="284" t="n"/>
      <c r="N747" s="284" t="n"/>
      <c r="O747" s="284" t="n"/>
      <c r="P747" s="284" t="n"/>
      <c r="Q747" s="284" t="n"/>
      <c r="R747" s="287" t="n"/>
      <c r="S747" s="287" t="n"/>
      <c r="T747" s="287" t="n"/>
      <c r="U747" s="287" t="n"/>
      <c r="V747" s="287" t="n"/>
      <c r="W747" s="287" t="n"/>
      <c r="X747" s="287" t="n"/>
      <c r="Y747" s="287" t="n"/>
      <c r="Z747" s="287" t="n"/>
      <c r="AA747" s="287" t="n"/>
      <c r="AB747" s="287" t="n"/>
      <c r="AC747" s="287" t="n"/>
      <c r="AD747" s="287" t="n"/>
      <c r="AE747" s="287" t="n"/>
      <c r="AF747" s="287" t="n"/>
      <c r="AG747" s="287" t="n"/>
      <c r="AH747" s="287" t="n"/>
      <c r="AI747" s="287" t="n"/>
      <c r="AJ747" s="287" t="n"/>
      <c r="AK747" s="287" t="n"/>
      <c r="AL747" s="287" t="n"/>
      <c r="AM747" s="287" t="n"/>
      <c r="AN747" s="287" t="n"/>
      <c r="AO747" s="287" t="n"/>
      <c r="AP747" s="287" t="n"/>
      <c r="AQ747" s="287" t="n"/>
      <c r="AR747" s="287" t="n"/>
      <c r="AS747" s="287" t="n"/>
      <c r="AT747" s="287" t="n"/>
      <c r="AU747" s="287" t="n"/>
      <c r="AV747" s="287" t="n"/>
      <c r="AW747" s="287" t="n"/>
      <c r="AX747" s="287" t="n"/>
      <c r="AY747" s="287" t="n"/>
      <c r="AZ747" s="287" t="n"/>
      <c r="BA747" s="287" t="n"/>
      <c r="BB747" s="287" t="n"/>
      <c r="BC747" s="287" t="n"/>
      <c r="BD747" s="287" t="n"/>
      <c r="BE747" s="287" t="n"/>
      <c r="BF747" s="287" t="n"/>
      <c r="BG747" s="287" t="n"/>
      <c r="BH747" s="287" t="n"/>
    </row>
    <row r="748" ht="34.5" customHeight="1">
      <c r="B748" s="288" t="n">
        <v>45422</v>
      </c>
      <c r="C748" s="289" t="n">
        <v>213</v>
      </c>
      <c r="D748" s="290" t="inlineStr">
        <is>
          <t>Aro Energy | Moving slickline dari Duri (Toni Supriadi) ke Sungai lilin</t>
        </is>
      </c>
      <c r="E748" s="291" t="inlineStr">
        <is>
          <t>BCA</t>
        </is>
      </c>
      <c r="F748" s="295" t="n">
        <v>18000000</v>
      </c>
      <c r="G748" s="289" t="inlineStr">
        <is>
          <t>IDR</t>
        </is>
      </c>
      <c r="H748" s="293" t="n">
        <v>1</v>
      </c>
      <c r="I748" s="291" t="n"/>
      <c r="J748" s="291" t="n"/>
      <c r="K748" s="291" t="n"/>
      <c r="L748" s="292">
        <f>$F748*$H748</f>
        <v/>
      </c>
      <c r="M748" s="291" t="n"/>
      <c r="N748" s="291" t="n"/>
      <c r="O748" s="291" t="n"/>
      <c r="P748" s="291" t="n"/>
      <c r="Q748" s="291" t="n"/>
      <c r="R748" s="287" t="n"/>
      <c r="S748" s="287" t="n"/>
      <c r="T748" s="287" t="n"/>
      <c r="U748" s="287" t="n"/>
      <c r="V748" s="287" t="n"/>
      <c r="W748" s="287" t="n"/>
      <c r="X748" s="287" t="n"/>
      <c r="Y748" s="287" t="n"/>
      <c r="Z748" s="287" t="n"/>
      <c r="AA748" s="287" t="n"/>
      <c r="AB748" s="287" t="n"/>
      <c r="AC748" s="287" t="n"/>
      <c r="AD748" s="287" t="n"/>
      <c r="AE748" s="287" t="n"/>
      <c r="AF748" s="287" t="n"/>
      <c r="AG748" s="287" t="n"/>
      <c r="AH748" s="287" t="n"/>
      <c r="AI748" s="287" t="n"/>
      <c r="AJ748" s="287" t="n"/>
      <c r="AK748" s="287" t="n"/>
      <c r="AL748" s="287" t="n"/>
      <c r="AM748" s="287" t="n"/>
      <c r="AN748" s="287" t="n"/>
      <c r="AO748" s="287" t="n"/>
      <c r="AP748" s="287" t="n"/>
      <c r="AQ748" s="287" t="n"/>
      <c r="AR748" s="287" t="n"/>
      <c r="AS748" s="287" t="n"/>
      <c r="AT748" s="287" t="n"/>
      <c r="AU748" s="287" t="n"/>
      <c r="AV748" s="287" t="n"/>
      <c r="AW748" s="287" t="n"/>
      <c r="AX748" s="287" t="n"/>
      <c r="AY748" s="287" t="n"/>
      <c r="AZ748" s="287" t="n"/>
      <c r="BA748" s="287" t="n"/>
      <c r="BB748" s="287" t="n"/>
      <c r="BC748" s="287" t="n"/>
      <c r="BD748" s="287" t="n"/>
      <c r="BE748" s="287" t="n"/>
      <c r="BF748" s="287" t="n"/>
      <c r="BG748" s="287" t="n"/>
      <c r="BH748" s="287" t="n"/>
    </row>
    <row r="749" ht="34.5" customHeight="1">
      <c r="B749" s="288" t="n">
        <v>45422</v>
      </c>
      <c r="C749" s="289" t="n">
        <v>214</v>
      </c>
      <c r="D749" s="290" t="inlineStr">
        <is>
          <t>Aro Energy | Moving slickline dari Duri (Toni Supriadi) ke Sungai lilin</t>
        </is>
      </c>
      <c r="E749" s="291" t="inlineStr">
        <is>
          <t>BCA</t>
        </is>
      </c>
      <c r="F749" s="295" t="n">
        <v>18000000</v>
      </c>
      <c r="G749" s="289" t="inlineStr">
        <is>
          <t>IDR</t>
        </is>
      </c>
      <c r="H749" s="293" t="n">
        <v>1</v>
      </c>
      <c r="I749" s="291" t="n"/>
      <c r="J749" s="291" t="n"/>
      <c r="K749" s="291" t="n"/>
      <c r="L749" s="292">
        <f>$F749*$H749</f>
        <v/>
      </c>
      <c r="M749" s="291" t="n"/>
      <c r="N749" s="291" t="n"/>
      <c r="O749" s="291" t="n"/>
      <c r="P749" s="291" t="n"/>
      <c r="Q749" s="291" t="n"/>
      <c r="R749" s="287" t="n"/>
      <c r="S749" s="287" t="n"/>
      <c r="T749" s="287" t="n"/>
      <c r="U749" s="287" t="n"/>
      <c r="V749" s="287" t="n"/>
      <c r="W749" s="287" t="n"/>
      <c r="X749" s="287" t="n"/>
      <c r="Y749" s="287" t="n"/>
      <c r="Z749" s="287" t="n"/>
      <c r="AA749" s="287" t="n"/>
      <c r="AB749" s="287" t="n"/>
      <c r="AC749" s="287" t="n"/>
      <c r="AD749" s="287" t="n"/>
      <c r="AE749" s="287" t="n"/>
      <c r="AF749" s="287" t="n"/>
      <c r="AG749" s="287" t="n"/>
      <c r="AH749" s="287" t="n"/>
      <c r="AI749" s="287" t="n"/>
      <c r="AJ749" s="287" t="n"/>
      <c r="AK749" s="287" t="n"/>
      <c r="AL749" s="287" t="n"/>
      <c r="AM749" s="287" t="n"/>
      <c r="AN749" s="287" t="n"/>
      <c r="AO749" s="287" t="n"/>
      <c r="AP749" s="287" t="n"/>
      <c r="AQ749" s="287" t="n"/>
      <c r="AR749" s="287" t="n"/>
      <c r="AS749" s="287" t="n"/>
      <c r="AT749" s="287" t="n"/>
      <c r="AU749" s="287" t="n"/>
      <c r="AV749" s="287" t="n"/>
      <c r="AW749" s="287" t="n"/>
      <c r="AX749" s="287" t="n"/>
      <c r="AY749" s="287" t="n"/>
      <c r="AZ749" s="287" t="n"/>
      <c r="BA749" s="287" t="n"/>
      <c r="BB749" s="287" t="n"/>
      <c r="BC749" s="287" t="n"/>
      <c r="BD749" s="287" t="n"/>
      <c r="BE749" s="287" t="n"/>
      <c r="BF749" s="287" t="n"/>
      <c r="BG749" s="287" t="n"/>
      <c r="BH749" s="287" t="n"/>
    </row>
    <row r="750" ht="34.5" customHeight="1">
      <c r="B750" s="288" t="n">
        <v>45422</v>
      </c>
      <c r="C750" s="289" t="n">
        <v>215</v>
      </c>
      <c r="D750" s="290" t="inlineStr">
        <is>
          <t>Aro Energy | Moving slickline dari Duri (Toni Supriadi) ke Sungai lilin</t>
        </is>
      </c>
      <c r="E750" s="291" t="inlineStr">
        <is>
          <t>BCA</t>
        </is>
      </c>
      <c r="F750" s="292" t="n">
        <v>18000000</v>
      </c>
      <c r="G750" s="289" t="inlineStr">
        <is>
          <t>IDR</t>
        </is>
      </c>
      <c r="H750" s="293" t="n">
        <v>1</v>
      </c>
      <c r="I750" s="291" t="n"/>
      <c r="J750" s="291" t="n"/>
      <c r="K750" s="291" t="n"/>
      <c r="L750" s="292">
        <f>$F750*$H750</f>
        <v/>
      </c>
      <c r="M750" s="291" t="n"/>
      <c r="N750" s="291" t="n"/>
      <c r="O750" s="291" t="n"/>
      <c r="P750" s="291" t="n"/>
      <c r="Q750" s="291" t="n"/>
      <c r="R750" s="287" t="n"/>
      <c r="S750" s="287" t="n"/>
      <c r="T750" s="287" t="n"/>
      <c r="U750" s="287" t="n"/>
      <c r="V750" s="287" t="n"/>
      <c r="W750" s="287" t="n"/>
      <c r="X750" s="287" t="n"/>
      <c r="Y750" s="287" t="n"/>
      <c r="Z750" s="287" t="n"/>
      <c r="AA750" s="287" t="n"/>
      <c r="AB750" s="287" t="n"/>
      <c r="AC750" s="287" t="n"/>
      <c r="AD750" s="287" t="n"/>
      <c r="AE750" s="287" t="n"/>
      <c r="AF750" s="287" t="n"/>
      <c r="AG750" s="287" t="n"/>
      <c r="AH750" s="287" t="n"/>
      <c r="AI750" s="287" t="n"/>
      <c r="AJ750" s="287" t="n"/>
      <c r="AK750" s="287" t="n"/>
      <c r="AL750" s="287" t="n"/>
      <c r="AM750" s="287" t="n"/>
      <c r="AN750" s="287" t="n"/>
      <c r="AO750" s="287" t="n"/>
      <c r="AP750" s="287" t="n"/>
      <c r="AQ750" s="287" t="n"/>
      <c r="AR750" s="287" t="n"/>
      <c r="AS750" s="287" t="n"/>
      <c r="AT750" s="287" t="n"/>
      <c r="AU750" s="287" t="n"/>
      <c r="AV750" s="287" t="n"/>
      <c r="AW750" s="287" t="n"/>
      <c r="AX750" s="287" t="n"/>
      <c r="AY750" s="287" t="n"/>
      <c r="AZ750" s="287" t="n"/>
      <c r="BA750" s="287" t="n"/>
      <c r="BB750" s="287" t="n"/>
      <c r="BC750" s="287" t="n"/>
      <c r="BD750" s="287" t="n"/>
      <c r="BE750" s="287" t="n"/>
      <c r="BF750" s="287" t="n"/>
      <c r="BG750" s="287" t="n"/>
      <c r="BH750" s="287" t="n"/>
    </row>
    <row r="751" ht="34.5" customHeight="1">
      <c r="B751" s="288" t="n">
        <v>45422</v>
      </c>
      <c r="C751" s="289" t="n">
        <v>216</v>
      </c>
      <c r="D751" s="290" t="inlineStr">
        <is>
          <t>Aro Energy | Moving slickline dari Duri (Toni Supriadi) ke Sungai lilin</t>
        </is>
      </c>
      <c r="E751" s="306" t="inlineStr">
        <is>
          <t>BCA</t>
        </is>
      </c>
      <c r="F751" s="307" t="n">
        <v>18000000</v>
      </c>
      <c r="G751" s="289" t="inlineStr">
        <is>
          <t>IDR</t>
        </is>
      </c>
      <c r="H751" s="293" t="n">
        <v>1</v>
      </c>
      <c r="I751" s="306" t="n"/>
      <c r="J751" s="306" t="n"/>
      <c r="K751" s="306" t="n"/>
      <c r="L751" s="307">
        <f>$F751*$H751</f>
        <v/>
      </c>
      <c r="M751" s="306" t="n"/>
      <c r="N751" s="306" t="n"/>
      <c r="O751" s="306" t="n"/>
      <c r="P751" s="306" t="n"/>
      <c r="Q751" s="306" t="n"/>
    </row>
    <row r="752" ht="18.75" customHeight="1">
      <c r="B752" s="288" t="n">
        <v>45601</v>
      </c>
      <c r="C752" s="289" t="n">
        <v>217</v>
      </c>
      <c r="D752" s="290" t="inlineStr">
        <is>
          <t>Sales fee 2 Well Integrity Pertamina Z.4</t>
        </is>
      </c>
      <c r="E752" s="306" t="inlineStr">
        <is>
          <t>BRI</t>
        </is>
      </c>
      <c r="F752" s="307" t="n">
        <v>38838700</v>
      </c>
      <c r="G752" s="289" t="inlineStr">
        <is>
          <t>IDR</t>
        </is>
      </c>
      <c r="H752" s="293" t="n">
        <v>1</v>
      </c>
      <c r="I752" s="306" t="n"/>
      <c r="J752" s="306" t="n"/>
      <c r="K752" s="306" t="n"/>
      <c r="L752" s="307">
        <f>$F752*$H752</f>
        <v/>
      </c>
      <c r="M752" s="306" t="n"/>
      <c r="N752" s="306" t="n"/>
      <c r="O752" s="306" t="n"/>
      <c r="P752" s="306" t="n"/>
      <c r="Q752" s="306" t="n"/>
    </row>
    <row r="753" ht="18.75" customHeight="1">
      <c r="B753" s="288" t="n">
        <v>45601</v>
      </c>
      <c r="C753" s="289" t="n">
        <v>218</v>
      </c>
      <c r="D753" s="290" t="inlineStr">
        <is>
          <t>Sales fee 2 Well Integrity Pertamina Z.4</t>
        </is>
      </c>
      <c r="E753" s="306" t="inlineStr">
        <is>
          <t>BRI</t>
        </is>
      </c>
      <c r="F753" s="307" t="n">
        <v>38838700</v>
      </c>
      <c r="G753" s="289" t="inlineStr">
        <is>
          <t>IDR</t>
        </is>
      </c>
      <c r="H753" s="293" t="n">
        <v>1</v>
      </c>
      <c r="I753" s="306" t="n"/>
      <c r="J753" s="306" t="n"/>
      <c r="K753" s="306" t="n"/>
      <c r="L753" s="307">
        <f>$F753*$H753</f>
        <v/>
      </c>
      <c r="M753" s="306" t="n"/>
      <c r="N753" s="306" t="n"/>
      <c r="O753" s="306" t="n"/>
      <c r="P753" s="306" t="n"/>
      <c r="Q753" s="306" t="n"/>
    </row>
    <row r="754" ht="18.75" customHeight="1">
      <c r="B754" s="288" t="n">
        <v>45601</v>
      </c>
      <c r="C754" s="289" t="n">
        <v>219</v>
      </c>
      <c r="D754" s="290" t="inlineStr">
        <is>
          <t>Sales fee 2 Well Integrity Pertamina Z.4</t>
        </is>
      </c>
      <c r="E754" s="306" t="inlineStr">
        <is>
          <t>BRI</t>
        </is>
      </c>
      <c r="F754" s="307" t="n">
        <v>38838700</v>
      </c>
      <c r="G754" s="289" t="inlineStr">
        <is>
          <t>IDR</t>
        </is>
      </c>
      <c r="H754" s="293" t="n">
        <v>1</v>
      </c>
      <c r="I754" s="306" t="n"/>
      <c r="J754" s="306" t="n"/>
      <c r="K754" s="306" t="n"/>
      <c r="L754" s="307">
        <f>$F754*$H754</f>
        <v/>
      </c>
      <c r="M754" s="306" t="n"/>
      <c r="N754" s="306" t="n"/>
      <c r="O754" s="306" t="n"/>
      <c r="P754" s="306" t="n"/>
      <c r="Q754" s="306" t="n"/>
    </row>
    <row r="755" ht="18.75" customHeight="1">
      <c r="B755" s="288" t="n">
        <v>45601</v>
      </c>
      <c r="C755" s="289" t="n">
        <v>220</v>
      </c>
      <c r="D755" s="290" t="inlineStr">
        <is>
          <t>Sales fee 2 Well Integrity Pertamina Z.4</t>
        </is>
      </c>
      <c r="E755" s="306" t="inlineStr">
        <is>
          <t>BRI</t>
        </is>
      </c>
      <c r="F755" s="307" t="n">
        <v>38838700</v>
      </c>
      <c r="G755" s="289" t="inlineStr">
        <is>
          <t>IDR</t>
        </is>
      </c>
      <c r="H755" s="293" t="n">
        <v>1</v>
      </c>
      <c r="I755" s="306" t="n"/>
      <c r="J755" s="306" t="n"/>
      <c r="K755" s="306" t="n"/>
      <c r="L755" s="307">
        <f>$F755*$H755</f>
        <v/>
      </c>
      <c r="M755" s="306" t="n"/>
      <c r="N755" s="306" t="n"/>
      <c r="O755" s="306" t="n"/>
      <c r="P755" s="306" t="n"/>
      <c r="Q755" s="306" t="n"/>
    </row>
    <row r="756">
      <c r="B756" s="308" t="n"/>
      <c r="C756" s="308" t="n"/>
      <c r="D756" s="309" t="inlineStr">
        <is>
          <t>OPERATION COST AND OFFICE - Expenses Report</t>
        </is>
      </c>
      <c r="E756" s="308" t="n"/>
      <c r="F756" s="308" t="n"/>
      <c r="G756" s="308" t="n"/>
      <c r="H756" s="308" t="n"/>
      <c r="I756" s="308" t="n"/>
      <c r="J756" s="308" t="n"/>
      <c r="K756" s="308" t="n"/>
      <c r="L756" s="308" t="n"/>
      <c r="M756" s="308" t="n"/>
      <c r="N756" s="308" t="n"/>
      <c r="O756" s="308" t="n"/>
      <c r="P756" s="308" t="n"/>
      <c r="Q756" s="308" t="n"/>
      <c r="R756" s="283" t="n"/>
      <c r="S756" s="283" t="n"/>
      <c r="T756" s="283" t="n"/>
      <c r="U756" s="283" t="n"/>
      <c r="V756" s="283" t="n"/>
      <c r="W756" s="283" t="n"/>
      <c r="X756" s="283" t="n"/>
      <c r="Y756" s="283" t="n"/>
      <c r="Z756" s="283" t="n"/>
      <c r="AA756" s="283" t="n"/>
      <c r="AB756" s="283" t="n"/>
      <c r="AC756" s="283" t="n"/>
      <c r="AD756" s="283" t="n"/>
      <c r="AE756" s="283" t="n"/>
      <c r="AF756" s="283" t="n"/>
      <c r="AG756" s="283" t="n"/>
      <c r="AH756" s="283" t="n"/>
      <c r="AI756" s="283" t="n"/>
      <c r="AJ756" s="283" t="n"/>
      <c r="AK756" s="283" t="n"/>
      <c r="AL756" s="283" t="n"/>
      <c r="AM756" s="283" t="n"/>
      <c r="AN756" s="283" t="n"/>
      <c r="AO756" s="283" t="n"/>
      <c r="AP756" s="283" t="n"/>
      <c r="AQ756" s="283" t="n"/>
      <c r="AR756" s="283" t="n"/>
      <c r="AS756" s="283" t="n"/>
      <c r="AT756" s="283" t="n"/>
      <c r="AU756" s="283" t="n"/>
      <c r="AV756" s="283" t="n"/>
      <c r="AW756" s="283" t="n"/>
      <c r="AX756" s="283" t="n"/>
      <c r="AY756" s="283" t="n"/>
      <c r="AZ756" s="283" t="n"/>
      <c r="BA756" s="283" t="n"/>
      <c r="BB756" s="283" t="n"/>
      <c r="BC756" s="283" t="n"/>
      <c r="BD756" s="283" t="n"/>
      <c r="BE756" s="283" t="n"/>
      <c r="BF756" s="283" t="n"/>
      <c r="BG756" s="283" t="n"/>
      <c r="BH756" s="283" t="n"/>
    </row>
    <row r="757">
      <c r="B757" s="310" t="inlineStr">
        <is>
          <t>Expense#1</t>
        </is>
      </c>
      <c r="C757" s="311" t="inlineStr">
        <is>
          <t>:</t>
        </is>
      </c>
      <c r="D757" s="310" t="inlineStr">
        <is>
          <t>ALFA_ TLJ-58 (PEPZ4-Prabumulih field) SIJak- IC</t>
        </is>
      </c>
      <c r="E757" s="311" t="n"/>
      <c r="F757" s="311" t="n"/>
      <c r="G757" s="311" t="n"/>
      <c r="H757" s="311" t="n"/>
      <c r="I757" s="311" t="n"/>
      <c r="J757" s="311" t="n"/>
      <c r="K757" s="311" t="n"/>
      <c r="L757" s="311" t="n"/>
      <c r="M757" s="311" t="n"/>
      <c r="N757" s="311" t="n"/>
      <c r="O757" s="311" t="n"/>
      <c r="P757" s="311" t="n"/>
      <c r="Q757" s="311" t="n"/>
    </row>
    <row r="758">
      <c r="B758" s="312" t="n"/>
      <c r="C758" s="312" t="n"/>
      <c r="D758" s="285" t="inlineStr">
        <is>
          <t>Accommodation</t>
        </is>
      </c>
      <c r="E758" s="312" t="n"/>
      <c r="F758" s="312" t="n"/>
      <c r="G758" s="312" t="n"/>
      <c r="H758" s="312" t="n"/>
      <c r="I758" s="312" t="n"/>
      <c r="J758" s="312" t="n"/>
      <c r="K758" s="312" t="n"/>
      <c r="L758" s="312" t="n"/>
      <c r="M758" s="312" t="n"/>
      <c r="N758" s="312" t="n"/>
      <c r="O758" s="312" t="n"/>
      <c r="P758" s="312" t="n"/>
      <c r="Q758" s="312" t="n"/>
    </row>
    <row r="759" ht="18.75" customHeight="1">
      <c r="B759" s="288" t="n">
        <v>45329</v>
      </c>
      <c r="C759" s="289" t="n">
        <v>221</v>
      </c>
      <c r="D759" s="290" t="inlineStr">
        <is>
          <t>Hotel 7 Feb-8 Feb 2024 (1 days)</t>
        </is>
      </c>
      <c r="E759" s="306" t="inlineStr">
        <is>
          <t>-</t>
        </is>
      </c>
      <c r="F759" s="307" t="n">
        <v>200000</v>
      </c>
      <c r="G759" s="289" t="inlineStr">
        <is>
          <t>IDR</t>
        </is>
      </c>
      <c r="H759" s="293" t="n">
        <v>1</v>
      </c>
      <c r="I759" s="306" t="n"/>
      <c r="J759" s="306" t="n"/>
      <c r="K759" s="306" t="n"/>
      <c r="L759" s="307">
        <f>$F759*$H759</f>
        <v/>
      </c>
      <c r="M759" s="306" t="n"/>
      <c r="N759" s="306" t="n"/>
      <c r="O759" s="306" t="n"/>
      <c r="P759" s="306" t="n"/>
      <c r="Q759" s="306" t="n"/>
    </row>
    <row r="760" ht="18.75" customHeight="1">
      <c r="B760" s="288" t="n">
        <v>45329</v>
      </c>
      <c r="C760" s="289" t="n">
        <v>222</v>
      </c>
      <c r="D760" s="290" t="inlineStr">
        <is>
          <t>Hotel Prabumulih 8 Feb- 7 Mar 2024 (1 Month)</t>
        </is>
      </c>
      <c r="E760" s="306" t="inlineStr">
        <is>
          <t>-</t>
        </is>
      </c>
      <c r="F760" s="307" t="n">
        <v>3300000</v>
      </c>
      <c r="G760" s="289" t="inlineStr">
        <is>
          <t>IDR</t>
        </is>
      </c>
      <c r="H760" s="293" t="n">
        <v>1</v>
      </c>
      <c r="I760" s="306" t="n"/>
      <c r="J760" s="306" t="n"/>
      <c r="K760" s="306" t="n"/>
      <c r="L760" s="307">
        <f>$F760*$H760</f>
        <v/>
      </c>
      <c r="M760" s="306" t="n"/>
      <c r="N760" s="306" t="n"/>
      <c r="O760" s="306" t="n"/>
      <c r="P760" s="306" t="n"/>
      <c r="Q760" s="306" t="n"/>
    </row>
    <row r="761" ht="18.75" customHeight="1">
      <c r="B761" s="288" t="n">
        <v>45329</v>
      </c>
      <c r="C761" s="289" t="n">
        <v>223</v>
      </c>
      <c r="D761" s="290" t="inlineStr">
        <is>
          <t>Hotel 7 Feb-8 Feb 2024 (1 days)</t>
        </is>
      </c>
      <c r="E761" s="306" t="inlineStr">
        <is>
          <t>-</t>
        </is>
      </c>
      <c r="F761" s="307" t="n">
        <v>200000</v>
      </c>
      <c r="G761" s="289" t="inlineStr">
        <is>
          <t>IDR</t>
        </is>
      </c>
      <c r="H761" s="293" t="n">
        <v>1</v>
      </c>
      <c r="I761" s="306" t="n"/>
      <c r="J761" s="306" t="n"/>
      <c r="K761" s="306" t="n"/>
      <c r="L761" s="307">
        <f>$F761*$H761</f>
        <v/>
      </c>
      <c r="M761" s="306" t="n"/>
      <c r="N761" s="306" t="n"/>
      <c r="O761" s="306" t="n"/>
      <c r="P761" s="306" t="n"/>
      <c r="Q761" s="306" t="n"/>
    </row>
    <row r="762" ht="18.75" customHeight="1">
      <c r="B762" s="288" t="n">
        <v>45329</v>
      </c>
      <c r="C762" s="289" t="n">
        <v>224</v>
      </c>
      <c r="D762" s="290" t="inlineStr">
        <is>
          <t>Hotel Prabumulih 8 Feb- 7 Mar 2024 (1 Month)</t>
        </is>
      </c>
      <c r="E762" s="306" t="inlineStr">
        <is>
          <t>-</t>
        </is>
      </c>
      <c r="F762" s="307" t="n">
        <v>3300000</v>
      </c>
      <c r="G762" s="289" t="inlineStr">
        <is>
          <t>IDR</t>
        </is>
      </c>
      <c r="H762" s="293" t="n">
        <v>1</v>
      </c>
      <c r="I762" s="306" t="n"/>
      <c r="J762" s="306" t="n"/>
      <c r="K762" s="306" t="n"/>
      <c r="L762" s="307">
        <f>$F762*$H762</f>
        <v/>
      </c>
      <c r="M762" s="306" t="n"/>
      <c r="N762" s="306" t="n"/>
      <c r="O762" s="306" t="n"/>
      <c r="P762" s="306" t="n"/>
      <c r="Q762" s="306" t="n"/>
    </row>
    <row r="763" ht="18.75" customHeight="1">
      <c r="B763" s="288" t="n">
        <v>45329</v>
      </c>
      <c r="C763" s="289" t="n">
        <v>225</v>
      </c>
      <c r="D763" s="290" t="inlineStr">
        <is>
          <t>Hotel 7 Feb-8 Feb 2024 (1 days)</t>
        </is>
      </c>
      <c r="E763" s="306" t="inlineStr">
        <is>
          <t>-</t>
        </is>
      </c>
      <c r="F763" s="307" t="n">
        <v>200000</v>
      </c>
      <c r="G763" s="289" t="inlineStr">
        <is>
          <t>IDR</t>
        </is>
      </c>
      <c r="H763" s="293" t="n">
        <v>1</v>
      </c>
      <c r="I763" s="306" t="n"/>
      <c r="J763" s="306" t="n"/>
      <c r="K763" s="306" t="n"/>
      <c r="L763" s="307">
        <f>$F763*$H763</f>
        <v/>
      </c>
      <c r="M763" s="306" t="n"/>
      <c r="N763" s="306" t="n"/>
      <c r="O763" s="306" t="n"/>
      <c r="P763" s="306" t="n"/>
      <c r="Q763" s="306" t="n"/>
    </row>
    <row r="764" ht="18.75" customHeight="1">
      <c r="B764" s="288" t="n">
        <v>45329</v>
      </c>
      <c r="C764" s="289" t="n">
        <v>226</v>
      </c>
      <c r="D764" s="290" t="inlineStr">
        <is>
          <t>Hotel Prabumulih 8 Feb- 7 Mar 2024 (1 Month)</t>
        </is>
      </c>
      <c r="E764" s="306" t="inlineStr">
        <is>
          <t>-</t>
        </is>
      </c>
      <c r="F764" s="307" t="n">
        <v>3300000</v>
      </c>
      <c r="G764" s="289" t="inlineStr">
        <is>
          <t>IDR</t>
        </is>
      </c>
      <c r="H764" s="293" t="n">
        <v>1</v>
      </c>
      <c r="I764" s="306" t="n"/>
      <c r="J764" s="306" t="n"/>
      <c r="K764" s="306" t="n"/>
      <c r="L764" s="307">
        <f>$F764*$H764</f>
        <v/>
      </c>
      <c r="M764" s="306" t="n"/>
      <c r="N764" s="306" t="n"/>
      <c r="O764" s="306" t="n"/>
      <c r="P764" s="306" t="n"/>
      <c r="Q764" s="306" t="n"/>
    </row>
    <row r="765" ht="18.75" customHeight="1">
      <c r="B765" s="288" t="n">
        <v>45329</v>
      </c>
      <c r="C765" s="289" t="n">
        <v>227</v>
      </c>
      <c r="D765" s="290" t="inlineStr">
        <is>
          <t>Hotel 7 Feb-8 Feb 2024 (1 days)</t>
        </is>
      </c>
      <c r="E765" s="306" t="inlineStr">
        <is>
          <t>-</t>
        </is>
      </c>
      <c r="F765" s="307" t="n">
        <v>200000</v>
      </c>
      <c r="G765" s="289" t="inlineStr">
        <is>
          <t>IDR</t>
        </is>
      </c>
      <c r="H765" s="293" t="n">
        <v>1</v>
      </c>
      <c r="I765" s="306" t="n"/>
      <c r="J765" s="306" t="n"/>
      <c r="K765" s="306" t="n"/>
      <c r="L765" s="307">
        <f>$F765*$H765</f>
        <v/>
      </c>
      <c r="M765" s="306" t="n"/>
      <c r="N765" s="306" t="n"/>
      <c r="O765" s="306" t="n"/>
      <c r="P765" s="306" t="n"/>
      <c r="Q765" s="306" t="n"/>
    </row>
    <row r="766" ht="18.75" customHeight="1">
      <c r="B766" s="288" t="n">
        <v>45329</v>
      </c>
      <c r="C766" s="289" t="n">
        <v>228</v>
      </c>
      <c r="D766" s="290" t="inlineStr">
        <is>
          <t>Hotel Prabumulih 8 Feb- 7 Mar 2024 (1 Month)</t>
        </is>
      </c>
      <c r="E766" s="306" t="inlineStr">
        <is>
          <t>-</t>
        </is>
      </c>
      <c r="F766" s="307" t="n">
        <v>3300000</v>
      </c>
      <c r="G766" s="289" t="inlineStr">
        <is>
          <t>IDR</t>
        </is>
      </c>
      <c r="H766" s="293" t="n">
        <v>1</v>
      </c>
      <c r="I766" s="306" t="n"/>
      <c r="J766" s="306" t="n"/>
      <c r="K766" s="306" t="n"/>
      <c r="L766" s="307">
        <f>$F766*$H766</f>
        <v/>
      </c>
      <c r="M766" s="306" t="n"/>
      <c r="N766" s="306" t="n"/>
      <c r="O766" s="306" t="n"/>
      <c r="P766" s="306" t="n"/>
      <c r="Q766" s="306" t="n"/>
    </row>
    <row r="767">
      <c r="B767" s="312" t="n"/>
      <c r="C767" s="312" t="n"/>
      <c r="D767" s="285" t="inlineStr">
        <is>
          <t>Allowance</t>
        </is>
      </c>
      <c r="E767" s="312" t="n"/>
      <c r="F767" s="312" t="n"/>
      <c r="G767" s="312" t="n"/>
      <c r="H767" s="312" t="n"/>
      <c r="I767" s="312" t="n"/>
      <c r="J767" s="312" t="n"/>
      <c r="K767" s="312" t="n"/>
      <c r="L767" s="312" t="n"/>
      <c r="M767" s="312" t="n"/>
      <c r="N767" s="312" t="n"/>
      <c r="O767" s="312" t="n"/>
      <c r="P767" s="312" t="n"/>
      <c r="Q767" s="312" t="n"/>
    </row>
    <row r="768" ht="18.75" customHeight="1">
      <c r="B768" s="288" t="n">
        <v>45355</v>
      </c>
      <c r="C768" s="289" t="n">
        <v>229</v>
      </c>
      <c r="D768" s="290" t="inlineStr">
        <is>
          <t>Tunjangan Lapangan for 27 days</t>
        </is>
      </c>
      <c r="E768" s="306" t="inlineStr">
        <is>
          <t>-</t>
        </is>
      </c>
      <c r="F768" s="307" t="n">
        <v>2700</v>
      </c>
      <c r="G768" s="289" t="inlineStr">
        <is>
          <t>USD</t>
        </is>
      </c>
      <c r="H768" s="293" t="n">
        <v>15774</v>
      </c>
      <c r="I768" s="306" t="n"/>
      <c r="J768" s="306" t="n"/>
      <c r="K768" s="306" t="n"/>
      <c r="L768" s="307">
        <f>$F768*$H768</f>
        <v/>
      </c>
      <c r="M768" s="306" t="n"/>
      <c r="N768" s="306" t="n"/>
      <c r="O768" s="306" t="n"/>
      <c r="P768" s="306" t="n"/>
      <c r="Q768" s="306" t="n"/>
    </row>
    <row r="769" ht="18.75" customHeight="1">
      <c r="B769" s="288" t="n">
        <v>45355</v>
      </c>
      <c r="C769" s="289" t="n">
        <v>230</v>
      </c>
      <c r="D769" s="290" t="inlineStr">
        <is>
          <t>Tunjangan Lapangan for 27 days</t>
        </is>
      </c>
      <c r="E769" s="306" t="inlineStr">
        <is>
          <t>-</t>
        </is>
      </c>
      <c r="F769" s="307" t="n">
        <v>2700</v>
      </c>
      <c r="G769" s="289" t="inlineStr">
        <is>
          <t>USD</t>
        </is>
      </c>
      <c r="H769" s="293" t="n">
        <v>15774</v>
      </c>
      <c r="I769" s="306" t="n"/>
      <c r="J769" s="306" t="n"/>
      <c r="K769" s="306" t="n"/>
      <c r="L769" s="307">
        <f>$F769*$H769</f>
        <v/>
      </c>
      <c r="M769" s="306" t="n"/>
      <c r="N769" s="306" t="n"/>
      <c r="O769" s="306" t="n"/>
      <c r="P769" s="306" t="n"/>
      <c r="Q769" s="306" t="n"/>
    </row>
    <row r="770" ht="18.75" customHeight="1">
      <c r="B770" s="288" t="n">
        <v>45355</v>
      </c>
      <c r="C770" s="289" t="n">
        <v>231</v>
      </c>
      <c r="D770" s="290" t="inlineStr">
        <is>
          <t>Tunjangan Lapangan for 27 days</t>
        </is>
      </c>
      <c r="E770" s="306" t="inlineStr">
        <is>
          <t>-</t>
        </is>
      </c>
      <c r="F770" s="307" t="n">
        <v>2700</v>
      </c>
      <c r="G770" s="289" t="inlineStr">
        <is>
          <t>USD</t>
        </is>
      </c>
      <c r="H770" s="293" t="n">
        <v>15774</v>
      </c>
      <c r="I770" s="306" t="n"/>
      <c r="J770" s="306" t="n"/>
      <c r="K770" s="306" t="n"/>
      <c r="L770" s="307">
        <f>$F770*$H770</f>
        <v/>
      </c>
      <c r="M770" s="306" t="n"/>
      <c r="N770" s="306" t="n"/>
      <c r="O770" s="306" t="n"/>
      <c r="P770" s="306" t="n"/>
      <c r="Q770" s="306" t="n"/>
    </row>
    <row r="771" ht="18.75" customHeight="1">
      <c r="B771" s="288" t="n">
        <v>45355</v>
      </c>
      <c r="C771" s="289" t="n">
        <v>232</v>
      </c>
      <c r="D771" s="290" t="inlineStr">
        <is>
          <t>Tunjangan Lapangan for 27 days</t>
        </is>
      </c>
      <c r="E771" s="306" t="inlineStr">
        <is>
          <t>-</t>
        </is>
      </c>
      <c r="F771" s="307" t="n">
        <v>2700</v>
      </c>
      <c r="G771" s="289" t="inlineStr">
        <is>
          <t>USD</t>
        </is>
      </c>
      <c r="H771" s="293" t="n">
        <v>15774</v>
      </c>
      <c r="I771" s="306" t="n"/>
      <c r="J771" s="306" t="n"/>
      <c r="K771" s="306" t="n"/>
      <c r="L771" s="307">
        <f>$F771*$H771</f>
        <v/>
      </c>
      <c r="M771" s="306" t="n"/>
      <c r="N771" s="306" t="n"/>
      <c r="O771" s="306" t="n"/>
      <c r="P771" s="306" t="n"/>
      <c r="Q771" s="306" t="n"/>
    </row>
    <row r="772">
      <c r="B772" s="312" t="n"/>
      <c r="C772" s="312" t="n"/>
      <c r="D772" s="285" t="inlineStr">
        <is>
          <t>Hand Tools</t>
        </is>
      </c>
      <c r="E772" s="312" t="n"/>
      <c r="F772" s="312" t="n"/>
      <c r="G772" s="312" t="n"/>
      <c r="H772" s="312" t="n"/>
      <c r="I772" s="312" t="n"/>
      <c r="J772" s="312" t="n"/>
      <c r="K772" s="312" t="n"/>
      <c r="L772" s="312" t="n"/>
      <c r="M772" s="312" t="n"/>
      <c r="N772" s="312" t="n"/>
      <c r="O772" s="312" t="n"/>
      <c r="P772" s="312" t="n"/>
      <c r="Q772" s="312" t="n"/>
    </row>
    <row r="773" ht="18.75" customHeight="1">
      <c r="B773" s="288" t="n">
        <v>45329</v>
      </c>
      <c r="C773" s="289" t="n">
        <v>233</v>
      </c>
      <c r="D773" s="290" t="inlineStr">
        <is>
          <t>Gloves</t>
        </is>
      </c>
      <c r="E773" s="306" t="inlineStr">
        <is>
          <t>-</t>
        </is>
      </c>
      <c r="F773" s="307" t="n">
        <v>58500</v>
      </c>
      <c r="G773" s="289" t="inlineStr">
        <is>
          <t>IDR</t>
        </is>
      </c>
      <c r="H773" s="293" t="n">
        <v>1</v>
      </c>
      <c r="I773" s="306" t="n"/>
      <c r="J773" s="306" t="n"/>
      <c r="K773" s="306" t="n"/>
      <c r="L773" s="306" t="n"/>
      <c r="M773" s="306" t="n"/>
      <c r="N773" s="307">
        <f>$F773*$H773</f>
        <v/>
      </c>
      <c r="O773" s="306" t="n"/>
      <c r="P773" s="306" t="n"/>
      <c r="Q773" s="306" t="n"/>
    </row>
    <row r="774" ht="18.75" customHeight="1">
      <c r="B774" s="288" t="n">
        <v>45329</v>
      </c>
      <c r="C774" s="289" t="n">
        <v>234</v>
      </c>
      <c r="D774" s="290" t="inlineStr">
        <is>
          <t>Gloves</t>
        </is>
      </c>
      <c r="E774" s="306" t="inlineStr">
        <is>
          <t>-</t>
        </is>
      </c>
      <c r="F774" s="307" t="n">
        <v>58500</v>
      </c>
      <c r="G774" s="289" t="inlineStr">
        <is>
          <t>IDR</t>
        </is>
      </c>
      <c r="H774" s="293" t="n">
        <v>1</v>
      </c>
      <c r="I774" s="306" t="n"/>
      <c r="J774" s="306" t="n"/>
      <c r="K774" s="306" t="n"/>
      <c r="L774" s="306" t="n"/>
      <c r="M774" s="306" t="n"/>
      <c r="N774" s="307">
        <f>$F774*$H774</f>
        <v/>
      </c>
      <c r="O774" s="306" t="n"/>
      <c r="P774" s="306" t="n"/>
      <c r="Q774" s="306" t="n"/>
    </row>
    <row r="775" ht="18.75" customHeight="1">
      <c r="B775" s="288" t="n">
        <v>45329</v>
      </c>
      <c r="C775" s="289" t="n">
        <v>235</v>
      </c>
      <c r="D775" s="290" t="inlineStr">
        <is>
          <t>Gloves</t>
        </is>
      </c>
      <c r="E775" s="306" t="inlineStr">
        <is>
          <t>-</t>
        </is>
      </c>
      <c r="F775" s="307" t="n">
        <v>58500</v>
      </c>
      <c r="G775" s="289" t="inlineStr">
        <is>
          <t>IDR</t>
        </is>
      </c>
      <c r="H775" s="293" t="n">
        <v>1</v>
      </c>
      <c r="I775" s="306" t="n"/>
      <c r="J775" s="306" t="n"/>
      <c r="K775" s="306" t="n"/>
      <c r="L775" s="306" t="n"/>
      <c r="M775" s="306" t="n"/>
      <c r="N775" s="307">
        <f>$F775*$H775</f>
        <v/>
      </c>
      <c r="O775" s="306" t="n"/>
      <c r="P775" s="306" t="n"/>
      <c r="Q775" s="306" t="n"/>
    </row>
    <row r="776" ht="18.75" customHeight="1">
      <c r="B776" s="288" t="n">
        <v>45329</v>
      </c>
      <c r="C776" s="289" t="n">
        <v>236</v>
      </c>
      <c r="D776" s="290" t="inlineStr">
        <is>
          <t>Gloves</t>
        </is>
      </c>
      <c r="E776" s="306" t="inlineStr">
        <is>
          <t>-</t>
        </is>
      </c>
      <c r="F776" s="307" t="n">
        <v>58500</v>
      </c>
      <c r="G776" s="289" t="inlineStr">
        <is>
          <t>IDR</t>
        </is>
      </c>
      <c r="H776" s="293" t="n">
        <v>1</v>
      </c>
      <c r="I776" s="306" t="n"/>
      <c r="J776" s="306" t="n"/>
      <c r="K776" s="306" t="n"/>
      <c r="L776" s="306" t="n"/>
      <c r="M776" s="306" t="n"/>
      <c r="N776" s="307">
        <f>$F776*$H776</f>
        <v/>
      </c>
      <c r="O776" s="306" t="n"/>
      <c r="P776" s="306" t="n"/>
      <c r="Q776" s="306" t="n"/>
    </row>
    <row r="777" ht="18.75" customHeight="1">
      <c r="B777" s="288" t="n">
        <v>45341</v>
      </c>
      <c r="C777" s="289" t="n">
        <v>237</v>
      </c>
      <c r="D777" s="290" t="inlineStr">
        <is>
          <t>Steker</t>
        </is>
      </c>
      <c r="E777" s="306" t="inlineStr">
        <is>
          <t>-</t>
        </is>
      </c>
      <c r="F777" s="307" t="n">
        <v>14000</v>
      </c>
      <c r="G777" s="289" t="inlineStr">
        <is>
          <t>IDR</t>
        </is>
      </c>
      <c r="H777" s="293" t="n">
        <v>1</v>
      </c>
      <c r="I777" s="306" t="n"/>
      <c r="J777" s="306" t="n"/>
      <c r="K777" s="306" t="n"/>
      <c r="L777" s="306" t="n"/>
      <c r="M777" s="306" t="n"/>
      <c r="N777" s="307">
        <f>$F777*$H777</f>
        <v/>
      </c>
      <c r="O777" s="306" t="n"/>
      <c r="P777" s="306" t="n"/>
      <c r="Q777" s="306" t="n"/>
    </row>
    <row r="778" ht="18.75" customHeight="1">
      <c r="B778" s="288" t="n">
        <v>45341</v>
      </c>
      <c r="C778" s="289" t="n">
        <v>238</v>
      </c>
      <c r="D778" s="290" t="inlineStr">
        <is>
          <t>Steker</t>
        </is>
      </c>
      <c r="E778" s="306" t="inlineStr">
        <is>
          <t>-</t>
        </is>
      </c>
      <c r="F778" s="307" t="n">
        <v>14000</v>
      </c>
      <c r="G778" s="289" t="inlineStr">
        <is>
          <t>IDR</t>
        </is>
      </c>
      <c r="H778" s="293" t="n">
        <v>1</v>
      </c>
      <c r="I778" s="306" t="n"/>
      <c r="J778" s="306" t="n"/>
      <c r="K778" s="306" t="n"/>
      <c r="L778" s="306" t="n"/>
      <c r="M778" s="306" t="n"/>
      <c r="N778" s="307">
        <f>$F778*$H778</f>
        <v/>
      </c>
      <c r="O778" s="306" t="n"/>
      <c r="P778" s="306" t="n"/>
      <c r="Q778" s="306" t="n"/>
    </row>
    <row r="779" ht="18.75" customHeight="1">
      <c r="B779" s="288" t="n">
        <v>45341</v>
      </c>
      <c r="C779" s="289" t="n">
        <v>239</v>
      </c>
      <c r="D779" s="290" t="inlineStr">
        <is>
          <t>Steker</t>
        </is>
      </c>
      <c r="E779" s="306" t="inlineStr">
        <is>
          <t>-</t>
        </is>
      </c>
      <c r="F779" s="307" t="n">
        <v>14000</v>
      </c>
      <c r="G779" s="289" t="inlineStr">
        <is>
          <t>IDR</t>
        </is>
      </c>
      <c r="H779" s="293" t="n">
        <v>1</v>
      </c>
      <c r="I779" s="306" t="n"/>
      <c r="J779" s="306" t="n"/>
      <c r="K779" s="306" t="n"/>
      <c r="L779" s="306" t="n"/>
      <c r="M779" s="306" t="n"/>
      <c r="N779" s="307">
        <f>$F779*$H779</f>
        <v/>
      </c>
      <c r="O779" s="306" t="n"/>
      <c r="P779" s="306" t="n"/>
      <c r="Q779" s="306" t="n"/>
    </row>
    <row r="780" ht="18.75" customHeight="1">
      <c r="B780" s="288" t="n">
        <v>45341</v>
      </c>
      <c r="C780" s="289" t="n">
        <v>240</v>
      </c>
      <c r="D780" s="290" t="inlineStr">
        <is>
          <t>Steker</t>
        </is>
      </c>
      <c r="E780" s="306" t="inlineStr">
        <is>
          <t>-</t>
        </is>
      </c>
      <c r="F780" s="307" t="n">
        <v>14000</v>
      </c>
      <c r="G780" s="289" t="inlineStr">
        <is>
          <t>IDR</t>
        </is>
      </c>
      <c r="H780" s="293" t="n">
        <v>1</v>
      </c>
      <c r="I780" s="306" t="n"/>
      <c r="J780" s="306" t="n"/>
      <c r="K780" s="306" t="n"/>
      <c r="L780" s="306" t="n"/>
      <c r="M780" s="306" t="n"/>
      <c r="N780" s="307">
        <f>$F780*$H780</f>
        <v/>
      </c>
      <c r="O780" s="306" t="n"/>
      <c r="P780" s="306" t="n"/>
      <c r="Q780" s="306" t="n"/>
    </row>
    <row r="781" ht="18.75" customHeight="1">
      <c r="B781" s="288" t="n">
        <v>45344</v>
      </c>
      <c r="C781" s="289" t="n">
        <v>241</v>
      </c>
      <c r="D781" s="290" t="inlineStr">
        <is>
          <t>Gloves</t>
        </is>
      </c>
      <c r="E781" s="306" t="inlineStr">
        <is>
          <t>-</t>
        </is>
      </c>
      <c r="F781" s="307" t="n">
        <v>65000</v>
      </c>
      <c r="G781" s="289" t="inlineStr">
        <is>
          <t>IDR</t>
        </is>
      </c>
      <c r="H781" s="293" t="n">
        <v>1</v>
      </c>
      <c r="I781" s="306" t="n"/>
      <c r="J781" s="306" t="n"/>
      <c r="K781" s="306" t="n"/>
      <c r="L781" s="306" t="n"/>
      <c r="M781" s="306" t="n"/>
      <c r="N781" s="307">
        <f>$F781*$H781</f>
        <v/>
      </c>
      <c r="O781" s="306" t="n"/>
      <c r="P781" s="306" t="n"/>
      <c r="Q781" s="306" t="n"/>
    </row>
    <row r="782" ht="18.75" customHeight="1">
      <c r="B782" s="288" t="n">
        <v>45344</v>
      </c>
      <c r="C782" s="289" t="n">
        <v>242</v>
      </c>
      <c r="D782" s="290" t="inlineStr">
        <is>
          <t>Gloves</t>
        </is>
      </c>
      <c r="E782" s="306" t="inlineStr">
        <is>
          <t>-</t>
        </is>
      </c>
      <c r="F782" s="307" t="n">
        <v>65000</v>
      </c>
      <c r="G782" s="289" t="inlineStr">
        <is>
          <t>IDR</t>
        </is>
      </c>
      <c r="H782" s="293" t="n">
        <v>1</v>
      </c>
      <c r="I782" s="306" t="n"/>
      <c r="J782" s="306" t="n"/>
      <c r="K782" s="306" t="n"/>
      <c r="L782" s="306" t="n"/>
      <c r="M782" s="306" t="n"/>
      <c r="N782" s="307">
        <f>$F782*$H782</f>
        <v/>
      </c>
      <c r="O782" s="306" t="n"/>
      <c r="P782" s="306" t="n"/>
      <c r="Q782" s="306" t="n"/>
    </row>
    <row r="783" ht="18.75" customHeight="1">
      <c r="B783" s="288" t="n">
        <v>45344</v>
      </c>
      <c r="C783" s="289" t="n">
        <v>243</v>
      </c>
      <c r="D783" s="290" t="inlineStr">
        <is>
          <t>Gloves</t>
        </is>
      </c>
      <c r="E783" s="306" t="inlineStr">
        <is>
          <t>-</t>
        </is>
      </c>
      <c r="F783" s="307" t="n">
        <v>65000</v>
      </c>
      <c r="G783" s="289" t="inlineStr">
        <is>
          <t>IDR</t>
        </is>
      </c>
      <c r="H783" s="293" t="n">
        <v>1</v>
      </c>
      <c r="I783" s="306" t="n"/>
      <c r="J783" s="306" t="n"/>
      <c r="K783" s="306" t="n"/>
      <c r="L783" s="306" t="n"/>
      <c r="M783" s="306" t="n"/>
      <c r="N783" s="307">
        <f>$F783*$H783</f>
        <v/>
      </c>
      <c r="O783" s="306" t="n"/>
      <c r="P783" s="306" t="n"/>
      <c r="Q783" s="306" t="n"/>
    </row>
    <row r="784" ht="18.75" customHeight="1">
      <c r="B784" s="288" t="n">
        <v>45344</v>
      </c>
      <c r="C784" s="289" t="n">
        <v>244</v>
      </c>
      <c r="D784" s="290" t="inlineStr">
        <is>
          <t>Gloves</t>
        </is>
      </c>
      <c r="E784" s="306" t="inlineStr">
        <is>
          <t>-</t>
        </is>
      </c>
      <c r="F784" s="307" t="n">
        <v>65000</v>
      </c>
      <c r="G784" s="289" t="inlineStr">
        <is>
          <t>IDR</t>
        </is>
      </c>
      <c r="H784" s="293" t="n">
        <v>1</v>
      </c>
      <c r="I784" s="306" t="n"/>
      <c r="J784" s="306" t="n"/>
      <c r="K784" s="306" t="n"/>
      <c r="L784" s="306" t="n"/>
      <c r="M784" s="306" t="n"/>
      <c r="N784" s="307">
        <f>$F784*$H784</f>
        <v/>
      </c>
      <c r="O784" s="306" t="n"/>
      <c r="P784" s="306" t="n"/>
      <c r="Q784" s="306" t="n"/>
    </row>
    <row r="785">
      <c r="B785" s="312" t="n"/>
      <c r="C785" s="312" t="n"/>
      <c r="D785" s="285" t="inlineStr">
        <is>
          <t>Laundry</t>
        </is>
      </c>
      <c r="E785" s="312" t="n"/>
      <c r="F785" s="312" t="n"/>
      <c r="G785" s="312" t="n"/>
      <c r="H785" s="312" t="n"/>
      <c r="I785" s="312" t="n"/>
      <c r="J785" s="312" t="n"/>
      <c r="K785" s="312" t="n"/>
      <c r="L785" s="312" t="n"/>
      <c r="M785" s="312" t="n"/>
      <c r="N785" s="312" t="n"/>
      <c r="O785" s="312" t="n"/>
      <c r="P785" s="312" t="n"/>
      <c r="Q785" s="312" t="n"/>
    </row>
    <row r="786" ht="18.75" customHeight="1">
      <c r="B786" s="288" t="n">
        <v>45355</v>
      </c>
      <c r="C786" s="289" t="n">
        <v>245</v>
      </c>
      <c r="D786" s="290" t="inlineStr">
        <is>
          <t>Laundry 27 days 1 Persons @ 50K IDR/day</t>
        </is>
      </c>
      <c r="E786" s="306" t="inlineStr">
        <is>
          <t>-</t>
        </is>
      </c>
      <c r="F786" s="307" t="n">
        <v>1350000</v>
      </c>
      <c r="G786" s="289" t="inlineStr">
        <is>
          <t>IDR</t>
        </is>
      </c>
      <c r="H786" s="293" t="n">
        <v>1</v>
      </c>
      <c r="I786" s="306" t="n"/>
      <c r="J786" s="306" t="n"/>
      <c r="K786" s="306" t="n"/>
      <c r="L786" s="307">
        <f>$F786*$H786</f>
        <v/>
      </c>
      <c r="M786" s="306" t="n"/>
      <c r="N786" s="306" t="n"/>
      <c r="O786" s="306" t="n"/>
      <c r="P786" s="306" t="n"/>
      <c r="Q786" s="306" t="n"/>
    </row>
    <row r="787" ht="18.75" customHeight="1">
      <c r="B787" s="288" t="n">
        <v>45355</v>
      </c>
      <c r="C787" s="289" t="n">
        <v>246</v>
      </c>
      <c r="D787" s="290" t="inlineStr">
        <is>
          <t>Laundry 27 days 1 Persons @ 50K IDR/day</t>
        </is>
      </c>
      <c r="E787" s="306" t="inlineStr">
        <is>
          <t>-</t>
        </is>
      </c>
      <c r="F787" s="307" t="n">
        <v>1350000</v>
      </c>
      <c r="G787" s="289" t="inlineStr">
        <is>
          <t>IDR</t>
        </is>
      </c>
      <c r="H787" s="293" t="n">
        <v>1</v>
      </c>
      <c r="I787" s="306" t="n"/>
      <c r="J787" s="306" t="n"/>
      <c r="K787" s="306" t="n"/>
      <c r="L787" s="307">
        <f>$F787*$H787</f>
        <v/>
      </c>
      <c r="M787" s="306" t="n"/>
      <c r="N787" s="306" t="n"/>
      <c r="O787" s="306" t="n"/>
      <c r="P787" s="306" t="n"/>
      <c r="Q787" s="306" t="n"/>
    </row>
    <row r="788" ht="18.75" customHeight="1">
      <c r="B788" s="288" t="n">
        <v>45355</v>
      </c>
      <c r="C788" s="289" t="n">
        <v>247</v>
      </c>
      <c r="D788" s="290" t="inlineStr">
        <is>
          <t>Laundry 27 days 1 Persons @ 50K IDR/day</t>
        </is>
      </c>
      <c r="E788" s="306" t="inlineStr">
        <is>
          <t>-</t>
        </is>
      </c>
      <c r="F788" s="307" t="n">
        <v>1350000</v>
      </c>
      <c r="G788" s="289" t="inlineStr">
        <is>
          <t>IDR</t>
        </is>
      </c>
      <c r="H788" s="293" t="n">
        <v>1</v>
      </c>
      <c r="I788" s="306" t="n"/>
      <c r="J788" s="306" t="n"/>
      <c r="K788" s="306" t="n"/>
      <c r="L788" s="307">
        <f>$F788*$H788</f>
        <v/>
      </c>
      <c r="M788" s="306" t="n"/>
      <c r="N788" s="306" t="n"/>
      <c r="O788" s="306" t="n"/>
      <c r="P788" s="306" t="n"/>
      <c r="Q788" s="306" t="n"/>
    </row>
    <row r="789" ht="18.75" customHeight="1">
      <c r="B789" s="288" t="n">
        <v>45355</v>
      </c>
      <c r="C789" s="289" t="n">
        <v>248</v>
      </c>
      <c r="D789" s="290" t="inlineStr">
        <is>
          <t>Laundry 27 days 1 Persons @ 50K IDR/day</t>
        </is>
      </c>
      <c r="E789" s="306" t="inlineStr">
        <is>
          <t>-</t>
        </is>
      </c>
      <c r="F789" s="307" t="n">
        <v>1350000</v>
      </c>
      <c r="G789" s="289" t="inlineStr">
        <is>
          <t>IDR</t>
        </is>
      </c>
      <c r="H789" s="293" t="n">
        <v>1</v>
      </c>
      <c r="I789" s="306" t="n"/>
      <c r="J789" s="306" t="n"/>
      <c r="K789" s="306" t="n"/>
      <c r="L789" s="307">
        <f>$F789*$H789</f>
        <v/>
      </c>
      <c r="M789" s="306" t="n"/>
      <c r="N789" s="306" t="n"/>
      <c r="O789" s="306" t="n"/>
      <c r="P789" s="306" t="n"/>
      <c r="Q789" s="306" t="n"/>
    </row>
    <row r="790">
      <c r="B790" s="312" t="n"/>
      <c r="C790" s="312" t="n"/>
      <c r="D790" s="285" t="inlineStr">
        <is>
          <t>Meal</t>
        </is>
      </c>
      <c r="E790" s="312" t="n"/>
      <c r="F790" s="312" t="n"/>
      <c r="G790" s="312" t="n"/>
      <c r="H790" s="312" t="n"/>
      <c r="I790" s="312" t="n"/>
      <c r="J790" s="312" t="n"/>
      <c r="K790" s="312" t="n"/>
      <c r="L790" s="312" t="n"/>
      <c r="M790" s="312" t="n"/>
      <c r="N790" s="312" t="n"/>
      <c r="O790" s="312" t="n"/>
      <c r="P790" s="312" t="n"/>
      <c r="Q790" s="312" t="n"/>
    </row>
    <row r="791" ht="18.75" customHeight="1">
      <c r="B791" s="288" t="n">
        <v>45355</v>
      </c>
      <c r="C791" s="289" t="n">
        <v>249</v>
      </c>
      <c r="D791" s="290" t="inlineStr">
        <is>
          <t>Meal Crew's Operational</t>
        </is>
      </c>
      <c r="E791" s="306" t="inlineStr">
        <is>
          <t>-</t>
        </is>
      </c>
      <c r="F791" s="307" t="n">
        <v>1966300</v>
      </c>
      <c r="G791" s="289" t="inlineStr">
        <is>
          <t>IDR</t>
        </is>
      </c>
      <c r="H791" s="293" t="n">
        <v>1</v>
      </c>
      <c r="I791" s="306" t="n"/>
      <c r="J791" s="306" t="n"/>
      <c r="K791" s="306" t="n"/>
      <c r="L791" s="307">
        <f>$F791*$H791</f>
        <v/>
      </c>
      <c r="M791" s="306" t="n"/>
      <c r="N791" s="306" t="n"/>
      <c r="O791" s="306" t="n"/>
      <c r="P791" s="306" t="n"/>
      <c r="Q791" s="306" t="n"/>
    </row>
    <row r="792" ht="18.75" customHeight="1">
      <c r="B792" s="288" t="n">
        <v>45355</v>
      </c>
      <c r="C792" s="289" t="n">
        <v>250</v>
      </c>
      <c r="D792" s="290" t="inlineStr">
        <is>
          <t>Meals 27 days 1 Persons @ 150K IDR/day</t>
        </is>
      </c>
      <c r="E792" s="306" t="inlineStr">
        <is>
          <t>-</t>
        </is>
      </c>
      <c r="F792" s="307" t="n">
        <v>4050000</v>
      </c>
      <c r="G792" s="289" t="inlineStr">
        <is>
          <t>IDR</t>
        </is>
      </c>
      <c r="H792" s="293" t="n">
        <v>1</v>
      </c>
      <c r="I792" s="306" t="n"/>
      <c r="J792" s="306" t="n"/>
      <c r="K792" s="306" t="n"/>
      <c r="L792" s="307">
        <f>$F792*$H792</f>
        <v/>
      </c>
      <c r="M792" s="306" t="n"/>
      <c r="N792" s="306" t="n"/>
      <c r="O792" s="306" t="n"/>
      <c r="P792" s="306" t="n"/>
      <c r="Q792" s="306" t="n"/>
    </row>
    <row r="793" ht="18.75" customHeight="1">
      <c r="B793" s="288" t="n">
        <v>45355</v>
      </c>
      <c r="C793" s="289" t="n">
        <v>251</v>
      </c>
      <c r="D793" s="290" t="inlineStr">
        <is>
          <t>Meal Crew's Operational</t>
        </is>
      </c>
      <c r="E793" s="306" t="inlineStr">
        <is>
          <t>-</t>
        </is>
      </c>
      <c r="F793" s="307" t="n">
        <v>1966300</v>
      </c>
      <c r="G793" s="289" t="inlineStr">
        <is>
          <t>IDR</t>
        </is>
      </c>
      <c r="H793" s="293" t="n">
        <v>1</v>
      </c>
      <c r="I793" s="306" t="n"/>
      <c r="J793" s="306" t="n"/>
      <c r="K793" s="306" t="n"/>
      <c r="L793" s="307">
        <f>$F793*$H793</f>
        <v/>
      </c>
      <c r="M793" s="306" t="n"/>
      <c r="N793" s="306" t="n"/>
      <c r="O793" s="306" t="n"/>
      <c r="P793" s="306" t="n"/>
      <c r="Q793" s="306" t="n"/>
    </row>
    <row r="794" ht="18.75" customHeight="1">
      <c r="B794" s="288" t="n">
        <v>45355</v>
      </c>
      <c r="C794" s="289" t="n">
        <v>252</v>
      </c>
      <c r="D794" s="290" t="inlineStr">
        <is>
          <t>Meals 27 days 1 Persons @ 150K IDR/day</t>
        </is>
      </c>
      <c r="E794" s="306" t="inlineStr">
        <is>
          <t>-</t>
        </is>
      </c>
      <c r="F794" s="307" t="n">
        <v>4050000</v>
      </c>
      <c r="G794" s="289" t="inlineStr">
        <is>
          <t>IDR</t>
        </is>
      </c>
      <c r="H794" s="293" t="n">
        <v>1</v>
      </c>
      <c r="I794" s="306" t="n"/>
      <c r="J794" s="306" t="n"/>
      <c r="K794" s="306" t="n"/>
      <c r="L794" s="307">
        <f>$F794*$H794</f>
        <v/>
      </c>
      <c r="M794" s="306" t="n"/>
      <c r="N794" s="306" t="n"/>
      <c r="O794" s="306" t="n"/>
      <c r="P794" s="306" t="n"/>
      <c r="Q794" s="306" t="n"/>
    </row>
    <row r="795" ht="18.75" customHeight="1">
      <c r="B795" s="288" t="n">
        <v>45355</v>
      </c>
      <c r="C795" s="289" t="n">
        <v>253</v>
      </c>
      <c r="D795" s="290" t="inlineStr">
        <is>
          <t>Meal Crew's Operational</t>
        </is>
      </c>
      <c r="E795" s="306" t="inlineStr">
        <is>
          <t>-</t>
        </is>
      </c>
      <c r="F795" s="307" t="n">
        <v>1966300</v>
      </c>
      <c r="G795" s="289" t="inlineStr">
        <is>
          <t>IDR</t>
        </is>
      </c>
      <c r="H795" s="293" t="n">
        <v>1</v>
      </c>
      <c r="I795" s="306" t="n"/>
      <c r="J795" s="306" t="n"/>
      <c r="K795" s="306" t="n"/>
      <c r="L795" s="307">
        <f>$F795*$H795</f>
        <v/>
      </c>
      <c r="M795" s="306" t="n"/>
      <c r="N795" s="306" t="n"/>
      <c r="O795" s="306" t="n"/>
      <c r="P795" s="306" t="n"/>
      <c r="Q795" s="306" t="n"/>
    </row>
    <row r="796" ht="18.75" customHeight="1">
      <c r="B796" s="288" t="n">
        <v>45355</v>
      </c>
      <c r="C796" s="289" t="n">
        <v>254</v>
      </c>
      <c r="D796" s="290" t="inlineStr">
        <is>
          <t>Meals 27 days 1 Persons @ 150K IDR/day</t>
        </is>
      </c>
      <c r="E796" s="306" t="inlineStr">
        <is>
          <t>-</t>
        </is>
      </c>
      <c r="F796" s="307" t="n">
        <v>4050000</v>
      </c>
      <c r="G796" s="289" t="inlineStr">
        <is>
          <t>IDR</t>
        </is>
      </c>
      <c r="H796" s="293" t="n">
        <v>1</v>
      </c>
      <c r="I796" s="306" t="n"/>
      <c r="J796" s="306" t="n"/>
      <c r="K796" s="306" t="n"/>
      <c r="L796" s="307">
        <f>$F796*$H796</f>
        <v/>
      </c>
      <c r="M796" s="306" t="n"/>
      <c r="N796" s="306" t="n"/>
      <c r="O796" s="306" t="n"/>
      <c r="P796" s="306" t="n"/>
      <c r="Q796" s="306" t="n"/>
    </row>
    <row r="797" ht="18.75" customHeight="1">
      <c r="B797" s="288" t="n">
        <v>45355</v>
      </c>
      <c r="C797" s="289" t="n">
        <v>255</v>
      </c>
      <c r="D797" s="290" t="inlineStr">
        <is>
          <t>Meal Crew's Operational</t>
        </is>
      </c>
      <c r="E797" s="306" t="inlineStr">
        <is>
          <t>-</t>
        </is>
      </c>
      <c r="F797" s="307" t="n">
        <v>1966300</v>
      </c>
      <c r="G797" s="289" t="inlineStr">
        <is>
          <t>IDR</t>
        </is>
      </c>
      <c r="H797" s="293" t="n">
        <v>1</v>
      </c>
      <c r="I797" s="306" t="n"/>
      <c r="J797" s="306" t="n"/>
      <c r="K797" s="306" t="n"/>
      <c r="L797" s="307">
        <f>$F797*$H797</f>
        <v/>
      </c>
      <c r="M797" s="306" t="n"/>
      <c r="N797" s="306" t="n"/>
      <c r="O797" s="306" t="n"/>
      <c r="P797" s="306" t="n"/>
      <c r="Q797" s="306" t="n"/>
    </row>
    <row r="798" ht="18.75" customHeight="1">
      <c r="B798" s="288" t="n">
        <v>45355</v>
      </c>
      <c r="C798" s="289" t="n">
        <v>256</v>
      </c>
      <c r="D798" s="290" t="inlineStr">
        <is>
          <t>Meals 27 days 1 Persons @ 150K IDR/day</t>
        </is>
      </c>
      <c r="E798" s="306" t="inlineStr">
        <is>
          <t>-</t>
        </is>
      </c>
      <c r="F798" s="307" t="n">
        <v>4050000</v>
      </c>
      <c r="G798" s="289" t="inlineStr">
        <is>
          <t>IDR</t>
        </is>
      </c>
      <c r="H798" s="293" t="n">
        <v>1</v>
      </c>
      <c r="I798" s="306" t="n"/>
      <c r="J798" s="306" t="n"/>
      <c r="K798" s="306" t="n"/>
      <c r="L798" s="307">
        <f>$F798*$H798</f>
        <v/>
      </c>
      <c r="M798" s="306" t="n"/>
      <c r="N798" s="306" t="n"/>
      <c r="O798" s="306" t="n"/>
      <c r="P798" s="306" t="n"/>
      <c r="Q798" s="306" t="n"/>
    </row>
    <row r="799">
      <c r="B799" s="312" t="n"/>
      <c r="C799" s="312" t="n"/>
      <c r="D799" s="285" t="inlineStr">
        <is>
          <t>Sparepart</t>
        </is>
      </c>
      <c r="E799" s="312" t="n"/>
      <c r="F799" s="312" t="n"/>
      <c r="G799" s="312" t="n"/>
      <c r="H799" s="312" t="n"/>
      <c r="I799" s="312" t="n"/>
      <c r="J799" s="312" t="n"/>
      <c r="K799" s="312" t="n"/>
      <c r="L799" s="312" t="n"/>
      <c r="M799" s="312" t="n"/>
      <c r="N799" s="312" t="n"/>
      <c r="O799" s="312" t="n"/>
      <c r="P799" s="312" t="n"/>
      <c r="Q799" s="312" t="n"/>
    </row>
    <row r="800" ht="18.75" customHeight="1">
      <c r="B800" s="288" t="n">
        <v>45341</v>
      </c>
      <c r="C800" s="289" t="n">
        <v>257</v>
      </c>
      <c r="D800" s="290" t="inlineStr">
        <is>
          <t>Battery A3</t>
        </is>
      </c>
      <c r="E800" s="306" t="inlineStr">
        <is>
          <t>-</t>
        </is>
      </c>
      <c r="F800" s="307" t="n">
        <v>82100</v>
      </c>
      <c r="G800" s="289" t="inlineStr">
        <is>
          <t>IDR</t>
        </is>
      </c>
      <c r="H800" s="293" t="n">
        <v>1</v>
      </c>
      <c r="I800" s="306" t="n"/>
      <c r="J800" s="306" t="n"/>
      <c r="K800" s="306" t="n"/>
      <c r="L800" s="306" t="n"/>
      <c r="M800" s="306" t="n"/>
      <c r="N800" s="307">
        <f>$F800*$H800</f>
        <v/>
      </c>
      <c r="O800" s="306" t="n"/>
      <c r="P800" s="306" t="n"/>
      <c r="Q800" s="306" t="n"/>
    </row>
    <row r="801" ht="18.75" customHeight="1">
      <c r="B801" s="288" t="n">
        <v>45341</v>
      </c>
      <c r="C801" s="289" t="n">
        <v>258</v>
      </c>
      <c r="D801" s="290" t="inlineStr">
        <is>
          <t>Battery A3</t>
        </is>
      </c>
      <c r="E801" s="306" t="inlineStr">
        <is>
          <t>-</t>
        </is>
      </c>
      <c r="F801" s="307" t="n">
        <v>82100</v>
      </c>
      <c r="G801" s="289" t="inlineStr">
        <is>
          <t>IDR</t>
        </is>
      </c>
      <c r="H801" s="293" t="n">
        <v>1</v>
      </c>
      <c r="I801" s="306" t="n"/>
      <c r="J801" s="306" t="n"/>
      <c r="K801" s="306" t="n"/>
      <c r="L801" s="306" t="n"/>
      <c r="M801" s="306" t="n"/>
      <c r="N801" s="307">
        <f>$F801*$H801</f>
        <v/>
      </c>
      <c r="O801" s="306" t="n"/>
      <c r="P801" s="306" t="n"/>
      <c r="Q801" s="306" t="n"/>
    </row>
    <row r="802" ht="18.75" customHeight="1">
      <c r="B802" s="288" t="n">
        <v>45341</v>
      </c>
      <c r="C802" s="289" t="n">
        <v>259</v>
      </c>
      <c r="D802" s="290" t="inlineStr">
        <is>
          <t>Battery A3</t>
        </is>
      </c>
      <c r="E802" s="306" t="inlineStr">
        <is>
          <t>-</t>
        </is>
      </c>
      <c r="F802" s="307" t="n">
        <v>82100</v>
      </c>
      <c r="G802" s="289" t="inlineStr">
        <is>
          <t>IDR</t>
        </is>
      </c>
      <c r="H802" s="293" t="n">
        <v>1</v>
      </c>
      <c r="I802" s="306" t="n"/>
      <c r="J802" s="306" t="n"/>
      <c r="K802" s="306" t="n"/>
      <c r="L802" s="306" t="n"/>
      <c r="M802" s="306" t="n"/>
      <c r="N802" s="307">
        <f>$F802*$H802</f>
        <v/>
      </c>
      <c r="O802" s="306" t="n"/>
      <c r="P802" s="306" t="n"/>
      <c r="Q802" s="306" t="n"/>
    </row>
    <row r="803" ht="18.75" customHeight="1">
      <c r="B803" s="288" t="n">
        <v>45341</v>
      </c>
      <c r="C803" s="289" t="n">
        <v>260</v>
      </c>
      <c r="D803" s="290" t="inlineStr">
        <is>
          <t>Battery A3</t>
        </is>
      </c>
      <c r="E803" s="306" t="inlineStr">
        <is>
          <t>-</t>
        </is>
      </c>
      <c r="F803" s="307" t="n">
        <v>82100</v>
      </c>
      <c r="G803" s="289" t="inlineStr">
        <is>
          <t>IDR</t>
        </is>
      </c>
      <c r="H803" s="293" t="n">
        <v>1</v>
      </c>
      <c r="I803" s="306" t="n"/>
      <c r="J803" s="306" t="n"/>
      <c r="K803" s="306" t="n"/>
      <c r="L803" s="306" t="n"/>
      <c r="M803" s="306" t="n"/>
      <c r="N803" s="307">
        <f>$F803*$H803</f>
        <v/>
      </c>
      <c r="O803" s="306" t="n"/>
      <c r="P803" s="306" t="n"/>
      <c r="Q803" s="306" t="n"/>
    </row>
    <row r="804" ht="18.75" customHeight="1">
      <c r="B804" s="288" t="n">
        <v>45347</v>
      </c>
      <c r="C804" s="289" t="n">
        <v>261</v>
      </c>
      <c r="D804" s="290" t="inlineStr">
        <is>
          <t>White Marker</t>
        </is>
      </c>
      <c r="E804" s="306" t="inlineStr">
        <is>
          <t>-</t>
        </is>
      </c>
      <c r="F804" s="307" t="n">
        <v>19000</v>
      </c>
      <c r="G804" s="289" t="inlineStr">
        <is>
          <t>IDR</t>
        </is>
      </c>
      <c r="H804" s="293" t="n">
        <v>1</v>
      </c>
      <c r="I804" s="306" t="n"/>
      <c r="J804" s="306" t="n"/>
      <c r="K804" s="306" t="n"/>
      <c r="L804" s="306" t="n"/>
      <c r="M804" s="306" t="n"/>
      <c r="N804" s="307">
        <f>$F804*$H804</f>
        <v/>
      </c>
      <c r="O804" s="306" t="n"/>
      <c r="P804" s="306" t="n"/>
      <c r="Q804" s="306" t="n"/>
    </row>
    <row r="805" ht="18.75" customHeight="1">
      <c r="B805" s="288" t="n">
        <v>45347</v>
      </c>
      <c r="C805" s="289" t="n">
        <v>262</v>
      </c>
      <c r="D805" s="290" t="inlineStr">
        <is>
          <t>White Marker</t>
        </is>
      </c>
      <c r="E805" s="306" t="inlineStr">
        <is>
          <t>-</t>
        </is>
      </c>
      <c r="F805" s="307" t="n">
        <v>19000</v>
      </c>
      <c r="G805" s="289" t="inlineStr">
        <is>
          <t>IDR</t>
        </is>
      </c>
      <c r="H805" s="293" t="n">
        <v>1</v>
      </c>
      <c r="I805" s="306" t="n"/>
      <c r="J805" s="306" t="n"/>
      <c r="K805" s="306" t="n"/>
      <c r="L805" s="306" t="n"/>
      <c r="M805" s="306" t="n"/>
      <c r="N805" s="307">
        <f>$F805*$H805</f>
        <v/>
      </c>
      <c r="O805" s="306" t="n"/>
      <c r="P805" s="306" t="n"/>
      <c r="Q805" s="306" t="n"/>
    </row>
    <row r="806" ht="18.75" customHeight="1">
      <c r="B806" s="288" t="n">
        <v>45347</v>
      </c>
      <c r="C806" s="289" t="n">
        <v>263</v>
      </c>
      <c r="D806" s="290" t="inlineStr">
        <is>
          <t>White Marker</t>
        </is>
      </c>
      <c r="E806" s="306" t="inlineStr">
        <is>
          <t>-</t>
        </is>
      </c>
      <c r="F806" s="307" t="n">
        <v>19000</v>
      </c>
      <c r="G806" s="289" t="inlineStr">
        <is>
          <t>IDR</t>
        </is>
      </c>
      <c r="H806" s="293" t="n">
        <v>1</v>
      </c>
      <c r="I806" s="306" t="n"/>
      <c r="J806" s="306" t="n"/>
      <c r="K806" s="306" t="n"/>
      <c r="L806" s="306" t="n"/>
      <c r="M806" s="306" t="n"/>
      <c r="N806" s="307">
        <f>$F806*$H806</f>
        <v/>
      </c>
      <c r="O806" s="306" t="n"/>
      <c r="P806" s="306" t="n"/>
      <c r="Q806" s="306" t="n"/>
    </row>
    <row r="807" ht="18.75" customHeight="1">
      <c r="B807" s="288" t="n">
        <v>45347</v>
      </c>
      <c r="C807" s="289" t="n">
        <v>264</v>
      </c>
      <c r="D807" s="290" t="inlineStr">
        <is>
          <t>White Marker</t>
        </is>
      </c>
      <c r="E807" s="306" t="inlineStr">
        <is>
          <t>-</t>
        </is>
      </c>
      <c r="F807" s="307" t="n">
        <v>19000</v>
      </c>
      <c r="G807" s="289" t="inlineStr">
        <is>
          <t>IDR</t>
        </is>
      </c>
      <c r="H807" s="293" t="n">
        <v>1</v>
      </c>
      <c r="I807" s="306" t="n"/>
      <c r="J807" s="306" t="n"/>
      <c r="K807" s="306" t="n"/>
      <c r="L807" s="306" t="n"/>
      <c r="M807" s="306" t="n"/>
      <c r="N807" s="307">
        <f>$F807*$H807</f>
        <v/>
      </c>
      <c r="O807" s="306" t="n"/>
      <c r="P807" s="306" t="n"/>
      <c r="Q807" s="306" t="n"/>
    </row>
    <row r="808" ht="18.75" customHeight="1">
      <c r="B808" s="288" t="n">
        <v>45350</v>
      </c>
      <c r="C808" s="289" t="n">
        <v>265</v>
      </c>
      <c r="D808" s="290" t="inlineStr">
        <is>
          <t>Internet Data</t>
        </is>
      </c>
      <c r="E808" s="306" t="inlineStr">
        <is>
          <t>-</t>
        </is>
      </c>
      <c r="F808" s="307" t="n">
        <v>87000</v>
      </c>
      <c r="G808" s="289" t="inlineStr">
        <is>
          <t>IDR</t>
        </is>
      </c>
      <c r="H808" s="293" t="n">
        <v>1</v>
      </c>
      <c r="I808" s="306" t="n"/>
      <c r="J808" s="306" t="n"/>
      <c r="K808" s="306" t="n"/>
      <c r="L808" s="306" t="n"/>
      <c r="M808" s="306" t="n"/>
      <c r="N808" s="307">
        <f>$F808*$H808</f>
        <v/>
      </c>
      <c r="O808" s="306" t="n"/>
      <c r="P808" s="306" t="n"/>
      <c r="Q808" s="306" t="n"/>
    </row>
    <row r="809" ht="18.75" customHeight="1">
      <c r="B809" s="288" t="n">
        <v>45350</v>
      </c>
      <c r="C809" s="289" t="n">
        <v>266</v>
      </c>
      <c r="D809" s="290" t="inlineStr">
        <is>
          <t>Internet Data</t>
        </is>
      </c>
      <c r="E809" s="306" t="inlineStr">
        <is>
          <t>-</t>
        </is>
      </c>
      <c r="F809" s="307" t="n">
        <v>87000</v>
      </c>
      <c r="G809" s="289" t="inlineStr">
        <is>
          <t>IDR</t>
        </is>
      </c>
      <c r="H809" s="293" t="n">
        <v>1</v>
      </c>
      <c r="I809" s="306" t="n"/>
      <c r="J809" s="306" t="n"/>
      <c r="K809" s="306" t="n"/>
      <c r="L809" s="306" t="n"/>
      <c r="M809" s="306" t="n"/>
      <c r="N809" s="307">
        <f>$F809*$H809</f>
        <v/>
      </c>
      <c r="O809" s="306" t="n"/>
      <c r="P809" s="306" t="n"/>
      <c r="Q809" s="306" t="n"/>
    </row>
    <row r="810" ht="18.75" customHeight="1">
      <c r="B810" s="288" t="n">
        <v>45350</v>
      </c>
      <c r="C810" s="289" t="n">
        <v>267</v>
      </c>
      <c r="D810" s="290" t="inlineStr">
        <is>
          <t>Internet Data</t>
        </is>
      </c>
      <c r="E810" s="306" t="inlineStr">
        <is>
          <t>-</t>
        </is>
      </c>
      <c r="F810" s="307" t="n">
        <v>87000</v>
      </c>
      <c r="G810" s="289" t="inlineStr">
        <is>
          <t>IDR</t>
        </is>
      </c>
      <c r="H810" s="293" t="n">
        <v>1</v>
      </c>
      <c r="I810" s="306" t="n"/>
      <c r="J810" s="306" t="n"/>
      <c r="K810" s="306" t="n"/>
      <c r="L810" s="306" t="n"/>
      <c r="M810" s="306" t="n"/>
      <c r="N810" s="307">
        <f>$F810*$H810</f>
        <v/>
      </c>
      <c r="O810" s="306" t="n"/>
      <c r="P810" s="306" t="n"/>
      <c r="Q810" s="306" t="n"/>
    </row>
    <row r="811" ht="18.75" customHeight="1">
      <c r="B811" s="288" t="n">
        <v>45350</v>
      </c>
      <c r="C811" s="289" t="n">
        <v>268</v>
      </c>
      <c r="D811" s="290" t="inlineStr">
        <is>
          <t>Internet Data</t>
        </is>
      </c>
      <c r="E811" s="306" t="inlineStr">
        <is>
          <t>-</t>
        </is>
      </c>
      <c r="F811" s="307" t="n">
        <v>87000</v>
      </c>
      <c r="G811" s="289" t="inlineStr">
        <is>
          <t>IDR</t>
        </is>
      </c>
      <c r="H811" s="293" t="n">
        <v>1</v>
      </c>
      <c r="I811" s="306" t="n"/>
      <c r="J811" s="306" t="n"/>
      <c r="K811" s="306" t="n"/>
      <c r="L811" s="306" t="n"/>
      <c r="M811" s="306" t="n"/>
      <c r="N811" s="307">
        <f>$F811*$H811</f>
        <v/>
      </c>
      <c r="O811" s="306" t="n"/>
      <c r="P811" s="306" t="n"/>
      <c r="Q811" s="306" t="n"/>
    </row>
    <row r="812">
      <c r="B812" s="312" t="n"/>
      <c r="C812" s="312" t="n"/>
      <c r="D812" s="285" t="inlineStr">
        <is>
          <t>Transportation</t>
        </is>
      </c>
      <c r="E812" s="312" t="n"/>
      <c r="F812" s="312" t="n"/>
      <c r="G812" s="312" t="n"/>
      <c r="H812" s="312" t="n"/>
      <c r="I812" s="312" t="n"/>
      <c r="J812" s="312" t="n"/>
      <c r="K812" s="312" t="n"/>
      <c r="L812" s="312" t="n"/>
      <c r="M812" s="312" t="n"/>
      <c r="N812" s="312" t="n"/>
      <c r="O812" s="312" t="n"/>
      <c r="P812" s="312" t="n"/>
      <c r="Q812" s="312" t="n"/>
    </row>
    <row r="813" ht="18.75" customHeight="1">
      <c r="B813" s="288" t="n">
        <v>45329</v>
      </c>
      <c r="C813" s="289" t="n">
        <v>269</v>
      </c>
      <c r="D813" s="290" t="inlineStr">
        <is>
          <t>Airplane Ticket CGK-PLM</t>
        </is>
      </c>
      <c r="E813" s="306" t="inlineStr">
        <is>
          <t>-</t>
        </is>
      </c>
      <c r="F813" s="307" t="n">
        <v>1608000</v>
      </c>
      <c r="G813" s="289" t="inlineStr">
        <is>
          <t>IDR</t>
        </is>
      </c>
      <c r="H813" s="293" t="n">
        <v>1</v>
      </c>
      <c r="I813" s="306" t="n"/>
      <c r="J813" s="306" t="n"/>
      <c r="K813" s="306" t="n"/>
      <c r="L813" s="307">
        <f>$F813*$H813</f>
        <v/>
      </c>
      <c r="M813" s="306" t="n"/>
      <c r="N813" s="306" t="n"/>
      <c r="O813" s="306" t="n"/>
      <c r="P813" s="306" t="n"/>
      <c r="Q813" s="306" t="n"/>
    </row>
    <row r="814" ht="18.75" customHeight="1">
      <c r="B814" s="288" t="n">
        <v>45329</v>
      </c>
      <c r="C814" s="289" t="n">
        <v>270</v>
      </c>
      <c r="D814" s="290" t="inlineStr">
        <is>
          <t>Taxi Bintaro-CGK</t>
        </is>
      </c>
      <c r="E814" s="306" t="inlineStr">
        <is>
          <t>-</t>
        </is>
      </c>
      <c r="F814" s="307" t="n">
        <v>250000</v>
      </c>
      <c r="G814" s="289" t="inlineStr">
        <is>
          <t>IDR</t>
        </is>
      </c>
      <c r="H814" s="293" t="n">
        <v>1</v>
      </c>
      <c r="I814" s="306" t="n"/>
      <c r="J814" s="306" t="n"/>
      <c r="K814" s="306" t="n"/>
      <c r="L814" s="307">
        <f>$F814*$H814</f>
        <v/>
      </c>
      <c r="M814" s="306" t="n"/>
      <c r="N814" s="306" t="n"/>
      <c r="O814" s="306" t="n"/>
      <c r="P814" s="306" t="n"/>
      <c r="Q814" s="306" t="n"/>
    </row>
    <row r="815" ht="18.75" customHeight="1">
      <c r="B815" s="288" t="n">
        <v>45329</v>
      </c>
      <c r="C815" s="289" t="n">
        <v>271</v>
      </c>
      <c r="D815" s="290" t="inlineStr">
        <is>
          <t>Airplane Ticket CGK-PLM</t>
        </is>
      </c>
      <c r="E815" s="306" t="inlineStr">
        <is>
          <t>-</t>
        </is>
      </c>
      <c r="F815" s="307" t="n">
        <v>1608000</v>
      </c>
      <c r="G815" s="289" t="inlineStr">
        <is>
          <t>IDR</t>
        </is>
      </c>
      <c r="H815" s="293" t="n">
        <v>1</v>
      </c>
      <c r="I815" s="306" t="n"/>
      <c r="J815" s="306" t="n"/>
      <c r="K815" s="306" t="n"/>
      <c r="L815" s="307">
        <f>$F815*$H815</f>
        <v/>
      </c>
      <c r="M815" s="306" t="n"/>
      <c r="N815" s="306" t="n"/>
      <c r="O815" s="306" t="n"/>
      <c r="P815" s="306" t="n"/>
      <c r="Q815" s="306" t="n"/>
    </row>
    <row r="816" ht="18.75" customHeight="1">
      <c r="B816" s="288" t="n">
        <v>45329</v>
      </c>
      <c r="C816" s="289" t="n">
        <v>272</v>
      </c>
      <c r="D816" s="290" t="inlineStr">
        <is>
          <t>Taxi Bintaro-CGK</t>
        </is>
      </c>
      <c r="E816" s="306" t="inlineStr">
        <is>
          <t>-</t>
        </is>
      </c>
      <c r="F816" s="307" t="n">
        <v>250000</v>
      </c>
      <c r="G816" s="289" t="inlineStr">
        <is>
          <t>IDR</t>
        </is>
      </c>
      <c r="H816" s="293" t="n">
        <v>1</v>
      </c>
      <c r="I816" s="306" t="n"/>
      <c r="J816" s="306" t="n"/>
      <c r="K816" s="306" t="n"/>
      <c r="L816" s="307">
        <f>$F816*$H816</f>
        <v/>
      </c>
      <c r="M816" s="306" t="n"/>
      <c r="N816" s="306" t="n"/>
      <c r="O816" s="306" t="n"/>
      <c r="P816" s="306" t="n"/>
      <c r="Q816" s="306" t="n"/>
    </row>
    <row r="817" ht="18.75" customHeight="1">
      <c r="B817" s="288" t="n">
        <v>45329</v>
      </c>
      <c r="C817" s="289" t="n">
        <v>273</v>
      </c>
      <c r="D817" s="290" t="inlineStr">
        <is>
          <t>Airplane Ticket CGK-PLM</t>
        </is>
      </c>
      <c r="E817" s="306" t="inlineStr">
        <is>
          <t>-</t>
        </is>
      </c>
      <c r="F817" s="307" t="n">
        <v>1608000</v>
      </c>
      <c r="G817" s="289" t="inlineStr">
        <is>
          <t>IDR</t>
        </is>
      </c>
      <c r="H817" s="293" t="n">
        <v>1</v>
      </c>
      <c r="I817" s="306" t="n"/>
      <c r="J817" s="306" t="n"/>
      <c r="K817" s="306" t="n"/>
      <c r="L817" s="307">
        <f>$F817*$H817</f>
        <v/>
      </c>
      <c r="M817" s="306" t="n"/>
      <c r="N817" s="306" t="n"/>
      <c r="O817" s="306" t="n"/>
      <c r="P817" s="306" t="n"/>
      <c r="Q817" s="306" t="n"/>
    </row>
    <row r="818" ht="18.75" customHeight="1">
      <c r="B818" s="288" t="n">
        <v>45329</v>
      </c>
      <c r="C818" s="289" t="n">
        <v>274</v>
      </c>
      <c r="D818" s="290" t="inlineStr">
        <is>
          <t>Taxi Bintaro-CGK</t>
        </is>
      </c>
      <c r="E818" s="306" t="inlineStr">
        <is>
          <t>-</t>
        </is>
      </c>
      <c r="F818" s="307" t="n">
        <v>250000</v>
      </c>
      <c r="G818" s="289" t="inlineStr">
        <is>
          <t>IDR</t>
        </is>
      </c>
      <c r="H818" s="293" t="n">
        <v>1</v>
      </c>
      <c r="I818" s="306" t="n"/>
      <c r="J818" s="306" t="n"/>
      <c r="K818" s="306" t="n"/>
      <c r="L818" s="307">
        <f>$F818*$H818</f>
        <v/>
      </c>
      <c r="M818" s="306" t="n"/>
      <c r="N818" s="306" t="n"/>
      <c r="O818" s="306" t="n"/>
      <c r="P818" s="306" t="n"/>
      <c r="Q818" s="306" t="n"/>
    </row>
    <row r="819" ht="18.75" customHeight="1">
      <c r="B819" s="288" t="n">
        <v>45329</v>
      </c>
      <c r="C819" s="289" t="n">
        <v>275</v>
      </c>
      <c r="D819" s="290" t="inlineStr">
        <is>
          <t>Airplane Ticket CGK-PLM</t>
        </is>
      </c>
      <c r="E819" s="306" t="inlineStr">
        <is>
          <t>-</t>
        </is>
      </c>
      <c r="F819" s="307" t="n">
        <v>1608000</v>
      </c>
      <c r="G819" s="289" t="inlineStr">
        <is>
          <t>IDR</t>
        </is>
      </c>
      <c r="H819" s="293" t="n">
        <v>1</v>
      </c>
      <c r="I819" s="306" t="n"/>
      <c r="J819" s="306" t="n"/>
      <c r="K819" s="306" t="n"/>
      <c r="L819" s="307">
        <f>$F819*$H819</f>
        <v/>
      </c>
      <c r="M819" s="306" t="n"/>
      <c r="N819" s="306" t="n"/>
      <c r="O819" s="306" t="n"/>
      <c r="P819" s="306" t="n"/>
      <c r="Q819" s="306" t="n"/>
    </row>
    <row r="820" ht="18.75" customHeight="1">
      <c r="B820" s="288" t="n">
        <v>45329</v>
      </c>
      <c r="C820" s="289" t="n">
        <v>276</v>
      </c>
      <c r="D820" s="290" t="inlineStr">
        <is>
          <t>Taxi Bintaro-CGK</t>
        </is>
      </c>
      <c r="E820" s="306" t="inlineStr">
        <is>
          <t>-</t>
        </is>
      </c>
      <c r="F820" s="307" t="n">
        <v>250000</v>
      </c>
      <c r="G820" s="289" t="inlineStr">
        <is>
          <t>IDR</t>
        </is>
      </c>
      <c r="H820" s="293" t="n">
        <v>1</v>
      </c>
      <c r="I820" s="306" t="n"/>
      <c r="J820" s="306" t="n"/>
      <c r="K820" s="306" t="n"/>
      <c r="L820" s="307">
        <f>$F820*$H820</f>
        <v/>
      </c>
      <c r="M820" s="306" t="n"/>
      <c r="N820" s="306" t="n"/>
      <c r="O820" s="306" t="n"/>
      <c r="P820" s="306" t="n"/>
      <c r="Q820" s="306" t="n"/>
    </row>
    <row r="821" ht="18.75" customHeight="1">
      <c r="B821" s="288" t="n">
        <v>45330</v>
      </c>
      <c r="C821" s="289" t="n">
        <v>277</v>
      </c>
      <c r="D821" s="290" t="inlineStr">
        <is>
          <t>Rental Mobil Pajero 1 Hari</t>
        </is>
      </c>
      <c r="E821" s="306" t="inlineStr">
        <is>
          <t>-</t>
        </is>
      </c>
      <c r="F821" s="307" t="n">
        <v>900000</v>
      </c>
      <c r="G821" s="289" t="inlineStr">
        <is>
          <t>IDR</t>
        </is>
      </c>
      <c r="H821" s="293" t="n">
        <v>1</v>
      </c>
      <c r="I821" s="306" t="n"/>
      <c r="J821" s="306" t="n"/>
      <c r="K821" s="306" t="n"/>
      <c r="L821" s="307">
        <f>$F821*$H821</f>
        <v/>
      </c>
      <c r="M821" s="306" t="n"/>
      <c r="N821" s="306" t="n"/>
      <c r="O821" s="306" t="n"/>
      <c r="P821" s="306" t="n"/>
      <c r="Q821" s="306" t="n"/>
    </row>
    <row r="822" ht="18.75" customHeight="1">
      <c r="B822" s="288" t="n">
        <v>45330</v>
      </c>
      <c r="C822" s="289" t="n">
        <v>278</v>
      </c>
      <c r="D822" s="290" t="inlineStr">
        <is>
          <t>Rental Mobil Pajero Sebulan</t>
        </is>
      </c>
      <c r="E822" s="306" t="inlineStr">
        <is>
          <t>-</t>
        </is>
      </c>
      <c r="F822" s="307" t="n">
        <v>18000000</v>
      </c>
      <c r="G822" s="289" t="inlineStr">
        <is>
          <t>IDR</t>
        </is>
      </c>
      <c r="H822" s="293" t="n">
        <v>1</v>
      </c>
      <c r="I822" s="306" t="n"/>
      <c r="J822" s="306" t="n"/>
      <c r="K822" s="306" t="n"/>
      <c r="L822" s="307">
        <f>$F822*$H822</f>
        <v/>
      </c>
      <c r="M822" s="306" t="n"/>
      <c r="N822" s="306" t="n"/>
      <c r="O822" s="306" t="n"/>
      <c r="P822" s="306" t="n"/>
      <c r="Q822" s="306" t="n"/>
    </row>
    <row r="823" ht="18.75" customHeight="1">
      <c r="B823" s="288" t="n">
        <v>45330</v>
      </c>
      <c r="C823" s="289" t="n">
        <v>279</v>
      </c>
      <c r="D823" s="290" t="inlineStr">
        <is>
          <t>Rental Mobil Pajero 1 Hari</t>
        </is>
      </c>
      <c r="E823" s="306" t="inlineStr">
        <is>
          <t>-</t>
        </is>
      </c>
      <c r="F823" s="307" t="n">
        <v>900000</v>
      </c>
      <c r="G823" s="289" t="inlineStr">
        <is>
          <t>IDR</t>
        </is>
      </c>
      <c r="H823" s="293" t="n">
        <v>1</v>
      </c>
      <c r="I823" s="306" t="n"/>
      <c r="J823" s="306" t="n"/>
      <c r="K823" s="306" t="n"/>
      <c r="L823" s="307">
        <f>$F823*$H823</f>
        <v/>
      </c>
      <c r="M823" s="306" t="n"/>
      <c r="N823" s="306" t="n"/>
      <c r="O823" s="306" t="n"/>
      <c r="P823" s="306" t="n"/>
      <c r="Q823" s="306" t="n"/>
    </row>
    <row r="824" ht="18.75" customHeight="1">
      <c r="B824" s="288" t="n">
        <v>45330</v>
      </c>
      <c r="C824" s="289" t="n">
        <v>280</v>
      </c>
      <c r="D824" s="290" t="inlineStr">
        <is>
          <t>Rental Mobil Pajero Sebulan</t>
        </is>
      </c>
      <c r="E824" s="306" t="inlineStr">
        <is>
          <t>-</t>
        </is>
      </c>
      <c r="F824" s="307" t="n">
        <v>18000000</v>
      </c>
      <c r="G824" s="289" t="inlineStr">
        <is>
          <t>IDR</t>
        </is>
      </c>
      <c r="H824" s="293" t="n">
        <v>1</v>
      </c>
      <c r="I824" s="306" t="n"/>
      <c r="J824" s="306" t="n"/>
      <c r="K824" s="306" t="n"/>
      <c r="L824" s="307">
        <f>$F824*$H824</f>
        <v/>
      </c>
      <c r="M824" s="306" t="n"/>
      <c r="N824" s="306" t="n"/>
      <c r="O824" s="306" t="n"/>
      <c r="P824" s="306" t="n"/>
      <c r="Q824" s="306" t="n"/>
    </row>
    <row r="825" ht="18.75" customHeight="1">
      <c r="B825" s="288" t="n">
        <v>45330</v>
      </c>
      <c r="C825" s="289" t="n">
        <v>281</v>
      </c>
      <c r="D825" s="290" t="inlineStr">
        <is>
          <t>Rental Mobil Pajero 1 Hari</t>
        </is>
      </c>
      <c r="E825" s="306" t="inlineStr">
        <is>
          <t>-</t>
        </is>
      </c>
      <c r="F825" s="307" t="n">
        <v>900000</v>
      </c>
      <c r="G825" s="289" t="inlineStr">
        <is>
          <t>IDR</t>
        </is>
      </c>
      <c r="H825" s="293" t="n">
        <v>1</v>
      </c>
      <c r="I825" s="306" t="n"/>
      <c r="J825" s="306" t="n"/>
      <c r="K825" s="306" t="n"/>
      <c r="L825" s="307">
        <f>$F825*$H825</f>
        <v/>
      </c>
      <c r="M825" s="306" t="n"/>
      <c r="N825" s="306" t="n"/>
      <c r="O825" s="306" t="n"/>
      <c r="P825" s="306" t="n"/>
      <c r="Q825" s="306" t="n"/>
    </row>
    <row r="826" ht="18.75" customHeight="1">
      <c r="B826" s="288" t="n">
        <v>45330</v>
      </c>
      <c r="C826" s="289" t="n">
        <v>282</v>
      </c>
      <c r="D826" s="290" t="inlineStr">
        <is>
          <t>Rental Mobil Pajero Sebulan</t>
        </is>
      </c>
      <c r="E826" s="306" t="inlineStr">
        <is>
          <t>-</t>
        </is>
      </c>
      <c r="F826" s="307" t="n">
        <v>18000000</v>
      </c>
      <c r="G826" s="289" t="inlineStr">
        <is>
          <t>IDR</t>
        </is>
      </c>
      <c r="H826" s="293" t="n">
        <v>1</v>
      </c>
      <c r="I826" s="306" t="n"/>
      <c r="J826" s="306" t="n"/>
      <c r="K826" s="306" t="n"/>
      <c r="L826" s="307">
        <f>$F826*$H826</f>
        <v/>
      </c>
      <c r="M826" s="306" t="n"/>
      <c r="N826" s="306" t="n"/>
      <c r="O826" s="306" t="n"/>
      <c r="P826" s="306" t="n"/>
      <c r="Q826" s="306" t="n"/>
    </row>
    <row r="827" ht="18.75" customHeight="1">
      <c r="B827" s="288" t="n">
        <v>45330</v>
      </c>
      <c r="C827" s="289" t="n">
        <v>283</v>
      </c>
      <c r="D827" s="290" t="inlineStr">
        <is>
          <t>Rental Mobil Pajero 1 Hari</t>
        </is>
      </c>
      <c r="E827" s="306" t="inlineStr">
        <is>
          <t>-</t>
        </is>
      </c>
      <c r="F827" s="307" t="n">
        <v>900000</v>
      </c>
      <c r="G827" s="289" t="inlineStr">
        <is>
          <t>IDR</t>
        </is>
      </c>
      <c r="H827" s="293" t="n">
        <v>1</v>
      </c>
      <c r="I827" s="306" t="n"/>
      <c r="J827" s="306" t="n"/>
      <c r="K827" s="306" t="n"/>
      <c r="L827" s="307">
        <f>$F827*$H827</f>
        <v/>
      </c>
      <c r="M827" s="306" t="n"/>
      <c r="N827" s="306" t="n"/>
      <c r="O827" s="306" t="n"/>
      <c r="P827" s="306" t="n"/>
      <c r="Q827" s="306" t="n"/>
    </row>
    <row r="828" ht="18.75" customHeight="1">
      <c r="B828" s="288" t="n">
        <v>45330</v>
      </c>
      <c r="C828" s="289" t="n">
        <v>284</v>
      </c>
      <c r="D828" s="290" t="inlineStr">
        <is>
          <t>Rental Mobil Pajero Sebulan</t>
        </is>
      </c>
      <c r="E828" s="306" t="inlineStr">
        <is>
          <t>-</t>
        </is>
      </c>
      <c r="F828" s="307" t="n">
        <v>18000000</v>
      </c>
      <c r="G828" s="289" t="inlineStr">
        <is>
          <t>IDR</t>
        </is>
      </c>
      <c r="H828" s="293" t="n">
        <v>1</v>
      </c>
      <c r="I828" s="306" t="n"/>
      <c r="J828" s="306" t="n"/>
      <c r="K828" s="306" t="n"/>
      <c r="L828" s="307">
        <f>$F828*$H828</f>
        <v/>
      </c>
      <c r="M828" s="306" t="n"/>
      <c r="N828" s="306" t="n"/>
      <c r="O828" s="306" t="n"/>
      <c r="P828" s="306" t="n"/>
      <c r="Q828" s="306" t="n"/>
    </row>
    <row r="829" ht="18.75" customHeight="1">
      <c r="B829" s="288" t="n">
        <v>45355</v>
      </c>
      <c r="C829" s="289" t="n">
        <v>285</v>
      </c>
      <c r="D829" s="290" t="inlineStr">
        <is>
          <t>Airplane Ticket PLM-CGK</t>
        </is>
      </c>
      <c r="E829" s="306" t="inlineStr">
        <is>
          <t>-</t>
        </is>
      </c>
      <c r="F829" s="307" t="n">
        <v>1119500</v>
      </c>
      <c r="G829" s="289" t="inlineStr">
        <is>
          <t>IDR</t>
        </is>
      </c>
      <c r="H829" s="293" t="n">
        <v>1</v>
      </c>
      <c r="I829" s="306" t="n"/>
      <c r="J829" s="306" t="n"/>
      <c r="K829" s="306" t="n"/>
      <c r="L829" s="307">
        <f>$F829*$H829</f>
        <v/>
      </c>
      <c r="M829" s="306" t="n"/>
      <c r="N829" s="306" t="n"/>
      <c r="O829" s="306" t="n"/>
      <c r="P829" s="306" t="n"/>
      <c r="Q829" s="306" t="n"/>
    </row>
    <row r="830" ht="18.75" customHeight="1">
      <c r="B830" s="288" t="n">
        <v>45355</v>
      </c>
      <c r="C830" s="289" t="n">
        <v>286</v>
      </c>
      <c r="D830" s="290" t="inlineStr">
        <is>
          <t>Taxi CGK-Bintaro</t>
        </is>
      </c>
      <c r="E830" s="306" t="inlineStr">
        <is>
          <t>-</t>
        </is>
      </c>
      <c r="F830" s="307" t="n">
        <v>250000</v>
      </c>
      <c r="G830" s="289" t="inlineStr">
        <is>
          <t>IDR</t>
        </is>
      </c>
      <c r="H830" s="293" t="n">
        <v>1</v>
      </c>
      <c r="I830" s="306" t="n"/>
      <c r="J830" s="306" t="n"/>
      <c r="K830" s="306" t="n"/>
      <c r="L830" s="307">
        <f>$F830*$H830</f>
        <v/>
      </c>
      <c r="M830" s="306" t="n"/>
      <c r="N830" s="306" t="n"/>
      <c r="O830" s="306" t="n"/>
      <c r="P830" s="306" t="n"/>
      <c r="Q830" s="306" t="n"/>
    </row>
    <row r="831" ht="18.75" customHeight="1">
      <c r="B831" s="288" t="n">
        <v>45355</v>
      </c>
      <c r="C831" s="289" t="n">
        <v>287</v>
      </c>
      <c r="D831" s="290" t="inlineStr">
        <is>
          <t>Fuel</t>
        </is>
      </c>
      <c r="E831" s="306" t="inlineStr">
        <is>
          <t>-</t>
        </is>
      </c>
      <c r="F831" s="307" t="n">
        <v>1498484</v>
      </c>
      <c r="G831" s="289" t="inlineStr">
        <is>
          <t>IDR</t>
        </is>
      </c>
      <c r="H831" s="293" t="n">
        <v>1</v>
      </c>
      <c r="I831" s="306" t="n"/>
      <c r="J831" s="306" t="n"/>
      <c r="K831" s="306" t="n"/>
      <c r="L831" s="307">
        <f>$F831*$H831</f>
        <v/>
      </c>
      <c r="M831" s="306" t="n"/>
      <c r="N831" s="306" t="n"/>
      <c r="O831" s="306" t="n"/>
      <c r="P831" s="306" t="n"/>
      <c r="Q831" s="306" t="n"/>
    </row>
    <row r="832" ht="18.75" customHeight="1">
      <c r="B832" s="288" t="n">
        <v>45355</v>
      </c>
      <c r="C832" s="289" t="n">
        <v>288</v>
      </c>
      <c r="D832" s="290" t="inlineStr">
        <is>
          <t>Toll Fee</t>
        </is>
      </c>
      <c r="E832" s="306" t="inlineStr">
        <is>
          <t>-</t>
        </is>
      </c>
      <c r="F832" s="307" t="n">
        <v>378000</v>
      </c>
      <c r="G832" s="289" t="inlineStr">
        <is>
          <t>IDR</t>
        </is>
      </c>
      <c r="H832" s="293" t="n">
        <v>1</v>
      </c>
      <c r="I832" s="306" t="n"/>
      <c r="J832" s="306" t="n"/>
      <c r="K832" s="306" t="n"/>
      <c r="L832" s="307">
        <f>$F832*$H832</f>
        <v/>
      </c>
      <c r="M832" s="306" t="n"/>
      <c r="N832" s="306" t="n"/>
      <c r="O832" s="306" t="n"/>
      <c r="P832" s="306" t="n"/>
      <c r="Q832" s="306" t="n"/>
    </row>
    <row r="833" ht="18.75" customHeight="1">
      <c r="B833" s="288" t="n">
        <v>45355</v>
      </c>
      <c r="C833" s="289" t="n">
        <v>289</v>
      </c>
      <c r="D833" s="290" t="inlineStr">
        <is>
          <t>Airplane Ticket PLM-CGK</t>
        </is>
      </c>
      <c r="E833" s="306" t="inlineStr">
        <is>
          <t>-</t>
        </is>
      </c>
      <c r="F833" s="307" t="n">
        <v>1119500</v>
      </c>
      <c r="G833" s="289" t="inlineStr">
        <is>
          <t>IDR</t>
        </is>
      </c>
      <c r="H833" s="293" t="n">
        <v>1</v>
      </c>
      <c r="I833" s="306" t="n"/>
      <c r="J833" s="306" t="n"/>
      <c r="K833" s="306" t="n"/>
      <c r="L833" s="307">
        <f>$F833*$H833</f>
        <v/>
      </c>
      <c r="M833" s="306" t="n"/>
      <c r="N833" s="306" t="n"/>
      <c r="O833" s="306" t="n"/>
      <c r="P833" s="306" t="n"/>
      <c r="Q833" s="306" t="n"/>
    </row>
    <row r="834" ht="18.75" customHeight="1">
      <c r="B834" s="288" t="n">
        <v>45355</v>
      </c>
      <c r="C834" s="289" t="n">
        <v>290</v>
      </c>
      <c r="D834" s="290" t="inlineStr">
        <is>
          <t>Taxi CGK-Bintaro</t>
        </is>
      </c>
      <c r="E834" s="306" t="inlineStr">
        <is>
          <t>-</t>
        </is>
      </c>
      <c r="F834" s="307" t="n">
        <v>250000</v>
      </c>
      <c r="G834" s="289" t="inlineStr">
        <is>
          <t>IDR</t>
        </is>
      </c>
      <c r="H834" s="293" t="n">
        <v>1</v>
      </c>
      <c r="I834" s="306" t="n"/>
      <c r="J834" s="306" t="n"/>
      <c r="K834" s="306" t="n"/>
      <c r="L834" s="307">
        <f>$F834*$H834</f>
        <v/>
      </c>
      <c r="M834" s="306" t="n"/>
      <c r="N834" s="306" t="n"/>
      <c r="O834" s="306" t="n"/>
      <c r="P834" s="306" t="n"/>
      <c r="Q834" s="306" t="n"/>
    </row>
    <row r="835" ht="18.75" customHeight="1">
      <c r="B835" s="288" t="n">
        <v>45355</v>
      </c>
      <c r="C835" s="289" t="n">
        <v>291</v>
      </c>
      <c r="D835" s="290" t="inlineStr">
        <is>
          <t>Fuel</t>
        </is>
      </c>
      <c r="E835" s="306" t="inlineStr">
        <is>
          <t>-</t>
        </is>
      </c>
      <c r="F835" s="307" t="n">
        <v>1498484</v>
      </c>
      <c r="G835" s="289" t="inlineStr">
        <is>
          <t>IDR</t>
        </is>
      </c>
      <c r="H835" s="293" t="n">
        <v>1</v>
      </c>
      <c r="I835" s="306" t="n"/>
      <c r="J835" s="306" t="n"/>
      <c r="K835" s="306" t="n"/>
      <c r="L835" s="307">
        <f>$F835*$H835</f>
        <v/>
      </c>
      <c r="M835" s="306" t="n"/>
      <c r="N835" s="306" t="n"/>
      <c r="O835" s="306" t="n"/>
      <c r="P835" s="306" t="n"/>
      <c r="Q835" s="306" t="n"/>
    </row>
    <row r="836" ht="18.75" customHeight="1">
      <c r="B836" s="288" t="n">
        <v>45355</v>
      </c>
      <c r="C836" s="289" t="n">
        <v>292</v>
      </c>
      <c r="D836" s="290" t="inlineStr">
        <is>
          <t>Toll Fee</t>
        </is>
      </c>
      <c r="E836" s="306" t="inlineStr">
        <is>
          <t>-</t>
        </is>
      </c>
      <c r="F836" s="307" t="n">
        <v>378000</v>
      </c>
      <c r="G836" s="289" t="inlineStr">
        <is>
          <t>IDR</t>
        </is>
      </c>
      <c r="H836" s="293" t="n">
        <v>1</v>
      </c>
      <c r="I836" s="306" t="n"/>
      <c r="J836" s="306" t="n"/>
      <c r="K836" s="306" t="n"/>
      <c r="L836" s="307">
        <f>$F836*$H836</f>
        <v/>
      </c>
      <c r="M836" s="306" t="n"/>
      <c r="N836" s="306" t="n"/>
      <c r="O836" s="306" t="n"/>
      <c r="P836" s="306" t="n"/>
      <c r="Q836" s="306" t="n"/>
    </row>
    <row r="837" ht="18.75" customHeight="1">
      <c r="B837" s="288" t="n">
        <v>45355</v>
      </c>
      <c r="C837" s="289" t="n">
        <v>293</v>
      </c>
      <c r="D837" s="290" t="inlineStr">
        <is>
          <t>Airplane Ticket PLM-CGK</t>
        </is>
      </c>
      <c r="E837" s="306" t="inlineStr">
        <is>
          <t>-</t>
        </is>
      </c>
      <c r="F837" s="307" t="n">
        <v>1119500</v>
      </c>
      <c r="G837" s="289" t="inlineStr">
        <is>
          <t>IDR</t>
        </is>
      </c>
      <c r="H837" s="293" t="n">
        <v>1</v>
      </c>
      <c r="I837" s="306" t="n"/>
      <c r="J837" s="306" t="n"/>
      <c r="K837" s="306" t="n"/>
      <c r="L837" s="307">
        <f>$F837*$H837</f>
        <v/>
      </c>
      <c r="M837" s="306" t="n"/>
      <c r="N837" s="306" t="n"/>
      <c r="O837" s="306" t="n"/>
      <c r="P837" s="306" t="n"/>
      <c r="Q837" s="306" t="n"/>
    </row>
    <row r="838" ht="18.75" customHeight="1">
      <c r="B838" s="288" t="n">
        <v>45355</v>
      </c>
      <c r="C838" s="289" t="n">
        <v>294</v>
      </c>
      <c r="D838" s="290" t="inlineStr">
        <is>
          <t>Taxi CGK-Bintaro</t>
        </is>
      </c>
      <c r="E838" s="306" t="inlineStr">
        <is>
          <t>-</t>
        </is>
      </c>
      <c r="F838" s="307" t="n">
        <v>250000</v>
      </c>
      <c r="G838" s="289" t="inlineStr">
        <is>
          <t>IDR</t>
        </is>
      </c>
      <c r="H838" s="293" t="n">
        <v>1</v>
      </c>
      <c r="I838" s="306" t="n"/>
      <c r="J838" s="306" t="n"/>
      <c r="K838" s="306" t="n"/>
      <c r="L838" s="307">
        <f>$F838*$H838</f>
        <v/>
      </c>
      <c r="M838" s="306" t="n"/>
      <c r="N838" s="306" t="n"/>
      <c r="O838" s="306" t="n"/>
      <c r="P838" s="306" t="n"/>
      <c r="Q838" s="306" t="n"/>
    </row>
    <row r="839" ht="18.75" customHeight="1">
      <c r="B839" s="288" t="n">
        <v>45355</v>
      </c>
      <c r="C839" s="289" t="n">
        <v>295</v>
      </c>
      <c r="D839" s="290" t="inlineStr">
        <is>
          <t>Fuel</t>
        </is>
      </c>
      <c r="E839" s="306" t="inlineStr">
        <is>
          <t>-</t>
        </is>
      </c>
      <c r="F839" s="307" t="n">
        <v>1498484</v>
      </c>
      <c r="G839" s="289" t="inlineStr">
        <is>
          <t>IDR</t>
        </is>
      </c>
      <c r="H839" s="293" t="n">
        <v>1</v>
      </c>
      <c r="I839" s="306" t="n"/>
      <c r="J839" s="306" t="n"/>
      <c r="K839" s="306" t="n"/>
      <c r="L839" s="307">
        <f>$F839*$H839</f>
        <v/>
      </c>
      <c r="M839" s="306" t="n"/>
      <c r="N839" s="306" t="n"/>
      <c r="O839" s="306" t="n"/>
      <c r="P839" s="306" t="n"/>
      <c r="Q839" s="306" t="n"/>
    </row>
    <row r="840" ht="18.75" customHeight="1">
      <c r="B840" s="288" t="n">
        <v>45355</v>
      </c>
      <c r="C840" s="289" t="n">
        <v>296</v>
      </c>
      <c r="D840" s="290" t="inlineStr">
        <is>
          <t>Toll Fee</t>
        </is>
      </c>
      <c r="E840" s="306" t="inlineStr">
        <is>
          <t>-</t>
        </is>
      </c>
      <c r="F840" s="307" t="n">
        <v>378000</v>
      </c>
      <c r="G840" s="289" t="inlineStr">
        <is>
          <t>IDR</t>
        </is>
      </c>
      <c r="H840" s="293" t="n">
        <v>1</v>
      </c>
      <c r="I840" s="306" t="n"/>
      <c r="J840" s="306" t="n"/>
      <c r="K840" s="306" t="n"/>
      <c r="L840" s="307">
        <f>$F840*$H840</f>
        <v/>
      </c>
      <c r="M840" s="306" t="n"/>
      <c r="N840" s="306" t="n"/>
      <c r="O840" s="306" t="n"/>
      <c r="P840" s="306" t="n"/>
      <c r="Q840" s="306" t="n"/>
    </row>
    <row r="841" ht="18.75" customHeight="1">
      <c r="B841" s="288" t="n">
        <v>45355</v>
      </c>
      <c r="C841" s="289" t="n">
        <v>297</v>
      </c>
      <c r="D841" s="290" t="inlineStr">
        <is>
          <t>Airplane Ticket PLM-CGK</t>
        </is>
      </c>
      <c r="E841" s="306" t="inlineStr">
        <is>
          <t>-</t>
        </is>
      </c>
      <c r="F841" s="307" t="n">
        <v>1119500</v>
      </c>
      <c r="G841" s="289" t="inlineStr">
        <is>
          <t>IDR</t>
        </is>
      </c>
      <c r="H841" s="293" t="n">
        <v>1</v>
      </c>
      <c r="I841" s="306" t="n"/>
      <c r="J841" s="306" t="n"/>
      <c r="K841" s="306" t="n"/>
      <c r="L841" s="307">
        <f>$F841*$H841</f>
        <v/>
      </c>
      <c r="M841" s="306" t="n"/>
      <c r="N841" s="306" t="n"/>
      <c r="O841" s="306" t="n"/>
      <c r="P841" s="306" t="n"/>
      <c r="Q841" s="306" t="n"/>
    </row>
    <row r="842" ht="18.75" customHeight="1">
      <c r="B842" s="288" t="n">
        <v>45355</v>
      </c>
      <c r="C842" s="289" t="n">
        <v>298</v>
      </c>
      <c r="D842" s="290" t="inlineStr">
        <is>
          <t>Taxi CGK-Bintaro</t>
        </is>
      </c>
      <c r="E842" s="306" t="inlineStr">
        <is>
          <t>-</t>
        </is>
      </c>
      <c r="F842" s="307" t="n">
        <v>250000</v>
      </c>
      <c r="G842" s="289" t="inlineStr">
        <is>
          <t>IDR</t>
        </is>
      </c>
      <c r="H842" s="293" t="n">
        <v>1</v>
      </c>
      <c r="I842" s="306" t="n"/>
      <c r="J842" s="306" t="n"/>
      <c r="K842" s="306" t="n"/>
      <c r="L842" s="307">
        <f>$F842*$H842</f>
        <v/>
      </c>
      <c r="M842" s="306" t="n"/>
      <c r="N842" s="306" t="n"/>
      <c r="O842" s="306" t="n"/>
      <c r="P842" s="306" t="n"/>
      <c r="Q842" s="306" t="n"/>
    </row>
    <row r="843" ht="18.75" customHeight="1">
      <c r="B843" s="288" t="n">
        <v>45355</v>
      </c>
      <c r="C843" s="289" t="n">
        <v>299</v>
      </c>
      <c r="D843" s="290" t="inlineStr">
        <is>
          <t>Fuel</t>
        </is>
      </c>
      <c r="E843" s="306" t="inlineStr">
        <is>
          <t>-</t>
        </is>
      </c>
      <c r="F843" s="307" t="n">
        <v>1498484</v>
      </c>
      <c r="G843" s="289" t="inlineStr">
        <is>
          <t>IDR</t>
        </is>
      </c>
      <c r="H843" s="293" t="n">
        <v>1</v>
      </c>
      <c r="I843" s="306" t="n"/>
      <c r="J843" s="306" t="n"/>
      <c r="K843" s="306" t="n"/>
      <c r="L843" s="307">
        <f>$F843*$H843</f>
        <v/>
      </c>
      <c r="M843" s="306" t="n"/>
      <c r="N843" s="306" t="n"/>
      <c r="O843" s="306" t="n"/>
      <c r="P843" s="306" t="n"/>
      <c r="Q843" s="306" t="n"/>
    </row>
    <row r="844" ht="18.75" customHeight="1">
      <c r="B844" s="288" t="n">
        <v>45355</v>
      </c>
      <c r="C844" s="289" t="n">
        <v>300</v>
      </c>
      <c r="D844" s="290" t="inlineStr">
        <is>
          <t>Toll Fee</t>
        </is>
      </c>
      <c r="E844" s="306" t="inlineStr">
        <is>
          <t>-</t>
        </is>
      </c>
      <c r="F844" s="307" t="n">
        <v>378000</v>
      </c>
      <c r="G844" s="289" t="inlineStr">
        <is>
          <t>IDR</t>
        </is>
      </c>
      <c r="H844" s="293" t="n">
        <v>1</v>
      </c>
      <c r="I844" s="306" t="n"/>
      <c r="J844" s="306" t="n"/>
      <c r="K844" s="306" t="n"/>
      <c r="L844" s="307">
        <f>$F844*$H844</f>
        <v/>
      </c>
      <c r="M844" s="306" t="n"/>
      <c r="N844" s="306" t="n"/>
      <c r="O844" s="306" t="n"/>
      <c r="P844" s="306" t="n"/>
      <c r="Q844" s="306" t="n"/>
    </row>
    <row r="845">
      <c r="B845" s="310" t="inlineStr">
        <is>
          <t>Expense#2</t>
        </is>
      </c>
      <c r="C845" s="311" t="inlineStr">
        <is>
          <t>:</t>
        </is>
      </c>
      <c r="D845" s="310" t="inlineStr">
        <is>
          <t>Training ALFA _TLJ-58 (PEPZ4-Prabumulih field_ Titis Maulana</t>
        </is>
      </c>
      <c r="E845" s="311" t="n"/>
      <c r="F845" s="311" t="n"/>
      <c r="G845" s="311" t="n"/>
      <c r="H845" s="311" t="n"/>
      <c r="I845" s="311" t="n"/>
      <c r="J845" s="311" t="n"/>
      <c r="K845" s="311" t="n"/>
      <c r="L845" s="311" t="n"/>
      <c r="M845" s="311" t="n"/>
      <c r="N845" s="311" t="n"/>
      <c r="O845" s="311" t="n"/>
      <c r="P845" s="311" t="n"/>
      <c r="Q845" s="311" t="n"/>
    </row>
    <row r="846">
      <c r="B846" s="312" t="n"/>
      <c r="C846" s="312" t="n"/>
      <c r="D846" s="285" t="inlineStr">
        <is>
          <t>Hand Tools</t>
        </is>
      </c>
      <c r="E846" s="312" t="n"/>
      <c r="F846" s="312" t="n"/>
      <c r="G846" s="312" t="n"/>
      <c r="H846" s="312" t="n"/>
      <c r="I846" s="312" t="n"/>
      <c r="J846" s="312" t="n"/>
      <c r="K846" s="312" t="n"/>
      <c r="L846" s="312" t="n"/>
      <c r="M846" s="312" t="n"/>
      <c r="N846" s="312" t="n"/>
      <c r="O846" s="312" t="n"/>
      <c r="P846" s="312" t="n"/>
      <c r="Q846" s="312" t="n"/>
    </row>
    <row r="847" ht="18.75" customHeight="1">
      <c r="B847" s="288" t="n">
        <v>45324</v>
      </c>
      <c r="C847" s="289" t="n">
        <v>301</v>
      </c>
      <c r="D847" s="290" t="inlineStr">
        <is>
          <t>Safety Shoes</t>
        </is>
      </c>
      <c r="E847" s="306" t="inlineStr">
        <is>
          <t>-</t>
        </is>
      </c>
      <c r="F847" s="307" t="n">
        <v>499940</v>
      </c>
      <c r="G847" s="289" t="inlineStr">
        <is>
          <t>IDR</t>
        </is>
      </c>
      <c r="H847" s="293" t="n">
        <v>1</v>
      </c>
      <c r="I847" s="306" t="n"/>
      <c r="J847" s="306" t="n"/>
      <c r="K847" s="306" t="n"/>
      <c r="L847" s="306" t="n"/>
      <c r="M847" s="306" t="n"/>
      <c r="N847" s="307">
        <f>$F847*$H847</f>
        <v/>
      </c>
      <c r="O847" s="306" t="n"/>
      <c r="P847" s="306" t="n"/>
      <c r="Q847" s="306" t="n"/>
    </row>
    <row r="848" ht="18.75" customHeight="1">
      <c r="B848" s="288" t="n">
        <v>45324</v>
      </c>
      <c r="C848" s="289" t="n">
        <v>302</v>
      </c>
      <c r="D848" s="290" t="inlineStr">
        <is>
          <t>Safety Shoes</t>
        </is>
      </c>
      <c r="E848" s="306" t="inlineStr">
        <is>
          <t>-</t>
        </is>
      </c>
      <c r="F848" s="307" t="n">
        <v>499940</v>
      </c>
      <c r="G848" s="289" t="inlineStr">
        <is>
          <t>IDR</t>
        </is>
      </c>
      <c r="H848" s="293" t="n">
        <v>1</v>
      </c>
      <c r="I848" s="306" t="n"/>
      <c r="J848" s="306" t="n"/>
      <c r="K848" s="306" t="n"/>
      <c r="L848" s="306" t="n"/>
      <c r="M848" s="306" t="n"/>
      <c r="N848" s="307">
        <f>$F848*$H848</f>
        <v/>
      </c>
      <c r="O848" s="306" t="n"/>
      <c r="P848" s="306" t="n"/>
      <c r="Q848" s="306" t="n"/>
    </row>
    <row r="849" ht="18.75" customHeight="1">
      <c r="B849" s="288" t="n">
        <v>45324</v>
      </c>
      <c r="C849" s="289" t="n">
        <v>303</v>
      </c>
      <c r="D849" s="290" t="inlineStr">
        <is>
          <t>Safety Shoes</t>
        </is>
      </c>
      <c r="E849" s="306" t="inlineStr">
        <is>
          <t>-</t>
        </is>
      </c>
      <c r="F849" s="307" t="n">
        <v>499940</v>
      </c>
      <c r="G849" s="289" t="inlineStr">
        <is>
          <t>IDR</t>
        </is>
      </c>
      <c r="H849" s="293" t="n">
        <v>1</v>
      </c>
      <c r="I849" s="306" t="n"/>
      <c r="J849" s="306" t="n"/>
      <c r="K849" s="306" t="n"/>
      <c r="L849" s="306" t="n"/>
      <c r="M849" s="306" t="n"/>
      <c r="N849" s="307">
        <f>$F849*$H849</f>
        <v/>
      </c>
      <c r="O849" s="306" t="n"/>
      <c r="P849" s="306" t="n"/>
      <c r="Q849" s="306" t="n"/>
    </row>
    <row r="850" ht="18.75" customHeight="1">
      <c r="B850" s="288" t="n">
        <v>45324</v>
      </c>
      <c r="C850" s="289" t="n">
        <v>304</v>
      </c>
      <c r="D850" s="290" t="inlineStr">
        <is>
          <t>Safety Shoes</t>
        </is>
      </c>
      <c r="E850" s="306" t="inlineStr">
        <is>
          <t>-</t>
        </is>
      </c>
      <c r="F850" s="307" t="n">
        <v>499940</v>
      </c>
      <c r="G850" s="289" t="inlineStr">
        <is>
          <t>IDR</t>
        </is>
      </c>
      <c r="H850" s="293" t="n">
        <v>1</v>
      </c>
      <c r="I850" s="306" t="n"/>
      <c r="J850" s="306" t="n"/>
      <c r="K850" s="306" t="n"/>
      <c r="L850" s="306" t="n"/>
      <c r="M850" s="306" t="n"/>
      <c r="N850" s="307">
        <f>$F850*$H850</f>
        <v/>
      </c>
      <c r="O850" s="306" t="n"/>
      <c r="P850" s="306" t="n"/>
      <c r="Q850" s="306" t="n"/>
    </row>
    <row r="851">
      <c r="B851" s="312" t="n"/>
      <c r="C851" s="312" t="n"/>
      <c r="D851" s="285" t="inlineStr">
        <is>
          <t>Laundry</t>
        </is>
      </c>
      <c r="E851" s="312" t="n"/>
      <c r="F851" s="312" t="n"/>
      <c r="G851" s="312" t="n"/>
      <c r="H851" s="312" t="n"/>
      <c r="I851" s="312" t="n"/>
      <c r="J851" s="312" t="n"/>
      <c r="K851" s="312" t="n"/>
      <c r="L851" s="312" t="n"/>
      <c r="M851" s="312" t="n"/>
      <c r="N851" s="312" t="n"/>
      <c r="O851" s="312" t="n"/>
      <c r="P851" s="312" t="n"/>
      <c r="Q851" s="312" t="n"/>
    </row>
    <row r="852" ht="18.75" customHeight="1">
      <c r="B852" s="288" t="n">
        <v>45358</v>
      </c>
      <c r="C852" s="289" t="n">
        <v>305</v>
      </c>
      <c r="D852" s="290" t="inlineStr">
        <is>
          <t>Laundry 30 days 1 Persons @ 50K IDR/day</t>
        </is>
      </c>
      <c r="E852" s="306" t="inlineStr">
        <is>
          <t>-</t>
        </is>
      </c>
      <c r="F852" s="307" t="n">
        <v>1500000</v>
      </c>
      <c r="G852" s="289" t="inlineStr">
        <is>
          <t>IDR</t>
        </is>
      </c>
      <c r="H852" s="293" t="n">
        <v>1</v>
      </c>
      <c r="I852" s="306" t="n"/>
      <c r="J852" s="306" t="n"/>
      <c r="K852" s="306" t="n"/>
      <c r="L852" s="307">
        <f>$F852*$H852</f>
        <v/>
      </c>
      <c r="M852" s="306" t="n"/>
      <c r="N852" s="306" t="n"/>
      <c r="O852" s="306" t="n"/>
      <c r="P852" s="306" t="n"/>
      <c r="Q852" s="306" t="n"/>
    </row>
    <row r="853" ht="18.75" customHeight="1">
      <c r="B853" s="288" t="n">
        <v>45358</v>
      </c>
      <c r="C853" s="289" t="n">
        <v>306</v>
      </c>
      <c r="D853" s="290" t="inlineStr">
        <is>
          <t>Laundry 30 days 1 Persons @ 50K IDR/day</t>
        </is>
      </c>
      <c r="E853" s="306" t="inlineStr">
        <is>
          <t>-</t>
        </is>
      </c>
      <c r="F853" s="307" t="n">
        <v>1500000</v>
      </c>
      <c r="G853" s="289" t="inlineStr">
        <is>
          <t>IDR</t>
        </is>
      </c>
      <c r="H853" s="293" t="n">
        <v>1</v>
      </c>
      <c r="I853" s="306" t="n"/>
      <c r="J853" s="306" t="n"/>
      <c r="K853" s="306" t="n"/>
      <c r="L853" s="307">
        <f>$F853*$H853</f>
        <v/>
      </c>
      <c r="M853" s="306" t="n"/>
      <c r="N853" s="306" t="n"/>
      <c r="O853" s="306" t="n"/>
      <c r="P853" s="306" t="n"/>
      <c r="Q853" s="306" t="n"/>
    </row>
    <row r="854" ht="18.75" customHeight="1">
      <c r="B854" s="288" t="n">
        <v>45358</v>
      </c>
      <c r="C854" s="289" t="n">
        <v>307</v>
      </c>
      <c r="D854" s="290" t="inlineStr">
        <is>
          <t>Laundry 30 days 1 Persons @ 50K IDR/day</t>
        </is>
      </c>
      <c r="E854" s="306" t="inlineStr">
        <is>
          <t>-</t>
        </is>
      </c>
      <c r="F854" s="307" t="n">
        <v>1500000</v>
      </c>
      <c r="G854" s="289" t="inlineStr">
        <is>
          <t>IDR</t>
        </is>
      </c>
      <c r="H854" s="293" t="n">
        <v>1</v>
      </c>
      <c r="I854" s="306" t="n"/>
      <c r="J854" s="306" t="n"/>
      <c r="K854" s="306" t="n"/>
      <c r="L854" s="307">
        <f>$F854*$H854</f>
        <v/>
      </c>
      <c r="M854" s="306" t="n"/>
      <c r="N854" s="306" t="n"/>
      <c r="O854" s="306" t="n"/>
      <c r="P854" s="306" t="n"/>
      <c r="Q854" s="306" t="n"/>
    </row>
    <row r="855" ht="18.75" customHeight="1">
      <c r="B855" s="288" t="n">
        <v>45358</v>
      </c>
      <c r="C855" s="289" t="n">
        <v>308</v>
      </c>
      <c r="D855" s="290" t="inlineStr">
        <is>
          <t>Laundry 30 days 1 Persons @ 50K IDR/day</t>
        </is>
      </c>
      <c r="E855" s="306" t="inlineStr">
        <is>
          <t>-</t>
        </is>
      </c>
      <c r="F855" s="307" t="n">
        <v>1500000</v>
      </c>
      <c r="G855" s="289" t="inlineStr">
        <is>
          <t>IDR</t>
        </is>
      </c>
      <c r="H855" s="293" t="n">
        <v>1</v>
      </c>
      <c r="I855" s="306" t="n"/>
      <c r="J855" s="306" t="n"/>
      <c r="K855" s="306" t="n"/>
      <c r="L855" s="307">
        <f>$F855*$H855</f>
        <v/>
      </c>
      <c r="M855" s="306" t="n"/>
      <c r="N855" s="306" t="n"/>
      <c r="O855" s="306" t="n"/>
      <c r="P855" s="306" t="n"/>
      <c r="Q855" s="306" t="n"/>
    </row>
    <row r="856">
      <c r="B856" s="312" t="n"/>
      <c r="C856" s="312" t="n"/>
      <c r="D856" s="285" t="inlineStr">
        <is>
          <t>Logistic</t>
        </is>
      </c>
      <c r="E856" s="312" t="n"/>
      <c r="F856" s="312" t="n"/>
      <c r="G856" s="312" t="n"/>
      <c r="H856" s="312" t="n"/>
      <c r="I856" s="312" t="n"/>
      <c r="J856" s="312" t="n"/>
      <c r="K856" s="312" t="n"/>
      <c r="L856" s="312" t="n"/>
      <c r="M856" s="312" t="n"/>
      <c r="N856" s="312" t="n"/>
      <c r="O856" s="312" t="n"/>
      <c r="P856" s="312" t="n"/>
      <c r="Q856" s="312" t="n"/>
    </row>
    <row r="857" ht="18.75" customHeight="1">
      <c r="B857" s="288" t="n">
        <v>45358</v>
      </c>
      <c r="C857" s="289" t="n">
        <v>309</v>
      </c>
      <c r="D857" s="290" t="inlineStr">
        <is>
          <t>Extra Baggage</t>
        </is>
      </c>
      <c r="E857" s="306" t="inlineStr">
        <is>
          <t>-</t>
        </is>
      </c>
      <c r="F857" s="307" t="n">
        <v>540000</v>
      </c>
      <c r="G857" s="289" t="inlineStr">
        <is>
          <t>IDR</t>
        </is>
      </c>
      <c r="H857" s="293" t="n">
        <v>1</v>
      </c>
      <c r="I857" s="306" t="n"/>
      <c r="J857" s="306" t="n"/>
      <c r="K857" s="306" t="n"/>
      <c r="L857" s="306" t="n"/>
      <c r="M857" s="306" t="n"/>
      <c r="N857" s="307">
        <f>$F857*$H857</f>
        <v/>
      </c>
      <c r="O857" s="306" t="n"/>
      <c r="P857" s="306" t="n"/>
      <c r="Q857" s="306" t="n"/>
    </row>
    <row r="858" ht="18.75" customHeight="1">
      <c r="B858" s="288" t="n">
        <v>45358</v>
      </c>
      <c r="C858" s="289" t="n">
        <v>310</v>
      </c>
      <c r="D858" s="290" t="inlineStr">
        <is>
          <t>Extra Baggage</t>
        </is>
      </c>
      <c r="E858" s="306" t="inlineStr">
        <is>
          <t>-</t>
        </is>
      </c>
      <c r="F858" s="307" t="n">
        <v>540000</v>
      </c>
      <c r="G858" s="289" t="inlineStr">
        <is>
          <t>IDR</t>
        </is>
      </c>
      <c r="H858" s="293" t="n">
        <v>1</v>
      </c>
      <c r="I858" s="306" t="n"/>
      <c r="J858" s="306" t="n"/>
      <c r="K858" s="306" t="n"/>
      <c r="L858" s="306" t="n"/>
      <c r="M858" s="306" t="n"/>
      <c r="N858" s="307">
        <f>$F858*$H858</f>
        <v/>
      </c>
      <c r="O858" s="306" t="n"/>
      <c r="P858" s="306" t="n"/>
      <c r="Q858" s="306" t="n"/>
    </row>
    <row r="859" ht="18.75" customHeight="1">
      <c r="B859" s="288" t="n">
        <v>45358</v>
      </c>
      <c r="C859" s="289" t="n">
        <v>311</v>
      </c>
      <c r="D859" s="290" t="inlineStr">
        <is>
          <t>Extra Baggage</t>
        </is>
      </c>
      <c r="E859" s="306" t="inlineStr">
        <is>
          <t>-</t>
        </is>
      </c>
      <c r="F859" s="307" t="n">
        <v>540000</v>
      </c>
      <c r="G859" s="289" t="inlineStr">
        <is>
          <t>IDR</t>
        </is>
      </c>
      <c r="H859" s="293" t="n">
        <v>1</v>
      </c>
      <c r="I859" s="306" t="n"/>
      <c r="J859" s="306" t="n"/>
      <c r="K859" s="306" t="n"/>
      <c r="L859" s="306" t="n"/>
      <c r="M859" s="306" t="n"/>
      <c r="N859" s="307">
        <f>$F859*$H859</f>
        <v/>
      </c>
      <c r="O859" s="306" t="n"/>
      <c r="P859" s="306" t="n"/>
      <c r="Q859" s="306" t="n"/>
    </row>
    <row r="860" ht="18.75" customHeight="1">
      <c r="B860" s="288" t="n">
        <v>45358</v>
      </c>
      <c r="C860" s="289" t="n">
        <v>312</v>
      </c>
      <c r="D860" s="290" t="inlineStr">
        <is>
          <t>Extra Baggage</t>
        </is>
      </c>
      <c r="E860" s="306" t="inlineStr">
        <is>
          <t>-</t>
        </is>
      </c>
      <c r="F860" s="307" t="n">
        <v>540000</v>
      </c>
      <c r="G860" s="289" t="inlineStr">
        <is>
          <t>IDR</t>
        </is>
      </c>
      <c r="H860" s="293" t="n">
        <v>1</v>
      </c>
      <c r="I860" s="306" t="n"/>
      <c r="J860" s="306" t="n"/>
      <c r="K860" s="306" t="n"/>
      <c r="L860" s="306" t="n"/>
      <c r="M860" s="306" t="n"/>
      <c r="N860" s="307">
        <f>$F860*$H860</f>
        <v/>
      </c>
      <c r="O860" s="306" t="n"/>
      <c r="P860" s="306" t="n"/>
      <c r="Q860" s="306" t="n"/>
    </row>
    <row r="861">
      <c r="B861" s="312" t="n"/>
      <c r="C861" s="312" t="n"/>
      <c r="D861" s="285" t="inlineStr">
        <is>
          <t>Meal</t>
        </is>
      </c>
      <c r="E861" s="312" t="n"/>
      <c r="F861" s="312" t="n"/>
      <c r="G861" s="312" t="n"/>
      <c r="H861" s="312" t="n"/>
      <c r="I861" s="312" t="n"/>
      <c r="J861" s="312" t="n"/>
      <c r="K861" s="312" t="n"/>
      <c r="L861" s="312" t="n"/>
      <c r="M861" s="312" t="n"/>
      <c r="N861" s="312" t="n"/>
      <c r="O861" s="312" t="n"/>
      <c r="P861" s="312" t="n"/>
      <c r="Q861" s="312" t="n"/>
    </row>
    <row r="862" ht="18.75" customHeight="1">
      <c r="B862" s="288" t="n">
        <v>45358</v>
      </c>
      <c r="C862" s="289" t="n">
        <v>313</v>
      </c>
      <c r="D862" s="290" t="inlineStr">
        <is>
          <t>Meals 30 days 1 Persons @ 150K IDR/day</t>
        </is>
      </c>
      <c r="E862" s="306" t="inlineStr">
        <is>
          <t>-</t>
        </is>
      </c>
      <c r="F862" s="307" t="n">
        <v>4500000</v>
      </c>
      <c r="G862" s="289" t="inlineStr">
        <is>
          <t>IDR</t>
        </is>
      </c>
      <c r="H862" s="293" t="n">
        <v>1</v>
      </c>
      <c r="I862" s="306" t="n"/>
      <c r="J862" s="306" t="n"/>
      <c r="K862" s="306" t="n"/>
      <c r="L862" s="307">
        <f>$F862*$H862</f>
        <v/>
      </c>
      <c r="M862" s="306" t="n"/>
      <c r="N862" s="306" t="n"/>
      <c r="O862" s="306" t="n"/>
      <c r="P862" s="306" t="n"/>
      <c r="Q862" s="306" t="n"/>
    </row>
    <row r="863" ht="18.75" customHeight="1">
      <c r="B863" s="288" t="n">
        <v>45358</v>
      </c>
      <c r="C863" s="289" t="n">
        <v>314</v>
      </c>
      <c r="D863" s="290" t="inlineStr">
        <is>
          <t>Meals 30 days 1 Persons @ 150K IDR/day</t>
        </is>
      </c>
      <c r="E863" s="306" t="inlineStr">
        <is>
          <t>-</t>
        </is>
      </c>
      <c r="F863" s="307" t="n">
        <v>4500000</v>
      </c>
      <c r="G863" s="289" t="inlineStr">
        <is>
          <t>IDR</t>
        </is>
      </c>
      <c r="H863" s="293" t="n">
        <v>1</v>
      </c>
      <c r="I863" s="306" t="n"/>
      <c r="J863" s="306" t="n"/>
      <c r="K863" s="306" t="n"/>
      <c r="L863" s="307">
        <f>$F863*$H863</f>
        <v/>
      </c>
      <c r="M863" s="306" t="n"/>
      <c r="N863" s="306" t="n"/>
      <c r="O863" s="306" t="n"/>
      <c r="P863" s="306" t="n"/>
      <c r="Q863" s="306" t="n"/>
    </row>
    <row r="864" ht="18.75" customHeight="1">
      <c r="B864" s="288" t="n">
        <v>45358</v>
      </c>
      <c r="C864" s="289" t="n">
        <v>315</v>
      </c>
      <c r="D864" s="290" t="inlineStr">
        <is>
          <t>Meals 30 days 1 Persons @ 150K IDR/day</t>
        </is>
      </c>
      <c r="E864" s="306" t="inlineStr">
        <is>
          <t>-</t>
        </is>
      </c>
      <c r="F864" s="307" t="n">
        <v>4500000</v>
      </c>
      <c r="G864" s="289" t="inlineStr">
        <is>
          <t>IDR</t>
        </is>
      </c>
      <c r="H864" s="293" t="n">
        <v>1</v>
      </c>
      <c r="I864" s="306" t="n"/>
      <c r="J864" s="306" t="n"/>
      <c r="K864" s="306" t="n"/>
      <c r="L864" s="307">
        <f>$F864*$H864</f>
        <v/>
      </c>
      <c r="M864" s="306" t="n"/>
      <c r="N864" s="306" t="n"/>
      <c r="O864" s="306" t="n"/>
      <c r="P864" s="306" t="n"/>
      <c r="Q864" s="306" t="n"/>
    </row>
    <row r="865" ht="18.75" customHeight="1">
      <c r="B865" s="288" t="n">
        <v>45358</v>
      </c>
      <c r="C865" s="289" t="n">
        <v>316</v>
      </c>
      <c r="D865" s="290" t="inlineStr">
        <is>
          <t>Meals 30 days 1 Persons @ 150K IDR/day</t>
        </is>
      </c>
      <c r="E865" s="306" t="inlineStr">
        <is>
          <t>-</t>
        </is>
      </c>
      <c r="F865" s="307" t="n">
        <v>4500000</v>
      </c>
      <c r="G865" s="289" t="inlineStr">
        <is>
          <t>IDR</t>
        </is>
      </c>
      <c r="H865" s="293" t="n">
        <v>1</v>
      </c>
      <c r="I865" s="306" t="n"/>
      <c r="J865" s="306" t="n"/>
      <c r="K865" s="306" t="n"/>
      <c r="L865" s="307">
        <f>$F865*$H865</f>
        <v/>
      </c>
      <c r="M865" s="306" t="n"/>
      <c r="N865" s="306" t="n"/>
      <c r="O865" s="306" t="n"/>
      <c r="P865" s="306" t="n"/>
      <c r="Q865" s="306" t="n"/>
    </row>
    <row r="866">
      <c r="B866" s="312" t="n"/>
      <c r="C866" s="312" t="n"/>
      <c r="D866" s="285" t="inlineStr">
        <is>
          <t>Sparepart</t>
        </is>
      </c>
      <c r="E866" s="312" t="n"/>
      <c r="F866" s="312" t="n"/>
      <c r="G866" s="312" t="n"/>
      <c r="H866" s="312" t="n"/>
      <c r="I866" s="312" t="n"/>
      <c r="J866" s="312" t="n"/>
      <c r="K866" s="312" t="n"/>
      <c r="L866" s="312" t="n"/>
      <c r="M866" s="312" t="n"/>
      <c r="N866" s="312" t="n"/>
      <c r="O866" s="312" t="n"/>
      <c r="P866" s="312" t="n"/>
      <c r="Q866" s="312" t="n"/>
    </row>
    <row r="867" ht="18.75" customHeight="1">
      <c r="B867" s="288" t="n">
        <v>45354</v>
      </c>
      <c r="C867" s="289" t="n">
        <v>317</v>
      </c>
      <c r="D867" s="290" t="inlineStr">
        <is>
          <t>Internet Data</t>
        </is>
      </c>
      <c r="E867" s="306" t="inlineStr">
        <is>
          <t>-</t>
        </is>
      </c>
      <c r="F867" s="307" t="n">
        <v>70000</v>
      </c>
      <c r="G867" s="289" t="inlineStr">
        <is>
          <t>IDR</t>
        </is>
      </c>
      <c r="H867" s="293" t="n">
        <v>1</v>
      </c>
      <c r="I867" s="306" t="n"/>
      <c r="J867" s="306" t="n"/>
      <c r="K867" s="306" t="n"/>
      <c r="L867" s="306" t="n"/>
      <c r="M867" s="306" t="n"/>
      <c r="N867" s="307">
        <f>$F867*$H867</f>
        <v/>
      </c>
      <c r="O867" s="306" t="n"/>
      <c r="P867" s="306" t="n"/>
      <c r="Q867" s="306" t="n"/>
    </row>
    <row r="868" ht="18.75" customHeight="1">
      <c r="B868" s="288" t="n">
        <v>45354</v>
      </c>
      <c r="C868" s="289" t="n">
        <v>318</v>
      </c>
      <c r="D868" s="290" t="inlineStr">
        <is>
          <t>Internet Data</t>
        </is>
      </c>
      <c r="E868" s="306" t="inlineStr">
        <is>
          <t>-</t>
        </is>
      </c>
      <c r="F868" s="307" t="n">
        <v>70000</v>
      </c>
      <c r="G868" s="289" t="inlineStr">
        <is>
          <t>IDR</t>
        </is>
      </c>
      <c r="H868" s="293" t="n">
        <v>1</v>
      </c>
      <c r="I868" s="306" t="n"/>
      <c r="J868" s="306" t="n"/>
      <c r="K868" s="306" t="n"/>
      <c r="L868" s="306" t="n"/>
      <c r="M868" s="306" t="n"/>
      <c r="N868" s="307">
        <f>$F868*$H868</f>
        <v/>
      </c>
      <c r="O868" s="306" t="n"/>
      <c r="P868" s="306" t="n"/>
      <c r="Q868" s="306" t="n"/>
    </row>
    <row r="869" ht="18.75" customHeight="1">
      <c r="B869" s="288" t="n">
        <v>45354</v>
      </c>
      <c r="C869" s="289" t="n">
        <v>319</v>
      </c>
      <c r="D869" s="290" t="inlineStr">
        <is>
          <t>Internet Data</t>
        </is>
      </c>
      <c r="E869" s="306" t="inlineStr">
        <is>
          <t>-</t>
        </is>
      </c>
      <c r="F869" s="307" t="n">
        <v>70000</v>
      </c>
      <c r="G869" s="289" t="inlineStr">
        <is>
          <t>IDR</t>
        </is>
      </c>
      <c r="H869" s="293" t="n">
        <v>1</v>
      </c>
      <c r="I869" s="306" t="n"/>
      <c r="J869" s="306" t="n"/>
      <c r="K869" s="306" t="n"/>
      <c r="L869" s="306" t="n"/>
      <c r="M869" s="306" t="n"/>
      <c r="N869" s="307">
        <f>$F869*$H869</f>
        <v/>
      </c>
      <c r="O869" s="306" t="n"/>
      <c r="P869" s="306" t="n"/>
      <c r="Q869" s="306" t="n"/>
    </row>
    <row r="870" ht="18.75" customHeight="1">
      <c r="B870" s="288" t="n">
        <v>45354</v>
      </c>
      <c r="C870" s="289" t="n">
        <v>320</v>
      </c>
      <c r="D870" s="290" t="inlineStr">
        <is>
          <t>Internet Data</t>
        </is>
      </c>
      <c r="E870" s="306" t="inlineStr">
        <is>
          <t>-</t>
        </is>
      </c>
      <c r="F870" s="307" t="n">
        <v>70000</v>
      </c>
      <c r="G870" s="289" t="inlineStr">
        <is>
          <t>IDR</t>
        </is>
      </c>
      <c r="H870" s="293" t="n">
        <v>1</v>
      </c>
      <c r="I870" s="306" t="n"/>
      <c r="J870" s="306" t="n"/>
      <c r="K870" s="306" t="n"/>
      <c r="L870" s="306" t="n"/>
      <c r="M870" s="306" t="n"/>
      <c r="N870" s="307">
        <f>$F870*$H870</f>
        <v/>
      </c>
      <c r="O870" s="306" t="n"/>
      <c r="P870" s="306" t="n"/>
      <c r="Q870" s="306" t="n"/>
    </row>
    <row r="871">
      <c r="B871" s="312" t="n"/>
      <c r="C871" s="312" t="n"/>
      <c r="D871" s="285" t="inlineStr">
        <is>
          <t>Transportation</t>
        </is>
      </c>
      <c r="E871" s="312" t="n"/>
      <c r="F871" s="312" t="n"/>
      <c r="G871" s="312" t="n"/>
      <c r="H871" s="312" t="n"/>
      <c r="I871" s="312" t="n"/>
      <c r="J871" s="312" t="n"/>
      <c r="K871" s="312" t="n"/>
      <c r="L871" s="312" t="n"/>
      <c r="M871" s="312" t="n"/>
      <c r="N871" s="312" t="n"/>
      <c r="O871" s="312" t="n"/>
      <c r="P871" s="312" t="n"/>
      <c r="Q871" s="312" t="n"/>
    </row>
    <row r="872" ht="18.75" customHeight="1">
      <c r="B872" s="288" t="n">
        <v>45329</v>
      </c>
      <c r="C872" s="289" t="n">
        <v>321</v>
      </c>
      <c r="D872" s="290" t="inlineStr">
        <is>
          <t>Taxi Pondok Cabe-CGK</t>
        </is>
      </c>
      <c r="E872" s="306" t="inlineStr">
        <is>
          <t>-</t>
        </is>
      </c>
      <c r="F872" s="307" t="n">
        <v>250000</v>
      </c>
      <c r="G872" s="289" t="inlineStr">
        <is>
          <t>IDR</t>
        </is>
      </c>
      <c r="H872" s="293" t="n">
        <v>1</v>
      </c>
      <c r="I872" s="306" t="n"/>
      <c r="J872" s="306" t="n"/>
      <c r="K872" s="306" t="n"/>
      <c r="L872" s="307">
        <f>$F872*$H872</f>
        <v/>
      </c>
      <c r="M872" s="306" t="n"/>
      <c r="N872" s="306" t="n"/>
      <c r="O872" s="306" t="n"/>
      <c r="P872" s="306" t="n"/>
      <c r="Q872" s="306" t="n"/>
    </row>
    <row r="873" ht="18.75" customHeight="1">
      <c r="B873" s="288" t="n">
        <v>45329</v>
      </c>
      <c r="C873" s="289" t="n">
        <v>322</v>
      </c>
      <c r="D873" s="290" t="inlineStr">
        <is>
          <t>Taxi Pondok Cabe-CGK</t>
        </is>
      </c>
      <c r="E873" s="306" t="inlineStr">
        <is>
          <t>-</t>
        </is>
      </c>
      <c r="F873" s="307" t="n">
        <v>250000</v>
      </c>
      <c r="G873" s="289" t="inlineStr">
        <is>
          <t>IDR</t>
        </is>
      </c>
      <c r="H873" s="293" t="n">
        <v>1</v>
      </c>
      <c r="I873" s="306" t="n"/>
      <c r="J873" s="306" t="n"/>
      <c r="K873" s="306" t="n"/>
      <c r="L873" s="307">
        <f>$F873*$H873</f>
        <v/>
      </c>
      <c r="M873" s="306" t="n"/>
      <c r="N873" s="306" t="n"/>
      <c r="O873" s="306" t="n"/>
      <c r="P873" s="306" t="n"/>
      <c r="Q873" s="306" t="n"/>
    </row>
    <row r="874" ht="18.75" customHeight="1">
      <c r="B874" s="288" t="n">
        <v>45329</v>
      </c>
      <c r="C874" s="289" t="n">
        <v>323</v>
      </c>
      <c r="D874" s="290" t="inlineStr">
        <is>
          <t>Taxi Pondok Cabe-CGK</t>
        </is>
      </c>
      <c r="E874" s="306" t="inlineStr">
        <is>
          <t>-</t>
        </is>
      </c>
      <c r="F874" s="307" t="n">
        <v>250000</v>
      </c>
      <c r="G874" s="289" t="inlineStr">
        <is>
          <t>IDR</t>
        </is>
      </c>
      <c r="H874" s="293" t="n">
        <v>1</v>
      </c>
      <c r="I874" s="306" t="n"/>
      <c r="J874" s="306" t="n"/>
      <c r="K874" s="306" t="n"/>
      <c r="L874" s="307">
        <f>$F874*$H874</f>
        <v/>
      </c>
      <c r="M874" s="306" t="n"/>
      <c r="N874" s="306" t="n"/>
      <c r="O874" s="306" t="n"/>
      <c r="P874" s="306" t="n"/>
      <c r="Q874" s="306" t="n"/>
    </row>
    <row r="875" ht="18.75" customHeight="1">
      <c r="B875" s="288" t="n">
        <v>45329</v>
      </c>
      <c r="C875" s="289" t="n">
        <v>324</v>
      </c>
      <c r="D875" s="290" t="inlineStr">
        <is>
          <t>Taxi Pondok Cabe-CGK</t>
        </is>
      </c>
      <c r="E875" s="306" t="inlineStr">
        <is>
          <t>-</t>
        </is>
      </c>
      <c r="F875" s="307" t="n">
        <v>250000</v>
      </c>
      <c r="G875" s="289" t="inlineStr">
        <is>
          <t>IDR</t>
        </is>
      </c>
      <c r="H875" s="293" t="n">
        <v>1</v>
      </c>
      <c r="I875" s="306" t="n"/>
      <c r="J875" s="306" t="n"/>
      <c r="K875" s="306" t="n"/>
      <c r="L875" s="307">
        <f>$F875*$H875</f>
        <v/>
      </c>
      <c r="M875" s="306" t="n"/>
      <c r="N875" s="306" t="n"/>
      <c r="O875" s="306" t="n"/>
      <c r="P875" s="306" t="n"/>
      <c r="Q875" s="306" t="n"/>
    </row>
    <row r="876" ht="18.75" customHeight="1">
      <c r="B876" s="288" t="n">
        <v>45355</v>
      </c>
      <c r="C876" s="289" t="n">
        <v>325</v>
      </c>
      <c r="D876" s="290" t="inlineStr">
        <is>
          <t>Fuel</t>
        </is>
      </c>
      <c r="E876" s="306" t="inlineStr">
        <is>
          <t>-</t>
        </is>
      </c>
      <c r="F876" s="307" t="n">
        <v>200000</v>
      </c>
      <c r="G876" s="289" t="inlineStr">
        <is>
          <t>IDR</t>
        </is>
      </c>
      <c r="H876" s="293" t="n">
        <v>1</v>
      </c>
      <c r="I876" s="306" t="n"/>
      <c r="J876" s="306" t="n"/>
      <c r="K876" s="306" t="n"/>
      <c r="L876" s="307">
        <f>$F876*$H876</f>
        <v/>
      </c>
      <c r="M876" s="306" t="n"/>
      <c r="N876" s="306" t="n"/>
      <c r="O876" s="306" t="n"/>
      <c r="P876" s="306" t="n"/>
      <c r="Q876" s="306" t="n"/>
    </row>
    <row r="877" ht="18.75" customHeight="1">
      <c r="B877" s="288" t="n">
        <v>45355</v>
      </c>
      <c r="C877" s="289" t="n">
        <v>326</v>
      </c>
      <c r="D877" s="290" t="inlineStr">
        <is>
          <t>Fuel</t>
        </is>
      </c>
      <c r="E877" s="306" t="inlineStr">
        <is>
          <t>-</t>
        </is>
      </c>
      <c r="F877" s="307" t="n">
        <v>200000</v>
      </c>
      <c r="G877" s="289" t="inlineStr">
        <is>
          <t>IDR</t>
        </is>
      </c>
      <c r="H877" s="293" t="n">
        <v>1</v>
      </c>
      <c r="I877" s="306" t="n"/>
      <c r="J877" s="306" t="n"/>
      <c r="K877" s="306" t="n"/>
      <c r="L877" s="307">
        <f>$F877*$H877</f>
        <v/>
      </c>
      <c r="M877" s="306" t="n"/>
      <c r="N877" s="306" t="n"/>
      <c r="O877" s="306" t="n"/>
      <c r="P877" s="306" t="n"/>
      <c r="Q877" s="306" t="n"/>
    </row>
    <row r="878" ht="18.75" customHeight="1">
      <c r="B878" s="288" t="n">
        <v>45355</v>
      </c>
      <c r="C878" s="289" t="n">
        <v>327</v>
      </c>
      <c r="D878" s="290" t="inlineStr">
        <is>
          <t>Fuel</t>
        </is>
      </c>
      <c r="E878" s="306" t="inlineStr">
        <is>
          <t>-</t>
        </is>
      </c>
      <c r="F878" s="307" t="n">
        <v>200000</v>
      </c>
      <c r="G878" s="289" t="inlineStr">
        <is>
          <t>IDR</t>
        </is>
      </c>
      <c r="H878" s="293" t="n">
        <v>1</v>
      </c>
      <c r="I878" s="306" t="n"/>
      <c r="J878" s="306" t="n"/>
      <c r="K878" s="306" t="n"/>
      <c r="L878" s="307">
        <f>$F878*$H878</f>
        <v/>
      </c>
      <c r="M878" s="306" t="n"/>
      <c r="N878" s="306" t="n"/>
      <c r="O878" s="306" t="n"/>
      <c r="P878" s="306" t="n"/>
      <c r="Q878" s="306" t="n"/>
    </row>
    <row r="879" ht="18.75" customHeight="1">
      <c r="B879" s="288" t="n">
        <v>45355</v>
      </c>
      <c r="C879" s="289" t="n">
        <v>328</v>
      </c>
      <c r="D879" s="290" t="inlineStr">
        <is>
          <t>Fuel</t>
        </is>
      </c>
      <c r="E879" s="306" t="inlineStr">
        <is>
          <t>-</t>
        </is>
      </c>
      <c r="F879" s="307" t="n">
        <v>200000</v>
      </c>
      <c r="G879" s="289" t="inlineStr">
        <is>
          <t>IDR</t>
        </is>
      </c>
      <c r="H879" s="293" t="n">
        <v>1</v>
      </c>
      <c r="I879" s="306" t="n"/>
      <c r="J879" s="306" t="n"/>
      <c r="K879" s="306" t="n"/>
      <c r="L879" s="307">
        <f>$F879*$H879</f>
        <v/>
      </c>
      <c r="M879" s="306" t="n"/>
      <c r="N879" s="306" t="n"/>
      <c r="O879" s="306" t="n"/>
      <c r="P879" s="306" t="n"/>
      <c r="Q879" s="306" t="n"/>
    </row>
    <row r="880" ht="18.75" customHeight="1">
      <c r="B880" s="288" t="n">
        <v>45357</v>
      </c>
      <c r="C880" s="289" t="n">
        <v>329</v>
      </c>
      <c r="D880" s="290" t="inlineStr">
        <is>
          <t>Airplane Ticket PLM-CGK</t>
        </is>
      </c>
      <c r="E880" s="306" t="inlineStr">
        <is>
          <t>-</t>
        </is>
      </c>
      <c r="F880" s="307" t="n">
        <v>1000106</v>
      </c>
      <c r="G880" s="289" t="inlineStr">
        <is>
          <t>IDR</t>
        </is>
      </c>
      <c r="H880" s="293" t="n">
        <v>1</v>
      </c>
      <c r="I880" s="306" t="n"/>
      <c r="J880" s="306" t="n"/>
      <c r="K880" s="306" t="n"/>
      <c r="L880" s="307">
        <f>$F880*$H880</f>
        <v/>
      </c>
      <c r="M880" s="306" t="n"/>
      <c r="N880" s="306" t="n"/>
      <c r="O880" s="306" t="n"/>
      <c r="P880" s="306" t="n"/>
      <c r="Q880" s="306" t="n"/>
    </row>
    <row r="881" ht="18.75" customHeight="1">
      <c r="B881" s="288" t="n">
        <v>45357</v>
      </c>
      <c r="C881" s="289" t="n">
        <v>330</v>
      </c>
      <c r="D881" s="290" t="inlineStr">
        <is>
          <t>Airplane Ticket PLM-CGK</t>
        </is>
      </c>
      <c r="E881" s="306" t="inlineStr">
        <is>
          <t>-</t>
        </is>
      </c>
      <c r="F881" s="307" t="n">
        <v>1000106</v>
      </c>
      <c r="G881" s="289" t="inlineStr">
        <is>
          <t>IDR</t>
        </is>
      </c>
      <c r="H881" s="293" t="n">
        <v>1</v>
      </c>
      <c r="I881" s="306" t="n"/>
      <c r="J881" s="306" t="n"/>
      <c r="K881" s="306" t="n"/>
      <c r="L881" s="307">
        <f>$F881*$H881</f>
        <v/>
      </c>
      <c r="M881" s="306" t="n"/>
      <c r="N881" s="306" t="n"/>
      <c r="O881" s="306" t="n"/>
      <c r="P881" s="306" t="n"/>
      <c r="Q881" s="306" t="n"/>
    </row>
    <row r="882" ht="18.75" customHeight="1">
      <c r="B882" s="288" t="n">
        <v>45357</v>
      </c>
      <c r="C882" s="289" t="n">
        <v>331</v>
      </c>
      <c r="D882" s="290" t="inlineStr">
        <is>
          <t>Airplane Ticket PLM-CGK</t>
        </is>
      </c>
      <c r="E882" s="306" t="inlineStr">
        <is>
          <t>-</t>
        </is>
      </c>
      <c r="F882" s="307" t="n">
        <v>1000106</v>
      </c>
      <c r="G882" s="289" t="inlineStr">
        <is>
          <t>IDR</t>
        </is>
      </c>
      <c r="H882" s="293" t="n">
        <v>1</v>
      </c>
      <c r="I882" s="306" t="n"/>
      <c r="J882" s="306" t="n"/>
      <c r="K882" s="306" t="n"/>
      <c r="L882" s="307">
        <f>$F882*$H882</f>
        <v/>
      </c>
      <c r="M882" s="306" t="n"/>
      <c r="N882" s="306" t="n"/>
      <c r="O882" s="306" t="n"/>
      <c r="P882" s="306" t="n"/>
      <c r="Q882" s="306" t="n"/>
    </row>
    <row r="883" ht="18.75" customHeight="1">
      <c r="B883" s="288" t="n">
        <v>45357</v>
      </c>
      <c r="C883" s="289" t="n">
        <v>332</v>
      </c>
      <c r="D883" s="290" t="inlineStr">
        <is>
          <t>Airplane Ticket PLM-CGK</t>
        </is>
      </c>
      <c r="E883" s="306" t="inlineStr">
        <is>
          <t>-</t>
        </is>
      </c>
      <c r="F883" s="307" t="n">
        <v>1000106</v>
      </c>
      <c r="G883" s="289" t="inlineStr">
        <is>
          <t>IDR</t>
        </is>
      </c>
      <c r="H883" s="293" t="n">
        <v>1</v>
      </c>
      <c r="I883" s="306" t="n"/>
      <c r="J883" s="306" t="n"/>
      <c r="K883" s="306" t="n"/>
      <c r="L883" s="307">
        <f>$F883*$H883</f>
        <v/>
      </c>
      <c r="M883" s="306" t="n"/>
      <c r="N883" s="306" t="n"/>
      <c r="O883" s="306" t="n"/>
      <c r="P883" s="306" t="n"/>
      <c r="Q883" s="306" t="n"/>
    </row>
    <row r="884" ht="18.75" customHeight="1">
      <c r="B884" s="288" t="n">
        <v>45358</v>
      </c>
      <c r="C884" s="289" t="n">
        <v>333</v>
      </c>
      <c r="D884" s="290" t="inlineStr">
        <is>
          <t>Taxi CGK-Pondok Cabe</t>
        </is>
      </c>
      <c r="E884" s="306" t="inlineStr">
        <is>
          <t>-</t>
        </is>
      </c>
      <c r="F884" s="307" t="n">
        <v>250000</v>
      </c>
      <c r="G884" s="289" t="inlineStr">
        <is>
          <t>IDR</t>
        </is>
      </c>
      <c r="H884" s="293" t="n">
        <v>1</v>
      </c>
      <c r="I884" s="306" t="n"/>
      <c r="J884" s="306" t="n"/>
      <c r="K884" s="306" t="n"/>
      <c r="L884" s="307">
        <f>$F884*$H884</f>
        <v/>
      </c>
      <c r="M884" s="306" t="n"/>
      <c r="N884" s="306" t="n"/>
      <c r="O884" s="306" t="n"/>
      <c r="P884" s="306" t="n"/>
      <c r="Q884" s="306" t="n"/>
    </row>
    <row r="885" ht="18.75" customHeight="1">
      <c r="B885" s="288" t="n">
        <v>45358</v>
      </c>
      <c r="C885" s="289" t="n">
        <v>334</v>
      </c>
      <c r="D885" s="290" t="inlineStr">
        <is>
          <t>Toll Fee</t>
        </is>
      </c>
      <c r="E885" s="306" t="inlineStr">
        <is>
          <t>-</t>
        </is>
      </c>
      <c r="F885" s="307" t="n">
        <v>105000</v>
      </c>
      <c r="G885" s="289" t="inlineStr">
        <is>
          <t>IDR</t>
        </is>
      </c>
      <c r="H885" s="293" t="n">
        <v>1</v>
      </c>
      <c r="I885" s="306" t="n"/>
      <c r="J885" s="306" t="n"/>
      <c r="K885" s="306" t="n"/>
      <c r="L885" s="307">
        <f>$F885*$H885</f>
        <v/>
      </c>
      <c r="M885" s="306" t="n"/>
      <c r="N885" s="306" t="n"/>
      <c r="O885" s="306" t="n"/>
      <c r="P885" s="306" t="n"/>
      <c r="Q885" s="306" t="n"/>
    </row>
    <row r="886" ht="18.75" customHeight="1">
      <c r="B886" s="288" t="n">
        <v>45358</v>
      </c>
      <c r="C886" s="289" t="n">
        <v>335</v>
      </c>
      <c r="D886" s="290" t="inlineStr">
        <is>
          <t>Tunjangan Lapangan (Training) untuk 27 days</t>
        </is>
      </c>
      <c r="E886" s="306" t="inlineStr">
        <is>
          <t>-</t>
        </is>
      </c>
      <c r="F886" s="307" t="n">
        <v>750</v>
      </c>
      <c r="G886" s="289" t="inlineStr">
        <is>
          <t>USD</t>
        </is>
      </c>
      <c r="H886" s="293" t="n">
        <v>15607</v>
      </c>
      <c r="I886" s="306" t="n"/>
      <c r="J886" s="306" t="n"/>
      <c r="K886" s="306" t="n"/>
      <c r="L886" s="307">
        <f>$F886*$H886</f>
        <v/>
      </c>
      <c r="M886" s="306" t="n"/>
      <c r="N886" s="306" t="n"/>
      <c r="O886" s="306" t="n"/>
      <c r="P886" s="306" t="n"/>
      <c r="Q886" s="306" t="n"/>
    </row>
    <row r="887" ht="18.75" customHeight="1">
      <c r="B887" s="288" t="n">
        <v>45358</v>
      </c>
      <c r="C887" s="289" t="n">
        <v>336</v>
      </c>
      <c r="D887" s="290" t="inlineStr">
        <is>
          <t>Taxi CGK-Pondok Cabe</t>
        </is>
      </c>
      <c r="E887" s="306" t="inlineStr">
        <is>
          <t>-</t>
        </is>
      </c>
      <c r="F887" s="307" t="n">
        <v>250000</v>
      </c>
      <c r="G887" s="289" t="inlineStr">
        <is>
          <t>IDR</t>
        </is>
      </c>
      <c r="H887" s="293" t="n">
        <v>1</v>
      </c>
      <c r="I887" s="306" t="n"/>
      <c r="J887" s="306" t="n"/>
      <c r="K887" s="306" t="n"/>
      <c r="L887" s="307">
        <f>$F887*$H887</f>
        <v/>
      </c>
      <c r="M887" s="306" t="n"/>
      <c r="N887" s="306" t="n"/>
      <c r="O887" s="306" t="n"/>
      <c r="P887" s="306" t="n"/>
      <c r="Q887" s="306" t="n"/>
    </row>
    <row r="888" ht="18.75" customHeight="1">
      <c r="B888" s="288" t="n">
        <v>45358</v>
      </c>
      <c r="C888" s="289" t="n">
        <v>337</v>
      </c>
      <c r="D888" s="290" t="inlineStr">
        <is>
          <t>Toll Fee</t>
        </is>
      </c>
      <c r="E888" s="306" t="inlineStr">
        <is>
          <t>-</t>
        </is>
      </c>
      <c r="F888" s="307" t="n">
        <v>105000</v>
      </c>
      <c r="G888" s="289" t="inlineStr">
        <is>
          <t>IDR</t>
        </is>
      </c>
      <c r="H888" s="293" t="n">
        <v>1</v>
      </c>
      <c r="I888" s="306" t="n"/>
      <c r="J888" s="306" t="n"/>
      <c r="K888" s="306" t="n"/>
      <c r="L888" s="307">
        <f>$F888*$H888</f>
        <v/>
      </c>
      <c r="M888" s="306" t="n"/>
      <c r="N888" s="306" t="n"/>
      <c r="O888" s="306" t="n"/>
      <c r="P888" s="306" t="n"/>
      <c r="Q888" s="306" t="n"/>
    </row>
    <row r="889" ht="18.75" customHeight="1">
      <c r="B889" s="288" t="n">
        <v>45358</v>
      </c>
      <c r="C889" s="289" t="n">
        <v>338</v>
      </c>
      <c r="D889" s="290" t="inlineStr">
        <is>
          <t>Tunjangan Lapangan (Training) untuk 27 days</t>
        </is>
      </c>
      <c r="E889" s="306" t="inlineStr">
        <is>
          <t>-</t>
        </is>
      </c>
      <c r="F889" s="307" t="n">
        <v>750</v>
      </c>
      <c r="G889" s="289" t="inlineStr">
        <is>
          <t>USD</t>
        </is>
      </c>
      <c r="H889" s="293" t="n">
        <v>15607</v>
      </c>
      <c r="I889" s="306" t="n"/>
      <c r="J889" s="306" t="n"/>
      <c r="K889" s="306" t="n"/>
      <c r="L889" s="307">
        <f>$F889*$H889</f>
        <v/>
      </c>
      <c r="M889" s="306" t="n"/>
      <c r="N889" s="306" t="n"/>
      <c r="O889" s="306" t="n"/>
      <c r="P889" s="306" t="n"/>
      <c r="Q889" s="306" t="n"/>
    </row>
    <row r="890" ht="18.75" customHeight="1">
      <c r="B890" s="288" t="n">
        <v>45358</v>
      </c>
      <c r="C890" s="289" t="n">
        <v>339</v>
      </c>
      <c r="D890" s="290" t="inlineStr">
        <is>
          <t>Taxi CGK-Pondok Cabe</t>
        </is>
      </c>
      <c r="E890" s="306" t="inlineStr">
        <is>
          <t>-</t>
        </is>
      </c>
      <c r="F890" s="307" t="n">
        <v>250000</v>
      </c>
      <c r="G890" s="289" t="inlineStr">
        <is>
          <t>IDR</t>
        </is>
      </c>
      <c r="H890" s="293" t="n">
        <v>1</v>
      </c>
      <c r="I890" s="306" t="n"/>
      <c r="J890" s="306" t="n"/>
      <c r="K890" s="306" t="n"/>
      <c r="L890" s="307">
        <f>$F890*$H890</f>
        <v/>
      </c>
      <c r="M890" s="306" t="n"/>
      <c r="N890" s="306" t="n"/>
      <c r="O890" s="306" t="n"/>
      <c r="P890" s="306" t="n"/>
      <c r="Q890" s="306" t="n"/>
    </row>
    <row r="891" ht="18.75" customHeight="1">
      <c r="B891" s="288" t="n">
        <v>45358</v>
      </c>
      <c r="C891" s="289" t="n">
        <v>340</v>
      </c>
      <c r="D891" s="290" t="inlineStr">
        <is>
          <t>Toll Fee</t>
        </is>
      </c>
      <c r="E891" s="306" t="inlineStr">
        <is>
          <t>-</t>
        </is>
      </c>
      <c r="F891" s="307" t="n">
        <v>105000</v>
      </c>
      <c r="G891" s="289" t="inlineStr">
        <is>
          <t>IDR</t>
        </is>
      </c>
      <c r="H891" s="293" t="n">
        <v>1</v>
      </c>
      <c r="I891" s="306" t="n"/>
      <c r="J891" s="306" t="n"/>
      <c r="K891" s="306" t="n"/>
      <c r="L891" s="307">
        <f>$F891*$H891</f>
        <v/>
      </c>
      <c r="M891" s="306" t="n"/>
      <c r="N891" s="306" t="n"/>
      <c r="O891" s="306" t="n"/>
      <c r="P891" s="306" t="n"/>
      <c r="Q891" s="306" t="n"/>
    </row>
    <row r="892" ht="18.75" customHeight="1">
      <c r="B892" s="288" t="n">
        <v>45358</v>
      </c>
      <c r="C892" s="289" t="n">
        <v>341</v>
      </c>
      <c r="D892" s="290" t="inlineStr">
        <is>
          <t>Tunjangan Lapangan (Training) untuk 27 days</t>
        </is>
      </c>
      <c r="E892" s="306" t="inlineStr">
        <is>
          <t>-</t>
        </is>
      </c>
      <c r="F892" s="307" t="n">
        <v>750</v>
      </c>
      <c r="G892" s="289" t="inlineStr">
        <is>
          <t>USD</t>
        </is>
      </c>
      <c r="H892" s="293" t="n">
        <v>15607</v>
      </c>
      <c r="I892" s="306" t="n"/>
      <c r="J892" s="306" t="n"/>
      <c r="K892" s="306" t="n"/>
      <c r="L892" s="307">
        <f>$F892*$H892</f>
        <v/>
      </c>
      <c r="M892" s="306" t="n"/>
      <c r="N892" s="306" t="n"/>
      <c r="O892" s="306" t="n"/>
      <c r="P892" s="306" t="n"/>
      <c r="Q892" s="306" t="n"/>
    </row>
    <row r="893" ht="18.75" customHeight="1">
      <c r="B893" s="288" t="n">
        <v>45358</v>
      </c>
      <c r="C893" s="289" t="n">
        <v>342</v>
      </c>
      <c r="D893" s="290" t="inlineStr">
        <is>
          <t>Taxi CGK-Pondok Cabe</t>
        </is>
      </c>
      <c r="E893" s="306" t="inlineStr">
        <is>
          <t>-</t>
        </is>
      </c>
      <c r="F893" s="307" t="n">
        <v>250000</v>
      </c>
      <c r="G893" s="289" t="inlineStr">
        <is>
          <t>IDR</t>
        </is>
      </c>
      <c r="H893" s="293" t="n">
        <v>1</v>
      </c>
      <c r="I893" s="306" t="n"/>
      <c r="J893" s="306" t="n"/>
      <c r="K893" s="306" t="n"/>
      <c r="L893" s="307">
        <f>$F893*$H893</f>
        <v/>
      </c>
      <c r="M893" s="306" t="n"/>
      <c r="N893" s="306" t="n"/>
      <c r="O893" s="306" t="n"/>
      <c r="P893" s="306" t="n"/>
      <c r="Q893" s="306" t="n"/>
    </row>
    <row r="894" ht="18.75" customHeight="1">
      <c r="B894" s="288" t="n">
        <v>45358</v>
      </c>
      <c r="C894" s="289" t="n">
        <v>343</v>
      </c>
      <c r="D894" s="290" t="inlineStr">
        <is>
          <t>Toll Fee</t>
        </is>
      </c>
      <c r="E894" s="306" t="inlineStr">
        <is>
          <t>-</t>
        </is>
      </c>
      <c r="F894" s="307" t="n">
        <v>105000</v>
      </c>
      <c r="G894" s="289" t="inlineStr">
        <is>
          <t>IDR</t>
        </is>
      </c>
      <c r="H894" s="293" t="n">
        <v>1</v>
      </c>
      <c r="I894" s="306" t="n"/>
      <c r="J894" s="306" t="n"/>
      <c r="K894" s="306" t="n"/>
      <c r="L894" s="307">
        <f>$F894*$H894</f>
        <v/>
      </c>
      <c r="M894" s="306" t="n"/>
      <c r="N894" s="306" t="n"/>
      <c r="O894" s="306" t="n"/>
      <c r="P894" s="306" t="n"/>
      <c r="Q894" s="306" t="n"/>
    </row>
    <row r="895" ht="18.75" customHeight="1">
      <c r="B895" s="288" t="n">
        <v>45358</v>
      </c>
      <c r="C895" s="289" t="n">
        <v>344</v>
      </c>
      <c r="D895" s="290" t="inlineStr">
        <is>
          <t>Tunjangan Lapangan (Training) untuk 27 days</t>
        </is>
      </c>
      <c r="E895" s="306" t="inlineStr">
        <is>
          <t>-</t>
        </is>
      </c>
      <c r="F895" s="307" t="n">
        <v>750</v>
      </c>
      <c r="G895" s="289" t="inlineStr">
        <is>
          <t>USD</t>
        </is>
      </c>
      <c r="H895" s="293" t="n">
        <v>15607</v>
      </c>
      <c r="I895" s="306" t="n"/>
      <c r="J895" s="306" t="n"/>
      <c r="K895" s="306" t="n"/>
      <c r="L895" s="307">
        <f>$F895*$H895</f>
        <v/>
      </c>
      <c r="M895" s="306" t="n"/>
      <c r="N895" s="306" t="n"/>
      <c r="O895" s="306" t="n"/>
      <c r="P895" s="306" t="n"/>
      <c r="Q895" s="306" t="n"/>
    </row>
    <row r="896">
      <c r="B896" s="310" t="inlineStr">
        <is>
          <t>Expense#3</t>
        </is>
      </c>
      <c r="C896" s="311" t="inlineStr">
        <is>
          <t>:</t>
        </is>
      </c>
      <c r="D896" s="310" t="inlineStr">
        <is>
          <t>MPLT (SAKA-UjungPangkah field) GOWell - TGE _IC</t>
        </is>
      </c>
      <c r="E896" s="311" t="n"/>
      <c r="F896" s="311" t="n"/>
      <c r="G896" s="311" t="n"/>
      <c r="H896" s="311" t="n"/>
      <c r="I896" s="311" t="n"/>
      <c r="J896" s="311" t="n"/>
      <c r="K896" s="311" t="n"/>
      <c r="L896" s="311" t="n"/>
      <c r="M896" s="311" t="n"/>
      <c r="N896" s="311" t="n"/>
      <c r="O896" s="311" t="n"/>
      <c r="P896" s="311" t="n"/>
      <c r="Q896" s="311" t="n"/>
    </row>
    <row r="897">
      <c r="B897" s="312" t="n"/>
      <c r="C897" s="312" t="n"/>
      <c r="D897" s="285" t="inlineStr">
        <is>
          <t>Allowance</t>
        </is>
      </c>
      <c r="E897" s="312" t="n"/>
      <c r="F897" s="312" t="n"/>
      <c r="G897" s="312" t="n"/>
      <c r="H897" s="312" t="n"/>
      <c r="I897" s="312" t="n"/>
      <c r="J897" s="312" t="n"/>
      <c r="K897" s="312" t="n"/>
      <c r="L897" s="312" t="n"/>
      <c r="M897" s="312" t="n"/>
      <c r="N897" s="312" t="n"/>
      <c r="O897" s="312" t="n"/>
      <c r="P897" s="312" t="n"/>
      <c r="Q897" s="312" t="n"/>
    </row>
    <row r="898" ht="18.75" customHeight="1">
      <c r="B898" s="288" t="n">
        <v>45375</v>
      </c>
      <c r="C898" s="289" t="n">
        <v>345</v>
      </c>
      <c r="D898" s="290" t="inlineStr">
        <is>
          <t>Tunjangan Lapangan untuk 6 days</t>
        </is>
      </c>
      <c r="E898" s="306" t="inlineStr">
        <is>
          <t>-</t>
        </is>
      </c>
      <c r="F898" s="307" t="n">
        <v>600</v>
      </c>
      <c r="G898" s="289" t="inlineStr">
        <is>
          <t>USD</t>
        </is>
      </c>
      <c r="H898" s="293" t="n">
        <v>15835</v>
      </c>
      <c r="I898" s="306" t="n"/>
      <c r="J898" s="306" t="n"/>
      <c r="K898" s="306" t="n"/>
      <c r="L898" s="307">
        <f>$F898*$H898</f>
        <v/>
      </c>
      <c r="M898" s="306" t="n"/>
      <c r="N898" s="306" t="n"/>
      <c r="O898" s="306" t="n"/>
      <c r="P898" s="306" t="n"/>
      <c r="Q898" s="306" t="n"/>
    </row>
    <row r="899" ht="18.75" customHeight="1">
      <c r="B899" s="288" t="n">
        <v>45375</v>
      </c>
      <c r="C899" s="289" t="n">
        <v>346</v>
      </c>
      <c r="D899" s="290" t="inlineStr">
        <is>
          <t>Tunjangan Lapangan untuk 6 days</t>
        </is>
      </c>
      <c r="E899" s="306" t="inlineStr">
        <is>
          <t>-</t>
        </is>
      </c>
      <c r="F899" s="307" t="n">
        <v>600</v>
      </c>
      <c r="G899" s="289" t="inlineStr">
        <is>
          <t>USD</t>
        </is>
      </c>
      <c r="H899" s="293" t="n">
        <v>15835</v>
      </c>
      <c r="I899" s="306" t="n"/>
      <c r="J899" s="306" t="n"/>
      <c r="K899" s="306" t="n"/>
      <c r="L899" s="307">
        <f>$F899*$H899</f>
        <v/>
      </c>
      <c r="M899" s="306" t="n"/>
      <c r="N899" s="306" t="n"/>
      <c r="O899" s="306" t="n"/>
      <c r="P899" s="306" t="n"/>
      <c r="Q899" s="306" t="n"/>
    </row>
    <row r="900" ht="18.75" customHeight="1">
      <c r="B900" s="288" t="n">
        <v>45375</v>
      </c>
      <c r="C900" s="289" t="n">
        <v>347</v>
      </c>
      <c r="D900" s="290" t="inlineStr">
        <is>
          <t>Tunjangan Lapangan untuk 6 days</t>
        </is>
      </c>
      <c r="E900" s="306" t="inlineStr">
        <is>
          <t>-</t>
        </is>
      </c>
      <c r="F900" s="307" t="n">
        <v>600</v>
      </c>
      <c r="G900" s="289" t="inlineStr">
        <is>
          <t>USD</t>
        </is>
      </c>
      <c r="H900" s="293" t="n">
        <v>15835</v>
      </c>
      <c r="I900" s="306" t="n"/>
      <c r="J900" s="306" t="n"/>
      <c r="K900" s="306" t="n"/>
      <c r="L900" s="307">
        <f>$F900*$H900</f>
        <v/>
      </c>
      <c r="M900" s="306" t="n"/>
      <c r="N900" s="306" t="n"/>
      <c r="O900" s="306" t="n"/>
      <c r="P900" s="306" t="n"/>
      <c r="Q900" s="306" t="n"/>
    </row>
    <row r="901" ht="18.75" customHeight="1">
      <c r="B901" s="288" t="n">
        <v>45375</v>
      </c>
      <c r="C901" s="289" t="n">
        <v>348</v>
      </c>
      <c r="D901" s="290" t="inlineStr">
        <is>
          <t>Tunjangan Lapangan untuk 6 days</t>
        </is>
      </c>
      <c r="E901" s="306" t="inlineStr">
        <is>
          <t>-</t>
        </is>
      </c>
      <c r="F901" s="307" t="n">
        <v>600</v>
      </c>
      <c r="G901" s="289" t="inlineStr">
        <is>
          <t>USD</t>
        </is>
      </c>
      <c r="H901" s="293" t="n">
        <v>15835</v>
      </c>
      <c r="I901" s="306" t="n"/>
      <c r="J901" s="306" t="n"/>
      <c r="K901" s="306" t="n"/>
      <c r="L901" s="307">
        <f>$F901*$H901</f>
        <v/>
      </c>
      <c r="M901" s="306" t="n"/>
      <c r="N901" s="306" t="n"/>
      <c r="O901" s="306" t="n"/>
      <c r="P901" s="306" t="n"/>
      <c r="Q901" s="306" t="n"/>
    </row>
    <row r="902">
      <c r="B902" s="312" t="n"/>
      <c r="C902" s="312" t="n"/>
      <c r="D902" s="285" t="inlineStr">
        <is>
          <t>Laundry</t>
        </is>
      </c>
      <c r="E902" s="312" t="n"/>
      <c r="F902" s="312" t="n"/>
      <c r="G902" s="312" t="n"/>
      <c r="H902" s="312" t="n"/>
      <c r="I902" s="312" t="n"/>
      <c r="J902" s="312" t="n"/>
      <c r="K902" s="312" t="n"/>
      <c r="L902" s="312" t="n"/>
      <c r="M902" s="312" t="n"/>
      <c r="N902" s="312" t="n"/>
      <c r="O902" s="312" t="n"/>
      <c r="P902" s="312" t="n"/>
      <c r="Q902" s="312" t="n"/>
    </row>
    <row r="903" ht="18.75" customHeight="1">
      <c r="B903" s="288" t="n">
        <v>45375</v>
      </c>
      <c r="C903" s="289" t="n">
        <v>349</v>
      </c>
      <c r="D903" s="290" t="inlineStr">
        <is>
          <t>Laundry 6 days 1 Persons @ 50K IDR/day</t>
        </is>
      </c>
      <c r="E903" s="306" t="inlineStr">
        <is>
          <t>-</t>
        </is>
      </c>
      <c r="F903" s="307" t="n">
        <v>300000</v>
      </c>
      <c r="G903" s="289" t="inlineStr">
        <is>
          <t>IDR</t>
        </is>
      </c>
      <c r="H903" s="293" t="n">
        <v>1</v>
      </c>
      <c r="I903" s="306" t="n"/>
      <c r="J903" s="306" t="n"/>
      <c r="K903" s="306" t="n"/>
      <c r="L903" s="307">
        <f>$F903*$H903</f>
        <v/>
      </c>
      <c r="M903" s="306" t="n"/>
      <c r="N903" s="306" t="n"/>
      <c r="O903" s="306" t="n"/>
      <c r="P903" s="306" t="n"/>
      <c r="Q903" s="306" t="n"/>
    </row>
    <row r="904" ht="18.75" customHeight="1">
      <c r="B904" s="288" t="n">
        <v>45375</v>
      </c>
      <c r="C904" s="289" t="n">
        <v>350</v>
      </c>
      <c r="D904" s="290" t="inlineStr">
        <is>
          <t>Laundry 6 days 1 Persons @ 50K IDR/day</t>
        </is>
      </c>
      <c r="E904" s="306" t="inlineStr">
        <is>
          <t>-</t>
        </is>
      </c>
      <c r="F904" s="307" t="n">
        <v>300000</v>
      </c>
      <c r="G904" s="289" t="inlineStr">
        <is>
          <t>IDR</t>
        </is>
      </c>
      <c r="H904" s="293" t="n">
        <v>1</v>
      </c>
      <c r="I904" s="306" t="n"/>
      <c r="J904" s="306" t="n"/>
      <c r="K904" s="306" t="n"/>
      <c r="L904" s="307">
        <f>$F904*$H904</f>
        <v/>
      </c>
      <c r="M904" s="306" t="n"/>
      <c r="N904" s="306" t="n"/>
      <c r="O904" s="306" t="n"/>
      <c r="P904" s="306" t="n"/>
      <c r="Q904" s="306" t="n"/>
    </row>
    <row r="905" ht="18.75" customHeight="1">
      <c r="B905" s="288" t="n">
        <v>45375</v>
      </c>
      <c r="C905" s="289" t="n">
        <v>351</v>
      </c>
      <c r="D905" s="290" t="inlineStr">
        <is>
          <t>Laundry 6 days 1 Persons @ 50K IDR/day</t>
        </is>
      </c>
      <c r="E905" s="306" t="inlineStr">
        <is>
          <t>-</t>
        </is>
      </c>
      <c r="F905" s="307" t="n">
        <v>300000</v>
      </c>
      <c r="G905" s="289" t="inlineStr">
        <is>
          <t>IDR</t>
        </is>
      </c>
      <c r="H905" s="293" t="n">
        <v>1</v>
      </c>
      <c r="I905" s="306" t="n"/>
      <c r="J905" s="306" t="n"/>
      <c r="K905" s="306" t="n"/>
      <c r="L905" s="307">
        <f>$F905*$H905</f>
        <v/>
      </c>
      <c r="M905" s="306" t="n"/>
      <c r="N905" s="306" t="n"/>
      <c r="O905" s="306" t="n"/>
      <c r="P905" s="306" t="n"/>
      <c r="Q905" s="306" t="n"/>
    </row>
    <row r="906" ht="18.75" customHeight="1">
      <c r="B906" s="288" t="n">
        <v>45375</v>
      </c>
      <c r="C906" s="289" t="n">
        <v>352</v>
      </c>
      <c r="D906" s="290" t="inlineStr">
        <is>
          <t>Laundry 6 days 1 Persons @ 50K IDR/day</t>
        </is>
      </c>
      <c r="E906" s="306" t="inlineStr">
        <is>
          <t>-</t>
        </is>
      </c>
      <c r="F906" s="307" t="n">
        <v>300000</v>
      </c>
      <c r="G906" s="289" t="inlineStr">
        <is>
          <t>IDR</t>
        </is>
      </c>
      <c r="H906" s="293" t="n">
        <v>1</v>
      </c>
      <c r="I906" s="306" t="n"/>
      <c r="J906" s="306" t="n"/>
      <c r="K906" s="306" t="n"/>
      <c r="L906" s="307">
        <f>$F906*$H906</f>
        <v/>
      </c>
      <c r="M906" s="306" t="n"/>
      <c r="N906" s="306" t="n"/>
      <c r="O906" s="306" t="n"/>
      <c r="P906" s="306" t="n"/>
      <c r="Q906" s="306" t="n"/>
    </row>
    <row r="907">
      <c r="B907" s="312" t="n"/>
      <c r="C907" s="312" t="n"/>
      <c r="D907" s="285" t="inlineStr">
        <is>
          <t>Meal</t>
        </is>
      </c>
      <c r="E907" s="312" t="n"/>
      <c r="F907" s="312" t="n"/>
      <c r="G907" s="312" t="n"/>
      <c r="H907" s="312" t="n"/>
      <c r="I907" s="312" t="n"/>
      <c r="J907" s="312" t="n"/>
      <c r="K907" s="312" t="n"/>
      <c r="L907" s="312" t="n"/>
      <c r="M907" s="312" t="n"/>
      <c r="N907" s="312" t="n"/>
      <c r="O907" s="312" t="n"/>
      <c r="P907" s="312" t="n"/>
      <c r="Q907" s="312" t="n"/>
    </row>
    <row r="908" ht="18.75" customHeight="1">
      <c r="B908" s="288" t="n">
        <v>45375</v>
      </c>
      <c r="C908" s="289" t="n">
        <v>353</v>
      </c>
      <c r="D908" s="290" t="inlineStr">
        <is>
          <t>Meals 6 days 1 Persons @ 150K IDR/day</t>
        </is>
      </c>
      <c r="E908" s="306" t="inlineStr">
        <is>
          <t>-</t>
        </is>
      </c>
      <c r="F908" s="307" t="n">
        <v>900000</v>
      </c>
      <c r="G908" s="289" t="inlineStr">
        <is>
          <t>IDR</t>
        </is>
      </c>
      <c r="H908" s="293" t="n">
        <v>1</v>
      </c>
      <c r="I908" s="306" t="n"/>
      <c r="J908" s="306" t="n"/>
      <c r="K908" s="306" t="n"/>
      <c r="L908" s="307">
        <f>$F908*$H908</f>
        <v/>
      </c>
      <c r="M908" s="306" t="n"/>
      <c r="N908" s="306" t="n"/>
      <c r="O908" s="306" t="n"/>
      <c r="P908" s="306" t="n"/>
      <c r="Q908" s="306" t="n"/>
    </row>
    <row r="909" ht="18.75" customHeight="1">
      <c r="B909" s="288" t="n">
        <v>45375</v>
      </c>
      <c r="C909" s="289" t="n">
        <v>354</v>
      </c>
      <c r="D909" s="290" t="inlineStr">
        <is>
          <t>Meals 6 days 1 Persons @ 150K IDR/day</t>
        </is>
      </c>
      <c r="E909" s="306" t="inlineStr">
        <is>
          <t>-</t>
        </is>
      </c>
      <c r="F909" s="307" t="n">
        <v>900000</v>
      </c>
      <c r="G909" s="289" t="inlineStr">
        <is>
          <t>IDR</t>
        </is>
      </c>
      <c r="H909" s="293" t="n">
        <v>1</v>
      </c>
      <c r="I909" s="306" t="n"/>
      <c r="J909" s="306" t="n"/>
      <c r="K909" s="306" t="n"/>
      <c r="L909" s="307">
        <f>$F909*$H909</f>
        <v/>
      </c>
      <c r="M909" s="306" t="n"/>
      <c r="N909" s="306" t="n"/>
      <c r="O909" s="306" t="n"/>
      <c r="P909" s="306" t="n"/>
      <c r="Q909" s="306" t="n"/>
    </row>
    <row r="910" ht="18.75" customHeight="1">
      <c r="B910" s="288" t="n">
        <v>45375</v>
      </c>
      <c r="C910" s="289" t="n">
        <v>355</v>
      </c>
      <c r="D910" s="290" t="inlineStr">
        <is>
          <t>Meals 6 days 1 Persons @ 150K IDR/day</t>
        </is>
      </c>
      <c r="E910" s="306" t="inlineStr">
        <is>
          <t>-</t>
        </is>
      </c>
      <c r="F910" s="307" t="n">
        <v>900000</v>
      </c>
      <c r="G910" s="289" t="inlineStr">
        <is>
          <t>IDR</t>
        </is>
      </c>
      <c r="H910" s="293" t="n">
        <v>1</v>
      </c>
      <c r="I910" s="306" t="n"/>
      <c r="J910" s="306" t="n"/>
      <c r="K910" s="306" t="n"/>
      <c r="L910" s="307">
        <f>$F910*$H910</f>
        <v/>
      </c>
      <c r="M910" s="306" t="n"/>
      <c r="N910" s="306" t="n"/>
      <c r="O910" s="306" t="n"/>
      <c r="P910" s="306" t="n"/>
      <c r="Q910" s="306" t="n"/>
    </row>
    <row r="911" ht="18.75" customHeight="1">
      <c r="B911" s="288" t="n">
        <v>45375</v>
      </c>
      <c r="C911" s="289" t="n">
        <v>356</v>
      </c>
      <c r="D911" s="290" t="inlineStr">
        <is>
          <t>Meals 6 days 1 Persons @ 150K IDR/day</t>
        </is>
      </c>
      <c r="E911" s="306" t="inlineStr">
        <is>
          <t>-</t>
        </is>
      </c>
      <c r="F911" s="307" t="n">
        <v>900000</v>
      </c>
      <c r="G911" s="289" t="inlineStr">
        <is>
          <t>IDR</t>
        </is>
      </c>
      <c r="H911" s="293" t="n">
        <v>1</v>
      </c>
      <c r="I911" s="306" t="n"/>
      <c r="J911" s="306" t="n"/>
      <c r="K911" s="306" t="n"/>
      <c r="L911" s="307">
        <f>$F911*$H911</f>
        <v/>
      </c>
      <c r="M911" s="306" t="n"/>
      <c r="N911" s="306" t="n"/>
      <c r="O911" s="306" t="n"/>
      <c r="P911" s="306" t="n"/>
      <c r="Q911" s="306" t="n"/>
    </row>
    <row r="912">
      <c r="B912" s="312" t="n"/>
      <c r="C912" s="312" t="n"/>
      <c r="D912" s="285" t="inlineStr">
        <is>
          <t>Transportation</t>
        </is>
      </c>
      <c r="E912" s="312" t="n"/>
      <c r="F912" s="312" t="n"/>
      <c r="G912" s="312" t="n"/>
      <c r="H912" s="312" t="n"/>
      <c r="I912" s="312" t="n"/>
      <c r="J912" s="312" t="n"/>
      <c r="K912" s="312" t="n"/>
      <c r="L912" s="312" t="n"/>
      <c r="M912" s="312" t="n"/>
      <c r="N912" s="312" t="n"/>
      <c r="O912" s="312" t="n"/>
      <c r="P912" s="312" t="n"/>
      <c r="Q912" s="312" t="n"/>
    </row>
    <row r="913" ht="18.75" customHeight="1">
      <c r="B913" s="288" t="n">
        <v>45370</v>
      </c>
      <c r="C913" s="289" t="n">
        <v>357</v>
      </c>
      <c r="D913" s="290" t="inlineStr">
        <is>
          <t>Taxi Bintaro-CGK</t>
        </is>
      </c>
      <c r="E913" s="306" t="inlineStr">
        <is>
          <t>-</t>
        </is>
      </c>
      <c r="F913" s="307" t="n">
        <v>250000</v>
      </c>
      <c r="G913" s="289" t="inlineStr">
        <is>
          <t>IDR</t>
        </is>
      </c>
      <c r="H913" s="293" t="n">
        <v>1</v>
      </c>
      <c r="I913" s="306" t="n"/>
      <c r="J913" s="306" t="n"/>
      <c r="K913" s="306" t="n"/>
      <c r="L913" s="307">
        <f>$F913*$H913</f>
        <v/>
      </c>
      <c r="M913" s="306" t="n"/>
      <c r="N913" s="306" t="n"/>
      <c r="O913" s="306" t="n"/>
      <c r="P913" s="306" t="n"/>
      <c r="Q913" s="306" t="n"/>
    </row>
    <row r="914" ht="18.75" customHeight="1">
      <c r="B914" s="288" t="n">
        <v>45370</v>
      </c>
      <c r="C914" s="289" t="n">
        <v>358</v>
      </c>
      <c r="D914" s="290" t="inlineStr">
        <is>
          <t>Taxi Bintaro-CGK</t>
        </is>
      </c>
      <c r="E914" s="306" t="inlineStr">
        <is>
          <t>-</t>
        </is>
      </c>
      <c r="F914" s="307" t="n">
        <v>250000</v>
      </c>
      <c r="G914" s="289" t="inlineStr">
        <is>
          <t>IDR</t>
        </is>
      </c>
      <c r="H914" s="293" t="n">
        <v>1</v>
      </c>
      <c r="I914" s="306" t="n"/>
      <c r="J914" s="306" t="n"/>
      <c r="K914" s="306" t="n"/>
      <c r="L914" s="307">
        <f>$F914*$H914</f>
        <v/>
      </c>
      <c r="M914" s="306" t="n"/>
      <c r="N914" s="306" t="n"/>
      <c r="O914" s="306" t="n"/>
      <c r="P914" s="306" t="n"/>
      <c r="Q914" s="306" t="n"/>
    </row>
    <row r="915" ht="18.75" customHeight="1">
      <c r="B915" s="288" t="n">
        <v>45370</v>
      </c>
      <c r="C915" s="289" t="n">
        <v>359</v>
      </c>
      <c r="D915" s="290" t="inlineStr">
        <is>
          <t>Taxi Bintaro-CGK</t>
        </is>
      </c>
      <c r="E915" s="306" t="inlineStr">
        <is>
          <t>-</t>
        </is>
      </c>
      <c r="F915" s="307" t="n">
        <v>250000</v>
      </c>
      <c r="G915" s="289" t="inlineStr">
        <is>
          <t>IDR</t>
        </is>
      </c>
      <c r="H915" s="293" t="n">
        <v>1</v>
      </c>
      <c r="I915" s="306" t="n"/>
      <c r="J915" s="306" t="n"/>
      <c r="K915" s="306" t="n"/>
      <c r="L915" s="307">
        <f>$F915*$H915</f>
        <v/>
      </c>
      <c r="M915" s="306" t="n"/>
      <c r="N915" s="306" t="n"/>
      <c r="O915" s="306" t="n"/>
      <c r="P915" s="306" t="n"/>
      <c r="Q915" s="306" t="n"/>
    </row>
    <row r="916" ht="18.75" customHeight="1">
      <c r="B916" s="288" t="n">
        <v>45370</v>
      </c>
      <c r="C916" s="289" t="n">
        <v>360</v>
      </c>
      <c r="D916" s="290" t="inlineStr">
        <is>
          <t>Taxi Bintaro-CGK</t>
        </is>
      </c>
      <c r="E916" s="306" t="inlineStr">
        <is>
          <t>-</t>
        </is>
      </c>
      <c r="F916" s="307" t="n">
        <v>250000</v>
      </c>
      <c r="G916" s="289" t="inlineStr">
        <is>
          <t>IDR</t>
        </is>
      </c>
      <c r="H916" s="293" t="n">
        <v>1</v>
      </c>
      <c r="I916" s="306" t="n"/>
      <c r="J916" s="306" t="n"/>
      <c r="K916" s="306" t="n"/>
      <c r="L916" s="307">
        <f>$F916*$H916</f>
        <v/>
      </c>
      <c r="M916" s="306" t="n"/>
      <c r="N916" s="306" t="n"/>
      <c r="O916" s="306" t="n"/>
      <c r="P916" s="306" t="n"/>
      <c r="Q916" s="306" t="n"/>
    </row>
    <row r="917" ht="18.75" customHeight="1">
      <c r="B917" s="288" t="n">
        <v>45375</v>
      </c>
      <c r="C917" s="289" t="n">
        <v>361</v>
      </c>
      <c r="D917" s="290" t="inlineStr">
        <is>
          <t>Taxi CGK-Bintaro</t>
        </is>
      </c>
      <c r="E917" s="306" t="inlineStr">
        <is>
          <t>-</t>
        </is>
      </c>
      <c r="F917" s="307" t="n">
        <v>250000</v>
      </c>
      <c r="G917" s="289" t="inlineStr">
        <is>
          <t>IDR</t>
        </is>
      </c>
      <c r="H917" s="293" t="n">
        <v>1</v>
      </c>
      <c r="I917" s="306" t="n"/>
      <c r="J917" s="306" t="n"/>
      <c r="K917" s="306" t="n"/>
      <c r="L917" s="307">
        <f>$F917*$H917</f>
        <v/>
      </c>
      <c r="M917" s="306" t="n"/>
      <c r="N917" s="306" t="n"/>
      <c r="O917" s="306" t="n"/>
      <c r="P917" s="306" t="n"/>
      <c r="Q917" s="306" t="n"/>
    </row>
    <row r="918" ht="18.75" customHeight="1">
      <c r="B918" s="288" t="n">
        <v>45375</v>
      </c>
      <c r="C918" s="289" t="n">
        <v>362</v>
      </c>
      <c r="D918" s="290" t="inlineStr">
        <is>
          <t>Taxi CGK-Bintaro</t>
        </is>
      </c>
      <c r="E918" s="306" t="inlineStr">
        <is>
          <t>-</t>
        </is>
      </c>
      <c r="F918" s="307" t="n">
        <v>250000</v>
      </c>
      <c r="G918" s="289" t="inlineStr">
        <is>
          <t>IDR</t>
        </is>
      </c>
      <c r="H918" s="293" t="n">
        <v>1</v>
      </c>
      <c r="I918" s="306" t="n"/>
      <c r="J918" s="306" t="n"/>
      <c r="K918" s="306" t="n"/>
      <c r="L918" s="307">
        <f>$F918*$H918</f>
        <v/>
      </c>
      <c r="M918" s="306" t="n"/>
      <c r="N918" s="306" t="n"/>
      <c r="O918" s="306" t="n"/>
      <c r="P918" s="306" t="n"/>
      <c r="Q918" s="306" t="n"/>
    </row>
    <row r="919" ht="18.75" customHeight="1">
      <c r="B919" s="288" t="n">
        <v>45375</v>
      </c>
      <c r="C919" s="289" t="n">
        <v>363</v>
      </c>
      <c r="D919" s="290" t="inlineStr">
        <is>
          <t>Taxi CGK-Bintaro</t>
        </is>
      </c>
      <c r="E919" s="306" t="inlineStr">
        <is>
          <t>-</t>
        </is>
      </c>
      <c r="F919" s="307" t="n">
        <v>250000</v>
      </c>
      <c r="G919" s="289" t="inlineStr">
        <is>
          <t>IDR</t>
        </is>
      </c>
      <c r="H919" s="293" t="n">
        <v>1</v>
      </c>
      <c r="I919" s="306" t="n"/>
      <c r="J919" s="306" t="n"/>
      <c r="K919" s="306" t="n"/>
      <c r="L919" s="307">
        <f>$F919*$H919</f>
        <v/>
      </c>
      <c r="M919" s="306" t="n"/>
      <c r="N919" s="306" t="n"/>
      <c r="O919" s="306" t="n"/>
      <c r="P919" s="306" t="n"/>
      <c r="Q919" s="306" t="n"/>
    </row>
    <row r="920" ht="18.75" customHeight="1">
      <c r="B920" s="288" t="n">
        <v>45375</v>
      </c>
      <c r="C920" s="289" t="n">
        <v>364</v>
      </c>
      <c r="D920" s="290" t="inlineStr">
        <is>
          <t>Taxi CGK-Bintaro</t>
        </is>
      </c>
      <c r="E920" s="306" t="inlineStr">
        <is>
          <t>-</t>
        </is>
      </c>
      <c r="F920" s="307" t="n">
        <v>250000</v>
      </c>
      <c r="G920" s="289" t="inlineStr">
        <is>
          <t>IDR</t>
        </is>
      </c>
      <c r="H920" s="293" t="n">
        <v>1</v>
      </c>
      <c r="I920" s="306" t="n"/>
      <c r="J920" s="306" t="n"/>
      <c r="K920" s="306" t="n"/>
      <c r="L920" s="307">
        <f>$F920*$H920</f>
        <v/>
      </c>
      <c r="M920" s="306" t="n"/>
      <c r="N920" s="306" t="n"/>
      <c r="O920" s="306" t="n"/>
      <c r="P920" s="306" t="n"/>
      <c r="Q920" s="306" t="n"/>
    </row>
    <row r="921">
      <c r="B921" s="310" t="inlineStr">
        <is>
          <t>Expense#4</t>
        </is>
      </c>
      <c r="C921" s="311" t="inlineStr">
        <is>
          <t>:</t>
        </is>
      </c>
      <c r="D921" s="310" t="inlineStr">
        <is>
          <t>Non project (3rd) _ Ivan Chairulsyah</t>
        </is>
      </c>
      <c r="E921" s="311" t="n"/>
      <c r="F921" s="311" t="n"/>
      <c r="G921" s="311" t="n"/>
      <c r="H921" s="311" t="n"/>
      <c r="I921" s="311" t="n"/>
      <c r="J921" s="311" t="n"/>
      <c r="K921" s="311" t="n"/>
      <c r="L921" s="311" t="n"/>
      <c r="M921" s="311" t="n"/>
      <c r="N921" s="311" t="n"/>
      <c r="O921" s="311" t="n"/>
      <c r="P921" s="311" t="n"/>
      <c r="Q921" s="311" t="n"/>
    </row>
    <row r="922">
      <c r="B922" s="312" t="n"/>
      <c r="C922" s="312" t="n"/>
      <c r="D922" s="285" t="inlineStr">
        <is>
          <t>Elektronik &amp; Gadget</t>
        </is>
      </c>
      <c r="E922" s="312" t="n"/>
      <c r="F922" s="312" t="n"/>
      <c r="G922" s="312" t="n"/>
      <c r="H922" s="312" t="n"/>
      <c r="I922" s="312" t="n"/>
      <c r="J922" s="312" t="n"/>
      <c r="K922" s="312" t="n"/>
      <c r="L922" s="312" t="n"/>
      <c r="M922" s="312" t="n"/>
      <c r="N922" s="312" t="n"/>
      <c r="O922" s="312" t="n"/>
      <c r="P922" s="312" t="n"/>
      <c r="Q922" s="312" t="n"/>
    </row>
    <row r="923" ht="18.75" customHeight="1">
      <c r="B923" s="288" t="n">
        <v>45369</v>
      </c>
      <c r="C923" s="289" t="n">
        <v>365</v>
      </c>
      <c r="D923" s="290" t="inlineStr">
        <is>
          <t>Buy Cable type C to A</t>
        </is>
      </c>
      <c r="E923" s="306" t="inlineStr">
        <is>
          <t>-</t>
        </is>
      </c>
      <c r="F923" s="307" t="n">
        <v>69009</v>
      </c>
      <c r="G923" s="289" t="inlineStr">
        <is>
          <t>IDR</t>
        </is>
      </c>
      <c r="H923" s="293" t="n">
        <v>1</v>
      </c>
      <c r="I923" s="306" t="n"/>
      <c r="J923" s="306" t="n"/>
      <c r="K923" s="306" t="n"/>
      <c r="L923" s="306" t="n"/>
      <c r="M923" s="306" t="n"/>
      <c r="N923" s="307">
        <f>$F923*$H923</f>
        <v/>
      </c>
      <c r="O923" s="306" t="n"/>
      <c r="P923" s="306" t="n"/>
      <c r="Q923" s="306" t="n"/>
    </row>
    <row r="924" ht="18.75" customHeight="1">
      <c r="B924" s="288" t="n">
        <v>45369</v>
      </c>
      <c r="C924" s="289" t="n">
        <v>366</v>
      </c>
      <c r="D924" s="290" t="inlineStr">
        <is>
          <t>Buy Cable type C to C</t>
        </is>
      </c>
      <c r="E924" s="306" t="inlineStr">
        <is>
          <t>-</t>
        </is>
      </c>
      <c r="F924" s="307" t="n">
        <v>145800</v>
      </c>
      <c r="G924" s="289" t="inlineStr">
        <is>
          <t>IDR</t>
        </is>
      </c>
      <c r="H924" s="293" t="n">
        <v>1</v>
      </c>
      <c r="I924" s="306" t="n"/>
      <c r="J924" s="306" t="n"/>
      <c r="K924" s="306" t="n"/>
      <c r="L924" s="306" t="n"/>
      <c r="M924" s="306" t="n"/>
      <c r="N924" s="307">
        <f>$F924*$H924</f>
        <v/>
      </c>
      <c r="O924" s="306" t="n"/>
      <c r="P924" s="306" t="n"/>
      <c r="Q924" s="306" t="n"/>
    </row>
    <row r="925" ht="18.75" customHeight="1">
      <c r="B925" s="288" t="n">
        <v>45369</v>
      </c>
      <c r="C925" s="289" t="n">
        <v>367</v>
      </c>
      <c r="D925" s="290" t="inlineStr">
        <is>
          <t>Buy Jack 3 Pin Socket</t>
        </is>
      </c>
      <c r="E925" s="306" t="inlineStr">
        <is>
          <t>-</t>
        </is>
      </c>
      <c r="F925" s="307" t="n">
        <v>20891</v>
      </c>
      <c r="G925" s="289" t="inlineStr">
        <is>
          <t>IDR</t>
        </is>
      </c>
      <c r="H925" s="293" t="n">
        <v>1</v>
      </c>
      <c r="I925" s="306" t="n"/>
      <c r="J925" s="306" t="n"/>
      <c r="K925" s="306" t="n"/>
      <c r="L925" s="306" t="n"/>
      <c r="M925" s="306" t="n"/>
      <c r="N925" s="307">
        <f>$F925*$H925</f>
        <v/>
      </c>
      <c r="O925" s="306" t="n"/>
      <c r="P925" s="306" t="n"/>
      <c r="Q925" s="306" t="n"/>
    </row>
    <row r="926" ht="18.75" customHeight="1">
      <c r="B926" s="288" t="n">
        <v>45369</v>
      </c>
      <c r="C926" s="289" t="n">
        <v>368</v>
      </c>
      <c r="D926" s="290" t="inlineStr">
        <is>
          <t>Buy Powerbank 2 ea 27kmah &amp; 52kmah</t>
        </is>
      </c>
      <c r="E926" s="306" t="inlineStr">
        <is>
          <t>-</t>
        </is>
      </c>
      <c r="F926" s="307" t="n">
        <v>3325760</v>
      </c>
      <c r="G926" s="289" t="inlineStr">
        <is>
          <t>IDR</t>
        </is>
      </c>
      <c r="H926" s="293" t="n">
        <v>1</v>
      </c>
      <c r="I926" s="306" t="n"/>
      <c r="J926" s="306" t="n"/>
      <c r="K926" s="306" t="n"/>
      <c r="L926" s="306" t="n"/>
      <c r="M926" s="306" t="n"/>
      <c r="N926" s="307">
        <f>$F926*$H926</f>
        <v/>
      </c>
      <c r="O926" s="306" t="n"/>
      <c r="P926" s="306" t="n"/>
      <c r="Q926" s="306" t="n"/>
    </row>
    <row r="927" ht="18.75" customHeight="1">
      <c r="B927" s="288" t="n">
        <v>45369</v>
      </c>
      <c r="C927" s="289" t="n">
        <v>369</v>
      </c>
      <c r="D927" s="290" t="inlineStr">
        <is>
          <t>Buy Fluke-117</t>
        </is>
      </c>
      <c r="E927" s="306" t="inlineStr">
        <is>
          <t>-</t>
        </is>
      </c>
      <c r="F927" s="307" t="n">
        <v>4332000</v>
      </c>
      <c r="G927" s="289" t="inlineStr">
        <is>
          <t>IDR</t>
        </is>
      </c>
      <c r="H927" s="293" t="n">
        <v>1</v>
      </c>
      <c r="I927" s="306" t="n"/>
      <c r="J927" s="306" t="n"/>
      <c r="K927" s="306" t="n"/>
      <c r="L927" s="306" t="n"/>
      <c r="M927" s="306" t="n"/>
      <c r="N927" s="307">
        <f>$F927*$H927</f>
        <v/>
      </c>
      <c r="O927" s="306" t="n"/>
      <c r="P927" s="306" t="n"/>
      <c r="Q927" s="306" t="n"/>
    </row>
    <row r="928" ht="18.75" customHeight="1">
      <c r="B928" s="288" t="n">
        <v>45369</v>
      </c>
      <c r="C928" s="289" t="n">
        <v>370</v>
      </c>
      <c r="D928" s="290" t="inlineStr">
        <is>
          <t>Buy SANWA YX360TRF</t>
        </is>
      </c>
      <c r="E928" s="306" t="inlineStr">
        <is>
          <t>-</t>
        </is>
      </c>
      <c r="F928" s="307" t="n">
        <v>455600</v>
      </c>
      <c r="G928" s="289" t="inlineStr">
        <is>
          <t>IDR</t>
        </is>
      </c>
      <c r="H928" s="293" t="n">
        <v>1</v>
      </c>
      <c r="I928" s="306" t="n"/>
      <c r="J928" s="306" t="n"/>
      <c r="K928" s="306" t="n"/>
      <c r="L928" s="306" t="n"/>
      <c r="M928" s="306" t="n"/>
      <c r="N928" s="307">
        <f>$F928*$H928</f>
        <v/>
      </c>
      <c r="O928" s="306" t="n"/>
      <c r="P928" s="306" t="n"/>
      <c r="Q928" s="306" t="n"/>
    </row>
    <row r="929" ht="18.75" customHeight="1">
      <c r="B929" s="288" t="n">
        <v>45369</v>
      </c>
      <c r="C929" s="289" t="n">
        <v>371</v>
      </c>
      <c r="D929" s="290" t="inlineStr">
        <is>
          <t>Buy Cable type C to A</t>
        </is>
      </c>
      <c r="E929" s="306" t="inlineStr">
        <is>
          <t>-</t>
        </is>
      </c>
      <c r="F929" s="307" t="n">
        <v>69009</v>
      </c>
      <c r="G929" s="289" t="inlineStr">
        <is>
          <t>IDR</t>
        </is>
      </c>
      <c r="H929" s="293" t="n">
        <v>1</v>
      </c>
      <c r="I929" s="306" t="n"/>
      <c r="J929" s="306" t="n"/>
      <c r="K929" s="306" t="n"/>
      <c r="L929" s="306" t="n"/>
      <c r="M929" s="306" t="n"/>
      <c r="N929" s="307">
        <f>$F929*$H929</f>
        <v/>
      </c>
      <c r="O929" s="306" t="n"/>
      <c r="P929" s="306" t="n"/>
      <c r="Q929" s="306" t="n"/>
    </row>
    <row r="930" ht="18.75" customHeight="1">
      <c r="B930" s="288" t="n">
        <v>45369</v>
      </c>
      <c r="C930" s="289" t="n">
        <v>372</v>
      </c>
      <c r="D930" s="290" t="inlineStr">
        <is>
          <t>Buy Cable type C to C</t>
        </is>
      </c>
      <c r="E930" s="306" t="inlineStr">
        <is>
          <t>-</t>
        </is>
      </c>
      <c r="F930" s="307" t="n">
        <v>145800</v>
      </c>
      <c r="G930" s="289" t="inlineStr">
        <is>
          <t>IDR</t>
        </is>
      </c>
      <c r="H930" s="293" t="n">
        <v>1</v>
      </c>
      <c r="I930" s="306" t="n"/>
      <c r="J930" s="306" t="n"/>
      <c r="K930" s="306" t="n"/>
      <c r="L930" s="306" t="n"/>
      <c r="M930" s="306" t="n"/>
      <c r="N930" s="307">
        <f>$F930*$H930</f>
        <v/>
      </c>
      <c r="O930" s="306" t="n"/>
      <c r="P930" s="306" t="n"/>
      <c r="Q930" s="306" t="n"/>
    </row>
    <row r="931" ht="18.75" customHeight="1">
      <c r="B931" s="288" t="n">
        <v>45369</v>
      </c>
      <c r="C931" s="289" t="n">
        <v>373</v>
      </c>
      <c r="D931" s="290" t="inlineStr">
        <is>
          <t>Buy Jack 3 Pin Socket</t>
        </is>
      </c>
      <c r="E931" s="306" t="inlineStr">
        <is>
          <t>-</t>
        </is>
      </c>
      <c r="F931" s="307" t="n">
        <v>20891</v>
      </c>
      <c r="G931" s="289" t="inlineStr">
        <is>
          <t>IDR</t>
        </is>
      </c>
      <c r="H931" s="293" t="n">
        <v>1</v>
      </c>
      <c r="I931" s="306" t="n"/>
      <c r="J931" s="306" t="n"/>
      <c r="K931" s="306" t="n"/>
      <c r="L931" s="306" t="n"/>
      <c r="M931" s="306" t="n"/>
      <c r="N931" s="307">
        <f>$F931*$H931</f>
        <v/>
      </c>
      <c r="O931" s="306" t="n"/>
      <c r="P931" s="306" t="n"/>
      <c r="Q931" s="306" t="n"/>
    </row>
    <row r="932" ht="18.75" customHeight="1">
      <c r="B932" s="288" t="n">
        <v>45369</v>
      </c>
      <c r="C932" s="289" t="n">
        <v>374</v>
      </c>
      <c r="D932" s="290" t="inlineStr">
        <is>
          <t>Buy SANWA YX360TRF</t>
        </is>
      </c>
      <c r="E932" s="306" t="inlineStr">
        <is>
          <t>-</t>
        </is>
      </c>
      <c r="F932" s="307" t="n">
        <v>455600</v>
      </c>
      <c r="G932" s="289" t="inlineStr">
        <is>
          <t>IDR</t>
        </is>
      </c>
      <c r="H932" s="293" t="n">
        <v>1</v>
      </c>
      <c r="I932" s="306" t="n"/>
      <c r="J932" s="306" t="n"/>
      <c r="K932" s="306" t="n"/>
      <c r="L932" s="306" t="n"/>
      <c r="M932" s="306" t="n"/>
      <c r="N932" s="307">
        <f>$F932*$H932</f>
        <v/>
      </c>
      <c r="O932" s="306" t="n"/>
      <c r="P932" s="306" t="n"/>
      <c r="Q932" s="306" t="n"/>
    </row>
    <row r="933" ht="18.75" customHeight="1">
      <c r="B933" s="288" t="n">
        <v>45369</v>
      </c>
      <c r="C933" s="289" t="n">
        <v>375</v>
      </c>
      <c r="D933" s="290" t="inlineStr">
        <is>
          <t>Buy Powerbank 2 ea 27kmah &amp; 52kmah</t>
        </is>
      </c>
      <c r="E933" s="306" t="inlineStr">
        <is>
          <t>-</t>
        </is>
      </c>
      <c r="F933" s="307" t="n">
        <v>3325760</v>
      </c>
      <c r="G933" s="289" t="inlineStr">
        <is>
          <t>IDR</t>
        </is>
      </c>
      <c r="H933" s="293" t="n">
        <v>1</v>
      </c>
      <c r="I933" s="306" t="n"/>
      <c r="J933" s="306" t="n"/>
      <c r="K933" s="306" t="n"/>
      <c r="L933" s="306" t="n"/>
      <c r="M933" s="306" t="n"/>
      <c r="N933" s="307">
        <f>$F933*$H933</f>
        <v/>
      </c>
      <c r="O933" s="306" t="n"/>
      <c r="P933" s="306" t="n"/>
      <c r="Q933" s="306" t="n"/>
    </row>
    <row r="934" ht="18.75" customHeight="1">
      <c r="B934" s="288" t="n">
        <v>45369</v>
      </c>
      <c r="C934" s="289" t="n">
        <v>376</v>
      </c>
      <c r="D934" s="290" t="inlineStr">
        <is>
          <t>Buy Fluke-117</t>
        </is>
      </c>
      <c r="E934" s="306" t="inlineStr">
        <is>
          <t>-</t>
        </is>
      </c>
      <c r="F934" s="307" t="n">
        <v>4332000</v>
      </c>
      <c r="G934" s="289" t="inlineStr">
        <is>
          <t>IDR</t>
        </is>
      </c>
      <c r="H934" s="293" t="n">
        <v>1</v>
      </c>
      <c r="I934" s="306" t="n"/>
      <c r="J934" s="306" t="n"/>
      <c r="K934" s="306" t="n"/>
      <c r="L934" s="306" t="n"/>
      <c r="M934" s="306" t="n"/>
      <c r="N934" s="307">
        <f>$F934*$H934</f>
        <v/>
      </c>
      <c r="O934" s="306" t="n"/>
      <c r="P934" s="306" t="n"/>
      <c r="Q934" s="306" t="n"/>
    </row>
    <row r="935" ht="18.75" customHeight="1">
      <c r="B935" s="288" t="n">
        <v>45369</v>
      </c>
      <c r="C935" s="289" t="n">
        <v>377</v>
      </c>
      <c r="D935" s="290" t="inlineStr">
        <is>
          <t>Buy Cable type C to A</t>
        </is>
      </c>
      <c r="E935" s="306" t="inlineStr">
        <is>
          <t>-</t>
        </is>
      </c>
      <c r="F935" s="307" t="n">
        <v>69009</v>
      </c>
      <c r="G935" s="289" t="inlineStr">
        <is>
          <t>IDR</t>
        </is>
      </c>
      <c r="H935" s="293" t="n">
        <v>1</v>
      </c>
      <c r="I935" s="306" t="n"/>
      <c r="J935" s="306" t="n"/>
      <c r="K935" s="306" t="n"/>
      <c r="L935" s="306" t="n"/>
      <c r="M935" s="306" t="n"/>
      <c r="N935" s="307">
        <f>$F935*$H935</f>
        <v/>
      </c>
      <c r="O935" s="306" t="n"/>
      <c r="P935" s="306" t="n"/>
      <c r="Q935" s="306" t="n"/>
    </row>
    <row r="936" ht="18.75" customHeight="1">
      <c r="B936" s="288" t="n">
        <v>45369</v>
      </c>
      <c r="C936" s="289" t="n">
        <v>378</v>
      </c>
      <c r="D936" s="290" t="inlineStr">
        <is>
          <t>Buy Cable type C to C</t>
        </is>
      </c>
      <c r="E936" s="306" t="inlineStr">
        <is>
          <t>-</t>
        </is>
      </c>
      <c r="F936" s="307" t="n">
        <v>145800</v>
      </c>
      <c r="G936" s="289" t="inlineStr">
        <is>
          <t>IDR</t>
        </is>
      </c>
      <c r="H936" s="293" t="n">
        <v>1</v>
      </c>
      <c r="I936" s="306" t="n"/>
      <c r="J936" s="306" t="n"/>
      <c r="K936" s="306" t="n"/>
      <c r="L936" s="306" t="n"/>
      <c r="M936" s="306" t="n"/>
      <c r="N936" s="307">
        <f>$F936*$H936</f>
        <v/>
      </c>
      <c r="O936" s="306" t="n"/>
      <c r="P936" s="306" t="n"/>
      <c r="Q936" s="306" t="n"/>
    </row>
    <row r="937" ht="18.75" customHeight="1">
      <c r="B937" s="288" t="n">
        <v>45369</v>
      </c>
      <c r="C937" s="289" t="n">
        <v>379</v>
      </c>
      <c r="D937" s="290" t="inlineStr">
        <is>
          <t>Buy Jack 3 Pin Socket</t>
        </is>
      </c>
      <c r="E937" s="306" t="inlineStr">
        <is>
          <t>-</t>
        </is>
      </c>
      <c r="F937" s="307" t="n">
        <v>20891</v>
      </c>
      <c r="G937" s="289" t="inlineStr">
        <is>
          <t>IDR</t>
        </is>
      </c>
      <c r="H937" s="293" t="n">
        <v>1</v>
      </c>
      <c r="I937" s="306" t="n"/>
      <c r="J937" s="306" t="n"/>
      <c r="K937" s="306" t="n"/>
      <c r="L937" s="306" t="n"/>
      <c r="M937" s="306" t="n"/>
      <c r="N937" s="307">
        <f>$F937*$H937</f>
        <v/>
      </c>
      <c r="O937" s="306" t="n"/>
      <c r="P937" s="306" t="n"/>
      <c r="Q937" s="306" t="n"/>
    </row>
    <row r="938" ht="18.75" customHeight="1">
      <c r="B938" s="288" t="n">
        <v>45369</v>
      </c>
      <c r="C938" s="289" t="n">
        <v>380</v>
      </c>
      <c r="D938" s="290" t="inlineStr">
        <is>
          <t>Buy SANWA YX360TRF</t>
        </is>
      </c>
      <c r="E938" s="306" t="inlineStr">
        <is>
          <t>-</t>
        </is>
      </c>
      <c r="F938" s="307" t="n">
        <v>455600</v>
      </c>
      <c r="G938" s="289" t="inlineStr">
        <is>
          <t>IDR</t>
        </is>
      </c>
      <c r="H938" s="293" t="n">
        <v>1</v>
      </c>
      <c r="I938" s="306" t="n"/>
      <c r="J938" s="306" t="n"/>
      <c r="K938" s="306" t="n"/>
      <c r="L938" s="306" t="n"/>
      <c r="M938" s="306" t="n"/>
      <c r="N938" s="307">
        <f>$F938*$H938</f>
        <v/>
      </c>
      <c r="O938" s="306" t="n"/>
      <c r="P938" s="306" t="n"/>
      <c r="Q938" s="306" t="n"/>
    </row>
    <row r="939" ht="18.75" customHeight="1">
      <c r="B939" s="288" t="n">
        <v>45369</v>
      </c>
      <c r="C939" s="289" t="n">
        <v>381</v>
      </c>
      <c r="D939" s="290" t="inlineStr">
        <is>
          <t>Buy Powerbank 2 ea 27kmah &amp; 52kmah</t>
        </is>
      </c>
      <c r="E939" s="306" t="inlineStr">
        <is>
          <t>-</t>
        </is>
      </c>
      <c r="F939" s="307" t="n">
        <v>3325760</v>
      </c>
      <c r="G939" s="289" t="inlineStr">
        <is>
          <t>IDR</t>
        </is>
      </c>
      <c r="H939" s="293" t="n">
        <v>1</v>
      </c>
      <c r="I939" s="306" t="n"/>
      <c r="J939" s="306" t="n"/>
      <c r="K939" s="306" t="n"/>
      <c r="L939" s="306" t="n"/>
      <c r="M939" s="306" t="n"/>
      <c r="N939" s="307">
        <f>$F939*$H939</f>
        <v/>
      </c>
      <c r="O939" s="306" t="n"/>
      <c r="P939" s="306" t="n"/>
      <c r="Q939" s="306" t="n"/>
    </row>
    <row r="940" ht="18.75" customHeight="1">
      <c r="B940" s="288" t="n">
        <v>45369</v>
      </c>
      <c r="C940" s="289" t="n">
        <v>382</v>
      </c>
      <c r="D940" s="290" t="inlineStr">
        <is>
          <t>Buy Fluke-117</t>
        </is>
      </c>
      <c r="E940" s="306" t="inlineStr">
        <is>
          <t>-</t>
        </is>
      </c>
      <c r="F940" s="307" t="n">
        <v>4332000</v>
      </c>
      <c r="G940" s="289" t="inlineStr">
        <is>
          <t>IDR</t>
        </is>
      </c>
      <c r="H940" s="293" t="n">
        <v>1</v>
      </c>
      <c r="I940" s="306" t="n"/>
      <c r="J940" s="306" t="n"/>
      <c r="K940" s="306" t="n"/>
      <c r="L940" s="306" t="n"/>
      <c r="M940" s="306" t="n"/>
      <c r="N940" s="307">
        <f>$F940*$H940</f>
        <v/>
      </c>
      <c r="O940" s="306" t="n"/>
      <c r="P940" s="306" t="n"/>
      <c r="Q940" s="306" t="n"/>
    </row>
    <row r="941" ht="18.75" customHeight="1">
      <c r="B941" s="288" t="n">
        <v>45369</v>
      </c>
      <c r="C941" s="289" t="n">
        <v>383</v>
      </c>
      <c r="D941" s="290" t="inlineStr">
        <is>
          <t>Buy Cable type C to A</t>
        </is>
      </c>
      <c r="E941" s="306" t="inlineStr">
        <is>
          <t>-</t>
        </is>
      </c>
      <c r="F941" s="307" t="n">
        <v>69009</v>
      </c>
      <c r="G941" s="289" t="inlineStr">
        <is>
          <t>IDR</t>
        </is>
      </c>
      <c r="H941" s="293" t="n">
        <v>1</v>
      </c>
      <c r="I941" s="306" t="n"/>
      <c r="J941" s="306" t="n"/>
      <c r="K941" s="306" t="n"/>
      <c r="L941" s="306" t="n"/>
      <c r="M941" s="306" t="n"/>
      <c r="N941" s="307">
        <f>$F941*$H941</f>
        <v/>
      </c>
      <c r="O941" s="306" t="n"/>
      <c r="P941" s="306" t="n"/>
      <c r="Q941" s="306" t="n"/>
    </row>
    <row r="942" ht="18.75" customHeight="1">
      <c r="B942" s="288" t="n">
        <v>45369</v>
      </c>
      <c r="C942" s="289" t="n">
        <v>384</v>
      </c>
      <c r="D942" s="290" t="inlineStr">
        <is>
          <t>Buy Cable type C to C</t>
        </is>
      </c>
      <c r="E942" s="306" t="inlineStr">
        <is>
          <t>-</t>
        </is>
      </c>
      <c r="F942" s="307" t="n">
        <v>145800</v>
      </c>
      <c r="G942" s="289" t="inlineStr">
        <is>
          <t>IDR</t>
        </is>
      </c>
      <c r="H942" s="293" t="n">
        <v>1</v>
      </c>
      <c r="I942" s="306" t="n"/>
      <c r="J942" s="306" t="n"/>
      <c r="K942" s="306" t="n"/>
      <c r="L942" s="306" t="n"/>
      <c r="M942" s="306" t="n"/>
      <c r="N942" s="307">
        <f>$F942*$H942</f>
        <v/>
      </c>
      <c r="O942" s="306" t="n"/>
      <c r="P942" s="306" t="n"/>
      <c r="Q942" s="306" t="n"/>
    </row>
    <row r="943" ht="18.75" customHeight="1">
      <c r="B943" s="288" t="n">
        <v>45369</v>
      </c>
      <c r="C943" s="289" t="n">
        <v>385</v>
      </c>
      <c r="D943" s="290" t="inlineStr">
        <is>
          <t>Buy Jack 3 Pin Socket</t>
        </is>
      </c>
      <c r="E943" s="306" t="inlineStr">
        <is>
          <t>-</t>
        </is>
      </c>
      <c r="F943" s="307" t="n">
        <v>20891</v>
      </c>
      <c r="G943" s="289" t="inlineStr">
        <is>
          <t>IDR</t>
        </is>
      </c>
      <c r="H943" s="293" t="n">
        <v>1</v>
      </c>
      <c r="I943" s="306" t="n"/>
      <c r="J943" s="306" t="n"/>
      <c r="K943" s="306" t="n"/>
      <c r="L943" s="306" t="n"/>
      <c r="M943" s="306" t="n"/>
      <c r="N943" s="307">
        <f>$F943*$H943</f>
        <v/>
      </c>
      <c r="O943" s="306" t="n"/>
      <c r="P943" s="306" t="n"/>
      <c r="Q943" s="306" t="n"/>
    </row>
    <row r="944" ht="18.75" customHeight="1">
      <c r="B944" s="288" t="n">
        <v>45369</v>
      </c>
      <c r="C944" s="289" t="n">
        <v>386</v>
      </c>
      <c r="D944" s="290" t="inlineStr">
        <is>
          <t>Buy SANWA YX360TRF</t>
        </is>
      </c>
      <c r="E944" s="306" t="inlineStr">
        <is>
          <t>-</t>
        </is>
      </c>
      <c r="F944" s="307" t="n">
        <v>455600</v>
      </c>
      <c r="G944" s="289" t="inlineStr">
        <is>
          <t>IDR</t>
        </is>
      </c>
      <c r="H944" s="293" t="n">
        <v>1</v>
      </c>
      <c r="I944" s="306" t="n"/>
      <c r="J944" s="306" t="n"/>
      <c r="K944" s="306" t="n"/>
      <c r="L944" s="306" t="n"/>
      <c r="M944" s="306" t="n"/>
      <c r="N944" s="307">
        <f>$F944*$H944</f>
        <v/>
      </c>
      <c r="O944" s="306" t="n"/>
      <c r="P944" s="306" t="n"/>
      <c r="Q944" s="306" t="n"/>
    </row>
    <row r="945" ht="18.75" customHeight="1">
      <c r="B945" s="288" t="n">
        <v>45369</v>
      </c>
      <c r="C945" s="289" t="n">
        <v>387</v>
      </c>
      <c r="D945" s="290" t="inlineStr">
        <is>
          <t>Buy Powerbank 2 ea 27kmah &amp; 52kmah</t>
        </is>
      </c>
      <c r="E945" s="306" t="inlineStr">
        <is>
          <t>-</t>
        </is>
      </c>
      <c r="F945" s="307" t="n">
        <v>3325760</v>
      </c>
      <c r="G945" s="289" t="inlineStr">
        <is>
          <t>IDR</t>
        </is>
      </c>
      <c r="H945" s="293" t="n">
        <v>1</v>
      </c>
      <c r="I945" s="306" t="n"/>
      <c r="J945" s="306" t="n"/>
      <c r="K945" s="306" t="n"/>
      <c r="L945" s="306" t="n"/>
      <c r="M945" s="306" t="n"/>
      <c r="N945" s="307">
        <f>$F945*$H945</f>
        <v/>
      </c>
      <c r="O945" s="306" t="n"/>
      <c r="P945" s="306" t="n"/>
      <c r="Q945" s="306" t="n"/>
    </row>
    <row r="946" ht="18.75" customHeight="1">
      <c r="B946" s="288" t="n">
        <v>45369</v>
      </c>
      <c r="C946" s="289" t="n">
        <v>388</v>
      </c>
      <c r="D946" s="290" t="inlineStr">
        <is>
          <t>Buy Fluke-117</t>
        </is>
      </c>
      <c r="E946" s="306" t="inlineStr">
        <is>
          <t>-</t>
        </is>
      </c>
      <c r="F946" s="307" t="n">
        <v>4332000</v>
      </c>
      <c r="G946" s="289" t="inlineStr">
        <is>
          <t>IDR</t>
        </is>
      </c>
      <c r="H946" s="293" t="n">
        <v>1</v>
      </c>
      <c r="I946" s="306" t="n"/>
      <c r="J946" s="306" t="n"/>
      <c r="K946" s="306" t="n"/>
      <c r="L946" s="306" t="n"/>
      <c r="M946" s="306" t="n"/>
      <c r="N946" s="307">
        <f>$F946*$H946</f>
        <v/>
      </c>
      <c r="O946" s="306" t="n"/>
      <c r="P946" s="306" t="n"/>
      <c r="Q946" s="306" t="n"/>
    </row>
    <row r="947">
      <c r="B947" s="312" t="n"/>
      <c r="C947" s="312" t="n"/>
      <c r="D947" s="285" t="inlineStr">
        <is>
          <t>Hand Tools</t>
        </is>
      </c>
      <c r="E947" s="312" t="n"/>
      <c r="F947" s="312" t="n"/>
      <c r="G947" s="312" t="n"/>
      <c r="H947" s="312" t="n"/>
      <c r="I947" s="312" t="n"/>
      <c r="J947" s="312" t="n"/>
      <c r="K947" s="312" t="n"/>
      <c r="L947" s="312" t="n"/>
      <c r="M947" s="312" t="n"/>
      <c r="N947" s="312" t="n"/>
      <c r="O947" s="312" t="n"/>
      <c r="P947" s="312" t="n"/>
      <c r="Q947" s="312" t="n"/>
    </row>
    <row r="948" ht="18.75" customHeight="1">
      <c r="B948" s="288" t="n">
        <v>45354</v>
      </c>
      <c r="C948" s="289" t="n">
        <v>389</v>
      </c>
      <c r="D948" s="290" t="inlineStr">
        <is>
          <t>Send Tool from Bintaro to Gowell</t>
        </is>
      </c>
      <c r="E948" s="306" t="inlineStr">
        <is>
          <t>-</t>
        </is>
      </c>
      <c r="F948" s="307" t="n">
        <v>168732</v>
      </c>
      <c r="G948" s="289" t="inlineStr">
        <is>
          <t>IDR</t>
        </is>
      </c>
      <c r="H948" s="293" t="n">
        <v>1</v>
      </c>
      <c r="I948" s="306" t="n"/>
      <c r="J948" s="306" t="n"/>
      <c r="K948" s="306" t="n"/>
      <c r="L948" s="306" t="n"/>
      <c r="M948" s="306" t="n"/>
      <c r="N948" s="307">
        <f>$F948*$H948</f>
        <v/>
      </c>
      <c r="O948" s="306" t="n"/>
      <c r="P948" s="306" t="n"/>
      <c r="Q948" s="306" t="n"/>
    </row>
    <row r="949" ht="18.75" customHeight="1">
      <c r="B949" s="288" t="n">
        <v>45354</v>
      </c>
      <c r="C949" s="289" t="n">
        <v>390</v>
      </c>
      <c r="D949" s="290" t="inlineStr">
        <is>
          <t>Send Tool from Bintaro to Gowell</t>
        </is>
      </c>
      <c r="E949" s="306" t="inlineStr">
        <is>
          <t>-</t>
        </is>
      </c>
      <c r="F949" s="307" t="n">
        <v>168732</v>
      </c>
      <c r="G949" s="289" t="inlineStr">
        <is>
          <t>IDR</t>
        </is>
      </c>
      <c r="H949" s="293" t="n">
        <v>1</v>
      </c>
      <c r="I949" s="306" t="n"/>
      <c r="J949" s="306" t="n"/>
      <c r="K949" s="306" t="n"/>
      <c r="L949" s="306" t="n"/>
      <c r="M949" s="306" t="n"/>
      <c r="N949" s="307">
        <f>$F949*$H949</f>
        <v/>
      </c>
      <c r="O949" s="306" t="n"/>
      <c r="P949" s="306" t="n"/>
      <c r="Q949" s="306" t="n"/>
    </row>
    <row r="950" ht="18.75" customHeight="1">
      <c r="B950" s="288" t="n">
        <v>45354</v>
      </c>
      <c r="C950" s="289" t="n">
        <v>391</v>
      </c>
      <c r="D950" s="290" t="inlineStr">
        <is>
          <t>Send Tool from Bintaro to Gowell</t>
        </is>
      </c>
      <c r="E950" s="306" t="inlineStr">
        <is>
          <t>-</t>
        </is>
      </c>
      <c r="F950" s="307" t="n">
        <v>168732</v>
      </c>
      <c r="G950" s="289" t="inlineStr">
        <is>
          <t>IDR</t>
        </is>
      </c>
      <c r="H950" s="293" t="n">
        <v>1</v>
      </c>
      <c r="I950" s="306" t="n"/>
      <c r="J950" s="306" t="n"/>
      <c r="K950" s="306" t="n"/>
      <c r="L950" s="306" t="n"/>
      <c r="M950" s="306" t="n"/>
      <c r="N950" s="307">
        <f>$F950*$H950</f>
        <v/>
      </c>
      <c r="O950" s="306" t="n"/>
      <c r="P950" s="306" t="n"/>
      <c r="Q950" s="306" t="n"/>
    </row>
    <row r="951" ht="18.75" customHeight="1">
      <c r="B951" s="288" t="n">
        <v>45354</v>
      </c>
      <c r="C951" s="289" t="n">
        <v>392</v>
      </c>
      <c r="D951" s="290" t="inlineStr">
        <is>
          <t>Send Tool from Bintaro to Gowell</t>
        </is>
      </c>
      <c r="E951" s="306" t="inlineStr">
        <is>
          <t>-</t>
        </is>
      </c>
      <c r="F951" s="307" t="n">
        <v>168732</v>
      </c>
      <c r="G951" s="289" t="inlineStr">
        <is>
          <t>IDR</t>
        </is>
      </c>
      <c r="H951" s="293" t="n">
        <v>1</v>
      </c>
      <c r="I951" s="306" t="n"/>
      <c r="J951" s="306" t="n"/>
      <c r="K951" s="306" t="n"/>
      <c r="L951" s="306" t="n"/>
      <c r="M951" s="306" t="n"/>
      <c r="N951" s="307">
        <f>$F951*$H951</f>
        <v/>
      </c>
      <c r="O951" s="306" t="n"/>
      <c r="P951" s="306" t="n"/>
      <c r="Q951" s="306" t="n"/>
    </row>
    <row r="952" ht="18.75" customHeight="1">
      <c r="B952" s="288" t="n">
        <v>45370</v>
      </c>
      <c r="C952" s="289" t="n">
        <v>393</v>
      </c>
      <c r="D952" s="290" t="inlineStr">
        <is>
          <t>Send Tool from Gowell to TGE</t>
        </is>
      </c>
      <c r="E952" s="306" t="inlineStr">
        <is>
          <t>-</t>
        </is>
      </c>
      <c r="F952" s="307" t="n">
        <v>168732</v>
      </c>
      <c r="G952" s="289" t="inlineStr">
        <is>
          <t>IDR</t>
        </is>
      </c>
      <c r="H952" s="293" t="n">
        <v>1</v>
      </c>
      <c r="I952" s="306" t="n"/>
      <c r="J952" s="306" t="n"/>
      <c r="K952" s="306" t="n"/>
      <c r="L952" s="306" t="n"/>
      <c r="M952" s="306" t="n"/>
      <c r="N952" s="307">
        <f>$F952*$H952</f>
        <v/>
      </c>
      <c r="O952" s="306" t="n"/>
      <c r="P952" s="306" t="n"/>
      <c r="Q952" s="306" t="n"/>
    </row>
    <row r="953" ht="18.75" customHeight="1">
      <c r="B953" s="288" t="n">
        <v>45370</v>
      </c>
      <c r="C953" s="289" t="n">
        <v>394</v>
      </c>
      <c r="D953" s="290" t="inlineStr">
        <is>
          <t>Send Tool from Gowell to TGE</t>
        </is>
      </c>
      <c r="E953" s="306" t="inlineStr">
        <is>
          <t>-</t>
        </is>
      </c>
      <c r="F953" s="307" t="n">
        <v>168732</v>
      </c>
      <c r="G953" s="289" t="inlineStr">
        <is>
          <t>IDR</t>
        </is>
      </c>
      <c r="H953" s="293" t="n">
        <v>1</v>
      </c>
      <c r="I953" s="306" t="n"/>
      <c r="J953" s="306" t="n"/>
      <c r="K953" s="306" t="n"/>
      <c r="L953" s="306" t="n"/>
      <c r="M953" s="306" t="n"/>
      <c r="N953" s="307">
        <f>$F953*$H953</f>
        <v/>
      </c>
      <c r="O953" s="306" t="n"/>
      <c r="P953" s="306" t="n"/>
      <c r="Q953" s="306" t="n"/>
    </row>
    <row r="954" ht="18.75" customHeight="1">
      <c r="B954" s="288" t="n">
        <v>45370</v>
      </c>
      <c r="C954" s="289" t="n">
        <v>395</v>
      </c>
      <c r="D954" s="290" t="inlineStr">
        <is>
          <t>Send Tool from Gowell to TGE</t>
        </is>
      </c>
      <c r="E954" s="306" t="inlineStr">
        <is>
          <t>-</t>
        </is>
      </c>
      <c r="F954" s="307" t="n">
        <v>168732</v>
      </c>
      <c r="G954" s="289" t="inlineStr">
        <is>
          <t>IDR</t>
        </is>
      </c>
      <c r="H954" s="293" t="n">
        <v>1</v>
      </c>
      <c r="I954" s="306" t="n"/>
      <c r="J954" s="306" t="n"/>
      <c r="K954" s="306" t="n"/>
      <c r="L954" s="306" t="n"/>
      <c r="M954" s="306" t="n"/>
      <c r="N954" s="307">
        <f>$F954*$H954</f>
        <v/>
      </c>
      <c r="O954" s="306" t="n"/>
      <c r="P954" s="306" t="n"/>
      <c r="Q954" s="306" t="n"/>
    </row>
    <row r="955" ht="18.75" customHeight="1">
      <c r="B955" s="288" t="n">
        <v>45370</v>
      </c>
      <c r="C955" s="289" t="n">
        <v>396</v>
      </c>
      <c r="D955" s="290" t="inlineStr">
        <is>
          <t>Send Tool from Gowell to TGE</t>
        </is>
      </c>
      <c r="E955" s="306" t="inlineStr">
        <is>
          <t>-</t>
        </is>
      </c>
      <c r="F955" s="307" t="n">
        <v>168732</v>
      </c>
      <c r="G955" s="289" t="inlineStr">
        <is>
          <t>IDR</t>
        </is>
      </c>
      <c r="H955" s="293" t="n">
        <v>1</v>
      </c>
      <c r="I955" s="306" t="n"/>
      <c r="J955" s="306" t="n"/>
      <c r="K955" s="306" t="n"/>
      <c r="L955" s="306" t="n"/>
      <c r="M955" s="306" t="n"/>
      <c r="N955" s="307">
        <f>$F955*$H955</f>
        <v/>
      </c>
      <c r="O955" s="306" t="n"/>
      <c r="P955" s="306" t="n"/>
      <c r="Q955" s="306" t="n"/>
    </row>
    <row r="956">
      <c r="B956" s="310" t="inlineStr">
        <is>
          <t>Expense#5</t>
        </is>
      </c>
      <c r="C956" s="311" t="inlineStr">
        <is>
          <t>:</t>
        </is>
      </c>
      <c r="D956" s="310" t="inlineStr">
        <is>
          <t>MCU RS PP _Titis Maulana</t>
        </is>
      </c>
      <c r="E956" s="311" t="n"/>
      <c r="F956" s="311" t="n"/>
      <c r="G956" s="311" t="n"/>
      <c r="H956" s="311" t="n"/>
      <c r="I956" s="311" t="n"/>
      <c r="J956" s="311" t="n"/>
      <c r="K956" s="311" t="n"/>
      <c r="L956" s="311" t="n"/>
      <c r="M956" s="311" t="n"/>
      <c r="N956" s="311" t="n"/>
      <c r="O956" s="311" t="n"/>
      <c r="P956" s="311" t="n"/>
      <c r="Q956" s="311" t="n"/>
    </row>
    <row r="957">
      <c r="B957" s="312" t="n"/>
      <c r="C957" s="312" t="n"/>
      <c r="D957" s="285" t="inlineStr">
        <is>
          <t>Medical</t>
        </is>
      </c>
      <c r="E957" s="312" t="n"/>
      <c r="F957" s="312" t="n"/>
      <c r="G957" s="312" t="n"/>
      <c r="H957" s="312" t="n"/>
      <c r="I957" s="312" t="n"/>
      <c r="J957" s="312" t="n"/>
      <c r="K957" s="312" t="n"/>
      <c r="L957" s="312" t="n"/>
      <c r="M957" s="312" t="n"/>
      <c r="N957" s="312" t="n"/>
      <c r="O957" s="312" t="n"/>
      <c r="P957" s="312" t="n"/>
      <c r="Q957" s="312" t="n"/>
    </row>
    <row r="958" ht="18.75" customHeight="1">
      <c r="B958" s="288" t="n">
        <v>45384</v>
      </c>
      <c r="C958" s="289" t="n">
        <v>397</v>
      </c>
      <c r="D958" s="290" t="inlineStr">
        <is>
          <t>MCU RS PP</t>
        </is>
      </c>
      <c r="E958" s="306" t="inlineStr">
        <is>
          <t>-</t>
        </is>
      </c>
      <c r="F958" s="307" t="n">
        <v>5407000</v>
      </c>
      <c r="G958" s="289" t="inlineStr">
        <is>
          <t>IDR</t>
        </is>
      </c>
      <c r="H958" s="293" t="n">
        <v>1</v>
      </c>
      <c r="I958" s="306" t="n"/>
      <c r="J958" s="306" t="n"/>
      <c r="K958" s="306" t="n"/>
      <c r="L958" s="306" t="n"/>
      <c r="M958" s="306" t="n"/>
      <c r="N958" s="306" t="n"/>
      <c r="O958" s="306" t="n"/>
      <c r="P958" s="307">
        <f>$F958*$H958</f>
        <v/>
      </c>
      <c r="Q958" s="306" t="n"/>
    </row>
    <row r="959" ht="18.75" customHeight="1">
      <c r="B959" s="288" t="n">
        <v>45384</v>
      </c>
      <c r="C959" s="289" t="n">
        <v>398</v>
      </c>
      <c r="D959" s="290" t="inlineStr">
        <is>
          <t>MCU RS PP</t>
        </is>
      </c>
      <c r="E959" s="306" t="inlineStr">
        <is>
          <t>-</t>
        </is>
      </c>
      <c r="F959" s="307" t="n">
        <v>5407000</v>
      </c>
      <c r="G959" s="289" t="inlineStr">
        <is>
          <t>IDR</t>
        </is>
      </c>
      <c r="H959" s="293" t="n">
        <v>1</v>
      </c>
      <c r="I959" s="306" t="n"/>
      <c r="J959" s="306" t="n"/>
      <c r="K959" s="306" t="n"/>
      <c r="L959" s="306" t="n"/>
      <c r="M959" s="306" t="n"/>
      <c r="N959" s="306" t="n"/>
      <c r="O959" s="306" t="n"/>
      <c r="P959" s="307">
        <f>$F959*$H959</f>
        <v/>
      </c>
      <c r="Q959" s="306" t="n"/>
    </row>
    <row r="960" ht="18.75" customHeight="1">
      <c r="B960" s="288" t="n">
        <v>45384</v>
      </c>
      <c r="C960" s="289" t="n">
        <v>399</v>
      </c>
      <c r="D960" s="290" t="inlineStr">
        <is>
          <t>MCU RS PP</t>
        </is>
      </c>
      <c r="E960" s="306" t="inlineStr">
        <is>
          <t>-</t>
        </is>
      </c>
      <c r="F960" s="307" t="n">
        <v>5407000</v>
      </c>
      <c r="G960" s="289" t="inlineStr">
        <is>
          <t>IDR</t>
        </is>
      </c>
      <c r="H960" s="293" t="n">
        <v>1</v>
      </c>
      <c r="I960" s="306" t="n"/>
      <c r="J960" s="306" t="n"/>
      <c r="K960" s="306" t="n"/>
      <c r="L960" s="306" t="n"/>
      <c r="M960" s="306" t="n"/>
      <c r="N960" s="306" t="n"/>
      <c r="O960" s="306" t="n"/>
      <c r="P960" s="307">
        <f>$F960*$H960</f>
        <v/>
      </c>
      <c r="Q960" s="306" t="n"/>
    </row>
    <row r="961" ht="18.75" customHeight="1">
      <c r="B961" s="288" t="n">
        <v>45384</v>
      </c>
      <c r="C961" s="289" t="n">
        <v>400</v>
      </c>
      <c r="D961" s="290" t="inlineStr">
        <is>
          <t>MCU RS PP</t>
        </is>
      </c>
      <c r="E961" s="306" t="inlineStr">
        <is>
          <t>-</t>
        </is>
      </c>
      <c r="F961" s="307" t="n">
        <v>5407000</v>
      </c>
      <c r="G961" s="289" t="inlineStr">
        <is>
          <t>IDR</t>
        </is>
      </c>
      <c r="H961" s="293" t="n">
        <v>1</v>
      </c>
      <c r="I961" s="306" t="n"/>
      <c r="J961" s="306" t="n"/>
      <c r="K961" s="306" t="n"/>
      <c r="L961" s="306" t="n"/>
      <c r="M961" s="306" t="n"/>
      <c r="N961" s="306" t="n"/>
      <c r="O961" s="306" t="n"/>
      <c r="P961" s="307">
        <f>$F961*$H961</f>
        <v/>
      </c>
      <c r="Q961" s="306" t="n"/>
    </row>
    <row r="962">
      <c r="B962" s="310" t="inlineStr">
        <is>
          <t>Expense#6</t>
        </is>
      </c>
      <c r="C962" s="311" t="inlineStr">
        <is>
          <t>:</t>
        </is>
      </c>
      <c r="D962" s="310" t="inlineStr">
        <is>
          <t>MPLT (SAKA-UjungPangkah field) by TGE - GOWell project_IC</t>
        </is>
      </c>
      <c r="E962" s="311" t="n"/>
      <c r="F962" s="311" t="n"/>
      <c r="G962" s="311" t="n"/>
      <c r="H962" s="311" t="n"/>
      <c r="I962" s="311" t="n"/>
      <c r="J962" s="311" t="n"/>
      <c r="K962" s="311" t="n"/>
      <c r="L962" s="311" t="n"/>
      <c r="M962" s="311" t="n"/>
      <c r="N962" s="311" t="n"/>
      <c r="O962" s="311" t="n"/>
      <c r="P962" s="311" t="n"/>
      <c r="Q962" s="311" t="n"/>
    </row>
    <row r="963">
      <c r="B963" s="312" t="n"/>
      <c r="C963" s="312" t="n"/>
      <c r="D963" s="285" t="inlineStr">
        <is>
          <t>Biaya Operasi Lain-lain</t>
        </is>
      </c>
      <c r="E963" s="312" t="n"/>
      <c r="F963" s="312" t="n"/>
      <c r="G963" s="312" t="n"/>
      <c r="H963" s="312" t="n"/>
      <c r="I963" s="312" t="n"/>
      <c r="J963" s="312" t="n"/>
      <c r="K963" s="312" t="n"/>
      <c r="L963" s="312" t="n"/>
      <c r="M963" s="312" t="n"/>
      <c r="N963" s="312" t="n"/>
      <c r="O963" s="312" t="n"/>
      <c r="P963" s="312" t="n"/>
      <c r="Q963" s="312" t="n"/>
    </row>
    <row r="964" ht="18.75" customHeight="1">
      <c r="B964" s="288" t="n">
        <v>45385</v>
      </c>
      <c r="C964" s="289" t="n">
        <v>401</v>
      </c>
      <c r="D964" s="290" t="inlineStr">
        <is>
          <t>Send DTR Bintaro - Gowell</t>
        </is>
      </c>
      <c r="E964" s="306" t="inlineStr">
        <is>
          <t>-</t>
        </is>
      </c>
      <c r="F964" s="307" t="n">
        <v>38121</v>
      </c>
      <c r="G964" s="289" t="inlineStr">
        <is>
          <t>IDR</t>
        </is>
      </c>
      <c r="H964" s="293" t="n">
        <v>1</v>
      </c>
      <c r="I964" s="306" t="n"/>
      <c r="J964" s="306" t="n"/>
      <c r="K964" s="306" t="n"/>
      <c r="L964" s="307">
        <f>$F964*$H964</f>
        <v/>
      </c>
      <c r="M964" s="306" t="n"/>
      <c r="N964" s="306" t="n"/>
      <c r="O964" s="306" t="n"/>
      <c r="P964" s="306" t="n"/>
      <c r="Q964" s="306" t="n"/>
    </row>
    <row r="965" ht="18.75" customHeight="1">
      <c r="B965" s="288" t="n">
        <v>45385</v>
      </c>
      <c r="C965" s="289" t="n">
        <v>402</v>
      </c>
      <c r="D965" s="290" t="inlineStr">
        <is>
          <t>Send DTR Bintaro - Gowell</t>
        </is>
      </c>
      <c r="E965" s="306" t="inlineStr">
        <is>
          <t>-</t>
        </is>
      </c>
      <c r="F965" s="307" t="n">
        <v>38121</v>
      </c>
      <c r="G965" s="289" t="inlineStr">
        <is>
          <t>IDR</t>
        </is>
      </c>
      <c r="H965" s="293" t="n">
        <v>1</v>
      </c>
      <c r="I965" s="306" t="n"/>
      <c r="J965" s="306" t="n"/>
      <c r="K965" s="306" t="n"/>
      <c r="L965" s="307">
        <f>$F965*$H965</f>
        <v/>
      </c>
      <c r="M965" s="306" t="n"/>
      <c r="N965" s="306" t="n"/>
      <c r="O965" s="306" t="n"/>
      <c r="P965" s="306" t="n"/>
      <c r="Q965" s="306" t="n"/>
    </row>
    <row r="966" ht="18.75" customHeight="1">
      <c r="B966" s="288" t="n">
        <v>45385</v>
      </c>
      <c r="C966" s="289" t="n">
        <v>403</v>
      </c>
      <c r="D966" s="290" t="inlineStr">
        <is>
          <t>Send DTR Bintaro - Gowell</t>
        </is>
      </c>
      <c r="E966" s="306" t="inlineStr">
        <is>
          <t>-</t>
        </is>
      </c>
      <c r="F966" s="307" t="n">
        <v>38121</v>
      </c>
      <c r="G966" s="289" t="inlineStr">
        <is>
          <t>IDR</t>
        </is>
      </c>
      <c r="H966" s="293" t="n">
        <v>1</v>
      </c>
      <c r="I966" s="306" t="n"/>
      <c r="J966" s="306" t="n"/>
      <c r="K966" s="306" t="n"/>
      <c r="L966" s="307">
        <f>$F966*$H966</f>
        <v/>
      </c>
      <c r="M966" s="306" t="n"/>
      <c r="N966" s="306" t="n"/>
      <c r="O966" s="306" t="n"/>
      <c r="P966" s="306" t="n"/>
      <c r="Q966" s="306" t="n"/>
    </row>
    <row r="967" ht="18.75" customHeight="1">
      <c r="B967" s="288" t="n">
        <v>45385</v>
      </c>
      <c r="C967" s="289" t="n">
        <v>404</v>
      </c>
      <c r="D967" s="290" t="inlineStr">
        <is>
          <t>Send DTR Bintaro - Gowell</t>
        </is>
      </c>
      <c r="E967" s="306" t="inlineStr">
        <is>
          <t>-</t>
        </is>
      </c>
      <c r="F967" s="307" t="n">
        <v>38121</v>
      </c>
      <c r="G967" s="289" t="inlineStr">
        <is>
          <t>IDR</t>
        </is>
      </c>
      <c r="H967" s="293" t="n">
        <v>1</v>
      </c>
      <c r="I967" s="306" t="n"/>
      <c r="J967" s="306" t="n"/>
      <c r="K967" s="306" t="n"/>
      <c r="L967" s="307">
        <f>$F967*$H967</f>
        <v/>
      </c>
      <c r="M967" s="306" t="n"/>
      <c r="N967" s="306" t="n"/>
      <c r="O967" s="306" t="n"/>
      <c r="P967" s="306" t="n"/>
      <c r="Q967" s="306" t="n"/>
    </row>
    <row r="968" ht="18.75" customHeight="1">
      <c r="B968" s="288" t="n">
        <v>45398</v>
      </c>
      <c r="C968" s="289" t="n">
        <v>405</v>
      </c>
      <c r="D968" s="290" t="inlineStr">
        <is>
          <t>Send QPS Gowell - TGE</t>
        </is>
      </c>
      <c r="E968" s="306" t="inlineStr">
        <is>
          <t>-</t>
        </is>
      </c>
      <c r="F968" s="307" t="n">
        <v>105879</v>
      </c>
      <c r="G968" s="289" t="inlineStr">
        <is>
          <t>IDR</t>
        </is>
      </c>
      <c r="H968" s="293" t="n">
        <v>1</v>
      </c>
      <c r="I968" s="306" t="n"/>
      <c r="J968" s="306" t="n"/>
      <c r="K968" s="306" t="n"/>
      <c r="L968" s="307">
        <f>$F968*$H968</f>
        <v/>
      </c>
      <c r="M968" s="306" t="n"/>
      <c r="N968" s="306" t="n"/>
      <c r="O968" s="306" t="n"/>
      <c r="P968" s="306" t="n"/>
      <c r="Q968" s="306" t="n"/>
    </row>
    <row r="969" ht="18.75" customHeight="1">
      <c r="B969" s="288" t="n">
        <v>45398</v>
      </c>
      <c r="C969" s="289" t="n">
        <v>406</v>
      </c>
      <c r="D969" s="290" t="inlineStr">
        <is>
          <t>Send QPS Gowell - TGE</t>
        </is>
      </c>
      <c r="E969" s="306" t="inlineStr">
        <is>
          <t>-</t>
        </is>
      </c>
      <c r="F969" s="307" t="n">
        <v>105879</v>
      </c>
      <c r="G969" s="289" t="inlineStr">
        <is>
          <t>IDR</t>
        </is>
      </c>
      <c r="H969" s="293" t="n">
        <v>1</v>
      </c>
      <c r="I969" s="306" t="n"/>
      <c r="J969" s="306" t="n"/>
      <c r="K969" s="306" t="n"/>
      <c r="L969" s="307">
        <f>$F969*$H969</f>
        <v/>
      </c>
      <c r="M969" s="306" t="n"/>
      <c r="N969" s="306" t="n"/>
      <c r="O969" s="306" t="n"/>
      <c r="P969" s="306" t="n"/>
      <c r="Q969" s="306" t="n"/>
    </row>
    <row r="970" ht="18.75" customHeight="1">
      <c r="B970" s="288" t="n">
        <v>45398</v>
      </c>
      <c r="C970" s="289" t="n">
        <v>407</v>
      </c>
      <c r="D970" s="290" t="inlineStr">
        <is>
          <t>Send QPS Gowell - TGE</t>
        </is>
      </c>
      <c r="E970" s="306" t="inlineStr">
        <is>
          <t>-</t>
        </is>
      </c>
      <c r="F970" s="307" t="n">
        <v>105879</v>
      </c>
      <c r="G970" s="289" t="inlineStr">
        <is>
          <t>IDR</t>
        </is>
      </c>
      <c r="H970" s="293" t="n">
        <v>1</v>
      </c>
      <c r="I970" s="306" t="n"/>
      <c r="J970" s="306" t="n"/>
      <c r="K970" s="306" t="n"/>
      <c r="L970" s="307">
        <f>$F970*$H970</f>
        <v/>
      </c>
      <c r="M970" s="306" t="n"/>
      <c r="N970" s="306" t="n"/>
      <c r="O970" s="306" t="n"/>
      <c r="P970" s="306" t="n"/>
      <c r="Q970" s="306" t="n"/>
    </row>
    <row r="971" ht="18.75" customHeight="1">
      <c r="B971" s="288" t="n">
        <v>45398</v>
      </c>
      <c r="C971" s="289" t="n">
        <v>408</v>
      </c>
      <c r="D971" s="290" t="inlineStr">
        <is>
          <t>Send QPS Gowell - TGE</t>
        </is>
      </c>
      <c r="E971" s="306" t="inlineStr">
        <is>
          <t>-</t>
        </is>
      </c>
      <c r="F971" s="307" t="n">
        <v>105879</v>
      </c>
      <c r="G971" s="289" t="inlineStr">
        <is>
          <t>IDR</t>
        </is>
      </c>
      <c r="H971" s="293" t="n">
        <v>1</v>
      </c>
      <c r="I971" s="306" t="n"/>
      <c r="J971" s="306" t="n"/>
      <c r="K971" s="306" t="n"/>
      <c r="L971" s="307">
        <f>$F971*$H971</f>
        <v/>
      </c>
      <c r="M971" s="306" t="n"/>
      <c r="N971" s="306" t="n"/>
      <c r="O971" s="306" t="n"/>
      <c r="P971" s="306" t="n"/>
      <c r="Q971" s="306" t="n"/>
    </row>
    <row r="972" ht="18.75" customHeight="1">
      <c r="B972" s="288" t="n">
        <v>45402</v>
      </c>
      <c r="C972" s="289" t="n">
        <v>409</v>
      </c>
      <c r="D972" s="290" t="inlineStr">
        <is>
          <t>Crews' Food</t>
        </is>
      </c>
      <c r="E972" s="306" t="inlineStr">
        <is>
          <t>-</t>
        </is>
      </c>
      <c r="F972" s="307" t="n">
        <v>160000</v>
      </c>
      <c r="G972" s="289" t="inlineStr">
        <is>
          <t>IDR</t>
        </is>
      </c>
      <c r="H972" s="293" t="n">
        <v>1</v>
      </c>
      <c r="I972" s="306" t="n"/>
      <c r="J972" s="306" t="n"/>
      <c r="K972" s="306" t="n"/>
      <c r="L972" s="307">
        <f>$F972*$H972</f>
        <v/>
      </c>
      <c r="M972" s="306" t="n"/>
      <c r="N972" s="306" t="n"/>
      <c r="O972" s="306" t="n"/>
      <c r="P972" s="306" t="n"/>
      <c r="Q972" s="306" t="n"/>
    </row>
    <row r="973" ht="18.75" customHeight="1">
      <c r="B973" s="288" t="n">
        <v>45402</v>
      </c>
      <c r="C973" s="289" t="n">
        <v>410</v>
      </c>
      <c r="D973" s="290" t="inlineStr">
        <is>
          <t>Crews' Food</t>
        </is>
      </c>
      <c r="E973" s="306" t="inlineStr">
        <is>
          <t>-</t>
        </is>
      </c>
      <c r="F973" s="307" t="n">
        <v>160000</v>
      </c>
      <c r="G973" s="289" t="inlineStr">
        <is>
          <t>IDR</t>
        </is>
      </c>
      <c r="H973" s="293" t="n">
        <v>1</v>
      </c>
      <c r="I973" s="306" t="n"/>
      <c r="J973" s="306" t="n"/>
      <c r="K973" s="306" t="n"/>
      <c r="L973" s="307">
        <f>$F973*$H973</f>
        <v/>
      </c>
      <c r="M973" s="306" t="n"/>
      <c r="N973" s="306" t="n"/>
      <c r="O973" s="306" t="n"/>
      <c r="P973" s="306" t="n"/>
      <c r="Q973" s="306" t="n"/>
    </row>
    <row r="974" ht="18.75" customHeight="1">
      <c r="B974" s="288" t="n">
        <v>45402</v>
      </c>
      <c r="C974" s="289" t="n">
        <v>411</v>
      </c>
      <c r="D974" s="290" t="inlineStr">
        <is>
          <t>Crews' Food</t>
        </is>
      </c>
      <c r="E974" s="306" t="inlineStr">
        <is>
          <t>-</t>
        </is>
      </c>
      <c r="F974" s="307" t="n">
        <v>160000</v>
      </c>
      <c r="G974" s="289" t="inlineStr">
        <is>
          <t>IDR</t>
        </is>
      </c>
      <c r="H974" s="293" t="n">
        <v>1</v>
      </c>
      <c r="I974" s="306" t="n"/>
      <c r="J974" s="306" t="n"/>
      <c r="K974" s="306" t="n"/>
      <c r="L974" s="307">
        <f>$F974*$H974</f>
        <v/>
      </c>
      <c r="M974" s="306" t="n"/>
      <c r="N974" s="306" t="n"/>
      <c r="O974" s="306" t="n"/>
      <c r="P974" s="306" t="n"/>
      <c r="Q974" s="306" t="n"/>
    </row>
    <row r="975" ht="18.75" customHeight="1">
      <c r="B975" s="288" t="n">
        <v>45402</v>
      </c>
      <c r="C975" s="289" t="n">
        <v>412</v>
      </c>
      <c r="D975" s="290" t="inlineStr">
        <is>
          <t>Crews' Food</t>
        </is>
      </c>
      <c r="E975" s="306" t="inlineStr">
        <is>
          <t>-</t>
        </is>
      </c>
      <c r="F975" s="307" t="n">
        <v>160000</v>
      </c>
      <c r="G975" s="289" t="inlineStr">
        <is>
          <t>IDR</t>
        </is>
      </c>
      <c r="H975" s="293" t="n">
        <v>1</v>
      </c>
      <c r="I975" s="306" t="n"/>
      <c r="J975" s="306" t="n"/>
      <c r="K975" s="306" t="n"/>
      <c r="L975" s="307">
        <f>$F975*$H975</f>
        <v/>
      </c>
      <c r="M975" s="306" t="n"/>
      <c r="N975" s="306" t="n"/>
      <c r="O975" s="306" t="n"/>
      <c r="P975" s="306" t="n"/>
      <c r="Q975" s="306" t="n"/>
    </row>
    <row r="976" ht="18.75" customHeight="1">
      <c r="B976" s="288" t="n">
        <v>45403</v>
      </c>
      <c r="C976" s="289" t="n">
        <v>413</v>
      </c>
      <c r="D976" s="290" t="inlineStr">
        <is>
          <t>Send ALFA Bintaro - Andara</t>
        </is>
      </c>
      <c r="E976" s="306" t="inlineStr">
        <is>
          <t>-</t>
        </is>
      </c>
      <c r="F976" s="307" t="n">
        <v>39654</v>
      </c>
      <c r="G976" s="289" t="inlineStr">
        <is>
          <t>IDR</t>
        </is>
      </c>
      <c r="H976" s="293" t="n">
        <v>1</v>
      </c>
      <c r="I976" s="306" t="n"/>
      <c r="J976" s="306" t="n"/>
      <c r="K976" s="306" t="n"/>
      <c r="L976" s="307">
        <f>$F976*$H976</f>
        <v/>
      </c>
      <c r="M976" s="306" t="n"/>
      <c r="N976" s="306" t="n"/>
      <c r="O976" s="306" t="n"/>
      <c r="P976" s="306" t="n"/>
      <c r="Q976" s="306" t="n"/>
    </row>
    <row r="977" ht="18.75" customHeight="1">
      <c r="B977" s="288" t="n">
        <v>45403</v>
      </c>
      <c r="C977" s="289" t="n">
        <v>414</v>
      </c>
      <c r="D977" s="290" t="inlineStr">
        <is>
          <t>Send HPTC Bintaro - Andara</t>
        </is>
      </c>
      <c r="E977" s="306" t="inlineStr">
        <is>
          <t>-</t>
        </is>
      </c>
      <c r="F977" s="307" t="n">
        <v>39654</v>
      </c>
      <c r="G977" s="289" t="inlineStr">
        <is>
          <t>IDR</t>
        </is>
      </c>
      <c r="H977" s="293" t="n">
        <v>1</v>
      </c>
      <c r="I977" s="306" t="n"/>
      <c r="J977" s="306" t="n"/>
      <c r="K977" s="306" t="n"/>
      <c r="L977" s="307">
        <f>$F977*$H977</f>
        <v/>
      </c>
      <c r="M977" s="306" t="n"/>
      <c r="N977" s="306" t="n"/>
      <c r="O977" s="306" t="n"/>
      <c r="P977" s="306" t="n"/>
      <c r="Q977" s="306" t="n"/>
    </row>
    <row r="978" ht="18.75" customHeight="1">
      <c r="B978" s="288" t="n">
        <v>45403</v>
      </c>
      <c r="C978" s="289" t="n">
        <v>415</v>
      </c>
      <c r="D978" s="290" t="inlineStr">
        <is>
          <t>Send ALFA Bintaro - Andara</t>
        </is>
      </c>
      <c r="E978" s="306" t="inlineStr">
        <is>
          <t>-</t>
        </is>
      </c>
      <c r="F978" s="307" t="n">
        <v>39654</v>
      </c>
      <c r="G978" s="289" t="inlineStr">
        <is>
          <t>IDR</t>
        </is>
      </c>
      <c r="H978" s="293" t="n">
        <v>1</v>
      </c>
      <c r="I978" s="306" t="n"/>
      <c r="J978" s="306" t="n"/>
      <c r="K978" s="306" t="n"/>
      <c r="L978" s="307">
        <f>$F978*$H978</f>
        <v/>
      </c>
      <c r="M978" s="306" t="n"/>
      <c r="N978" s="306" t="n"/>
      <c r="O978" s="306" t="n"/>
      <c r="P978" s="306" t="n"/>
      <c r="Q978" s="306" t="n"/>
    </row>
    <row r="979" ht="18.75" customHeight="1">
      <c r="B979" s="288" t="n">
        <v>45403</v>
      </c>
      <c r="C979" s="289" t="n">
        <v>416</v>
      </c>
      <c r="D979" s="290" t="inlineStr">
        <is>
          <t>Send HPTC Bintaro - Andara</t>
        </is>
      </c>
      <c r="E979" s="306" t="inlineStr">
        <is>
          <t>-</t>
        </is>
      </c>
      <c r="F979" s="307" t="n">
        <v>39654</v>
      </c>
      <c r="G979" s="289" t="inlineStr">
        <is>
          <t>IDR</t>
        </is>
      </c>
      <c r="H979" s="293" t="n">
        <v>1</v>
      </c>
      <c r="I979" s="306" t="n"/>
      <c r="J979" s="306" t="n"/>
      <c r="K979" s="306" t="n"/>
      <c r="L979" s="307">
        <f>$F979*$H979</f>
        <v/>
      </c>
      <c r="M979" s="306" t="n"/>
      <c r="N979" s="306" t="n"/>
      <c r="O979" s="306" t="n"/>
      <c r="P979" s="306" t="n"/>
      <c r="Q979" s="306" t="n"/>
    </row>
    <row r="980" ht="18.75" customHeight="1">
      <c r="B980" s="288" t="n">
        <v>45403</v>
      </c>
      <c r="C980" s="289" t="n">
        <v>417</v>
      </c>
      <c r="D980" s="290" t="inlineStr">
        <is>
          <t>Send ALFA Bintaro - Andara</t>
        </is>
      </c>
      <c r="E980" s="306" t="inlineStr">
        <is>
          <t>-</t>
        </is>
      </c>
      <c r="F980" s="307" t="n">
        <v>39654</v>
      </c>
      <c r="G980" s="289" t="inlineStr">
        <is>
          <t>IDR</t>
        </is>
      </c>
      <c r="H980" s="293" t="n">
        <v>1</v>
      </c>
      <c r="I980" s="306" t="n"/>
      <c r="J980" s="306" t="n"/>
      <c r="K980" s="306" t="n"/>
      <c r="L980" s="307">
        <f>$F980*$H980</f>
        <v/>
      </c>
      <c r="M980" s="306" t="n"/>
      <c r="N980" s="306" t="n"/>
      <c r="O980" s="306" t="n"/>
      <c r="P980" s="306" t="n"/>
      <c r="Q980" s="306" t="n"/>
    </row>
    <row r="981" ht="18.75" customHeight="1">
      <c r="B981" s="288" t="n">
        <v>45403</v>
      </c>
      <c r="C981" s="289" t="n">
        <v>418</v>
      </c>
      <c r="D981" s="290" t="inlineStr">
        <is>
          <t>Send HPTC Bintaro - Andara</t>
        </is>
      </c>
      <c r="E981" s="306" t="inlineStr">
        <is>
          <t>-</t>
        </is>
      </c>
      <c r="F981" s="307" t="n">
        <v>39654</v>
      </c>
      <c r="G981" s="289" t="inlineStr">
        <is>
          <t>IDR</t>
        </is>
      </c>
      <c r="H981" s="293" t="n">
        <v>1</v>
      </c>
      <c r="I981" s="306" t="n"/>
      <c r="J981" s="306" t="n"/>
      <c r="K981" s="306" t="n"/>
      <c r="L981" s="307">
        <f>$F981*$H981</f>
        <v/>
      </c>
      <c r="M981" s="306" t="n"/>
      <c r="N981" s="306" t="n"/>
      <c r="O981" s="306" t="n"/>
      <c r="P981" s="306" t="n"/>
      <c r="Q981" s="306" t="n"/>
    </row>
    <row r="982" ht="18.75" customHeight="1">
      <c r="B982" s="288" t="n">
        <v>45403</v>
      </c>
      <c r="C982" s="289" t="n">
        <v>419</v>
      </c>
      <c r="D982" s="290" t="inlineStr">
        <is>
          <t>Send ALFA Bintaro - Andara</t>
        </is>
      </c>
      <c r="E982" s="306" t="inlineStr">
        <is>
          <t>-</t>
        </is>
      </c>
      <c r="F982" s="307" t="n">
        <v>39654</v>
      </c>
      <c r="G982" s="289" t="inlineStr">
        <is>
          <t>IDR</t>
        </is>
      </c>
      <c r="H982" s="293" t="n">
        <v>1</v>
      </c>
      <c r="I982" s="306" t="n"/>
      <c r="J982" s="306" t="n"/>
      <c r="K982" s="306" t="n"/>
      <c r="L982" s="307">
        <f>$F982*$H982</f>
        <v/>
      </c>
      <c r="M982" s="306" t="n"/>
      <c r="N982" s="306" t="n"/>
      <c r="O982" s="306" t="n"/>
      <c r="P982" s="306" t="n"/>
      <c r="Q982" s="306" t="n"/>
    </row>
    <row r="983" ht="18.75" customHeight="1">
      <c r="B983" s="288" t="n">
        <v>45403</v>
      </c>
      <c r="C983" s="289" t="n">
        <v>420</v>
      </c>
      <c r="D983" s="290" t="inlineStr">
        <is>
          <t>Send HPTC Bintaro - Andara</t>
        </is>
      </c>
      <c r="E983" s="306" t="inlineStr">
        <is>
          <t>-</t>
        </is>
      </c>
      <c r="F983" s="307" t="n">
        <v>39654</v>
      </c>
      <c r="G983" s="289" t="inlineStr">
        <is>
          <t>IDR</t>
        </is>
      </c>
      <c r="H983" s="293" t="n">
        <v>1</v>
      </c>
      <c r="I983" s="306" t="n"/>
      <c r="J983" s="306" t="n"/>
      <c r="K983" s="306" t="n"/>
      <c r="L983" s="307">
        <f>$F983*$H983</f>
        <v/>
      </c>
      <c r="M983" s="306" t="n"/>
      <c r="N983" s="306" t="n"/>
      <c r="O983" s="306" t="n"/>
      <c r="P983" s="306" t="n"/>
      <c r="Q983" s="306" t="n"/>
    </row>
    <row r="984" ht="18.75" customHeight="1">
      <c r="B984" s="288" t="n">
        <v>45405</v>
      </c>
      <c r="C984" s="289" t="n">
        <v>421</v>
      </c>
      <c r="D984" s="290" t="inlineStr">
        <is>
          <t>Send BA Bintaro - TGE</t>
        </is>
      </c>
      <c r="E984" s="306" t="inlineStr">
        <is>
          <t>-</t>
        </is>
      </c>
      <c r="F984" s="307" t="n">
        <v>18000</v>
      </c>
      <c r="G984" s="289" t="inlineStr">
        <is>
          <t>IDR</t>
        </is>
      </c>
      <c r="H984" s="293" t="n">
        <v>1</v>
      </c>
      <c r="I984" s="306" t="n"/>
      <c r="J984" s="306" t="n"/>
      <c r="K984" s="306" t="n"/>
      <c r="L984" s="307">
        <f>$F984*$H984</f>
        <v/>
      </c>
      <c r="M984" s="306" t="n"/>
      <c r="N984" s="306" t="n"/>
      <c r="O984" s="306" t="n"/>
      <c r="P984" s="306" t="n"/>
      <c r="Q984" s="306" t="n"/>
    </row>
    <row r="985" ht="18.75" customHeight="1">
      <c r="B985" s="288" t="n">
        <v>45405</v>
      </c>
      <c r="C985" s="289" t="n">
        <v>422</v>
      </c>
      <c r="D985" s="290" t="inlineStr">
        <is>
          <t>Send BA Bintaro - TGE</t>
        </is>
      </c>
      <c r="E985" s="306" t="inlineStr">
        <is>
          <t>-</t>
        </is>
      </c>
      <c r="F985" s="307" t="n">
        <v>18000</v>
      </c>
      <c r="G985" s="289" t="inlineStr">
        <is>
          <t>IDR</t>
        </is>
      </c>
      <c r="H985" s="293" t="n">
        <v>1</v>
      </c>
      <c r="I985" s="306" t="n"/>
      <c r="J985" s="306" t="n"/>
      <c r="K985" s="306" t="n"/>
      <c r="L985" s="307">
        <f>$F985*$H985</f>
        <v/>
      </c>
      <c r="M985" s="306" t="n"/>
      <c r="N985" s="306" t="n"/>
      <c r="O985" s="306" t="n"/>
      <c r="P985" s="306" t="n"/>
      <c r="Q985" s="306" t="n"/>
    </row>
    <row r="986" ht="18.75" customHeight="1">
      <c r="B986" s="288" t="n">
        <v>45405</v>
      </c>
      <c r="C986" s="289" t="n">
        <v>423</v>
      </c>
      <c r="D986" s="290" t="inlineStr">
        <is>
          <t>Send BA Bintaro - TGE</t>
        </is>
      </c>
      <c r="E986" s="306" t="inlineStr">
        <is>
          <t>-</t>
        </is>
      </c>
      <c r="F986" s="307" t="n">
        <v>18000</v>
      </c>
      <c r="G986" s="289" t="inlineStr">
        <is>
          <t>IDR</t>
        </is>
      </c>
      <c r="H986" s="293" t="n">
        <v>1</v>
      </c>
      <c r="I986" s="306" t="n"/>
      <c r="J986" s="306" t="n"/>
      <c r="K986" s="306" t="n"/>
      <c r="L986" s="307">
        <f>$F986*$H986</f>
        <v/>
      </c>
      <c r="M986" s="306" t="n"/>
      <c r="N986" s="306" t="n"/>
      <c r="O986" s="306" t="n"/>
      <c r="P986" s="306" t="n"/>
      <c r="Q986" s="306" t="n"/>
    </row>
    <row r="987" ht="18.75" customHeight="1">
      <c r="B987" s="288" t="n">
        <v>45405</v>
      </c>
      <c r="C987" s="289" t="n">
        <v>424</v>
      </c>
      <c r="D987" s="290" t="inlineStr">
        <is>
          <t>Send BA Bintaro - TGE</t>
        </is>
      </c>
      <c r="E987" s="306" t="inlineStr">
        <is>
          <t>-</t>
        </is>
      </c>
      <c r="F987" s="307" t="n">
        <v>18000</v>
      </c>
      <c r="G987" s="289" t="inlineStr">
        <is>
          <t>IDR</t>
        </is>
      </c>
      <c r="H987" s="293" t="n">
        <v>1</v>
      </c>
      <c r="I987" s="306" t="n"/>
      <c r="J987" s="306" t="n"/>
      <c r="K987" s="306" t="n"/>
      <c r="L987" s="307">
        <f>$F987*$H987</f>
        <v/>
      </c>
      <c r="M987" s="306" t="n"/>
      <c r="N987" s="306" t="n"/>
      <c r="O987" s="306" t="n"/>
      <c r="P987" s="306" t="n"/>
      <c r="Q987" s="306" t="n"/>
    </row>
    <row r="988" ht="18.75" customHeight="1">
      <c r="B988" s="288" t="n">
        <v>45407</v>
      </c>
      <c r="C988" s="289" t="n">
        <v>425</v>
      </c>
      <c r="D988" s="290" t="inlineStr">
        <is>
          <t>Send MPLT TGE - Gowell</t>
        </is>
      </c>
      <c r="E988" s="306" t="inlineStr">
        <is>
          <t>-</t>
        </is>
      </c>
      <c r="F988" s="307" t="n">
        <v>167297</v>
      </c>
      <c r="G988" s="289" t="inlineStr">
        <is>
          <t>IDR</t>
        </is>
      </c>
      <c r="H988" s="293" t="n">
        <v>1</v>
      </c>
      <c r="I988" s="306" t="n"/>
      <c r="J988" s="306" t="n"/>
      <c r="K988" s="306" t="n"/>
      <c r="L988" s="307">
        <f>$F988*$H988</f>
        <v/>
      </c>
      <c r="M988" s="306" t="n"/>
      <c r="N988" s="306" t="n"/>
      <c r="O988" s="306" t="n"/>
      <c r="P988" s="306" t="n"/>
      <c r="Q988" s="306" t="n"/>
    </row>
    <row r="989" ht="18.75" customHeight="1">
      <c r="B989" s="288" t="n">
        <v>45407</v>
      </c>
      <c r="C989" s="289" t="n">
        <v>426</v>
      </c>
      <c r="D989" s="290" t="inlineStr">
        <is>
          <t>Send MPLT TGE - Gowell</t>
        </is>
      </c>
      <c r="E989" s="306" t="inlineStr">
        <is>
          <t>-</t>
        </is>
      </c>
      <c r="F989" s="307" t="n">
        <v>167297</v>
      </c>
      <c r="G989" s="289" t="inlineStr">
        <is>
          <t>IDR</t>
        </is>
      </c>
      <c r="H989" s="293" t="n">
        <v>1</v>
      </c>
      <c r="I989" s="306" t="n"/>
      <c r="J989" s="306" t="n"/>
      <c r="K989" s="306" t="n"/>
      <c r="L989" s="307">
        <f>$F989*$H989</f>
        <v/>
      </c>
      <c r="M989" s="306" t="n"/>
      <c r="N989" s="306" t="n"/>
      <c r="O989" s="306" t="n"/>
      <c r="P989" s="306" t="n"/>
      <c r="Q989" s="306" t="n"/>
    </row>
    <row r="990" ht="18.75" customHeight="1">
      <c r="B990" s="288" t="n">
        <v>45407</v>
      </c>
      <c r="C990" s="289" t="n">
        <v>427</v>
      </c>
      <c r="D990" s="290" t="inlineStr">
        <is>
          <t>Send MPLT TGE - Gowell</t>
        </is>
      </c>
      <c r="E990" s="306" t="inlineStr">
        <is>
          <t>-</t>
        </is>
      </c>
      <c r="F990" s="307" t="n">
        <v>167297</v>
      </c>
      <c r="G990" s="289" t="inlineStr">
        <is>
          <t>IDR</t>
        </is>
      </c>
      <c r="H990" s="293" t="n">
        <v>1</v>
      </c>
      <c r="I990" s="306" t="n"/>
      <c r="J990" s="306" t="n"/>
      <c r="K990" s="306" t="n"/>
      <c r="L990" s="307">
        <f>$F990*$H990</f>
        <v/>
      </c>
      <c r="M990" s="306" t="n"/>
      <c r="N990" s="306" t="n"/>
      <c r="O990" s="306" t="n"/>
      <c r="P990" s="306" t="n"/>
      <c r="Q990" s="306" t="n"/>
    </row>
    <row r="991" ht="18.75" customHeight="1">
      <c r="B991" s="288" t="n">
        <v>45407</v>
      </c>
      <c r="C991" s="289" t="n">
        <v>428</v>
      </c>
      <c r="D991" s="290" t="inlineStr">
        <is>
          <t>Send MPLT TGE - Gowell</t>
        </is>
      </c>
      <c r="E991" s="306" t="inlineStr">
        <is>
          <t>-</t>
        </is>
      </c>
      <c r="F991" s="307" t="n">
        <v>167297</v>
      </c>
      <c r="G991" s="289" t="inlineStr">
        <is>
          <t>IDR</t>
        </is>
      </c>
      <c r="H991" s="293" t="n">
        <v>1</v>
      </c>
      <c r="I991" s="306" t="n"/>
      <c r="J991" s="306" t="n"/>
      <c r="K991" s="306" t="n"/>
      <c r="L991" s="307">
        <f>$F991*$H991</f>
        <v/>
      </c>
      <c r="M991" s="306" t="n"/>
      <c r="N991" s="306" t="n"/>
      <c r="O991" s="306" t="n"/>
      <c r="P991" s="306" t="n"/>
      <c r="Q991" s="306" t="n"/>
    </row>
    <row r="992">
      <c r="B992" s="312" t="n"/>
      <c r="C992" s="312" t="n"/>
      <c r="D992" s="285" t="inlineStr">
        <is>
          <t>Laundry</t>
        </is>
      </c>
      <c r="E992" s="312" t="n"/>
      <c r="F992" s="312" t="n"/>
      <c r="G992" s="312" t="n"/>
      <c r="H992" s="312" t="n"/>
      <c r="I992" s="312" t="n"/>
      <c r="J992" s="312" t="n"/>
      <c r="K992" s="312" t="n"/>
      <c r="L992" s="312" t="n"/>
      <c r="M992" s="312" t="n"/>
      <c r="N992" s="312" t="n"/>
      <c r="O992" s="312" t="n"/>
      <c r="P992" s="312" t="n"/>
      <c r="Q992" s="312" t="n"/>
    </row>
    <row r="993" ht="18.75" customHeight="1">
      <c r="B993" s="288" t="n">
        <v>45402</v>
      </c>
      <c r="C993" s="289" t="n">
        <v>429</v>
      </c>
      <c r="D993" s="290" t="inlineStr">
        <is>
          <t>Laundry 5 days 1 Persons @ 50K IDR/day</t>
        </is>
      </c>
      <c r="E993" s="306" t="inlineStr">
        <is>
          <t>-</t>
        </is>
      </c>
      <c r="F993" s="307" t="n">
        <v>250000</v>
      </c>
      <c r="G993" s="289" t="inlineStr">
        <is>
          <t>IDR</t>
        </is>
      </c>
      <c r="H993" s="293" t="n">
        <v>1</v>
      </c>
      <c r="I993" s="306" t="n"/>
      <c r="J993" s="306" t="n"/>
      <c r="K993" s="306" t="n"/>
      <c r="L993" s="307">
        <f>$F993*$H993</f>
        <v/>
      </c>
      <c r="M993" s="306" t="n"/>
      <c r="N993" s="306" t="n"/>
      <c r="O993" s="306" t="n"/>
      <c r="P993" s="306" t="n"/>
      <c r="Q993" s="306" t="n"/>
    </row>
    <row r="994" ht="18.75" customHeight="1">
      <c r="B994" s="288" t="n">
        <v>45402</v>
      </c>
      <c r="C994" s="289" t="n">
        <v>430</v>
      </c>
      <c r="D994" s="290" t="inlineStr">
        <is>
          <t>Laundry 5 days 1 Persons @ 50K IDR/day</t>
        </is>
      </c>
      <c r="E994" s="306" t="inlineStr">
        <is>
          <t>-</t>
        </is>
      </c>
      <c r="F994" s="307" t="n">
        <v>250000</v>
      </c>
      <c r="G994" s="289" t="inlineStr">
        <is>
          <t>IDR</t>
        </is>
      </c>
      <c r="H994" s="293" t="n">
        <v>1</v>
      </c>
      <c r="I994" s="306" t="n"/>
      <c r="J994" s="306" t="n"/>
      <c r="K994" s="306" t="n"/>
      <c r="L994" s="307">
        <f>$F994*$H994</f>
        <v/>
      </c>
      <c r="M994" s="306" t="n"/>
      <c r="N994" s="306" t="n"/>
      <c r="O994" s="306" t="n"/>
      <c r="P994" s="306" t="n"/>
      <c r="Q994" s="306" t="n"/>
    </row>
    <row r="995" ht="18.75" customHeight="1">
      <c r="B995" s="288" t="n">
        <v>45402</v>
      </c>
      <c r="C995" s="289" t="n">
        <v>431</v>
      </c>
      <c r="D995" s="290" t="inlineStr">
        <is>
          <t>Laundry 5 days 1 Persons @ 50K IDR/day</t>
        </is>
      </c>
      <c r="E995" s="306" t="inlineStr">
        <is>
          <t>-</t>
        </is>
      </c>
      <c r="F995" s="307" t="n">
        <v>250000</v>
      </c>
      <c r="G995" s="289" t="inlineStr">
        <is>
          <t>IDR</t>
        </is>
      </c>
      <c r="H995" s="293" t="n">
        <v>1</v>
      </c>
      <c r="I995" s="306" t="n"/>
      <c r="J995" s="306" t="n"/>
      <c r="K995" s="306" t="n"/>
      <c r="L995" s="307">
        <f>$F995*$H995</f>
        <v/>
      </c>
      <c r="M995" s="306" t="n"/>
      <c r="N995" s="306" t="n"/>
      <c r="O995" s="306" t="n"/>
      <c r="P995" s="306" t="n"/>
      <c r="Q995" s="306" t="n"/>
    </row>
    <row r="996" ht="18.75" customHeight="1">
      <c r="B996" s="288" t="n">
        <v>45402</v>
      </c>
      <c r="C996" s="289" t="n">
        <v>432</v>
      </c>
      <c r="D996" s="290" t="inlineStr">
        <is>
          <t>Laundry 5 days 1 Persons @ 50K IDR/day</t>
        </is>
      </c>
      <c r="E996" s="306" t="inlineStr">
        <is>
          <t>-</t>
        </is>
      </c>
      <c r="F996" s="307" t="n">
        <v>250000</v>
      </c>
      <c r="G996" s="289" t="inlineStr">
        <is>
          <t>IDR</t>
        </is>
      </c>
      <c r="H996" s="293" t="n">
        <v>1</v>
      </c>
      <c r="I996" s="306" t="n"/>
      <c r="J996" s="306" t="n"/>
      <c r="K996" s="306" t="n"/>
      <c r="L996" s="307">
        <f>$F996*$H996</f>
        <v/>
      </c>
      <c r="M996" s="306" t="n"/>
      <c r="N996" s="306" t="n"/>
      <c r="O996" s="306" t="n"/>
      <c r="P996" s="306" t="n"/>
      <c r="Q996" s="306" t="n"/>
    </row>
    <row r="997">
      <c r="B997" s="312" t="n"/>
      <c r="C997" s="312" t="n"/>
      <c r="D997" s="285" t="inlineStr">
        <is>
          <t>Meal</t>
        </is>
      </c>
      <c r="E997" s="312" t="n"/>
      <c r="F997" s="312" t="n"/>
      <c r="G997" s="312" t="n"/>
      <c r="H997" s="312" t="n"/>
      <c r="I997" s="312" t="n"/>
      <c r="J997" s="312" t="n"/>
      <c r="K997" s="312" t="n"/>
      <c r="L997" s="312" t="n"/>
      <c r="M997" s="312" t="n"/>
      <c r="N997" s="312" t="n"/>
      <c r="O997" s="312" t="n"/>
      <c r="P997" s="312" t="n"/>
      <c r="Q997" s="312" t="n"/>
    </row>
    <row r="998" ht="18.75" customHeight="1">
      <c r="B998" s="288" t="n">
        <v>45402</v>
      </c>
      <c r="C998" s="289" t="n">
        <v>433</v>
      </c>
      <c r="D998" s="290" t="inlineStr">
        <is>
          <t>Meals 5 days 1 Persons @ 150K IDR/day</t>
        </is>
      </c>
      <c r="E998" s="306" t="inlineStr">
        <is>
          <t>-</t>
        </is>
      </c>
      <c r="F998" s="307" t="n">
        <v>750000</v>
      </c>
      <c r="G998" s="289" t="inlineStr">
        <is>
          <t>IDR</t>
        </is>
      </c>
      <c r="H998" s="293" t="n">
        <v>1</v>
      </c>
      <c r="I998" s="306" t="n"/>
      <c r="J998" s="306" t="n"/>
      <c r="K998" s="306" t="n"/>
      <c r="L998" s="307">
        <f>$F998*$H998</f>
        <v/>
      </c>
      <c r="M998" s="306" t="n"/>
      <c r="N998" s="306" t="n"/>
      <c r="O998" s="306" t="n"/>
      <c r="P998" s="306" t="n"/>
      <c r="Q998" s="306" t="n"/>
    </row>
    <row r="999" ht="18.75" customHeight="1">
      <c r="B999" s="288" t="n">
        <v>45402</v>
      </c>
      <c r="C999" s="289" t="n">
        <v>434</v>
      </c>
      <c r="D999" s="290" t="inlineStr">
        <is>
          <t>Meals 5 days 1 Persons @ 150K IDR/day</t>
        </is>
      </c>
      <c r="E999" s="306" t="inlineStr">
        <is>
          <t>-</t>
        </is>
      </c>
      <c r="F999" s="307" t="n">
        <v>750000</v>
      </c>
      <c r="G999" s="289" t="inlineStr">
        <is>
          <t>IDR</t>
        </is>
      </c>
      <c r="H999" s="293" t="n">
        <v>1</v>
      </c>
      <c r="I999" s="306" t="n"/>
      <c r="J999" s="306" t="n"/>
      <c r="K999" s="306" t="n"/>
      <c r="L999" s="307">
        <f>$F999*$H999</f>
        <v/>
      </c>
      <c r="M999" s="306" t="n"/>
      <c r="N999" s="306" t="n"/>
      <c r="O999" s="306" t="n"/>
      <c r="P999" s="306" t="n"/>
      <c r="Q999" s="306" t="n"/>
    </row>
    <row r="1000" ht="18.75" customHeight="1">
      <c r="B1000" s="288" t="n">
        <v>45402</v>
      </c>
      <c r="C1000" s="289" t="n">
        <v>435</v>
      </c>
      <c r="D1000" s="290" t="inlineStr">
        <is>
          <t>Meals 5 days 1 Persons @ 150K IDR/day</t>
        </is>
      </c>
      <c r="E1000" s="306" t="inlineStr">
        <is>
          <t>-</t>
        </is>
      </c>
      <c r="F1000" s="307" t="n">
        <v>750000</v>
      </c>
      <c r="G1000" s="289" t="inlineStr">
        <is>
          <t>IDR</t>
        </is>
      </c>
      <c r="H1000" s="293" t="n">
        <v>1</v>
      </c>
      <c r="I1000" s="306" t="n"/>
      <c r="J1000" s="306" t="n"/>
      <c r="K1000" s="306" t="n"/>
      <c r="L1000" s="307">
        <f>$F1000*$H1000</f>
        <v/>
      </c>
      <c r="M1000" s="306" t="n"/>
      <c r="N1000" s="306" t="n"/>
      <c r="O1000" s="306" t="n"/>
      <c r="P1000" s="306" t="n"/>
      <c r="Q1000" s="306" t="n"/>
    </row>
    <row r="1001" ht="18.75" customHeight="1">
      <c r="B1001" s="288" t="n">
        <v>45402</v>
      </c>
      <c r="C1001" s="289" t="n">
        <v>436</v>
      </c>
      <c r="D1001" s="290" t="inlineStr">
        <is>
          <t>Meals 5 days 1 Persons @ 150K IDR/day</t>
        </is>
      </c>
      <c r="E1001" s="306" t="inlineStr">
        <is>
          <t>-</t>
        </is>
      </c>
      <c r="F1001" s="307" t="n">
        <v>750000</v>
      </c>
      <c r="G1001" s="289" t="inlineStr">
        <is>
          <t>IDR</t>
        </is>
      </c>
      <c r="H1001" s="293" t="n">
        <v>1</v>
      </c>
      <c r="I1001" s="306" t="n"/>
      <c r="J1001" s="306" t="n"/>
      <c r="K1001" s="306" t="n"/>
      <c r="L1001" s="307">
        <f>$F1001*$H1001</f>
        <v/>
      </c>
      <c r="M1001" s="306" t="n"/>
      <c r="N1001" s="306" t="n"/>
      <c r="O1001" s="306" t="n"/>
      <c r="P1001" s="306" t="n"/>
      <c r="Q1001" s="306" t="n"/>
    </row>
    <row r="1002">
      <c r="B1002" s="312" t="n"/>
      <c r="C1002" s="312" t="n"/>
      <c r="D1002" s="285" t="inlineStr">
        <is>
          <t>Transportation</t>
        </is>
      </c>
      <c r="E1002" s="312" t="n"/>
      <c r="F1002" s="312" t="n"/>
      <c r="G1002" s="312" t="n"/>
      <c r="H1002" s="312" t="n"/>
      <c r="I1002" s="312" t="n"/>
      <c r="J1002" s="312" t="n"/>
      <c r="K1002" s="312" t="n"/>
      <c r="L1002" s="312" t="n"/>
      <c r="M1002" s="312" t="n"/>
      <c r="N1002" s="312" t="n"/>
      <c r="O1002" s="312" t="n"/>
      <c r="P1002" s="312" t="n"/>
      <c r="Q1002" s="312" t="n"/>
    </row>
    <row r="1003" ht="18.75" customHeight="1">
      <c r="B1003" s="288" t="n">
        <v>45398</v>
      </c>
      <c r="C1003" s="289" t="n">
        <v>437</v>
      </c>
      <c r="D1003" s="290" t="inlineStr">
        <is>
          <t>Taxi Bintaro-CGK</t>
        </is>
      </c>
      <c r="E1003" s="306" t="inlineStr">
        <is>
          <t>-</t>
        </is>
      </c>
      <c r="F1003" s="307" t="n">
        <v>250000</v>
      </c>
      <c r="G1003" s="289" t="inlineStr">
        <is>
          <t>IDR</t>
        </is>
      </c>
      <c r="H1003" s="293" t="n">
        <v>1</v>
      </c>
      <c r="I1003" s="306" t="n"/>
      <c r="J1003" s="306" t="n"/>
      <c r="K1003" s="306" t="n"/>
      <c r="L1003" s="307">
        <f>$F1003*$H1003</f>
        <v/>
      </c>
      <c r="M1003" s="306" t="n"/>
      <c r="N1003" s="306" t="n"/>
      <c r="O1003" s="306" t="n"/>
      <c r="P1003" s="306" t="n"/>
      <c r="Q1003" s="306" t="n"/>
    </row>
    <row r="1004" ht="18.75" customHeight="1">
      <c r="B1004" s="288" t="n">
        <v>45398</v>
      </c>
      <c r="C1004" s="289" t="n">
        <v>438</v>
      </c>
      <c r="D1004" s="290" t="inlineStr">
        <is>
          <t>Taxi Bintaro-CGK</t>
        </is>
      </c>
      <c r="E1004" s="306" t="inlineStr">
        <is>
          <t>-</t>
        </is>
      </c>
      <c r="F1004" s="307" t="n">
        <v>250000</v>
      </c>
      <c r="G1004" s="289" t="inlineStr">
        <is>
          <t>IDR</t>
        </is>
      </c>
      <c r="H1004" s="293" t="n">
        <v>1</v>
      </c>
      <c r="I1004" s="306" t="n"/>
      <c r="J1004" s="306" t="n"/>
      <c r="K1004" s="306" t="n"/>
      <c r="L1004" s="307">
        <f>$F1004*$H1004</f>
        <v/>
      </c>
      <c r="M1004" s="306" t="n"/>
      <c r="N1004" s="306" t="n"/>
      <c r="O1004" s="306" t="n"/>
      <c r="P1004" s="306" t="n"/>
      <c r="Q1004" s="306" t="n"/>
    </row>
    <row r="1005" ht="18.75" customHeight="1">
      <c r="B1005" s="288" t="n">
        <v>45398</v>
      </c>
      <c r="C1005" s="289" t="n">
        <v>439</v>
      </c>
      <c r="D1005" s="290" t="inlineStr">
        <is>
          <t>Taxi Bintaro-CGK</t>
        </is>
      </c>
      <c r="E1005" s="306" t="inlineStr">
        <is>
          <t>-</t>
        </is>
      </c>
      <c r="F1005" s="307" t="n">
        <v>250000</v>
      </c>
      <c r="G1005" s="289" t="inlineStr">
        <is>
          <t>IDR</t>
        </is>
      </c>
      <c r="H1005" s="293" t="n">
        <v>1</v>
      </c>
      <c r="I1005" s="306" t="n"/>
      <c r="J1005" s="306" t="n"/>
      <c r="K1005" s="306" t="n"/>
      <c r="L1005" s="307">
        <f>$F1005*$H1005</f>
        <v/>
      </c>
      <c r="M1005" s="306" t="n"/>
      <c r="N1005" s="306" t="n"/>
      <c r="O1005" s="306" t="n"/>
      <c r="P1005" s="306" t="n"/>
      <c r="Q1005" s="306" t="n"/>
    </row>
    <row r="1006" ht="18.75" customHeight="1">
      <c r="B1006" s="288" t="n">
        <v>45398</v>
      </c>
      <c r="C1006" s="289" t="n">
        <v>440</v>
      </c>
      <c r="D1006" s="290" t="inlineStr">
        <is>
          <t>Taxi Bintaro-CGK</t>
        </is>
      </c>
      <c r="E1006" s="306" t="inlineStr">
        <is>
          <t>-</t>
        </is>
      </c>
      <c r="F1006" s="307" t="n">
        <v>250000</v>
      </c>
      <c r="G1006" s="289" t="inlineStr">
        <is>
          <t>IDR</t>
        </is>
      </c>
      <c r="H1006" s="293" t="n">
        <v>1</v>
      </c>
      <c r="I1006" s="306" t="n"/>
      <c r="J1006" s="306" t="n"/>
      <c r="K1006" s="306" t="n"/>
      <c r="L1006" s="307">
        <f>$F1006*$H1006</f>
        <v/>
      </c>
      <c r="M1006" s="306" t="n"/>
      <c r="N1006" s="306" t="n"/>
      <c r="O1006" s="306" t="n"/>
      <c r="P1006" s="306" t="n"/>
      <c r="Q1006" s="306" t="n"/>
    </row>
    <row r="1007" ht="18.75" customHeight="1">
      <c r="B1007" s="288" t="n">
        <v>45402</v>
      </c>
      <c r="C1007" s="289" t="n">
        <v>441</v>
      </c>
      <c r="D1007" s="290" t="inlineStr">
        <is>
          <t>Taxi CGK-Bintaro</t>
        </is>
      </c>
      <c r="E1007" s="306" t="inlineStr">
        <is>
          <t>-</t>
        </is>
      </c>
      <c r="F1007" s="307" t="n">
        <v>250000</v>
      </c>
      <c r="G1007" s="289" t="inlineStr">
        <is>
          <t>IDR</t>
        </is>
      </c>
      <c r="H1007" s="293" t="n">
        <v>1</v>
      </c>
      <c r="I1007" s="306" t="n"/>
      <c r="J1007" s="306" t="n"/>
      <c r="K1007" s="306" t="n"/>
      <c r="L1007" s="307">
        <f>$F1007*$H1007</f>
        <v/>
      </c>
      <c r="M1007" s="306" t="n"/>
      <c r="N1007" s="306" t="n"/>
      <c r="O1007" s="306" t="n"/>
      <c r="P1007" s="306" t="n"/>
      <c r="Q1007" s="306" t="n"/>
    </row>
    <row r="1008" ht="18.75" customHeight="1">
      <c r="B1008" s="288" t="n">
        <v>45402</v>
      </c>
      <c r="C1008" s="289" t="n">
        <v>442</v>
      </c>
      <c r="D1008" s="290" t="inlineStr">
        <is>
          <t>Taxi CGK-Bintaro</t>
        </is>
      </c>
      <c r="E1008" s="306" t="inlineStr">
        <is>
          <t>-</t>
        </is>
      </c>
      <c r="F1008" s="307" t="n">
        <v>250000</v>
      </c>
      <c r="G1008" s="289" t="inlineStr">
        <is>
          <t>IDR</t>
        </is>
      </c>
      <c r="H1008" s="293" t="n">
        <v>1</v>
      </c>
      <c r="I1008" s="306" t="n"/>
      <c r="J1008" s="306" t="n"/>
      <c r="K1008" s="306" t="n"/>
      <c r="L1008" s="307">
        <f>$F1008*$H1008</f>
        <v/>
      </c>
      <c r="M1008" s="306" t="n"/>
      <c r="N1008" s="306" t="n"/>
      <c r="O1008" s="306" t="n"/>
      <c r="P1008" s="306" t="n"/>
      <c r="Q1008" s="306" t="n"/>
    </row>
    <row r="1009" ht="18.75" customHeight="1">
      <c r="B1009" s="288" t="n">
        <v>45402</v>
      </c>
      <c r="C1009" s="289" t="n">
        <v>443</v>
      </c>
      <c r="D1009" s="290" t="inlineStr">
        <is>
          <t>Taxi CGK-Bintaro</t>
        </is>
      </c>
      <c r="E1009" s="306" t="inlineStr">
        <is>
          <t>-</t>
        </is>
      </c>
      <c r="F1009" s="307" t="n">
        <v>250000</v>
      </c>
      <c r="G1009" s="289" t="inlineStr">
        <is>
          <t>IDR</t>
        </is>
      </c>
      <c r="H1009" s="293" t="n">
        <v>1</v>
      </c>
      <c r="I1009" s="306" t="n"/>
      <c r="J1009" s="306" t="n"/>
      <c r="K1009" s="306" t="n"/>
      <c r="L1009" s="307">
        <f>$F1009*$H1009</f>
        <v/>
      </c>
      <c r="M1009" s="306" t="n"/>
      <c r="N1009" s="306" t="n"/>
      <c r="O1009" s="306" t="n"/>
      <c r="P1009" s="306" t="n"/>
      <c r="Q1009" s="306" t="n"/>
    </row>
    <row r="1010" ht="18.75" customHeight="1">
      <c r="B1010" s="288" t="n">
        <v>45402</v>
      </c>
      <c r="C1010" s="289" t="n">
        <v>444</v>
      </c>
      <c r="D1010" s="290" t="inlineStr">
        <is>
          <t>Taxi CGK-Bintaro</t>
        </is>
      </c>
      <c r="E1010" s="306" t="inlineStr">
        <is>
          <t>-</t>
        </is>
      </c>
      <c r="F1010" s="307" t="n">
        <v>250000</v>
      </c>
      <c r="G1010" s="289" t="inlineStr">
        <is>
          <t>IDR</t>
        </is>
      </c>
      <c r="H1010" s="293" t="n">
        <v>1</v>
      </c>
      <c r="I1010" s="306" t="n"/>
      <c r="J1010" s="306" t="n"/>
      <c r="K1010" s="306" t="n"/>
      <c r="L1010" s="307">
        <f>$F1010*$H1010</f>
        <v/>
      </c>
      <c r="M1010" s="306" t="n"/>
      <c r="N1010" s="306" t="n"/>
      <c r="O1010" s="306" t="n"/>
      <c r="P1010" s="306" t="n"/>
      <c r="Q1010" s="306" t="n"/>
    </row>
    <row r="1011">
      <c r="B1011" s="310" t="inlineStr">
        <is>
          <t>Expense#7</t>
        </is>
      </c>
      <c r="C1011" s="311" t="inlineStr">
        <is>
          <t>:</t>
        </is>
      </c>
      <c r="D1011" s="310" t="inlineStr">
        <is>
          <t>PLT SRO_ TGB-33 (Jatibarang Field) Elnusa _ IC</t>
        </is>
      </c>
      <c r="E1011" s="311" t="n"/>
      <c r="F1011" s="311" t="n"/>
      <c r="G1011" s="311" t="n"/>
      <c r="H1011" s="311" t="n"/>
      <c r="I1011" s="311" t="n"/>
      <c r="J1011" s="311" t="n"/>
      <c r="K1011" s="311" t="n"/>
      <c r="L1011" s="311" t="n"/>
      <c r="M1011" s="311" t="n"/>
      <c r="N1011" s="311" t="n"/>
      <c r="O1011" s="311" t="n"/>
      <c r="P1011" s="311" t="n"/>
      <c r="Q1011" s="311" t="n"/>
    </row>
    <row r="1012">
      <c r="B1012" s="312" t="n"/>
      <c r="C1012" s="312" t="n"/>
      <c r="D1012" s="285" t="inlineStr">
        <is>
          <t>Accommodation</t>
        </is>
      </c>
      <c r="E1012" s="312" t="n"/>
      <c r="F1012" s="312" t="n"/>
      <c r="G1012" s="312" t="n"/>
      <c r="H1012" s="312" t="n"/>
      <c r="I1012" s="312" t="n"/>
      <c r="J1012" s="312" t="n"/>
      <c r="K1012" s="312" t="n"/>
      <c r="L1012" s="312" t="n"/>
      <c r="M1012" s="312" t="n"/>
      <c r="N1012" s="312" t="n"/>
      <c r="O1012" s="312" t="n"/>
      <c r="P1012" s="312" t="n"/>
      <c r="Q1012" s="312" t="n"/>
    </row>
    <row r="1013" ht="18.75" customHeight="1">
      <c r="B1013" s="288" t="n">
        <v>45410</v>
      </c>
      <c r="C1013" s="289" t="n">
        <v>445</v>
      </c>
      <c r="D1013" s="290" t="inlineStr">
        <is>
          <t>Hotel 2 days</t>
        </is>
      </c>
      <c r="E1013" s="306" t="inlineStr">
        <is>
          <t>-</t>
        </is>
      </c>
      <c r="F1013" s="307" t="n">
        <v>1357481</v>
      </c>
      <c r="G1013" s="289" t="inlineStr">
        <is>
          <t>IDR</t>
        </is>
      </c>
      <c r="H1013" s="293" t="n">
        <v>1</v>
      </c>
      <c r="I1013" s="306" t="n"/>
      <c r="J1013" s="306" t="n"/>
      <c r="K1013" s="306" t="n"/>
      <c r="L1013" s="307">
        <f>$F1013*$H1013</f>
        <v/>
      </c>
      <c r="M1013" s="306" t="n"/>
      <c r="N1013" s="306" t="n"/>
      <c r="O1013" s="306" t="n"/>
      <c r="P1013" s="306" t="n"/>
      <c r="Q1013" s="306" t="n"/>
    </row>
    <row r="1014" ht="18.75" customHeight="1">
      <c r="B1014" s="288" t="n">
        <v>45410</v>
      </c>
      <c r="C1014" s="289" t="n">
        <v>446</v>
      </c>
      <c r="D1014" s="290" t="inlineStr">
        <is>
          <t>Hotel 2 days</t>
        </is>
      </c>
      <c r="E1014" s="306" t="inlineStr">
        <is>
          <t>-</t>
        </is>
      </c>
      <c r="F1014" s="307" t="n">
        <v>1357481</v>
      </c>
      <c r="G1014" s="289" t="inlineStr">
        <is>
          <t>IDR</t>
        </is>
      </c>
      <c r="H1014" s="293" t="n">
        <v>1</v>
      </c>
      <c r="I1014" s="306" t="n"/>
      <c r="J1014" s="306" t="n"/>
      <c r="K1014" s="306" t="n"/>
      <c r="L1014" s="307">
        <f>$F1014*$H1014</f>
        <v/>
      </c>
      <c r="M1014" s="306" t="n"/>
      <c r="N1014" s="306" t="n"/>
      <c r="O1014" s="306" t="n"/>
      <c r="P1014" s="306" t="n"/>
      <c r="Q1014" s="306" t="n"/>
    </row>
    <row r="1015" ht="18.75" customHeight="1">
      <c r="B1015" s="288" t="n">
        <v>45410</v>
      </c>
      <c r="C1015" s="289" t="n">
        <v>447</v>
      </c>
      <c r="D1015" s="290" t="inlineStr">
        <is>
          <t>Hotel 2 days</t>
        </is>
      </c>
      <c r="E1015" s="306" t="inlineStr">
        <is>
          <t>-</t>
        </is>
      </c>
      <c r="F1015" s="307" t="n">
        <v>1357481</v>
      </c>
      <c r="G1015" s="289" t="inlineStr">
        <is>
          <t>IDR</t>
        </is>
      </c>
      <c r="H1015" s="293" t="n">
        <v>1</v>
      </c>
      <c r="I1015" s="306" t="n"/>
      <c r="J1015" s="306" t="n"/>
      <c r="K1015" s="306" t="n"/>
      <c r="L1015" s="307">
        <f>$F1015*$H1015</f>
        <v/>
      </c>
      <c r="M1015" s="306" t="n"/>
      <c r="N1015" s="306" t="n"/>
      <c r="O1015" s="306" t="n"/>
      <c r="P1015" s="306" t="n"/>
      <c r="Q1015" s="306" t="n"/>
    </row>
    <row r="1016" ht="18.75" customHeight="1">
      <c r="B1016" s="288" t="n">
        <v>45410</v>
      </c>
      <c r="C1016" s="289" t="n">
        <v>448</v>
      </c>
      <c r="D1016" s="290" t="inlineStr">
        <is>
          <t>Hotel 2 days</t>
        </is>
      </c>
      <c r="E1016" s="306" t="inlineStr">
        <is>
          <t>-</t>
        </is>
      </c>
      <c r="F1016" s="307" t="n">
        <v>1357481</v>
      </c>
      <c r="G1016" s="289" t="inlineStr">
        <is>
          <t>IDR</t>
        </is>
      </c>
      <c r="H1016" s="293" t="n">
        <v>1</v>
      </c>
      <c r="I1016" s="306" t="n"/>
      <c r="J1016" s="306" t="n"/>
      <c r="K1016" s="306" t="n"/>
      <c r="L1016" s="307">
        <f>$F1016*$H1016</f>
        <v/>
      </c>
      <c r="M1016" s="306" t="n"/>
      <c r="N1016" s="306" t="n"/>
      <c r="O1016" s="306" t="n"/>
      <c r="P1016" s="306" t="n"/>
      <c r="Q1016" s="306" t="n"/>
    </row>
    <row r="1017">
      <c r="B1017" s="312" t="n"/>
      <c r="C1017" s="312" t="n"/>
      <c r="D1017" s="285" t="inlineStr">
        <is>
          <t>Allowance</t>
        </is>
      </c>
      <c r="E1017" s="312" t="n"/>
      <c r="F1017" s="312" t="n"/>
      <c r="G1017" s="312" t="n"/>
      <c r="H1017" s="312" t="n"/>
      <c r="I1017" s="312" t="n"/>
      <c r="J1017" s="312" t="n"/>
      <c r="K1017" s="312" t="n"/>
      <c r="L1017" s="312" t="n"/>
      <c r="M1017" s="312" t="n"/>
      <c r="N1017" s="312" t="n"/>
      <c r="O1017" s="312" t="n"/>
      <c r="P1017" s="312" t="n"/>
      <c r="Q1017" s="312" t="n"/>
    </row>
    <row r="1018" ht="18.75" customHeight="1">
      <c r="B1018" s="288" t="n">
        <v>45410</v>
      </c>
      <c r="C1018" s="289" t="n">
        <v>449</v>
      </c>
      <c r="D1018" s="290" t="inlineStr">
        <is>
          <t>Tunjangan Lapangan for 2 days</t>
        </is>
      </c>
      <c r="E1018" s="306" t="inlineStr">
        <is>
          <t>-</t>
        </is>
      </c>
      <c r="F1018" s="307" t="n">
        <v>200</v>
      </c>
      <c r="G1018" s="289" t="inlineStr">
        <is>
          <t>USD</t>
        </is>
      </c>
      <c r="H1018" s="293" t="n">
        <v>16257</v>
      </c>
      <c r="I1018" s="306" t="n"/>
      <c r="J1018" s="306" t="n"/>
      <c r="K1018" s="306" t="n"/>
      <c r="L1018" s="307">
        <f>$F1018*$H1018</f>
        <v/>
      </c>
      <c r="M1018" s="306" t="n"/>
      <c r="N1018" s="306" t="n"/>
      <c r="O1018" s="306" t="n"/>
      <c r="P1018" s="306" t="n"/>
      <c r="Q1018" s="306" t="n"/>
    </row>
    <row r="1019" ht="18.75" customHeight="1">
      <c r="B1019" s="288" t="n">
        <v>45410</v>
      </c>
      <c r="C1019" s="289" t="n">
        <v>450</v>
      </c>
      <c r="D1019" s="290" t="inlineStr">
        <is>
          <t>Tunjangan Lapangan for 2 days</t>
        </is>
      </c>
      <c r="E1019" s="306" t="inlineStr">
        <is>
          <t>-</t>
        </is>
      </c>
      <c r="F1019" s="307" t="n">
        <v>200</v>
      </c>
      <c r="G1019" s="289" t="inlineStr">
        <is>
          <t>USD</t>
        </is>
      </c>
      <c r="H1019" s="293" t="n">
        <v>16257</v>
      </c>
      <c r="I1019" s="306" t="n"/>
      <c r="J1019" s="306" t="n"/>
      <c r="K1019" s="306" t="n"/>
      <c r="L1019" s="307">
        <f>$F1019*$H1019</f>
        <v/>
      </c>
      <c r="M1019" s="306" t="n"/>
      <c r="N1019" s="306" t="n"/>
      <c r="O1019" s="306" t="n"/>
      <c r="P1019" s="306" t="n"/>
      <c r="Q1019" s="306" t="n"/>
    </row>
    <row r="1020" ht="18.75" customHeight="1">
      <c r="B1020" s="288" t="n">
        <v>45410</v>
      </c>
      <c r="C1020" s="289" t="n">
        <v>451</v>
      </c>
      <c r="D1020" s="290" t="inlineStr">
        <is>
          <t>Tunjangan Lapangan for 2 days</t>
        </is>
      </c>
      <c r="E1020" s="306" t="inlineStr">
        <is>
          <t>-</t>
        </is>
      </c>
      <c r="F1020" s="307" t="n">
        <v>200</v>
      </c>
      <c r="G1020" s="289" t="inlineStr">
        <is>
          <t>USD</t>
        </is>
      </c>
      <c r="H1020" s="293" t="n">
        <v>16257</v>
      </c>
      <c r="I1020" s="306" t="n"/>
      <c r="J1020" s="306" t="n"/>
      <c r="K1020" s="306" t="n"/>
      <c r="L1020" s="307">
        <f>$F1020*$H1020</f>
        <v/>
      </c>
      <c r="M1020" s="306" t="n"/>
      <c r="N1020" s="306" t="n"/>
      <c r="O1020" s="306" t="n"/>
      <c r="P1020" s="306" t="n"/>
      <c r="Q1020" s="306" t="n"/>
    </row>
    <row r="1021" ht="18.75" customHeight="1">
      <c r="B1021" s="288" t="n">
        <v>45410</v>
      </c>
      <c r="C1021" s="289" t="n">
        <v>452</v>
      </c>
      <c r="D1021" s="290" t="inlineStr">
        <is>
          <t>Tunjangan Lapangan for 2 days</t>
        </is>
      </c>
      <c r="E1021" s="306" t="inlineStr">
        <is>
          <t>-</t>
        </is>
      </c>
      <c r="F1021" s="307" t="n">
        <v>200</v>
      </c>
      <c r="G1021" s="289" t="inlineStr">
        <is>
          <t>USD</t>
        </is>
      </c>
      <c r="H1021" s="293" t="n">
        <v>16257</v>
      </c>
      <c r="I1021" s="306" t="n"/>
      <c r="J1021" s="306" t="n"/>
      <c r="K1021" s="306" t="n"/>
      <c r="L1021" s="307">
        <f>$F1021*$H1021</f>
        <v/>
      </c>
      <c r="M1021" s="306" t="n"/>
      <c r="N1021" s="306" t="n"/>
      <c r="O1021" s="306" t="n"/>
      <c r="P1021" s="306" t="n"/>
      <c r="Q1021" s="306" t="n"/>
    </row>
    <row r="1022">
      <c r="B1022" s="312" t="n"/>
      <c r="C1022" s="312" t="n"/>
      <c r="D1022" s="285" t="inlineStr">
        <is>
          <t>Laundry</t>
        </is>
      </c>
      <c r="E1022" s="312" t="n"/>
      <c r="F1022" s="312" t="n"/>
      <c r="G1022" s="312" t="n"/>
      <c r="H1022" s="312" t="n"/>
      <c r="I1022" s="312" t="n"/>
      <c r="J1022" s="312" t="n"/>
      <c r="K1022" s="312" t="n"/>
      <c r="L1022" s="312" t="n"/>
      <c r="M1022" s="312" t="n"/>
      <c r="N1022" s="312" t="n"/>
      <c r="O1022" s="312" t="n"/>
      <c r="P1022" s="312" t="n"/>
      <c r="Q1022" s="312" t="n"/>
    </row>
    <row r="1023" ht="18.75" customHeight="1">
      <c r="B1023" s="288" t="n">
        <v>45410</v>
      </c>
      <c r="C1023" s="289" t="n">
        <v>453</v>
      </c>
      <c r="D1023" s="290" t="inlineStr">
        <is>
          <t>Laundry 2 days</t>
        </is>
      </c>
      <c r="E1023" s="306" t="inlineStr">
        <is>
          <t>-</t>
        </is>
      </c>
      <c r="F1023" s="307" t="n">
        <v>100000</v>
      </c>
      <c r="G1023" s="289" t="inlineStr">
        <is>
          <t>IDR</t>
        </is>
      </c>
      <c r="H1023" s="293" t="n">
        <v>1</v>
      </c>
      <c r="I1023" s="306" t="n"/>
      <c r="J1023" s="306" t="n"/>
      <c r="K1023" s="306" t="n"/>
      <c r="L1023" s="307">
        <f>$F1023*$H1023</f>
        <v/>
      </c>
      <c r="M1023" s="306" t="n"/>
      <c r="N1023" s="306" t="n"/>
      <c r="O1023" s="306" t="n"/>
      <c r="P1023" s="306" t="n"/>
      <c r="Q1023" s="306" t="n"/>
    </row>
    <row r="1024" ht="18.75" customHeight="1">
      <c r="B1024" s="288" t="n">
        <v>45410</v>
      </c>
      <c r="C1024" s="289" t="n">
        <v>454</v>
      </c>
      <c r="D1024" s="290" t="inlineStr">
        <is>
          <t>Laundry 2 days</t>
        </is>
      </c>
      <c r="E1024" s="306" t="inlineStr">
        <is>
          <t>-</t>
        </is>
      </c>
      <c r="F1024" s="307" t="n">
        <v>100000</v>
      </c>
      <c r="G1024" s="289" t="inlineStr">
        <is>
          <t>IDR</t>
        </is>
      </c>
      <c r="H1024" s="293" t="n">
        <v>1</v>
      </c>
      <c r="I1024" s="306" t="n"/>
      <c r="J1024" s="306" t="n"/>
      <c r="K1024" s="306" t="n"/>
      <c r="L1024" s="307">
        <f>$F1024*$H1024</f>
        <v/>
      </c>
      <c r="M1024" s="306" t="n"/>
      <c r="N1024" s="306" t="n"/>
      <c r="O1024" s="306" t="n"/>
      <c r="P1024" s="306" t="n"/>
      <c r="Q1024" s="306" t="n"/>
    </row>
    <row r="1025" ht="18.75" customHeight="1">
      <c r="B1025" s="288" t="n">
        <v>45410</v>
      </c>
      <c r="C1025" s="289" t="n">
        <v>455</v>
      </c>
      <c r="D1025" s="290" t="inlineStr">
        <is>
          <t>Laundry 2 days</t>
        </is>
      </c>
      <c r="E1025" s="306" t="inlineStr">
        <is>
          <t>-</t>
        </is>
      </c>
      <c r="F1025" s="307" t="n">
        <v>100000</v>
      </c>
      <c r="G1025" s="289" t="inlineStr">
        <is>
          <t>IDR</t>
        </is>
      </c>
      <c r="H1025" s="293" t="n">
        <v>1</v>
      </c>
      <c r="I1025" s="306" t="n"/>
      <c r="J1025" s="306" t="n"/>
      <c r="K1025" s="306" t="n"/>
      <c r="L1025" s="307">
        <f>$F1025*$H1025</f>
        <v/>
      </c>
      <c r="M1025" s="306" t="n"/>
      <c r="N1025" s="306" t="n"/>
      <c r="O1025" s="306" t="n"/>
      <c r="P1025" s="306" t="n"/>
      <c r="Q1025" s="306" t="n"/>
    </row>
    <row r="1026" ht="18.75" customHeight="1">
      <c r="B1026" s="288" t="n">
        <v>45410</v>
      </c>
      <c r="C1026" s="289" t="n">
        <v>456</v>
      </c>
      <c r="D1026" s="290" t="inlineStr">
        <is>
          <t>Laundry 2 days</t>
        </is>
      </c>
      <c r="E1026" s="306" t="inlineStr">
        <is>
          <t>-</t>
        </is>
      </c>
      <c r="F1026" s="307" t="n">
        <v>100000</v>
      </c>
      <c r="G1026" s="289" t="inlineStr">
        <is>
          <t>IDR</t>
        </is>
      </c>
      <c r="H1026" s="293" t="n">
        <v>1</v>
      </c>
      <c r="I1026" s="306" t="n"/>
      <c r="J1026" s="306" t="n"/>
      <c r="K1026" s="306" t="n"/>
      <c r="L1026" s="307">
        <f>$F1026*$H1026</f>
        <v/>
      </c>
      <c r="M1026" s="306" t="n"/>
      <c r="N1026" s="306" t="n"/>
      <c r="O1026" s="306" t="n"/>
      <c r="P1026" s="306" t="n"/>
      <c r="Q1026" s="306" t="n"/>
    </row>
    <row r="1027">
      <c r="B1027" s="312" t="n"/>
      <c r="C1027" s="312" t="n"/>
      <c r="D1027" s="285" t="inlineStr">
        <is>
          <t>Meal</t>
        </is>
      </c>
      <c r="E1027" s="312" t="n"/>
      <c r="F1027" s="312" t="n"/>
      <c r="G1027" s="312" t="n"/>
      <c r="H1027" s="312" t="n"/>
      <c r="I1027" s="312" t="n"/>
      <c r="J1027" s="312" t="n"/>
      <c r="K1027" s="312" t="n"/>
      <c r="L1027" s="312" t="n"/>
      <c r="M1027" s="312" t="n"/>
      <c r="N1027" s="312" t="n"/>
      <c r="O1027" s="312" t="n"/>
      <c r="P1027" s="312" t="n"/>
      <c r="Q1027" s="312" t="n"/>
    </row>
    <row r="1028" ht="18.75" customHeight="1">
      <c r="B1028" s="288" t="n">
        <v>45410</v>
      </c>
      <c r="C1028" s="289" t="n">
        <v>457</v>
      </c>
      <c r="D1028" s="290" t="inlineStr">
        <is>
          <t>Meals 2 days 1 Persons @ 150K IDR/day</t>
        </is>
      </c>
      <c r="E1028" s="306" t="inlineStr">
        <is>
          <t>-</t>
        </is>
      </c>
      <c r="F1028" s="307" t="n">
        <v>300000</v>
      </c>
      <c r="G1028" s="289" t="inlineStr">
        <is>
          <t>IDR</t>
        </is>
      </c>
      <c r="H1028" s="293" t="n">
        <v>1</v>
      </c>
      <c r="I1028" s="306" t="n"/>
      <c r="J1028" s="306" t="n"/>
      <c r="K1028" s="306" t="n"/>
      <c r="L1028" s="307">
        <f>$F1028*$H1028</f>
        <v/>
      </c>
      <c r="M1028" s="306" t="n"/>
      <c r="N1028" s="306" t="n"/>
      <c r="O1028" s="306" t="n"/>
      <c r="P1028" s="306" t="n"/>
      <c r="Q1028" s="306" t="n"/>
    </row>
    <row r="1029" ht="18.75" customHeight="1">
      <c r="B1029" s="288" t="n">
        <v>45410</v>
      </c>
      <c r="C1029" s="289" t="n">
        <v>458</v>
      </c>
      <c r="D1029" s="290" t="inlineStr">
        <is>
          <t>Meals 2 days 1 Persons @ 150K IDR/day</t>
        </is>
      </c>
      <c r="E1029" s="306" t="inlineStr">
        <is>
          <t>-</t>
        </is>
      </c>
      <c r="F1029" s="307" t="n">
        <v>300000</v>
      </c>
      <c r="G1029" s="289" t="inlineStr">
        <is>
          <t>IDR</t>
        </is>
      </c>
      <c r="H1029" s="293" t="n">
        <v>1</v>
      </c>
      <c r="I1029" s="306" t="n"/>
      <c r="J1029" s="306" t="n"/>
      <c r="K1029" s="306" t="n"/>
      <c r="L1029" s="307">
        <f>$F1029*$H1029</f>
        <v/>
      </c>
      <c r="M1029" s="306" t="n"/>
      <c r="N1029" s="306" t="n"/>
      <c r="O1029" s="306" t="n"/>
      <c r="P1029" s="306" t="n"/>
      <c r="Q1029" s="306" t="n"/>
    </row>
    <row r="1030" ht="18.75" customHeight="1">
      <c r="B1030" s="288" t="n">
        <v>45410</v>
      </c>
      <c r="C1030" s="289" t="n">
        <v>459</v>
      </c>
      <c r="D1030" s="290" t="inlineStr">
        <is>
          <t>Meals 2 days 1 Persons @ 150K IDR/day</t>
        </is>
      </c>
      <c r="E1030" s="306" t="inlineStr">
        <is>
          <t>-</t>
        </is>
      </c>
      <c r="F1030" s="307" t="n">
        <v>300000</v>
      </c>
      <c r="G1030" s="289" t="inlineStr">
        <is>
          <t>IDR</t>
        </is>
      </c>
      <c r="H1030" s="293" t="n">
        <v>1</v>
      </c>
      <c r="I1030" s="306" t="n"/>
      <c r="J1030" s="306" t="n"/>
      <c r="K1030" s="306" t="n"/>
      <c r="L1030" s="307">
        <f>$F1030*$H1030</f>
        <v/>
      </c>
      <c r="M1030" s="306" t="n"/>
      <c r="N1030" s="306" t="n"/>
      <c r="O1030" s="306" t="n"/>
      <c r="P1030" s="306" t="n"/>
      <c r="Q1030" s="306" t="n"/>
    </row>
    <row r="1031" ht="18.75" customHeight="1">
      <c r="B1031" s="288" t="n">
        <v>45410</v>
      </c>
      <c r="C1031" s="289" t="n">
        <v>460</v>
      </c>
      <c r="D1031" s="290" t="inlineStr">
        <is>
          <t>Meals 2 days 1 Persons @ 150K IDR/day</t>
        </is>
      </c>
      <c r="E1031" s="306" t="inlineStr">
        <is>
          <t>-</t>
        </is>
      </c>
      <c r="F1031" s="307" t="n">
        <v>300000</v>
      </c>
      <c r="G1031" s="289" t="inlineStr">
        <is>
          <t>IDR</t>
        </is>
      </c>
      <c r="H1031" s="293" t="n">
        <v>1</v>
      </c>
      <c r="I1031" s="306" t="n"/>
      <c r="J1031" s="306" t="n"/>
      <c r="K1031" s="306" t="n"/>
      <c r="L1031" s="307">
        <f>$F1031*$H1031</f>
        <v/>
      </c>
      <c r="M1031" s="306" t="n"/>
      <c r="N1031" s="306" t="n"/>
      <c r="O1031" s="306" t="n"/>
      <c r="P1031" s="306" t="n"/>
      <c r="Q1031" s="306" t="n"/>
    </row>
    <row r="1032">
      <c r="B1032" s="312" t="n"/>
      <c r="C1032" s="312" t="n"/>
      <c r="D1032" s="285" t="inlineStr">
        <is>
          <t>Transportation</t>
        </is>
      </c>
      <c r="E1032" s="312" t="n"/>
      <c r="F1032" s="312" t="n"/>
      <c r="G1032" s="312" t="n"/>
      <c r="H1032" s="312" t="n"/>
      <c r="I1032" s="312" t="n"/>
      <c r="J1032" s="312" t="n"/>
      <c r="K1032" s="312" t="n"/>
      <c r="L1032" s="312" t="n"/>
      <c r="M1032" s="312" t="n"/>
      <c r="N1032" s="312" t="n"/>
      <c r="O1032" s="312" t="n"/>
      <c r="P1032" s="312" t="n"/>
      <c r="Q1032" s="312" t="n"/>
    </row>
    <row r="1033" ht="18.75" customHeight="1">
      <c r="B1033" s="288" t="n">
        <v>45408</v>
      </c>
      <c r="C1033" s="289" t="n">
        <v>461</v>
      </c>
      <c r="D1033" s="290" t="inlineStr">
        <is>
          <t>Fuels</t>
        </is>
      </c>
      <c r="E1033" s="306" t="inlineStr">
        <is>
          <t>-</t>
        </is>
      </c>
      <c r="F1033" s="307" t="n">
        <v>284308</v>
      </c>
      <c r="G1033" s="289" t="inlineStr">
        <is>
          <t>IDR</t>
        </is>
      </c>
      <c r="H1033" s="293" t="n">
        <v>1</v>
      </c>
      <c r="I1033" s="306" t="n"/>
      <c r="J1033" s="306" t="n"/>
      <c r="K1033" s="306" t="n"/>
      <c r="L1033" s="307">
        <f>$F1033*$H1033</f>
        <v/>
      </c>
      <c r="M1033" s="306" t="n"/>
      <c r="N1033" s="306" t="n"/>
      <c r="O1033" s="306" t="n"/>
      <c r="P1033" s="306" t="n"/>
      <c r="Q1033" s="306" t="n"/>
    </row>
    <row r="1034" ht="18.75" customHeight="1">
      <c r="B1034" s="288" t="n">
        <v>45408</v>
      </c>
      <c r="C1034" s="289" t="n">
        <v>462</v>
      </c>
      <c r="D1034" s="290" t="inlineStr">
        <is>
          <t>Fuels</t>
        </is>
      </c>
      <c r="E1034" s="306" t="inlineStr">
        <is>
          <t>-</t>
        </is>
      </c>
      <c r="F1034" s="307" t="n">
        <v>284308</v>
      </c>
      <c r="G1034" s="289" t="inlineStr">
        <is>
          <t>IDR</t>
        </is>
      </c>
      <c r="H1034" s="293" t="n">
        <v>1</v>
      </c>
      <c r="I1034" s="306" t="n"/>
      <c r="J1034" s="306" t="n"/>
      <c r="K1034" s="306" t="n"/>
      <c r="L1034" s="307">
        <f>$F1034*$H1034</f>
        <v/>
      </c>
      <c r="M1034" s="306" t="n"/>
      <c r="N1034" s="306" t="n"/>
      <c r="O1034" s="306" t="n"/>
      <c r="P1034" s="306" t="n"/>
      <c r="Q1034" s="306" t="n"/>
    </row>
    <row r="1035" ht="18.75" customHeight="1">
      <c r="B1035" s="288" t="n">
        <v>45408</v>
      </c>
      <c r="C1035" s="289" t="n">
        <v>463</v>
      </c>
      <c r="D1035" s="290" t="inlineStr">
        <is>
          <t>Fuels</t>
        </is>
      </c>
      <c r="E1035" s="306" t="inlineStr">
        <is>
          <t>-</t>
        </is>
      </c>
      <c r="F1035" s="307" t="n">
        <v>284308</v>
      </c>
      <c r="G1035" s="289" t="inlineStr">
        <is>
          <t>IDR</t>
        </is>
      </c>
      <c r="H1035" s="293" t="n">
        <v>1</v>
      </c>
      <c r="I1035" s="306" t="n"/>
      <c r="J1035" s="306" t="n"/>
      <c r="K1035" s="306" t="n"/>
      <c r="L1035" s="307">
        <f>$F1035*$H1035</f>
        <v/>
      </c>
      <c r="M1035" s="306" t="n"/>
      <c r="N1035" s="306" t="n"/>
      <c r="O1035" s="306" t="n"/>
      <c r="P1035" s="306" t="n"/>
      <c r="Q1035" s="306" t="n"/>
    </row>
    <row r="1036" ht="18.75" customHeight="1">
      <c r="B1036" s="288" t="n">
        <v>45408</v>
      </c>
      <c r="C1036" s="289" t="n">
        <v>464</v>
      </c>
      <c r="D1036" s="290" t="inlineStr">
        <is>
          <t>Fuels</t>
        </is>
      </c>
      <c r="E1036" s="306" t="inlineStr">
        <is>
          <t>-</t>
        </is>
      </c>
      <c r="F1036" s="307" t="n">
        <v>284308</v>
      </c>
      <c r="G1036" s="289" t="inlineStr">
        <is>
          <t>IDR</t>
        </is>
      </c>
      <c r="H1036" s="293" t="n">
        <v>1</v>
      </c>
      <c r="I1036" s="306" t="n"/>
      <c r="J1036" s="306" t="n"/>
      <c r="K1036" s="306" t="n"/>
      <c r="L1036" s="307">
        <f>$F1036*$H1036</f>
        <v/>
      </c>
      <c r="M1036" s="306" t="n"/>
      <c r="N1036" s="306" t="n"/>
      <c r="O1036" s="306" t="n"/>
      <c r="P1036" s="306" t="n"/>
      <c r="Q1036" s="306" t="n"/>
    </row>
    <row r="1037" ht="18.75" customHeight="1">
      <c r="B1037" s="288" t="n">
        <v>45410</v>
      </c>
      <c r="C1037" s="289" t="n">
        <v>465</v>
      </c>
      <c r="D1037" s="290" t="inlineStr">
        <is>
          <t>Toll</t>
        </is>
      </c>
      <c r="E1037" s="306" t="inlineStr">
        <is>
          <t>-</t>
        </is>
      </c>
      <c r="F1037" s="307" t="n">
        <v>298000</v>
      </c>
      <c r="G1037" s="289" t="inlineStr">
        <is>
          <t>IDR</t>
        </is>
      </c>
      <c r="H1037" s="293" t="n">
        <v>1</v>
      </c>
      <c r="I1037" s="306" t="n"/>
      <c r="J1037" s="306" t="n"/>
      <c r="K1037" s="306" t="n"/>
      <c r="L1037" s="307">
        <f>$F1037*$H1037</f>
        <v/>
      </c>
      <c r="M1037" s="306" t="n"/>
      <c r="N1037" s="306" t="n"/>
      <c r="O1037" s="306" t="n"/>
      <c r="P1037" s="306" t="n"/>
      <c r="Q1037" s="306" t="n"/>
    </row>
    <row r="1038" ht="18.75" customHeight="1">
      <c r="B1038" s="288" t="n">
        <v>45410</v>
      </c>
      <c r="C1038" s="289" t="n">
        <v>466</v>
      </c>
      <c r="D1038" s="290" t="inlineStr">
        <is>
          <t>Toll</t>
        </is>
      </c>
      <c r="E1038" s="306" t="inlineStr">
        <is>
          <t>-</t>
        </is>
      </c>
      <c r="F1038" s="307" t="n">
        <v>298000</v>
      </c>
      <c r="G1038" s="289" t="inlineStr">
        <is>
          <t>IDR</t>
        </is>
      </c>
      <c r="H1038" s="293" t="n">
        <v>1</v>
      </c>
      <c r="I1038" s="306" t="n"/>
      <c r="J1038" s="306" t="n"/>
      <c r="K1038" s="306" t="n"/>
      <c r="L1038" s="307">
        <f>$F1038*$H1038</f>
        <v/>
      </c>
      <c r="M1038" s="306" t="n"/>
      <c r="N1038" s="306" t="n"/>
      <c r="O1038" s="306" t="n"/>
      <c r="P1038" s="306" t="n"/>
      <c r="Q1038" s="306" t="n"/>
    </row>
    <row r="1039" ht="18.75" customHeight="1">
      <c r="B1039" s="288" t="n">
        <v>45410</v>
      </c>
      <c r="C1039" s="289" t="n">
        <v>467</v>
      </c>
      <c r="D1039" s="290" t="inlineStr">
        <is>
          <t>Toll</t>
        </is>
      </c>
      <c r="E1039" s="306" t="inlineStr">
        <is>
          <t>-</t>
        </is>
      </c>
      <c r="F1039" s="307" t="n">
        <v>298000</v>
      </c>
      <c r="G1039" s="289" t="inlineStr">
        <is>
          <t>IDR</t>
        </is>
      </c>
      <c r="H1039" s="293" t="n">
        <v>1</v>
      </c>
      <c r="I1039" s="306" t="n"/>
      <c r="J1039" s="306" t="n"/>
      <c r="K1039" s="306" t="n"/>
      <c r="L1039" s="307">
        <f>$F1039*$H1039</f>
        <v/>
      </c>
      <c r="M1039" s="306" t="n"/>
      <c r="N1039" s="306" t="n"/>
      <c r="O1039" s="306" t="n"/>
      <c r="P1039" s="306" t="n"/>
      <c r="Q1039" s="306" t="n"/>
    </row>
    <row r="1040" ht="18.75" customHeight="1">
      <c r="B1040" s="288" t="n">
        <v>45410</v>
      </c>
      <c r="C1040" s="289" t="n">
        <v>468</v>
      </c>
      <c r="D1040" s="290" t="inlineStr">
        <is>
          <t>Toll</t>
        </is>
      </c>
      <c r="E1040" s="306" t="inlineStr">
        <is>
          <t>-</t>
        </is>
      </c>
      <c r="F1040" s="307" t="n">
        <v>298000</v>
      </c>
      <c r="G1040" s="289" t="inlineStr">
        <is>
          <t>IDR</t>
        </is>
      </c>
      <c r="H1040" s="293" t="n">
        <v>1</v>
      </c>
      <c r="I1040" s="306" t="n"/>
      <c r="J1040" s="306" t="n"/>
      <c r="K1040" s="306" t="n"/>
      <c r="L1040" s="307">
        <f>$F1040*$H1040</f>
        <v/>
      </c>
      <c r="M1040" s="306" t="n"/>
      <c r="N1040" s="306" t="n"/>
      <c r="O1040" s="306" t="n"/>
      <c r="P1040" s="306" t="n"/>
      <c r="Q1040" s="306" t="n"/>
    </row>
    <row r="1041">
      <c r="B1041" s="310" t="inlineStr">
        <is>
          <t>Expense#8</t>
        </is>
      </c>
      <c r="C1041" s="311" t="inlineStr">
        <is>
          <t>:</t>
        </is>
      </c>
      <c r="D1041" s="310" t="inlineStr">
        <is>
          <t>Training BST_ PHR-zona 4 (Dwiyanto) (Dwi_Febri dan Ilham)</t>
        </is>
      </c>
      <c r="E1041" s="311" t="n"/>
      <c r="F1041" s="311" t="n"/>
      <c r="G1041" s="311" t="n"/>
      <c r="H1041" s="311" t="n"/>
      <c r="I1041" s="311" t="n"/>
      <c r="J1041" s="311" t="n"/>
      <c r="K1041" s="311" t="n"/>
      <c r="L1041" s="311" t="n"/>
      <c r="M1041" s="311" t="n"/>
      <c r="N1041" s="311" t="n"/>
      <c r="O1041" s="311" t="n"/>
      <c r="P1041" s="311" t="n"/>
      <c r="Q1041" s="311" t="n"/>
    </row>
    <row r="1042">
      <c r="B1042" s="312" t="n"/>
      <c r="C1042" s="312" t="n"/>
      <c r="D1042" s="285" t="inlineStr">
        <is>
          <t>Accommodation</t>
        </is>
      </c>
      <c r="E1042" s="312" t="n"/>
      <c r="F1042" s="312" t="n"/>
      <c r="G1042" s="312" t="n"/>
      <c r="H1042" s="312" t="n"/>
      <c r="I1042" s="312" t="n"/>
      <c r="J1042" s="312" t="n"/>
      <c r="K1042" s="312" t="n"/>
      <c r="L1042" s="312" t="n"/>
      <c r="M1042" s="312" t="n"/>
      <c r="N1042" s="312" t="n"/>
      <c r="O1042" s="312" t="n"/>
      <c r="P1042" s="312" t="n"/>
      <c r="Q1042" s="312" t="n"/>
    </row>
    <row r="1043" ht="18.75" customHeight="1">
      <c r="B1043" s="288" t="n">
        <v>45420</v>
      </c>
      <c r="C1043" s="289" t="n">
        <v>469</v>
      </c>
      <c r="D1043" s="290" t="inlineStr">
        <is>
          <t>Hotel</t>
        </is>
      </c>
      <c r="E1043" s="306" t="inlineStr">
        <is>
          <t>-</t>
        </is>
      </c>
      <c r="F1043" s="307" t="n">
        <v>360000</v>
      </c>
      <c r="G1043" s="289" t="inlineStr">
        <is>
          <t>IDR</t>
        </is>
      </c>
      <c r="H1043" s="293" t="n">
        <v>1</v>
      </c>
      <c r="I1043" s="306" t="n"/>
      <c r="J1043" s="306" t="n"/>
      <c r="K1043" s="306" t="n"/>
      <c r="L1043" s="307">
        <f>$F1043*$H1043</f>
        <v/>
      </c>
      <c r="M1043" s="306" t="n"/>
      <c r="N1043" s="306" t="n"/>
      <c r="O1043" s="306" t="n"/>
      <c r="P1043" s="306" t="n"/>
      <c r="Q1043" s="306" t="n"/>
    </row>
    <row r="1044" ht="18.75" customHeight="1">
      <c r="B1044" s="288" t="n">
        <v>45420</v>
      </c>
      <c r="C1044" s="289" t="n">
        <v>470</v>
      </c>
      <c r="D1044" s="290" t="inlineStr">
        <is>
          <t>Hotel</t>
        </is>
      </c>
      <c r="E1044" s="306" t="inlineStr">
        <is>
          <t>-</t>
        </is>
      </c>
      <c r="F1044" s="307" t="n">
        <v>360000</v>
      </c>
      <c r="G1044" s="289" t="inlineStr">
        <is>
          <t>IDR</t>
        </is>
      </c>
      <c r="H1044" s="293" t="n">
        <v>1</v>
      </c>
      <c r="I1044" s="306" t="n"/>
      <c r="J1044" s="306" t="n"/>
      <c r="K1044" s="306" t="n"/>
      <c r="L1044" s="307">
        <f>$F1044*$H1044</f>
        <v/>
      </c>
      <c r="M1044" s="306" t="n"/>
      <c r="N1044" s="306" t="n"/>
      <c r="O1044" s="306" t="n"/>
      <c r="P1044" s="306" t="n"/>
      <c r="Q1044" s="306" t="n"/>
    </row>
    <row r="1045" ht="18.75" customHeight="1">
      <c r="B1045" s="288" t="n">
        <v>45420</v>
      </c>
      <c r="C1045" s="289" t="n">
        <v>471</v>
      </c>
      <c r="D1045" s="290" t="inlineStr">
        <is>
          <t>Hotel</t>
        </is>
      </c>
      <c r="E1045" s="306" t="inlineStr">
        <is>
          <t>-</t>
        </is>
      </c>
      <c r="F1045" s="307" t="n">
        <v>360000</v>
      </c>
      <c r="G1045" s="289" t="inlineStr">
        <is>
          <t>IDR</t>
        </is>
      </c>
      <c r="H1045" s="293" t="n">
        <v>1</v>
      </c>
      <c r="I1045" s="306" t="n"/>
      <c r="J1045" s="306" t="n"/>
      <c r="K1045" s="306" t="n"/>
      <c r="L1045" s="307">
        <f>$F1045*$H1045</f>
        <v/>
      </c>
      <c r="M1045" s="306" t="n"/>
      <c r="N1045" s="306" t="n"/>
      <c r="O1045" s="306" t="n"/>
      <c r="P1045" s="306" t="n"/>
      <c r="Q1045" s="306" t="n"/>
    </row>
    <row r="1046" ht="18.75" customHeight="1">
      <c r="B1046" s="288" t="n">
        <v>45420</v>
      </c>
      <c r="C1046" s="289" t="n">
        <v>472</v>
      </c>
      <c r="D1046" s="290" t="inlineStr">
        <is>
          <t>Hotel</t>
        </is>
      </c>
      <c r="E1046" s="306" t="inlineStr">
        <is>
          <t>-</t>
        </is>
      </c>
      <c r="F1046" s="307" t="n">
        <v>360000</v>
      </c>
      <c r="G1046" s="289" t="inlineStr">
        <is>
          <t>IDR</t>
        </is>
      </c>
      <c r="H1046" s="293" t="n">
        <v>1</v>
      </c>
      <c r="I1046" s="306" t="n"/>
      <c r="J1046" s="306" t="n"/>
      <c r="K1046" s="306" t="n"/>
      <c r="L1046" s="307">
        <f>$F1046*$H1046</f>
        <v/>
      </c>
      <c r="M1046" s="306" t="n"/>
      <c r="N1046" s="306" t="n"/>
      <c r="O1046" s="306" t="n"/>
      <c r="P1046" s="306" t="n"/>
      <c r="Q1046" s="306" t="n"/>
    </row>
    <row r="1047">
      <c r="B1047" s="312" t="n"/>
      <c r="C1047" s="312" t="n"/>
      <c r="D1047" s="285" t="inlineStr">
        <is>
          <t>Biaya Operasi Lain-lain</t>
        </is>
      </c>
      <c r="E1047" s="312" t="n"/>
      <c r="F1047" s="312" t="n"/>
      <c r="G1047" s="312" t="n"/>
      <c r="H1047" s="312" t="n"/>
      <c r="I1047" s="312" t="n"/>
      <c r="J1047" s="312" t="n"/>
      <c r="K1047" s="312" t="n"/>
      <c r="L1047" s="312" t="n"/>
      <c r="M1047" s="312" t="n"/>
      <c r="N1047" s="312" t="n"/>
      <c r="O1047" s="312" t="n"/>
      <c r="P1047" s="312" t="n"/>
      <c r="Q1047" s="312" t="n"/>
    </row>
    <row r="1048" ht="18.75" customHeight="1">
      <c r="B1048" s="288" t="n">
        <v>45418</v>
      </c>
      <c r="C1048" s="289" t="n">
        <v>473</v>
      </c>
      <c r="D1048" s="290" t="inlineStr">
        <is>
          <t>Jakarta - Palembang - Jakarta</t>
        </is>
      </c>
      <c r="E1048" s="306" t="inlineStr">
        <is>
          <t>-</t>
        </is>
      </c>
      <c r="F1048" s="307" t="n">
        <v>1387800</v>
      </c>
      <c r="G1048" s="289" t="inlineStr">
        <is>
          <t>IDR</t>
        </is>
      </c>
      <c r="H1048" s="293" t="n">
        <v>1</v>
      </c>
      <c r="I1048" s="306" t="n"/>
      <c r="J1048" s="306" t="n"/>
      <c r="K1048" s="306" t="n"/>
      <c r="L1048" s="307">
        <f>$F1048*$H1048</f>
        <v/>
      </c>
      <c r="M1048" s="306" t="n"/>
      <c r="N1048" s="306" t="n"/>
      <c r="O1048" s="306" t="n"/>
      <c r="P1048" s="306" t="n"/>
      <c r="Q1048" s="306" t="n"/>
    </row>
    <row r="1049" ht="18.75" customHeight="1">
      <c r="B1049" s="288" t="n">
        <v>45418</v>
      </c>
      <c r="C1049" s="289" t="n">
        <v>474</v>
      </c>
      <c r="D1049" s="290" t="inlineStr">
        <is>
          <t>Jakarta - Palembang - Jakarta</t>
        </is>
      </c>
      <c r="E1049" s="306" t="inlineStr">
        <is>
          <t>-</t>
        </is>
      </c>
      <c r="F1049" s="307" t="n">
        <v>1387800</v>
      </c>
      <c r="G1049" s="289" t="inlineStr">
        <is>
          <t>IDR</t>
        </is>
      </c>
      <c r="H1049" s="293" t="n">
        <v>1</v>
      </c>
      <c r="I1049" s="306" t="n"/>
      <c r="J1049" s="306" t="n"/>
      <c r="K1049" s="306" t="n"/>
      <c r="L1049" s="307">
        <f>$F1049*$H1049</f>
        <v/>
      </c>
      <c r="M1049" s="306" t="n"/>
      <c r="N1049" s="306" t="n"/>
      <c r="O1049" s="306" t="n"/>
      <c r="P1049" s="306" t="n"/>
      <c r="Q1049" s="306" t="n"/>
    </row>
    <row r="1050" ht="18.75" customHeight="1">
      <c r="B1050" s="288" t="n">
        <v>45418</v>
      </c>
      <c r="C1050" s="289" t="n">
        <v>475</v>
      </c>
      <c r="D1050" s="290" t="inlineStr">
        <is>
          <t>Jakarta - Palembang - Jakarta</t>
        </is>
      </c>
      <c r="E1050" s="306" t="inlineStr">
        <is>
          <t>-</t>
        </is>
      </c>
      <c r="F1050" s="307" t="n">
        <v>1387800</v>
      </c>
      <c r="G1050" s="289" t="inlineStr">
        <is>
          <t>IDR</t>
        </is>
      </c>
      <c r="H1050" s="293" t="n">
        <v>1</v>
      </c>
      <c r="I1050" s="306" t="n"/>
      <c r="J1050" s="306" t="n"/>
      <c r="K1050" s="306" t="n"/>
      <c r="L1050" s="307">
        <f>$F1050*$H1050</f>
        <v/>
      </c>
      <c r="M1050" s="306" t="n"/>
      <c r="N1050" s="306" t="n"/>
      <c r="O1050" s="306" t="n"/>
      <c r="P1050" s="306" t="n"/>
      <c r="Q1050" s="306" t="n"/>
    </row>
    <row r="1051" ht="18.75" customHeight="1">
      <c r="B1051" s="288" t="n">
        <v>45418</v>
      </c>
      <c r="C1051" s="289" t="n">
        <v>476</v>
      </c>
      <c r="D1051" s="290" t="inlineStr">
        <is>
          <t>Jakarta - Palembang - Jakarta</t>
        </is>
      </c>
      <c r="E1051" s="306" t="inlineStr">
        <is>
          <t>-</t>
        </is>
      </c>
      <c r="F1051" s="307" t="n">
        <v>1387800</v>
      </c>
      <c r="G1051" s="289" t="inlineStr">
        <is>
          <t>IDR</t>
        </is>
      </c>
      <c r="H1051" s="293" t="n">
        <v>1</v>
      </c>
      <c r="I1051" s="306" t="n"/>
      <c r="J1051" s="306" t="n"/>
      <c r="K1051" s="306" t="n"/>
      <c r="L1051" s="307">
        <f>$F1051*$H1051</f>
        <v/>
      </c>
      <c r="M1051" s="306" t="n"/>
      <c r="N1051" s="306" t="n"/>
      <c r="O1051" s="306" t="n"/>
      <c r="P1051" s="306" t="n"/>
      <c r="Q1051" s="306" t="n"/>
    </row>
    <row r="1052">
      <c r="B1052" s="312" t="n"/>
      <c r="C1052" s="312" t="n"/>
      <c r="D1052" s="285" t="inlineStr">
        <is>
          <t>Meal</t>
        </is>
      </c>
      <c r="E1052" s="312" t="n"/>
      <c r="F1052" s="312" t="n"/>
      <c r="G1052" s="312" t="n"/>
      <c r="H1052" s="312" t="n"/>
      <c r="I1052" s="312" t="n"/>
      <c r="J1052" s="312" t="n"/>
      <c r="K1052" s="312" t="n"/>
      <c r="L1052" s="312" t="n"/>
      <c r="M1052" s="312" t="n"/>
      <c r="N1052" s="312" t="n"/>
      <c r="O1052" s="312" t="n"/>
      <c r="P1052" s="312" t="n"/>
      <c r="Q1052" s="312" t="n"/>
    </row>
    <row r="1053" ht="18.75" customHeight="1">
      <c r="B1053" s="288" t="n">
        <v>45419</v>
      </c>
      <c r="C1053" s="289" t="n">
        <v>477</v>
      </c>
      <c r="D1053" s="290" t="inlineStr">
        <is>
          <t>Dinner (Dwi, Febri, Ilham)</t>
        </is>
      </c>
      <c r="E1053" s="306" t="inlineStr">
        <is>
          <t>-</t>
        </is>
      </c>
      <c r="F1053" s="307" t="n">
        <v>103400</v>
      </c>
      <c r="G1053" s="289" t="inlineStr">
        <is>
          <t>IDR</t>
        </is>
      </c>
      <c r="H1053" s="293" t="n">
        <v>1</v>
      </c>
      <c r="I1053" s="306" t="n"/>
      <c r="J1053" s="306" t="n"/>
      <c r="K1053" s="306" t="n"/>
      <c r="L1053" s="307">
        <f>$F1053*$H1053</f>
        <v/>
      </c>
      <c r="M1053" s="306" t="n"/>
      <c r="N1053" s="306" t="n"/>
      <c r="O1053" s="306" t="n"/>
      <c r="P1053" s="306" t="n"/>
      <c r="Q1053" s="306" t="n"/>
    </row>
    <row r="1054" ht="18.75" customHeight="1">
      <c r="B1054" s="288" t="n">
        <v>45419</v>
      </c>
      <c r="C1054" s="289" t="n">
        <v>478</v>
      </c>
      <c r="D1054" s="290" t="inlineStr">
        <is>
          <t>Dinner (Dwi, Febri, Ilham)</t>
        </is>
      </c>
      <c r="E1054" s="306" t="inlineStr">
        <is>
          <t>-</t>
        </is>
      </c>
      <c r="F1054" s="307" t="n">
        <v>103400</v>
      </c>
      <c r="G1054" s="289" t="inlineStr">
        <is>
          <t>IDR</t>
        </is>
      </c>
      <c r="H1054" s="293" t="n">
        <v>1</v>
      </c>
      <c r="I1054" s="306" t="n"/>
      <c r="J1054" s="306" t="n"/>
      <c r="K1054" s="306" t="n"/>
      <c r="L1054" s="307">
        <f>$F1054*$H1054</f>
        <v/>
      </c>
      <c r="M1054" s="306" t="n"/>
      <c r="N1054" s="306" t="n"/>
      <c r="O1054" s="306" t="n"/>
      <c r="P1054" s="306" t="n"/>
      <c r="Q1054" s="306" t="n"/>
    </row>
    <row r="1055" ht="18.75" customHeight="1">
      <c r="B1055" s="288" t="n">
        <v>45419</v>
      </c>
      <c r="C1055" s="289" t="n">
        <v>479</v>
      </c>
      <c r="D1055" s="290" t="inlineStr">
        <is>
          <t>Dinner (Dwi, Febri, Ilham)</t>
        </is>
      </c>
      <c r="E1055" s="306" t="inlineStr">
        <is>
          <t>-</t>
        </is>
      </c>
      <c r="F1055" s="307" t="n">
        <v>103400</v>
      </c>
      <c r="G1055" s="289" t="inlineStr">
        <is>
          <t>IDR</t>
        </is>
      </c>
      <c r="H1055" s="293" t="n">
        <v>1</v>
      </c>
      <c r="I1055" s="306" t="n"/>
      <c r="J1055" s="306" t="n"/>
      <c r="K1055" s="306" t="n"/>
      <c r="L1055" s="307">
        <f>$F1055*$H1055</f>
        <v/>
      </c>
      <c r="M1055" s="306" t="n"/>
      <c r="N1055" s="306" t="n"/>
      <c r="O1055" s="306" t="n"/>
      <c r="P1055" s="306" t="n"/>
      <c r="Q1055" s="306" t="n"/>
    </row>
    <row r="1056" ht="18.75" customHeight="1">
      <c r="B1056" s="288" t="n">
        <v>45419</v>
      </c>
      <c r="C1056" s="289" t="n">
        <v>480</v>
      </c>
      <c r="D1056" s="290" t="inlineStr">
        <is>
          <t>Dinner (Dwi, Febri, Ilham)</t>
        </is>
      </c>
      <c r="E1056" s="306" t="inlineStr">
        <is>
          <t>-</t>
        </is>
      </c>
      <c r="F1056" s="307" t="n">
        <v>103400</v>
      </c>
      <c r="G1056" s="289" t="inlineStr">
        <is>
          <t>IDR</t>
        </is>
      </c>
      <c r="H1056" s="293" t="n">
        <v>1</v>
      </c>
      <c r="I1056" s="306" t="n"/>
      <c r="J1056" s="306" t="n"/>
      <c r="K1056" s="306" t="n"/>
      <c r="L1056" s="307">
        <f>$F1056*$H1056</f>
        <v/>
      </c>
      <c r="M1056" s="306" t="n"/>
      <c r="N1056" s="306" t="n"/>
      <c r="O1056" s="306" t="n"/>
      <c r="P1056" s="306" t="n"/>
      <c r="Q1056" s="306" t="n"/>
    </row>
    <row r="1057">
      <c r="B1057" s="312" t="n"/>
      <c r="C1057" s="312" t="n"/>
      <c r="D1057" s="285" t="inlineStr">
        <is>
          <t>Transportation</t>
        </is>
      </c>
      <c r="E1057" s="312" t="n"/>
      <c r="F1057" s="312" t="n"/>
      <c r="G1057" s="312" t="n"/>
      <c r="H1057" s="312" t="n"/>
      <c r="I1057" s="312" t="n"/>
      <c r="J1057" s="312" t="n"/>
      <c r="K1057" s="312" t="n"/>
      <c r="L1057" s="312" t="n"/>
      <c r="M1057" s="312" t="n"/>
      <c r="N1057" s="312" t="n"/>
      <c r="O1057" s="312" t="n"/>
      <c r="P1057" s="312" t="n"/>
      <c r="Q1057" s="312" t="n"/>
    </row>
    <row r="1058" ht="18.75" customHeight="1">
      <c r="B1058" s="288" t="n">
        <v>45419</v>
      </c>
      <c r="C1058" s="289" t="n">
        <v>481</v>
      </c>
      <c r="D1058" s="290" t="inlineStr">
        <is>
          <t>Taxi + Tol to Airport Jakarta</t>
        </is>
      </c>
      <c r="E1058" s="306" t="inlineStr">
        <is>
          <t>-</t>
        </is>
      </c>
      <c r="F1058" s="307" t="n">
        <v>234140</v>
      </c>
      <c r="G1058" s="289" t="inlineStr">
        <is>
          <t>IDR</t>
        </is>
      </c>
      <c r="H1058" s="293" t="n">
        <v>1</v>
      </c>
      <c r="I1058" s="306" t="n"/>
      <c r="J1058" s="306" t="n"/>
      <c r="K1058" s="306" t="n"/>
      <c r="L1058" s="307">
        <f>$F1058*$H1058</f>
        <v/>
      </c>
      <c r="M1058" s="306" t="n"/>
      <c r="N1058" s="306" t="n"/>
      <c r="O1058" s="306" t="n"/>
      <c r="P1058" s="306" t="n"/>
      <c r="Q1058" s="306" t="n"/>
    </row>
    <row r="1059" ht="18.75" customHeight="1">
      <c r="B1059" s="288" t="n">
        <v>45419</v>
      </c>
      <c r="C1059" s="289" t="n">
        <v>482</v>
      </c>
      <c r="D1059" s="290" t="inlineStr">
        <is>
          <t>Airport park + fuel + tol Indralaya</t>
        </is>
      </c>
      <c r="E1059" s="306" t="inlineStr">
        <is>
          <t>-</t>
        </is>
      </c>
      <c r="F1059" s="307" t="n">
        <v>232000</v>
      </c>
      <c r="G1059" s="289" t="inlineStr">
        <is>
          <t>IDR</t>
        </is>
      </c>
      <c r="H1059" s="293" t="n">
        <v>1</v>
      </c>
      <c r="I1059" s="306" t="n"/>
      <c r="J1059" s="306" t="n"/>
      <c r="K1059" s="306" t="n"/>
      <c r="L1059" s="307">
        <f>$F1059*$H1059</f>
        <v/>
      </c>
      <c r="M1059" s="306" t="n"/>
      <c r="N1059" s="306" t="n"/>
      <c r="O1059" s="306" t="n"/>
      <c r="P1059" s="306" t="n"/>
      <c r="Q1059" s="306" t="n"/>
    </row>
    <row r="1060" ht="18.75" customHeight="1">
      <c r="B1060" s="288" t="n">
        <v>45419</v>
      </c>
      <c r="C1060" s="289" t="n">
        <v>483</v>
      </c>
      <c r="D1060" s="290" t="inlineStr">
        <is>
          <t>Taxi + Tol to Airport Jakarta</t>
        </is>
      </c>
      <c r="E1060" s="306" t="inlineStr">
        <is>
          <t>-</t>
        </is>
      </c>
      <c r="F1060" s="307" t="n">
        <v>234140</v>
      </c>
      <c r="G1060" s="289" t="inlineStr">
        <is>
          <t>IDR</t>
        </is>
      </c>
      <c r="H1060" s="293" t="n">
        <v>1</v>
      </c>
      <c r="I1060" s="306" t="n"/>
      <c r="J1060" s="306" t="n"/>
      <c r="K1060" s="306" t="n"/>
      <c r="L1060" s="307">
        <f>$F1060*$H1060</f>
        <v/>
      </c>
      <c r="M1060" s="306" t="n"/>
      <c r="N1060" s="306" t="n"/>
      <c r="O1060" s="306" t="n"/>
      <c r="P1060" s="306" t="n"/>
      <c r="Q1060" s="306" t="n"/>
    </row>
    <row r="1061" ht="18.75" customHeight="1">
      <c r="B1061" s="288" t="n">
        <v>45419</v>
      </c>
      <c r="C1061" s="289" t="n">
        <v>484</v>
      </c>
      <c r="D1061" s="290" t="inlineStr">
        <is>
          <t>Airport park + fuel + tol Indralaya</t>
        </is>
      </c>
      <c r="E1061" s="306" t="inlineStr">
        <is>
          <t>-</t>
        </is>
      </c>
      <c r="F1061" s="307" t="n">
        <v>232000</v>
      </c>
      <c r="G1061" s="289" t="inlineStr">
        <is>
          <t>IDR</t>
        </is>
      </c>
      <c r="H1061" s="293" t="n">
        <v>1</v>
      </c>
      <c r="I1061" s="306" t="n"/>
      <c r="J1061" s="306" t="n"/>
      <c r="K1061" s="306" t="n"/>
      <c r="L1061" s="307">
        <f>$F1061*$H1061</f>
        <v/>
      </c>
      <c r="M1061" s="306" t="n"/>
      <c r="N1061" s="306" t="n"/>
      <c r="O1061" s="306" t="n"/>
      <c r="P1061" s="306" t="n"/>
      <c r="Q1061" s="306" t="n"/>
    </row>
    <row r="1062" ht="18.75" customHeight="1">
      <c r="B1062" s="288" t="n">
        <v>45419</v>
      </c>
      <c r="C1062" s="289" t="n">
        <v>485</v>
      </c>
      <c r="D1062" s="290" t="inlineStr">
        <is>
          <t>Taxi + Tol to Airport Jakarta</t>
        </is>
      </c>
      <c r="E1062" s="306" t="inlineStr">
        <is>
          <t>-</t>
        </is>
      </c>
      <c r="F1062" s="307" t="n">
        <v>234140</v>
      </c>
      <c r="G1062" s="289" t="inlineStr">
        <is>
          <t>IDR</t>
        </is>
      </c>
      <c r="H1062" s="293" t="n">
        <v>1</v>
      </c>
      <c r="I1062" s="306" t="n"/>
      <c r="J1062" s="306" t="n"/>
      <c r="K1062" s="306" t="n"/>
      <c r="L1062" s="307">
        <f>$F1062*$H1062</f>
        <v/>
      </c>
      <c r="M1062" s="306" t="n"/>
      <c r="N1062" s="306" t="n"/>
      <c r="O1062" s="306" t="n"/>
      <c r="P1062" s="306" t="n"/>
      <c r="Q1062" s="306" t="n"/>
    </row>
    <row r="1063" ht="18.75" customHeight="1">
      <c r="B1063" s="288" t="n">
        <v>45419</v>
      </c>
      <c r="C1063" s="289" t="n">
        <v>486</v>
      </c>
      <c r="D1063" s="290" t="inlineStr">
        <is>
          <t>Airport park + fuel + tol Indralaya</t>
        </is>
      </c>
      <c r="E1063" s="306" t="inlineStr">
        <is>
          <t>-</t>
        </is>
      </c>
      <c r="F1063" s="307" t="n">
        <v>232000</v>
      </c>
      <c r="G1063" s="289" t="inlineStr">
        <is>
          <t>IDR</t>
        </is>
      </c>
      <c r="H1063" s="293" t="n">
        <v>1</v>
      </c>
      <c r="I1063" s="306" t="n"/>
      <c r="J1063" s="306" t="n"/>
      <c r="K1063" s="306" t="n"/>
      <c r="L1063" s="307">
        <f>$F1063*$H1063</f>
        <v/>
      </c>
      <c r="M1063" s="306" t="n"/>
      <c r="N1063" s="306" t="n"/>
      <c r="O1063" s="306" t="n"/>
      <c r="P1063" s="306" t="n"/>
      <c r="Q1063" s="306" t="n"/>
    </row>
    <row r="1064" ht="18.75" customHeight="1">
      <c r="B1064" s="288" t="n">
        <v>45419</v>
      </c>
      <c r="C1064" s="289" t="n">
        <v>487</v>
      </c>
      <c r="D1064" s="290" t="inlineStr">
        <is>
          <t>Taxi + Tol to Airport Jakarta</t>
        </is>
      </c>
      <c r="E1064" s="306" t="inlineStr">
        <is>
          <t>-</t>
        </is>
      </c>
      <c r="F1064" s="307" t="n">
        <v>234140</v>
      </c>
      <c r="G1064" s="289" t="inlineStr">
        <is>
          <t>IDR</t>
        </is>
      </c>
      <c r="H1064" s="293" t="n">
        <v>1</v>
      </c>
      <c r="I1064" s="306" t="n"/>
      <c r="J1064" s="306" t="n"/>
      <c r="K1064" s="306" t="n"/>
      <c r="L1064" s="307">
        <f>$F1064*$H1064</f>
        <v/>
      </c>
      <c r="M1064" s="306" t="n"/>
      <c r="N1064" s="306" t="n"/>
      <c r="O1064" s="306" t="n"/>
      <c r="P1064" s="306" t="n"/>
      <c r="Q1064" s="306" t="n"/>
    </row>
    <row r="1065" ht="18.75" customHeight="1">
      <c r="B1065" s="288" t="n">
        <v>45419</v>
      </c>
      <c r="C1065" s="289" t="n">
        <v>488</v>
      </c>
      <c r="D1065" s="290" t="inlineStr">
        <is>
          <t>Airport park + fuel + tol Indralaya</t>
        </is>
      </c>
      <c r="E1065" s="306" t="inlineStr">
        <is>
          <t>-</t>
        </is>
      </c>
      <c r="F1065" s="307" t="n">
        <v>232000</v>
      </c>
      <c r="G1065" s="289" t="inlineStr">
        <is>
          <t>IDR</t>
        </is>
      </c>
      <c r="H1065" s="293" t="n">
        <v>1</v>
      </c>
      <c r="I1065" s="306" t="n"/>
      <c r="J1065" s="306" t="n"/>
      <c r="K1065" s="306" t="n"/>
      <c r="L1065" s="307">
        <f>$F1065*$H1065</f>
        <v/>
      </c>
      <c r="M1065" s="306" t="n"/>
      <c r="N1065" s="306" t="n"/>
      <c r="O1065" s="306" t="n"/>
      <c r="P1065" s="306" t="n"/>
      <c r="Q1065" s="306" t="n"/>
    </row>
    <row r="1066" ht="18.75" customHeight="1">
      <c r="B1066" s="288" t="n">
        <v>45420</v>
      </c>
      <c r="C1066" s="289" t="n">
        <v>489</v>
      </c>
      <c r="D1066" s="290" t="inlineStr">
        <is>
          <t>Car Rental</t>
        </is>
      </c>
      <c r="E1066" s="306" t="inlineStr">
        <is>
          <t>-</t>
        </is>
      </c>
      <c r="F1066" s="307" t="n">
        <v>600000</v>
      </c>
      <c r="G1066" s="289" t="inlineStr">
        <is>
          <t>IDR</t>
        </is>
      </c>
      <c r="H1066" s="293" t="n">
        <v>1</v>
      </c>
      <c r="I1066" s="306" t="n"/>
      <c r="J1066" s="306" t="n"/>
      <c r="K1066" s="306" t="n"/>
      <c r="L1066" s="307">
        <f>$F1066*$H1066</f>
        <v/>
      </c>
      <c r="M1066" s="306" t="n"/>
      <c r="N1066" s="306" t="n"/>
      <c r="O1066" s="306" t="n"/>
      <c r="P1066" s="306" t="n"/>
      <c r="Q1066" s="306" t="n"/>
    </row>
    <row r="1067" ht="18.75" customHeight="1">
      <c r="B1067" s="288" t="n">
        <v>45420</v>
      </c>
      <c r="C1067" s="289" t="n">
        <v>490</v>
      </c>
      <c r="D1067" s="290" t="inlineStr">
        <is>
          <t>Tol Indralaya</t>
        </is>
      </c>
      <c r="E1067" s="306" t="inlineStr">
        <is>
          <t>-</t>
        </is>
      </c>
      <c r="F1067" s="307" t="n">
        <v>27000</v>
      </c>
      <c r="G1067" s="289" t="inlineStr">
        <is>
          <t>IDR</t>
        </is>
      </c>
      <c r="H1067" s="293" t="n">
        <v>1</v>
      </c>
      <c r="I1067" s="306" t="n"/>
      <c r="J1067" s="306" t="n"/>
      <c r="K1067" s="306" t="n"/>
      <c r="L1067" s="307">
        <f>$F1067*$H1067</f>
        <v/>
      </c>
      <c r="M1067" s="306" t="n"/>
      <c r="N1067" s="306" t="n"/>
      <c r="O1067" s="306" t="n"/>
      <c r="P1067" s="306" t="n"/>
      <c r="Q1067" s="306" t="n"/>
    </row>
    <row r="1068" ht="18.75" customHeight="1">
      <c r="B1068" s="288" t="n">
        <v>45420</v>
      </c>
      <c r="C1068" s="289" t="n">
        <v>491</v>
      </c>
      <c r="D1068" s="290" t="inlineStr">
        <is>
          <t>Tol Indralaya</t>
        </is>
      </c>
      <c r="E1068" s="306" t="inlineStr">
        <is>
          <t>-</t>
        </is>
      </c>
      <c r="F1068" s="307" t="n">
        <v>27000</v>
      </c>
      <c r="G1068" s="289" t="inlineStr">
        <is>
          <t>IDR</t>
        </is>
      </c>
      <c r="H1068" s="293" t="n">
        <v>1</v>
      </c>
      <c r="I1068" s="306" t="n"/>
      <c r="J1068" s="306" t="n"/>
      <c r="K1068" s="306" t="n"/>
      <c r="L1068" s="307">
        <f>$F1068*$H1068</f>
        <v/>
      </c>
      <c r="M1068" s="306" t="n"/>
      <c r="N1068" s="306" t="n"/>
      <c r="O1068" s="306" t="n"/>
      <c r="P1068" s="306" t="n"/>
      <c r="Q1068" s="306" t="n"/>
    </row>
    <row r="1069" ht="18.75" customHeight="1">
      <c r="B1069" s="288" t="n">
        <v>45420</v>
      </c>
      <c r="C1069" s="289" t="n">
        <v>492</v>
      </c>
      <c r="D1069" s="290" t="inlineStr">
        <is>
          <t>Car Rental</t>
        </is>
      </c>
      <c r="E1069" s="306" t="inlineStr">
        <is>
          <t>-</t>
        </is>
      </c>
      <c r="F1069" s="307" t="n">
        <v>600000</v>
      </c>
      <c r="G1069" s="289" t="inlineStr">
        <is>
          <t>IDR</t>
        </is>
      </c>
      <c r="H1069" s="293" t="n">
        <v>1</v>
      </c>
      <c r="I1069" s="306" t="n"/>
      <c r="J1069" s="306" t="n"/>
      <c r="K1069" s="306" t="n"/>
      <c r="L1069" s="307">
        <f>$F1069*$H1069</f>
        <v/>
      </c>
      <c r="M1069" s="306" t="n"/>
      <c r="N1069" s="306" t="n"/>
      <c r="O1069" s="306" t="n"/>
      <c r="P1069" s="306" t="n"/>
      <c r="Q1069" s="306" t="n"/>
    </row>
    <row r="1070" ht="18.75" customHeight="1">
      <c r="B1070" s="288" t="n">
        <v>45420</v>
      </c>
      <c r="C1070" s="289" t="n">
        <v>493</v>
      </c>
      <c r="D1070" s="290" t="inlineStr">
        <is>
          <t>Tol Indralaya</t>
        </is>
      </c>
      <c r="E1070" s="306" t="inlineStr">
        <is>
          <t>-</t>
        </is>
      </c>
      <c r="F1070" s="307" t="n">
        <v>27000</v>
      </c>
      <c r="G1070" s="289" t="inlineStr">
        <is>
          <t>IDR</t>
        </is>
      </c>
      <c r="H1070" s="293" t="n">
        <v>1</v>
      </c>
      <c r="I1070" s="306" t="n"/>
      <c r="J1070" s="306" t="n"/>
      <c r="K1070" s="306" t="n"/>
      <c r="L1070" s="307">
        <f>$F1070*$H1070</f>
        <v/>
      </c>
      <c r="M1070" s="306" t="n"/>
      <c r="N1070" s="306" t="n"/>
      <c r="O1070" s="306" t="n"/>
      <c r="P1070" s="306" t="n"/>
      <c r="Q1070" s="306" t="n"/>
    </row>
    <row r="1071" ht="18.75" customHeight="1">
      <c r="B1071" s="288" t="n">
        <v>45420</v>
      </c>
      <c r="C1071" s="289" t="n">
        <v>494</v>
      </c>
      <c r="D1071" s="290" t="inlineStr">
        <is>
          <t>Car Rental</t>
        </is>
      </c>
      <c r="E1071" s="306" t="inlineStr">
        <is>
          <t>-</t>
        </is>
      </c>
      <c r="F1071" s="307" t="n">
        <v>600000</v>
      </c>
      <c r="G1071" s="289" t="inlineStr">
        <is>
          <t>IDR</t>
        </is>
      </c>
      <c r="H1071" s="293" t="n">
        <v>1</v>
      </c>
      <c r="I1071" s="306" t="n"/>
      <c r="J1071" s="306" t="n"/>
      <c r="K1071" s="306" t="n"/>
      <c r="L1071" s="307">
        <f>$F1071*$H1071</f>
        <v/>
      </c>
      <c r="M1071" s="306" t="n"/>
      <c r="N1071" s="306" t="n"/>
      <c r="O1071" s="306" t="n"/>
      <c r="P1071" s="306" t="n"/>
      <c r="Q1071" s="306" t="n"/>
    </row>
    <row r="1072" ht="18.75" customHeight="1">
      <c r="B1072" s="288" t="n">
        <v>45420</v>
      </c>
      <c r="C1072" s="289" t="n">
        <v>495</v>
      </c>
      <c r="D1072" s="290" t="inlineStr">
        <is>
          <t>Tol Indralaya</t>
        </is>
      </c>
      <c r="E1072" s="306" t="inlineStr">
        <is>
          <t>-</t>
        </is>
      </c>
      <c r="F1072" s="307" t="n">
        <v>27000</v>
      </c>
      <c r="G1072" s="289" t="inlineStr">
        <is>
          <t>IDR</t>
        </is>
      </c>
      <c r="H1072" s="293" t="n">
        <v>1</v>
      </c>
      <c r="I1072" s="306" t="n"/>
      <c r="J1072" s="306" t="n"/>
      <c r="K1072" s="306" t="n"/>
      <c r="L1072" s="307">
        <f>$F1072*$H1072</f>
        <v/>
      </c>
      <c r="M1072" s="306" t="n"/>
      <c r="N1072" s="306" t="n"/>
      <c r="O1072" s="306" t="n"/>
      <c r="P1072" s="306" t="n"/>
      <c r="Q1072" s="306" t="n"/>
    </row>
    <row r="1073" ht="18.75" customHeight="1">
      <c r="B1073" s="288" t="n">
        <v>45420</v>
      </c>
      <c r="C1073" s="289" t="n">
        <v>496</v>
      </c>
      <c r="D1073" s="290" t="inlineStr">
        <is>
          <t>Car Rental</t>
        </is>
      </c>
      <c r="E1073" s="306" t="inlineStr">
        <is>
          <t>-</t>
        </is>
      </c>
      <c r="F1073" s="307" t="n">
        <v>600000</v>
      </c>
      <c r="G1073" s="289" t="inlineStr">
        <is>
          <t>IDR</t>
        </is>
      </c>
      <c r="H1073" s="293" t="n">
        <v>1</v>
      </c>
      <c r="I1073" s="306" t="n"/>
      <c r="J1073" s="306" t="n"/>
      <c r="K1073" s="306" t="n"/>
      <c r="L1073" s="307">
        <f>$F1073*$H1073</f>
        <v/>
      </c>
      <c r="M1073" s="306" t="n"/>
      <c r="N1073" s="306" t="n"/>
      <c r="O1073" s="306" t="n"/>
      <c r="P1073" s="306" t="n"/>
      <c r="Q1073" s="306" t="n"/>
    </row>
    <row r="1074" ht="18.75" customHeight="1">
      <c r="B1074" s="288" t="n">
        <v>45421</v>
      </c>
      <c r="C1074" s="289" t="n">
        <v>497</v>
      </c>
      <c r="D1074" s="290" t="inlineStr">
        <is>
          <t>Tol + Taxi From Airport Jakarta</t>
        </is>
      </c>
      <c r="E1074" s="306" t="inlineStr">
        <is>
          <t>-</t>
        </is>
      </c>
      <c r="F1074" s="307" t="n">
        <v>276900</v>
      </c>
      <c r="G1074" s="289" t="inlineStr">
        <is>
          <t>IDR</t>
        </is>
      </c>
      <c r="H1074" s="293" t="n">
        <v>1</v>
      </c>
      <c r="I1074" s="306" t="n"/>
      <c r="J1074" s="306" t="n"/>
      <c r="K1074" s="306" t="n"/>
      <c r="L1074" s="307">
        <f>$F1074*$H1074</f>
        <v/>
      </c>
      <c r="M1074" s="306" t="n"/>
      <c r="N1074" s="306" t="n"/>
      <c r="O1074" s="306" t="n"/>
      <c r="P1074" s="306" t="n"/>
      <c r="Q1074" s="306" t="n"/>
    </row>
    <row r="1075" ht="18.75" customHeight="1">
      <c r="B1075" s="288" t="n">
        <v>45421</v>
      </c>
      <c r="C1075" s="289" t="n">
        <v>498</v>
      </c>
      <c r="D1075" s="290" t="inlineStr">
        <is>
          <t>Tol + Taxi From Airport Jakarta</t>
        </is>
      </c>
      <c r="E1075" s="306" t="inlineStr">
        <is>
          <t>-</t>
        </is>
      </c>
      <c r="F1075" s="307" t="n">
        <v>276900</v>
      </c>
      <c r="G1075" s="289" t="inlineStr">
        <is>
          <t>IDR</t>
        </is>
      </c>
      <c r="H1075" s="293" t="n">
        <v>1</v>
      </c>
      <c r="I1075" s="306" t="n"/>
      <c r="J1075" s="306" t="n"/>
      <c r="K1075" s="306" t="n"/>
      <c r="L1075" s="307">
        <f>$F1075*$H1075</f>
        <v/>
      </c>
      <c r="M1075" s="306" t="n"/>
      <c r="N1075" s="306" t="n"/>
      <c r="O1075" s="306" t="n"/>
      <c r="P1075" s="306" t="n"/>
      <c r="Q1075" s="306" t="n"/>
    </row>
    <row r="1076" ht="18.75" customHeight="1">
      <c r="B1076" s="288" t="n">
        <v>45421</v>
      </c>
      <c r="C1076" s="289" t="n">
        <v>499</v>
      </c>
      <c r="D1076" s="290" t="inlineStr">
        <is>
          <t>Tol + Taxi From Airport Jakarta</t>
        </is>
      </c>
      <c r="E1076" s="306" t="inlineStr">
        <is>
          <t>-</t>
        </is>
      </c>
      <c r="F1076" s="307" t="n">
        <v>276900</v>
      </c>
      <c r="G1076" s="289" t="inlineStr">
        <is>
          <t>IDR</t>
        </is>
      </c>
      <c r="H1076" s="293" t="n">
        <v>1</v>
      </c>
      <c r="I1076" s="306" t="n"/>
      <c r="J1076" s="306" t="n"/>
      <c r="K1076" s="306" t="n"/>
      <c r="L1076" s="307">
        <f>$F1076*$H1076</f>
        <v/>
      </c>
      <c r="M1076" s="306" t="n"/>
      <c r="N1076" s="306" t="n"/>
      <c r="O1076" s="306" t="n"/>
      <c r="P1076" s="306" t="n"/>
      <c r="Q1076" s="306" t="n"/>
    </row>
    <row r="1077" ht="18.75" customHeight="1">
      <c r="B1077" s="288" t="n">
        <v>45421</v>
      </c>
      <c r="C1077" s="289" t="n">
        <v>500</v>
      </c>
      <c r="D1077" s="290" t="inlineStr">
        <is>
          <t>Tol + Taxi From Airport Jakarta</t>
        </is>
      </c>
      <c r="E1077" s="306" t="inlineStr">
        <is>
          <t>-</t>
        </is>
      </c>
      <c r="F1077" s="307" t="n">
        <v>276900</v>
      </c>
      <c r="G1077" s="289" t="inlineStr">
        <is>
          <t>IDR</t>
        </is>
      </c>
      <c r="H1077" s="293" t="n">
        <v>1</v>
      </c>
      <c r="I1077" s="306" t="n"/>
      <c r="J1077" s="306" t="n"/>
      <c r="K1077" s="306" t="n"/>
      <c r="L1077" s="307">
        <f>$F1077*$H1077</f>
        <v/>
      </c>
      <c r="M1077" s="306" t="n"/>
      <c r="N1077" s="306" t="n"/>
      <c r="O1077" s="306" t="n"/>
      <c r="P1077" s="306" t="n"/>
      <c r="Q1077" s="306" t="n"/>
    </row>
    <row r="1078">
      <c r="B1078" s="310" t="inlineStr">
        <is>
          <t>Expense#9</t>
        </is>
      </c>
      <c r="C1078" s="311" t="inlineStr">
        <is>
          <t>:</t>
        </is>
      </c>
      <c r="D1078" s="310" t="inlineStr">
        <is>
          <t>MFC and ALFA Memory (Jatibarang Field) TGB-033_Elnusa_ AC</t>
        </is>
      </c>
      <c r="E1078" s="311" t="n"/>
      <c r="F1078" s="311" t="n"/>
      <c r="G1078" s="311" t="n"/>
      <c r="H1078" s="311" t="n"/>
      <c r="I1078" s="311" t="n"/>
      <c r="J1078" s="311" t="n"/>
      <c r="K1078" s="311" t="n"/>
      <c r="L1078" s="311" t="n"/>
      <c r="M1078" s="311" t="n"/>
      <c r="N1078" s="311" t="n"/>
      <c r="O1078" s="311" t="n"/>
      <c r="P1078" s="311" t="n"/>
      <c r="Q1078" s="311" t="n"/>
    </row>
    <row r="1079">
      <c r="B1079" s="312" t="n"/>
      <c r="C1079" s="312" t="n"/>
      <c r="D1079" s="285" t="inlineStr">
        <is>
          <t>Allowance</t>
        </is>
      </c>
      <c r="E1079" s="312" t="n"/>
      <c r="F1079" s="312" t="n"/>
      <c r="G1079" s="312" t="n"/>
      <c r="H1079" s="312" t="n"/>
      <c r="I1079" s="312" t="n"/>
      <c r="J1079" s="312" t="n"/>
      <c r="K1079" s="312" t="n"/>
      <c r="L1079" s="312" t="n"/>
      <c r="M1079" s="312" t="n"/>
      <c r="N1079" s="312" t="n"/>
      <c r="O1079" s="312" t="n"/>
      <c r="P1079" s="312" t="n"/>
      <c r="Q1079" s="312" t="n"/>
    </row>
    <row r="1080" ht="34.5" customHeight="1">
      <c r="B1080" s="288" t="n">
        <v>45403</v>
      </c>
      <c r="C1080" s="289" t="n">
        <v>501</v>
      </c>
      <c r="D1080" s="290" t="inlineStr">
        <is>
          <t>Tunajngan lapangan for 3 days (19-21 apr24) Anevril</t>
        </is>
      </c>
      <c r="E1080" s="306" t="inlineStr">
        <is>
          <t>-</t>
        </is>
      </c>
      <c r="F1080" s="307" t="n">
        <v>300</v>
      </c>
      <c r="G1080" s="289" t="inlineStr">
        <is>
          <t>USD</t>
        </is>
      </c>
      <c r="H1080" s="293" t="n">
        <v>16051</v>
      </c>
      <c r="I1080" s="306" t="n"/>
      <c r="J1080" s="306" t="n"/>
      <c r="K1080" s="306" t="n"/>
      <c r="L1080" s="307">
        <f>$F1080*$H1080</f>
        <v/>
      </c>
      <c r="M1080" s="306" t="n"/>
      <c r="N1080" s="306" t="n"/>
      <c r="O1080" s="306" t="n"/>
      <c r="P1080" s="306" t="n"/>
      <c r="Q1080" s="306" t="n"/>
    </row>
    <row r="1081" ht="34.5" customHeight="1">
      <c r="B1081" s="288" t="n">
        <v>45403</v>
      </c>
      <c r="C1081" s="289" t="n">
        <v>502</v>
      </c>
      <c r="D1081" s="290" t="inlineStr">
        <is>
          <t>Tunajngan lapangan for 3 days (19-21 apr24) Anevril</t>
        </is>
      </c>
      <c r="E1081" s="306" t="inlineStr">
        <is>
          <t>-</t>
        </is>
      </c>
      <c r="F1081" s="307" t="n">
        <v>300</v>
      </c>
      <c r="G1081" s="289" t="inlineStr">
        <is>
          <t>USD</t>
        </is>
      </c>
      <c r="H1081" s="293" t="n">
        <v>16051</v>
      </c>
      <c r="I1081" s="306" t="n"/>
      <c r="J1081" s="306" t="n"/>
      <c r="K1081" s="306" t="n"/>
      <c r="L1081" s="307">
        <f>$F1081*$H1081</f>
        <v/>
      </c>
      <c r="M1081" s="306" t="n"/>
      <c r="N1081" s="306" t="n"/>
      <c r="O1081" s="306" t="n"/>
      <c r="P1081" s="306" t="n"/>
      <c r="Q1081" s="306" t="n"/>
    </row>
    <row r="1082" ht="34.5" customHeight="1">
      <c r="B1082" s="288" t="n">
        <v>45403</v>
      </c>
      <c r="C1082" s="289" t="n">
        <v>503</v>
      </c>
      <c r="D1082" s="290" t="inlineStr">
        <is>
          <t>Tunajngan lapangan for 3 days (19-21 apr24) Anevril</t>
        </is>
      </c>
      <c r="E1082" s="306" t="inlineStr">
        <is>
          <t>-</t>
        </is>
      </c>
      <c r="F1082" s="307" t="n">
        <v>300</v>
      </c>
      <c r="G1082" s="289" t="inlineStr">
        <is>
          <t>USD</t>
        </is>
      </c>
      <c r="H1082" s="293" t="n">
        <v>16051</v>
      </c>
      <c r="I1082" s="306" t="n"/>
      <c r="J1082" s="306" t="n"/>
      <c r="K1082" s="306" t="n"/>
      <c r="L1082" s="307">
        <f>$F1082*$H1082</f>
        <v/>
      </c>
      <c r="M1082" s="306" t="n"/>
      <c r="N1082" s="306" t="n"/>
      <c r="O1082" s="306" t="n"/>
      <c r="P1082" s="306" t="n"/>
      <c r="Q1082" s="306" t="n"/>
    </row>
    <row r="1083" ht="34.5" customHeight="1">
      <c r="B1083" s="288" t="n">
        <v>45403</v>
      </c>
      <c r="C1083" s="289" t="n">
        <v>504</v>
      </c>
      <c r="D1083" s="290" t="inlineStr">
        <is>
          <t>Tunajngan lapangan for 3 days (19-21 apr24) Anevril</t>
        </is>
      </c>
      <c r="E1083" s="306" t="inlineStr">
        <is>
          <t>-</t>
        </is>
      </c>
      <c r="F1083" s="307" t="n">
        <v>300</v>
      </c>
      <c r="G1083" s="289" t="inlineStr">
        <is>
          <t>USD</t>
        </is>
      </c>
      <c r="H1083" s="293" t="n">
        <v>16051</v>
      </c>
      <c r="I1083" s="306" t="n"/>
      <c r="J1083" s="306" t="n"/>
      <c r="K1083" s="306" t="n"/>
      <c r="L1083" s="307">
        <f>$F1083*$H1083</f>
        <v/>
      </c>
      <c r="M1083" s="306" t="n"/>
      <c r="N1083" s="306" t="n"/>
      <c r="O1083" s="306" t="n"/>
      <c r="P1083" s="306" t="n"/>
      <c r="Q1083" s="306" t="n"/>
    </row>
    <row r="1084">
      <c r="B1084" s="312" t="n"/>
      <c r="C1084" s="312" t="n"/>
      <c r="D1084" s="285" t="inlineStr">
        <is>
          <t>Laundry</t>
        </is>
      </c>
      <c r="E1084" s="312" t="n"/>
      <c r="F1084" s="312" t="n"/>
      <c r="G1084" s="312" t="n"/>
      <c r="H1084" s="312" t="n"/>
      <c r="I1084" s="312" t="n"/>
      <c r="J1084" s="312" t="n"/>
      <c r="K1084" s="312" t="n"/>
      <c r="L1084" s="312" t="n"/>
      <c r="M1084" s="312" t="n"/>
      <c r="N1084" s="312" t="n"/>
      <c r="O1084" s="312" t="n"/>
      <c r="P1084" s="312" t="n"/>
      <c r="Q1084" s="312" t="n"/>
    </row>
    <row r="1085" ht="18.75" customHeight="1">
      <c r="B1085" s="288" t="n">
        <v>45403</v>
      </c>
      <c r="C1085" s="289" t="n">
        <v>505</v>
      </c>
      <c r="D1085" s="290" t="inlineStr">
        <is>
          <t>Laundry 3 days @ Rp. 50.000</t>
        </is>
      </c>
      <c r="E1085" s="306" t="inlineStr">
        <is>
          <t>-</t>
        </is>
      </c>
      <c r="F1085" s="307" t="n">
        <v>150000</v>
      </c>
      <c r="G1085" s="289" t="inlineStr">
        <is>
          <t>IDR</t>
        </is>
      </c>
      <c r="H1085" s="293" t="n">
        <v>1</v>
      </c>
      <c r="I1085" s="306" t="n"/>
      <c r="J1085" s="306" t="n"/>
      <c r="K1085" s="306" t="n"/>
      <c r="L1085" s="307">
        <f>$F1085*$H1085</f>
        <v/>
      </c>
      <c r="M1085" s="306" t="n"/>
      <c r="N1085" s="306" t="n"/>
      <c r="O1085" s="306" t="n"/>
      <c r="P1085" s="306" t="n"/>
      <c r="Q1085" s="306" t="n"/>
    </row>
    <row r="1086" ht="18.75" customHeight="1">
      <c r="B1086" s="288" t="n">
        <v>45403</v>
      </c>
      <c r="C1086" s="289" t="n">
        <v>506</v>
      </c>
      <c r="D1086" s="290" t="inlineStr">
        <is>
          <t>Laundry 3 days @ Rp. 50.000</t>
        </is>
      </c>
      <c r="E1086" s="306" t="inlineStr">
        <is>
          <t>-</t>
        </is>
      </c>
      <c r="F1086" s="307" t="n">
        <v>150000</v>
      </c>
      <c r="G1086" s="289" t="inlineStr">
        <is>
          <t>IDR</t>
        </is>
      </c>
      <c r="H1086" s="293" t="n">
        <v>1</v>
      </c>
      <c r="I1086" s="306" t="n"/>
      <c r="J1086" s="306" t="n"/>
      <c r="K1086" s="306" t="n"/>
      <c r="L1086" s="307">
        <f>$F1086*$H1086</f>
        <v/>
      </c>
      <c r="M1086" s="306" t="n"/>
      <c r="N1086" s="306" t="n"/>
      <c r="O1086" s="306" t="n"/>
      <c r="P1086" s="306" t="n"/>
      <c r="Q1086" s="306" t="n"/>
    </row>
    <row r="1087" ht="18.75" customHeight="1">
      <c r="B1087" s="288" t="n">
        <v>45403</v>
      </c>
      <c r="C1087" s="289" t="n">
        <v>507</v>
      </c>
      <c r="D1087" s="290" t="inlineStr">
        <is>
          <t>Laundry 3 days @ Rp. 50.000</t>
        </is>
      </c>
      <c r="E1087" s="306" t="inlineStr">
        <is>
          <t>-</t>
        </is>
      </c>
      <c r="F1087" s="307" t="n">
        <v>150000</v>
      </c>
      <c r="G1087" s="289" t="inlineStr">
        <is>
          <t>IDR</t>
        </is>
      </c>
      <c r="H1087" s="293" t="n">
        <v>1</v>
      </c>
      <c r="I1087" s="306" t="n"/>
      <c r="J1087" s="306" t="n"/>
      <c r="K1087" s="306" t="n"/>
      <c r="L1087" s="307">
        <f>$F1087*$H1087</f>
        <v/>
      </c>
      <c r="M1087" s="306" t="n"/>
      <c r="N1087" s="306" t="n"/>
      <c r="O1087" s="306" t="n"/>
      <c r="P1087" s="306" t="n"/>
      <c r="Q1087" s="306" t="n"/>
    </row>
    <row r="1088" ht="18.75" customHeight="1">
      <c r="B1088" s="288" t="n">
        <v>45403</v>
      </c>
      <c r="C1088" s="289" t="n">
        <v>508</v>
      </c>
      <c r="D1088" s="290" t="inlineStr">
        <is>
          <t>Laundry 3 days @ Rp. 50.000</t>
        </is>
      </c>
      <c r="E1088" s="306" t="inlineStr">
        <is>
          <t>-</t>
        </is>
      </c>
      <c r="F1088" s="307" t="n">
        <v>150000</v>
      </c>
      <c r="G1088" s="289" t="inlineStr">
        <is>
          <t>IDR</t>
        </is>
      </c>
      <c r="H1088" s="293" t="n">
        <v>1</v>
      </c>
      <c r="I1088" s="306" t="n"/>
      <c r="J1088" s="306" t="n"/>
      <c r="K1088" s="306" t="n"/>
      <c r="L1088" s="307">
        <f>$F1088*$H1088</f>
        <v/>
      </c>
      <c r="M1088" s="306" t="n"/>
      <c r="N1088" s="306" t="n"/>
      <c r="O1088" s="306" t="n"/>
      <c r="P1088" s="306" t="n"/>
      <c r="Q1088" s="306" t="n"/>
    </row>
    <row r="1089">
      <c r="B1089" s="312" t="n"/>
      <c r="C1089" s="312" t="n"/>
      <c r="D1089" s="285" t="inlineStr">
        <is>
          <t>Meal</t>
        </is>
      </c>
      <c r="E1089" s="312" t="n"/>
      <c r="F1089" s="312" t="n"/>
      <c r="G1089" s="312" t="n"/>
      <c r="H1089" s="312" t="n"/>
      <c r="I1089" s="312" t="n"/>
      <c r="J1089" s="312" t="n"/>
      <c r="K1089" s="312" t="n"/>
      <c r="L1089" s="312" t="n"/>
      <c r="M1089" s="312" t="n"/>
      <c r="N1089" s="312" t="n"/>
      <c r="O1089" s="312" t="n"/>
      <c r="P1089" s="312" t="n"/>
      <c r="Q1089" s="312" t="n"/>
    </row>
    <row r="1090" ht="18.75" customHeight="1">
      <c r="B1090" s="288" t="n">
        <v>45403</v>
      </c>
      <c r="C1090" s="289" t="n">
        <v>509</v>
      </c>
      <c r="D1090" s="290" t="inlineStr">
        <is>
          <t>Uang makan utk 3 hari (19-21 apr-24) @150.000</t>
        </is>
      </c>
      <c r="E1090" s="306" t="inlineStr">
        <is>
          <t>-</t>
        </is>
      </c>
      <c r="F1090" s="307" t="n">
        <v>450000</v>
      </c>
      <c r="G1090" s="289" t="inlineStr">
        <is>
          <t>IDR</t>
        </is>
      </c>
      <c r="H1090" s="293" t="n">
        <v>1</v>
      </c>
      <c r="I1090" s="306" t="n"/>
      <c r="J1090" s="306" t="n"/>
      <c r="K1090" s="306" t="n"/>
      <c r="L1090" s="307">
        <f>$F1090*$H1090</f>
        <v/>
      </c>
      <c r="M1090" s="306" t="n"/>
      <c r="N1090" s="306" t="n"/>
      <c r="O1090" s="306" t="n"/>
      <c r="P1090" s="306" t="n"/>
      <c r="Q1090" s="306" t="n"/>
    </row>
    <row r="1091" ht="18.75" customHeight="1">
      <c r="B1091" s="288" t="n">
        <v>45403</v>
      </c>
      <c r="C1091" s="289" t="n">
        <v>510</v>
      </c>
      <c r="D1091" s="290" t="inlineStr">
        <is>
          <t>Uang makan utk 3 hari (19-21 apr-24) @150.000</t>
        </is>
      </c>
      <c r="E1091" s="306" t="inlineStr">
        <is>
          <t>-</t>
        </is>
      </c>
      <c r="F1091" s="307" t="n">
        <v>450000</v>
      </c>
      <c r="G1091" s="289" t="inlineStr">
        <is>
          <t>IDR</t>
        </is>
      </c>
      <c r="H1091" s="293" t="n">
        <v>1</v>
      </c>
      <c r="I1091" s="306" t="n"/>
      <c r="J1091" s="306" t="n"/>
      <c r="K1091" s="306" t="n"/>
      <c r="L1091" s="307">
        <f>$F1091*$H1091</f>
        <v/>
      </c>
      <c r="M1091" s="306" t="n"/>
      <c r="N1091" s="306" t="n"/>
      <c r="O1091" s="306" t="n"/>
      <c r="P1091" s="306" t="n"/>
      <c r="Q1091" s="306" t="n"/>
    </row>
    <row r="1092" ht="18.75" customHeight="1">
      <c r="B1092" s="288" t="n">
        <v>45403</v>
      </c>
      <c r="C1092" s="289" t="n">
        <v>511</v>
      </c>
      <c r="D1092" s="290" t="inlineStr">
        <is>
          <t>Uang makan utk 3 hari (19-21 apr-24) @150.000</t>
        </is>
      </c>
      <c r="E1092" s="306" t="inlineStr">
        <is>
          <t>-</t>
        </is>
      </c>
      <c r="F1092" s="307" t="n">
        <v>450000</v>
      </c>
      <c r="G1092" s="289" t="inlineStr">
        <is>
          <t>IDR</t>
        </is>
      </c>
      <c r="H1092" s="293" t="n">
        <v>1</v>
      </c>
      <c r="I1092" s="306" t="n"/>
      <c r="J1092" s="306" t="n"/>
      <c r="K1092" s="306" t="n"/>
      <c r="L1092" s="307">
        <f>$F1092*$H1092</f>
        <v/>
      </c>
      <c r="M1092" s="306" t="n"/>
      <c r="N1092" s="306" t="n"/>
      <c r="O1092" s="306" t="n"/>
      <c r="P1092" s="306" t="n"/>
      <c r="Q1092" s="306" t="n"/>
    </row>
    <row r="1093" ht="18.75" customHeight="1">
      <c r="B1093" s="288" t="n">
        <v>45403</v>
      </c>
      <c r="C1093" s="289" t="n">
        <v>512</v>
      </c>
      <c r="D1093" s="290" t="inlineStr">
        <is>
          <t>Uang makan utk 3 hari (19-21 apr-24) @150.000</t>
        </is>
      </c>
      <c r="E1093" s="306" t="inlineStr">
        <is>
          <t>-</t>
        </is>
      </c>
      <c r="F1093" s="307" t="n">
        <v>450000</v>
      </c>
      <c r="G1093" s="289" t="inlineStr">
        <is>
          <t>IDR</t>
        </is>
      </c>
      <c r="H1093" s="293" t="n">
        <v>1</v>
      </c>
      <c r="I1093" s="306" t="n"/>
      <c r="J1093" s="306" t="n"/>
      <c r="K1093" s="306" t="n"/>
      <c r="L1093" s="307">
        <f>$F1093*$H1093</f>
        <v/>
      </c>
      <c r="M1093" s="306" t="n"/>
      <c r="N1093" s="306" t="n"/>
      <c r="O1093" s="306" t="n"/>
      <c r="P1093" s="306" t="n"/>
      <c r="Q1093" s="306" t="n"/>
    </row>
    <row r="1094" ht="18.75" customHeight="1">
      <c r="B1094" s="288" t="n">
        <v>45420</v>
      </c>
      <c r="C1094" s="289" t="n">
        <v>513</v>
      </c>
      <c r="D1094" s="290" t="inlineStr">
        <is>
          <t>Dinner (Dwi, Febri, Ilham)</t>
        </is>
      </c>
      <c r="E1094" s="306" t="inlineStr">
        <is>
          <t>-</t>
        </is>
      </c>
      <c r="F1094" s="307" t="n">
        <v>128000</v>
      </c>
      <c r="G1094" s="289" t="inlineStr">
        <is>
          <t>IDR</t>
        </is>
      </c>
      <c r="H1094" s="293" t="n">
        <v>1</v>
      </c>
      <c r="I1094" s="306" t="n"/>
      <c r="J1094" s="306" t="n"/>
      <c r="K1094" s="306" t="n"/>
      <c r="L1094" s="307">
        <f>$F1094*$H1094</f>
        <v/>
      </c>
      <c r="M1094" s="306" t="n"/>
      <c r="N1094" s="306" t="n"/>
      <c r="O1094" s="306" t="n"/>
      <c r="P1094" s="306" t="n"/>
      <c r="Q1094" s="306" t="n"/>
    </row>
    <row r="1095" ht="18.75" customHeight="1">
      <c r="B1095" s="288" t="n">
        <v>45420</v>
      </c>
      <c r="C1095" s="289" t="n">
        <v>514</v>
      </c>
      <c r="D1095" s="290" t="inlineStr">
        <is>
          <t>Dinner (Dwi, Febri, Ilham)</t>
        </is>
      </c>
      <c r="E1095" s="306" t="inlineStr">
        <is>
          <t>-</t>
        </is>
      </c>
      <c r="F1095" s="307" t="n">
        <v>128000</v>
      </c>
      <c r="G1095" s="289" t="inlineStr">
        <is>
          <t>IDR</t>
        </is>
      </c>
      <c r="H1095" s="293" t="n">
        <v>1</v>
      </c>
      <c r="I1095" s="306" t="n"/>
      <c r="J1095" s="306" t="n"/>
      <c r="K1095" s="306" t="n"/>
      <c r="L1095" s="307">
        <f>$F1095*$H1095</f>
        <v/>
      </c>
      <c r="M1095" s="306" t="n"/>
      <c r="N1095" s="306" t="n"/>
      <c r="O1095" s="306" t="n"/>
      <c r="P1095" s="306" t="n"/>
      <c r="Q1095" s="306" t="n"/>
    </row>
    <row r="1096" ht="18.75" customHeight="1">
      <c r="B1096" s="288" t="n">
        <v>45420</v>
      </c>
      <c r="C1096" s="289" t="n">
        <v>515</v>
      </c>
      <c r="D1096" s="290" t="inlineStr">
        <is>
          <t>Dinner (Dwi, Febri, Ilham)</t>
        </is>
      </c>
      <c r="E1096" s="306" t="inlineStr">
        <is>
          <t>-</t>
        </is>
      </c>
      <c r="F1096" s="307" t="n">
        <v>128000</v>
      </c>
      <c r="G1096" s="289" t="inlineStr">
        <is>
          <t>IDR</t>
        </is>
      </c>
      <c r="H1096" s="293" t="n">
        <v>1</v>
      </c>
      <c r="I1096" s="306" t="n"/>
      <c r="J1096" s="306" t="n"/>
      <c r="K1096" s="306" t="n"/>
      <c r="L1096" s="307">
        <f>$F1096*$H1096</f>
        <v/>
      </c>
      <c r="M1096" s="306" t="n"/>
      <c r="N1096" s="306" t="n"/>
      <c r="O1096" s="306" t="n"/>
      <c r="P1096" s="306" t="n"/>
      <c r="Q1096" s="306" t="n"/>
    </row>
    <row r="1097" ht="18.75" customHeight="1">
      <c r="B1097" s="288" t="n">
        <v>45420</v>
      </c>
      <c r="C1097" s="289" t="n">
        <v>516</v>
      </c>
      <c r="D1097" s="290" t="inlineStr">
        <is>
          <t>Dinner (Dwi, Febri, Ilham)</t>
        </is>
      </c>
      <c r="E1097" s="306" t="inlineStr">
        <is>
          <t>-</t>
        </is>
      </c>
      <c r="F1097" s="307" t="n">
        <v>128000</v>
      </c>
      <c r="G1097" s="289" t="inlineStr">
        <is>
          <t>IDR</t>
        </is>
      </c>
      <c r="H1097" s="293" t="n">
        <v>1</v>
      </c>
      <c r="I1097" s="306" t="n"/>
      <c r="J1097" s="306" t="n"/>
      <c r="K1097" s="306" t="n"/>
      <c r="L1097" s="307">
        <f>$F1097*$H1097</f>
        <v/>
      </c>
      <c r="M1097" s="306" t="n"/>
      <c r="N1097" s="306" t="n"/>
      <c r="O1097" s="306" t="n"/>
      <c r="P1097" s="306" t="n"/>
      <c r="Q1097" s="306" t="n"/>
    </row>
    <row r="1098">
      <c r="B1098" s="312" t="n"/>
      <c r="C1098" s="312" t="n"/>
      <c r="D1098" s="285" t="inlineStr">
        <is>
          <t>Transportation</t>
        </is>
      </c>
      <c r="E1098" s="312" t="n"/>
      <c r="F1098" s="312" t="n"/>
      <c r="G1098" s="312" t="n"/>
      <c r="H1098" s="312" t="n"/>
      <c r="I1098" s="312" t="n"/>
      <c r="J1098" s="312" t="n"/>
      <c r="K1098" s="312" t="n"/>
      <c r="L1098" s="312" t="n"/>
      <c r="M1098" s="312" t="n"/>
      <c r="N1098" s="312" t="n"/>
      <c r="O1098" s="312" t="n"/>
      <c r="P1098" s="312" t="n"/>
      <c r="Q1098" s="312" t="n"/>
    </row>
    <row r="1099" ht="18.75" customHeight="1">
      <c r="B1099" s="288" t="n">
        <v>45403</v>
      </c>
      <c r="C1099" s="289" t="n">
        <v>517</v>
      </c>
      <c r="D1099" s="290" t="inlineStr">
        <is>
          <t>Train (Jati barang - Jati Negara)</t>
        </is>
      </c>
      <c r="E1099" s="306" t="inlineStr">
        <is>
          <t>-</t>
        </is>
      </c>
      <c r="F1099" s="307" t="n">
        <v>255500</v>
      </c>
      <c r="G1099" s="289" t="inlineStr">
        <is>
          <t>IDR</t>
        </is>
      </c>
      <c r="H1099" s="293" t="n">
        <v>1</v>
      </c>
      <c r="I1099" s="306" t="n"/>
      <c r="J1099" s="306" t="n"/>
      <c r="K1099" s="306" t="n"/>
      <c r="L1099" s="307">
        <f>$F1099*$H1099</f>
        <v/>
      </c>
      <c r="M1099" s="306" t="n"/>
      <c r="N1099" s="306" t="n"/>
      <c r="O1099" s="306" t="n"/>
      <c r="P1099" s="306" t="n"/>
      <c r="Q1099" s="306" t="n"/>
    </row>
    <row r="1100" ht="18.75" customHeight="1">
      <c r="B1100" s="288" t="n">
        <v>45403</v>
      </c>
      <c r="C1100" s="289" t="n">
        <v>518</v>
      </c>
      <c r="D1100" s="290" t="inlineStr">
        <is>
          <t>Taksi</t>
        </is>
      </c>
      <c r="E1100" s="306" t="inlineStr">
        <is>
          <t>-</t>
        </is>
      </c>
      <c r="F1100" s="307" t="n">
        <v>150000</v>
      </c>
      <c r="G1100" s="289" t="inlineStr">
        <is>
          <t>IDR</t>
        </is>
      </c>
      <c r="H1100" s="293" t="n">
        <v>1</v>
      </c>
      <c r="I1100" s="306" t="n"/>
      <c r="J1100" s="306" t="n"/>
      <c r="K1100" s="306" t="n"/>
      <c r="L1100" s="307">
        <f>$F1100*$H1100</f>
        <v/>
      </c>
      <c r="M1100" s="306" t="n"/>
      <c r="N1100" s="306" t="n"/>
      <c r="O1100" s="306" t="n"/>
      <c r="P1100" s="306" t="n"/>
      <c r="Q1100" s="306" t="n"/>
    </row>
    <row r="1101" ht="18.75" customHeight="1">
      <c r="B1101" s="288" t="n">
        <v>45403</v>
      </c>
      <c r="C1101" s="289" t="n">
        <v>519</v>
      </c>
      <c r="D1101" s="290" t="inlineStr">
        <is>
          <t>Taksi</t>
        </is>
      </c>
      <c r="E1101" s="306" t="inlineStr">
        <is>
          <t>-</t>
        </is>
      </c>
      <c r="F1101" s="307" t="n">
        <v>150000</v>
      </c>
      <c r="G1101" s="289" t="inlineStr">
        <is>
          <t>IDR</t>
        </is>
      </c>
      <c r="H1101" s="293" t="n">
        <v>1</v>
      </c>
      <c r="I1101" s="306" t="n"/>
      <c r="J1101" s="306" t="n"/>
      <c r="K1101" s="306" t="n"/>
      <c r="L1101" s="307">
        <f>$F1101*$H1101</f>
        <v/>
      </c>
      <c r="M1101" s="306" t="n"/>
      <c r="N1101" s="306" t="n"/>
      <c r="O1101" s="306" t="n"/>
      <c r="P1101" s="306" t="n"/>
      <c r="Q1101" s="306" t="n"/>
    </row>
    <row r="1102" ht="18.75" customHeight="1">
      <c r="B1102" s="288" t="n">
        <v>45403</v>
      </c>
      <c r="C1102" s="289" t="n">
        <v>520</v>
      </c>
      <c r="D1102" s="290" t="inlineStr">
        <is>
          <t>Train (Jati barang - Jati Negara)</t>
        </is>
      </c>
      <c r="E1102" s="306" t="inlineStr">
        <is>
          <t>-</t>
        </is>
      </c>
      <c r="F1102" s="307" t="n">
        <v>255500</v>
      </c>
      <c r="G1102" s="289" t="inlineStr">
        <is>
          <t>IDR</t>
        </is>
      </c>
      <c r="H1102" s="293" t="n">
        <v>1</v>
      </c>
      <c r="I1102" s="306" t="n"/>
      <c r="J1102" s="306" t="n"/>
      <c r="K1102" s="306" t="n"/>
      <c r="L1102" s="307">
        <f>$F1102*$H1102</f>
        <v/>
      </c>
      <c r="M1102" s="306" t="n"/>
      <c r="N1102" s="306" t="n"/>
      <c r="O1102" s="306" t="n"/>
      <c r="P1102" s="306" t="n"/>
      <c r="Q1102" s="306" t="n"/>
    </row>
    <row r="1103" ht="18.75" customHeight="1">
      <c r="B1103" s="288" t="n">
        <v>45403</v>
      </c>
      <c r="C1103" s="289" t="n">
        <v>521</v>
      </c>
      <c r="D1103" s="290" t="inlineStr">
        <is>
          <t>Taksi</t>
        </is>
      </c>
      <c r="E1103" s="306" t="inlineStr">
        <is>
          <t>-</t>
        </is>
      </c>
      <c r="F1103" s="307" t="n">
        <v>150000</v>
      </c>
      <c r="G1103" s="289" t="inlineStr">
        <is>
          <t>IDR</t>
        </is>
      </c>
      <c r="H1103" s="293" t="n">
        <v>1</v>
      </c>
      <c r="I1103" s="306" t="n"/>
      <c r="J1103" s="306" t="n"/>
      <c r="K1103" s="306" t="n"/>
      <c r="L1103" s="307">
        <f>$F1103*$H1103</f>
        <v/>
      </c>
      <c r="M1103" s="306" t="n"/>
      <c r="N1103" s="306" t="n"/>
      <c r="O1103" s="306" t="n"/>
      <c r="P1103" s="306" t="n"/>
      <c r="Q1103" s="306" t="n"/>
    </row>
    <row r="1104" ht="18.75" customHeight="1">
      <c r="B1104" s="288" t="n">
        <v>45403</v>
      </c>
      <c r="C1104" s="289" t="n">
        <v>522</v>
      </c>
      <c r="D1104" s="290" t="inlineStr">
        <is>
          <t>Train (Jati barang - Jati Negara)</t>
        </is>
      </c>
      <c r="E1104" s="306" t="inlineStr">
        <is>
          <t>-</t>
        </is>
      </c>
      <c r="F1104" s="307" t="n">
        <v>255500</v>
      </c>
      <c r="G1104" s="289" t="inlineStr">
        <is>
          <t>IDR</t>
        </is>
      </c>
      <c r="H1104" s="293" t="n">
        <v>1</v>
      </c>
      <c r="I1104" s="306" t="n"/>
      <c r="J1104" s="306" t="n"/>
      <c r="K1104" s="306" t="n"/>
      <c r="L1104" s="307">
        <f>$F1104*$H1104</f>
        <v/>
      </c>
      <c r="M1104" s="306" t="n"/>
      <c r="N1104" s="306" t="n"/>
      <c r="O1104" s="306" t="n"/>
      <c r="P1104" s="306" t="n"/>
      <c r="Q1104" s="306" t="n"/>
    </row>
    <row r="1105" ht="18.75" customHeight="1">
      <c r="B1105" s="288" t="n">
        <v>45403</v>
      </c>
      <c r="C1105" s="289" t="n">
        <v>523</v>
      </c>
      <c r="D1105" s="290" t="inlineStr">
        <is>
          <t>Taksi</t>
        </is>
      </c>
      <c r="E1105" s="306" t="inlineStr">
        <is>
          <t>-</t>
        </is>
      </c>
      <c r="F1105" s="307" t="n">
        <v>150000</v>
      </c>
      <c r="G1105" s="289" t="inlineStr">
        <is>
          <t>IDR</t>
        </is>
      </c>
      <c r="H1105" s="293" t="n">
        <v>1</v>
      </c>
      <c r="I1105" s="306" t="n"/>
      <c r="J1105" s="306" t="n"/>
      <c r="K1105" s="306" t="n"/>
      <c r="L1105" s="307">
        <f>$F1105*$H1105</f>
        <v/>
      </c>
      <c r="M1105" s="306" t="n"/>
      <c r="N1105" s="306" t="n"/>
      <c r="O1105" s="306" t="n"/>
      <c r="P1105" s="306" t="n"/>
      <c r="Q1105" s="306" t="n"/>
    </row>
    <row r="1106" ht="18.75" customHeight="1">
      <c r="B1106" s="288" t="n">
        <v>45403</v>
      </c>
      <c r="C1106" s="289" t="n">
        <v>524</v>
      </c>
      <c r="D1106" s="290" t="inlineStr">
        <is>
          <t>Train (Jati barang - Jati Negara)</t>
        </is>
      </c>
      <c r="E1106" s="306" t="inlineStr">
        <is>
          <t>-</t>
        </is>
      </c>
      <c r="F1106" s="307" t="n">
        <v>255500</v>
      </c>
      <c r="G1106" s="289" t="inlineStr">
        <is>
          <t>IDR</t>
        </is>
      </c>
      <c r="H1106" s="293" t="n">
        <v>1</v>
      </c>
      <c r="I1106" s="306" t="n"/>
      <c r="J1106" s="306" t="n"/>
      <c r="K1106" s="306" t="n"/>
      <c r="L1106" s="307">
        <f>$F1106*$H1106</f>
        <v/>
      </c>
      <c r="M1106" s="306" t="n"/>
      <c r="N1106" s="306" t="n"/>
      <c r="O1106" s="306" t="n"/>
      <c r="P1106" s="306" t="n"/>
      <c r="Q1106" s="306" t="n"/>
    </row>
    <row r="1107">
      <c r="B1107" s="310" t="inlineStr">
        <is>
          <t>Expense#10</t>
        </is>
      </c>
      <c r="C1107" s="311" t="inlineStr">
        <is>
          <t>:</t>
        </is>
      </c>
      <c r="D1107" s="310" t="inlineStr">
        <is>
          <t>ALFA+PLT (TGB-033 Zona 7) Elnusa_TMA</t>
        </is>
      </c>
      <c r="E1107" s="311" t="n"/>
      <c r="F1107" s="311" t="n"/>
      <c r="G1107" s="311" t="n"/>
      <c r="H1107" s="311" t="n"/>
      <c r="I1107" s="311" t="n"/>
      <c r="J1107" s="311" t="n"/>
      <c r="K1107" s="311" t="n"/>
      <c r="L1107" s="311" t="n"/>
      <c r="M1107" s="311" t="n"/>
      <c r="N1107" s="311" t="n"/>
      <c r="O1107" s="311" t="n"/>
      <c r="P1107" s="311" t="n"/>
      <c r="Q1107" s="311" t="n"/>
    </row>
    <row r="1108">
      <c r="B1108" s="312" t="n"/>
      <c r="C1108" s="312" t="n"/>
      <c r="D1108" s="285" t="inlineStr">
        <is>
          <t>Accommodation</t>
        </is>
      </c>
      <c r="E1108" s="312" t="n"/>
      <c r="F1108" s="312" t="n"/>
      <c r="G1108" s="312" t="n"/>
      <c r="H1108" s="312" t="n"/>
      <c r="I1108" s="312" t="n"/>
      <c r="J1108" s="312" t="n"/>
      <c r="K1108" s="312" t="n"/>
      <c r="L1108" s="312" t="n"/>
      <c r="M1108" s="312" t="n"/>
      <c r="N1108" s="312" t="n"/>
      <c r="O1108" s="312" t="n"/>
      <c r="P1108" s="312" t="n"/>
      <c r="Q1108" s="312" t="n"/>
    </row>
    <row r="1109" ht="34.5" customHeight="1">
      <c r="B1109" s="288" t="n">
        <v>45407</v>
      </c>
      <c r="C1109" s="289" t="n">
        <v>525</v>
      </c>
      <c r="D1109" s="290" t="inlineStr">
        <is>
          <t>Hotel 25 Apr - 27 Apr &amp; 29 Apr- 2 May 2024 (6 days)</t>
        </is>
      </c>
      <c r="E1109" s="306" t="inlineStr">
        <is>
          <t>-</t>
        </is>
      </c>
      <c r="F1109" s="307" t="n">
        <v>3292802</v>
      </c>
      <c r="G1109" s="289" t="inlineStr">
        <is>
          <t>IDR</t>
        </is>
      </c>
      <c r="H1109" s="293" t="n">
        <v>1</v>
      </c>
      <c r="I1109" s="306" t="n"/>
      <c r="J1109" s="306" t="n"/>
      <c r="K1109" s="306" t="n"/>
      <c r="L1109" s="307">
        <f>$F1109*$H1109</f>
        <v/>
      </c>
      <c r="M1109" s="306" t="n"/>
      <c r="N1109" s="306" t="n"/>
      <c r="O1109" s="306" t="n"/>
      <c r="P1109" s="306" t="n"/>
      <c r="Q1109" s="306" t="n"/>
    </row>
    <row r="1110" ht="34.5" customHeight="1">
      <c r="B1110" s="288" t="n">
        <v>45407</v>
      </c>
      <c r="C1110" s="289" t="n">
        <v>526</v>
      </c>
      <c r="D1110" s="290" t="inlineStr">
        <is>
          <t>Hotel 25 Apr - 27 Apr &amp; 29 Apr- 2 May 2024 (6 days)</t>
        </is>
      </c>
      <c r="E1110" s="306" t="inlineStr">
        <is>
          <t>-</t>
        </is>
      </c>
      <c r="F1110" s="307" t="n">
        <v>3292802</v>
      </c>
      <c r="G1110" s="289" t="inlineStr">
        <is>
          <t>IDR</t>
        </is>
      </c>
      <c r="H1110" s="293" t="n">
        <v>1</v>
      </c>
      <c r="I1110" s="306" t="n"/>
      <c r="J1110" s="306" t="n"/>
      <c r="K1110" s="306" t="n"/>
      <c r="L1110" s="307">
        <f>$F1110*$H1110</f>
        <v/>
      </c>
      <c r="M1110" s="306" t="n"/>
      <c r="N1110" s="306" t="n"/>
      <c r="O1110" s="306" t="n"/>
      <c r="P1110" s="306" t="n"/>
      <c r="Q1110" s="306" t="n"/>
    </row>
    <row r="1111" ht="34.5" customHeight="1">
      <c r="B1111" s="288" t="n">
        <v>45407</v>
      </c>
      <c r="C1111" s="289" t="n">
        <v>527</v>
      </c>
      <c r="D1111" s="290" t="inlineStr">
        <is>
          <t>Hotel 25 Apr - 27 Apr &amp; 29 Apr- 2 May 2024 (6 days)</t>
        </is>
      </c>
      <c r="E1111" s="306" t="inlineStr">
        <is>
          <t>-</t>
        </is>
      </c>
      <c r="F1111" s="307" t="n">
        <v>3292802</v>
      </c>
      <c r="G1111" s="289" t="inlineStr">
        <is>
          <t>IDR</t>
        </is>
      </c>
      <c r="H1111" s="293" t="n">
        <v>1</v>
      </c>
      <c r="I1111" s="306" t="n"/>
      <c r="J1111" s="306" t="n"/>
      <c r="K1111" s="306" t="n"/>
      <c r="L1111" s="307">
        <f>$F1111*$H1111</f>
        <v/>
      </c>
      <c r="M1111" s="306" t="n"/>
      <c r="N1111" s="306" t="n"/>
      <c r="O1111" s="306" t="n"/>
      <c r="P1111" s="306" t="n"/>
      <c r="Q1111" s="306" t="n"/>
    </row>
    <row r="1112" ht="34.5" customHeight="1">
      <c r="B1112" s="288" t="n">
        <v>45407</v>
      </c>
      <c r="C1112" s="289" t="n">
        <v>528</v>
      </c>
      <c r="D1112" s="290" t="inlineStr">
        <is>
          <t>Hotel 25 Apr - 27 Apr &amp; 29 Apr- 2 May 2024 (6 days)</t>
        </is>
      </c>
      <c r="E1112" s="306" t="inlineStr">
        <is>
          <t>-</t>
        </is>
      </c>
      <c r="F1112" s="307" t="n">
        <v>3292802</v>
      </c>
      <c r="G1112" s="289" t="inlineStr">
        <is>
          <t>IDR</t>
        </is>
      </c>
      <c r="H1112" s="293" t="n">
        <v>1</v>
      </c>
      <c r="I1112" s="306" t="n"/>
      <c r="J1112" s="306" t="n"/>
      <c r="K1112" s="306" t="n"/>
      <c r="L1112" s="307">
        <f>$F1112*$H1112</f>
        <v/>
      </c>
      <c r="M1112" s="306" t="n"/>
      <c r="N1112" s="306" t="n"/>
      <c r="O1112" s="306" t="n"/>
      <c r="P1112" s="306" t="n"/>
      <c r="Q1112" s="306" t="n"/>
    </row>
    <row r="1113">
      <c r="B1113" s="312" t="n"/>
      <c r="C1113" s="312" t="n"/>
      <c r="D1113" s="285" t="inlineStr">
        <is>
          <t>Allowance</t>
        </is>
      </c>
      <c r="E1113" s="312" t="n"/>
      <c r="F1113" s="312" t="n"/>
      <c r="G1113" s="312" t="n"/>
      <c r="H1113" s="312" t="n"/>
      <c r="I1113" s="312" t="n"/>
      <c r="J1113" s="312" t="n"/>
      <c r="K1113" s="312" t="n"/>
      <c r="L1113" s="312" t="n"/>
      <c r="M1113" s="312" t="n"/>
      <c r="N1113" s="312" t="n"/>
      <c r="O1113" s="312" t="n"/>
      <c r="P1113" s="312" t="n"/>
      <c r="Q1113" s="312" t="n"/>
    </row>
    <row r="1114" ht="18.75" customHeight="1">
      <c r="B1114" s="288" t="n">
        <v>45407</v>
      </c>
      <c r="C1114" s="289" t="n">
        <v>529</v>
      </c>
      <c r="D1114" s="290" t="inlineStr">
        <is>
          <t>Field Bonus for 7 days (25$/Day)</t>
        </is>
      </c>
      <c r="E1114" s="306" t="inlineStr">
        <is>
          <t>-</t>
        </is>
      </c>
      <c r="F1114" s="307" t="n">
        <v>75</v>
      </c>
      <c r="G1114" s="289" t="inlineStr">
        <is>
          <t>USD</t>
        </is>
      </c>
      <c r="H1114" s="293" t="n">
        <v>16050.85</v>
      </c>
      <c r="I1114" s="306" t="n"/>
      <c r="J1114" s="306" t="n"/>
      <c r="K1114" s="306" t="n"/>
      <c r="L1114" s="307">
        <f>$F1114*$H1114</f>
        <v/>
      </c>
      <c r="M1114" s="306" t="n"/>
      <c r="N1114" s="306" t="n"/>
      <c r="O1114" s="306" t="n"/>
      <c r="P1114" s="306" t="n"/>
      <c r="Q1114" s="306" t="n"/>
    </row>
    <row r="1115" ht="34.5" customHeight="1">
      <c r="B1115" s="288" t="n">
        <v>45407</v>
      </c>
      <c r="C1115" s="289" t="n">
        <v>530</v>
      </c>
      <c r="D1115" s="290" t="inlineStr">
        <is>
          <t>Field Bonus for 4 days 29 April-2 May 2024 (100$/Day</t>
        </is>
      </c>
      <c r="E1115" s="306" t="inlineStr">
        <is>
          <t>-</t>
        </is>
      </c>
      <c r="F1115" s="307" t="n">
        <v>400</v>
      </c>
      <c r="G1115" s="289" t="inlineStr">
        <is>
          <t>USD</t>
        </is>
      </c>
      <c r="H1115" s="293" t="n">
        <v>16050.85</v>
      </c>
      <c r="I1115" s="306" t="n"/>
      <c r="J1115" s="306" t="n"/>
      <c r="K1115" s="306" t="n"/>
      <c r="L1115" s="307">
        <f>$F1115*$H1115</f>
        <v/>
      </c>
      <c r="M1115" s="306" t="n"/>
      <c r="N1115" s="306" t="n"/>
      <c r="O1115" s="306" t="n"/>
      <c r="P1115" s="306" t="n"/>
      <c r="Q1115" s="306" t="n"/>
    </row>
    <row r="1116" ht="18.75" customHeight="1">
      <c r="B1116" s="288" t="n">
        <v>45407</v>
      </c>
      <c r="C1116" s="289" t="n">
        <v>531</v>
      </c>
      <c r="D1116" s="290" t="inlineStr">
        <is>
          <t>Field Bonus for 7 days (25$/Day)</t>
        </is>
      </c>
      <c r="E1116" s="306" t="inlineStr">
        <is>
          <t>-</t>
        </is>
      </c>
      <c r="F1116" s="307" t="n">
        <v>75</v>
      </c>
      <c r="G1116" s="289" t="inlineStr">
        <is>
          <t>USD</t>
        </is>
      </c>
      <c r="H1116" s="293" t="n">
        <v>16050.85</v>
      </c>
      <c r="I1116" s="306" t="n"/>
      <c r="J1116" s="306" t="n"/>
      <c r="K1116" s="306" t="n"/>
      <c r="L1116" s="307">
        <f>$F1116*$H1116</f>
        <v/>
      </c>
      <c r="M1116" s="306" t="n"/>
      <c r="N1116" s="306" t="n"/>
      <c r="O1116" s="306" t="n"/>
      <c r="P1116" s="306" t="n"/>
      <c r="Q1116" s="306" t="n"/>
    </row>
    <row r="1117" ht="34.5" customHeight="1">
      <c r="B1117" s="288" t="n">
        <v>45407</v>
      </c>
      <c r="C1117" s="289" t="n">
        <v>532</v>
      </c>
      <c r="D1117" s="290" t="inlineStr">
        <is>
          <t>Field Bonus for 4 days 29 April-2 May 2024 (100$/Day</t>
        </is>
      </c>
      <c r="E1117" s="306" t="inlineStr">
        <is>
          <t>-</t>
        </is>
      </c>
      <c r="F1117" s="307" t="n">
        <v>400</v>
      </c>
      <c r="G1117" s="289" t="inlineStr">
        <is>
          <t>USD</t>
        </is>
      </c>
      <c r="H1117" s="293" t="n">
        <v>16050.85</v>
      </c>
      <c r="I1117" s="306" t="n"/>
      <c r="J1117" s="306" t="n"/>
      <c r="K1117" s="306" t="n"/>
      <c r="L1117" s="307">
        <f>$F1117*$H1117</f>
        <v/>
      </c>
      <c r="M1117" s="306" t="n"/>
      <c r="N1117" s="306" t="n"/>
      <c r="O1117" s="306" t="n"/>
      <c r="P1117" s="306" t="n"/>
      <c r="Q1117" s="306" t="n"/>
    </row>
    <row r="1118" ht="18.75" customHeight="1">
      <c r="B1118" s="288" t="n">
        <v>45407</v>
      </c>
      <c r="C1118" s="289" t="n">
        <v>533</v>
      </c>
      <c r="D1118" s="290" t="inlineStr">
        <is>
          <t>Field Bonus for 7 days (25$/Day)</t>
        </is>
      </c>
      <c r="E1118" s="306" t="inlineStr">
        <is>
          <t>-</t>
        </is>
      </c>
      <c r="F1118" s="307" t="n">
        <v>75</v>
      </c>
      <c r="G1118" s="289" t="inlineStr">
        <is>
          <t>USD</t>
        </is>
      </c>
      <c r="H1118" s="293" t="n">
        <v>16050.85</v>
      </c>
      <c r="I1118" s="306" t="n"/>
      <c r="J1118" s="306" t="n"/>
      <c r="K1118" s="306" t="n"/>
      <c r="L1118" s="307">
        <f>$F1118*$H1118</f>
        <v/>
      </c>
      <c r="M1118" s="306" t="n"/>
      <c r="N1118" s="306" t="n"/>
      <c r="O1118" s="306" t="n"/>
      <c r="P1118" s="306" t="n"/>
      <c r="Q1118" s="306" t="n"/>
    </row>
    <row r="1119" ht="34.5" customHeight="1">
      <c r="B1119" s="288" t="n">
        <v>45407</v>
      </c>
      <c r="C1119" s="289" t="n">
        <v>534</v>
      </c>
      <c r="D1119" s="290" t="inlineStr">
        <is>
          <t>Field Bonus for 4 days 29 April-2 May 2024 (100$/Day</t>
        </is>
      </c>
      <c r="E1119" s="306" t="inlineStr">
        <is>
          <t>-</t>
        </is>
      </c>
      <c r="F1119" s="307" t="n">
        <v>400</v>
      </c>
      <c r="G1119" s="289" t="inlineStr">
        <is>
          <t>USD</t>
        </is>
      </c>
      <c r="H1119" s="293" t="n">
        <v>16050.85</v>
      </c>
      <c r="I1119" s="306" t="n"/>
      <c r="J1119" s="306" t="n"/>
      <c r="K1119" s="306" t="n"/>
      <c r="L1119" s="307">
        <f>$F1119*$H1119</f>
        <v/>
      </c>
      <c r="M1119" s="306" t="n"/>
      <c r="N1119" s="306" t="n"/>
      <c r="O1119" s="306" t="n"/>
      <c r="P1119" s="306" t="n"/>
      <c r="Q1119" s="306" t="n"/>
    </row>
    <row r="1120" ht="18.75" customHeight="1">
      <c r="B1120" s="288" t="n">
        <v>45407</v>
      </c>
      <c r="C1120" s="289" t="n">
        <v>535</v>
      </c>
      <c r="D1120" s="290" t="inlineStr">
        <is>
          <t>Field Bonus for 7 days (25$/Day)</t>
        </is>
      </c>
      <c r="E1120" s="306" t="inlineStr">
        <is>
          <t>-</t>
        </is>
      </c>
      <c r="F1120" s="307" t="n">
        <v>75</v>
      </c>
      <c r="G1120" s="289" t="inlineStr">
        <is>
          <t>USD</t>
        </is>
      </c>
      <c r="H1120" s="293" t="n">
        <v>16050.85</v>
      </c>
      <c r="I1120" s="306" t="n"/>
      <c r="J1120" s="306" t="n"/>
      <c r="K1120" s="306" t="n"/>
      <c r="L1120" s="307">
        <f>$F1120*$H1120</f>
        <v/>
      </c>
      <c r="M1120" s="306" t="n"/>
      <c r="N1120" s="306" t="n"/>
      <c r="O1120" s="306" t="n"/>
      <c r="P1120" s="306" t="n"/>
      <c r="Q1120" s="306" t="n"/>
    </row>
    <row r="1121" ht="34.5" customHeight="1">
      <c r="B1121" s="288" t="n">
        <v>45407</v>
      </c>
      <c r="C1121" s="289" t="n">
        <v>536</v>
      </c>
      <c r="D1121" s="290" t="inlineStr">
        <is>
          <t>Field Bonus for 4 days 29 April-2 May 2024 (100$/Day</t>
        </is>
      </c>
      <c r="E1121" s="306" t="inlineStr">
        <is>
          <t>-</t>
        </is>
      </c>
      <c r="F1121" s="307" t="n">
        <v>400</v>
      </c>
      <c r="G1121" s="289" t="inlineStr">
        <is>
          <t>USD</t>
        </is>
      </c>
      <c r="H1121" s="293" t="n">
        <v>16050.85</v>
      </c>
      <c r="I1121" s="306" t="n"/>
      <c r="J1121" s="306" t="n"/>
      <c r="K1121" s="306" t="n"/>
      <c r="L1121" s="307">
        <f>$F1121*$H1121</f>
        <v/>
      </c>
      <c r="M1121" s="306" t="n"/>
      <c r="N1121" s="306" t="n"/>
      <c r="O1121" s="306" t="n"/>
      <c r="P1121" s="306" t="n"/>
      <c r="Q1121" s="306" t="n"/>
    </row>
    <row r="1122">
      <c r="B1122" s="312" t="n"/>
      <c r="C1122" s="312" t="n"/>
      <c r="D1122" s="285" t="inlineStr">
        <is>
          <t>Biaya Operasi Lain-lain</t>
        </is>
      </c>
      <c r="E1122" s="312" t="n"/>
      <c r="F1122" s="312" t="n"/>
      <c r="G1122" s="312" t="n"/>
      <c r="H1122" s="312" t="n"/>
      <c r="I1122" s="312" t="n"/>
      <c r="J1122" s="312" t="n"/>
      <c r="K1122" s="312" t="n"/>
      <c r="L1122" s="312" t="n"/>
      <c r="M1122" s="312" t="n"/>
      <c r="N1122" s="312" t="n"/>
      <c r="O1122" s="312" t="n"/>
      <c r="P1122" s="312" t="n"/>
      <c r="Q1122" s="312" t="n"/>
    </row>
    <row r="1123" ht="18.75" customHeight="1">
      <c r="B1123" s="288" t="n">
        <v>45407</v>
      </c>
      <c r="C1123" s="289" t="n">
        <v>537</v>
      </c>
      <c r="D1123" s="290" t="inlineStr">
        <is>
          <t>Crew's Operational</t>
        </is>
      </c>
      <c r="E1123" s="306" t="inlineStr">
        <is>
          <t>-</t>
        </is>
      </c>
      <c r="F1123" s="307" t="n">
        <v>657000</v>
      </c>
      <c r="G1123" s="289" t="inlineStr">
        <is>
          <t>IDR</t>
        </is>
      </c>
      <c r="H1123" s="293" t="n">
        <v>1</v>
      </c>
      <c r="I1123" s="306" t="n"/>
      <c r="J1123" s="306" t="n"/>
      <c r="K1123" s="306" t="n"/>
      <c r="L1123" s="307">
        <f>$F1123*$H1123</f>
        <v/>
      </c>
      <c r="M1123" s="306" t="n"/>
      <c r="N1123" s="306" t="n"/>
      <c r="O1123" s="306" t="n"/>
      <c r="P1123" s="306" t="n"/>
      <c r="Q1123" s="306" t="n"/>
    </row>
    <row r="1124" ht="18.75" customHeight="1">
      <c r="B1124" s="288" t="n">
        <v>45407</v>
      </c>
      <c r="C1124" s="289" t="n">
        <v>538</v>
      </c>
      <c r="D1124" s="290" t="inlineStr">
        <is>
          <t>Crew's Operational</t>
        </is>
      </c>
      <c r="E1124" s="306" t="inlineStr">
        <is>
          <t>-</t>
        </is>
      </c>
      <c r="F1124" s="307" t="n">
        <v>657000</v>
      </c>
      <c r="G1124" s="289" t="inlineStr">
        <is>
          <t>IDR</t>
        </is>
      </c>
      <c r="H1124" s="293" t="n">
        <v>1</v>
      </c>
      <c r="I1124" s="306" t="n"/>
      <c r="J1124" s="306" t="n"/>
      <c r="K1124" s="306" t="n"/>
      <c r="L1124" s="307">
        <f>$F1124*$H1124</f>
        <v/>
      </c>
      <c r="M1124" s="306" t="n"/>
      <c r="N1124" s="306" t="n"/>
      <c r="O1124" s="306" t="n"/>
      <c r="P1124" s="306" t="n"/>
      <c r="Q1124" s="306" t="n"/>
    </row>
    <row r="1125" ht="18.75" customHeight="1">
      <c r="B1125" s="288" t="n">
        <v>45407</v>
      </c>
      <c r="C1125" s="289" t="n">
        <v>539</v>
      </c>
      <c r="D1125" s="290" t="inlineStr">
        <is>
          <t>Crew's Operational</t>
        </is>
      </c>
      <c r="E1125" s="306" t="inlineStr">
        <is>
          <t>-</t>
        </is>
      </c>
      <c r="F1125" s="307" t="n">
        <v>657000</v>
      </c>
      <c r="G1125" s="289" t="inlineStr">
        <is>
          <t>IDR</t>
        </is>
      </c>
      <c r="H1125" s="293" t="n">
        <v>1</v>
      </c>
      <c r="I1125" s="306" t="n"/>
      <c r="J1125" s="306" t="n"/>
      <c r="K1125" s="306" t="n"/>
      <c r="L1125" s="307">
        <f>$F1125*$H1125</f>
        <v/>
      </c>
      <c r="M1125" s="306" t="n"/>
      <c r="N1125" s="306" t="n"/>
      <c r="O1125" s="306" t="n"/>
      <c r="P1125" s="306" t="n"/>
      <c r="Q1125" s="306" t="n"/>
    </row>
    <row r="1126" ht="18.75" customHeight="1">
      <c r="B1126" s="288" t="n">
        <v>45407</v>
      </c>
      <c r="C1126" s="289" t="n">
        <v>540</v>
      </c>
      <c r="D1126" s="290" t="inlineStr">
        <is>
          <t>Crew's Operational</t>
        </is>
      </c>
      <c r="E1126" s="306" t="inlineStr">
        <is>
          <t>-</t>
        </is>
      </c>
      <c r="F1126" s="307" t="n">
        <v>657000</v>
      </c>
      <c r="G1126" s="289" t="inlineStr">
        <is>
          <t>IDR</t>
        </is>
      </c>
      <c r="H1126" s="293" t="n">
        <v>1</v>
      </c>
      <c r="I1126" s="306" t="n"/>
      <c r="J1126" s="306" t="n"/>
      <c r="K1126" s="306" t="n"/>
      <c r="L1126" s="307">
        <f>$F1126*$H1126</f>
        <v/>
      </c>
      <c r="M1126" s="306" t="n"/>
      <c r="N1126" s="306" t="n"/>
      <c r="O1126" s="306" t="n"/>
      <c r="P1126" s="306" t="n"/>
      <c r="Q1126" s="306" t="n"/>
    </row>
    <row r="1127" ht="18.75" customHeight="1">
      <c r="B1127" s="288" t="n">
        <v>45411</v>
      </c>
      <c r="C1127" s="289" t="n">
        <v>541</v>
      </c>
      <c r="D1127" s="290" t="inlineStr">
        <is>
          <t>Internet Data</t>
        </is>
      </c>
      <c r="E1127" s="306" t="inlineStr">
        <is>
          <t>-</t>
        </is>
      </c>
      <c r="F1127" s="307" t="n">
        <v>75000</v>
      </c>
      <c r="G1127" s="289" t="inlineStr">
        <is>
          <t>IDR</t>
        </is>
      </c>
      <c r="H1127" s="293" t="n">
        <v>1</v>
      </c>
      <c r="I1127" s="306" t="n"/>
      <c r="J1127" s="306" t="n"/>
      <c r="K1127" s="306" t="n"/>
      <c r="L1127" s="307">
        <f>$F1127*$H1127</f>
        <v/>
      </c>
      <c r="M1127" s="306" t="n"/>
      <c r="N1127" s="306" t="n"/>
      <c r="O1127" s="306" t="n"/>
      <c r="P1127" s="306" t="n"/>
      <c r="Q1127" s="306" t="n"/>
    </row>
    <row r="1128" ht="18.75" customHeight="1">
      <c r="B1128" s="288" t="n">
        <v>45411</v>
      </c>
      <c r="C1128" s="289" t="n">
        <v>542</v>
      </c>
      <c r="D1128" s="290" t="inlineStr">
        <is>
          <t>Internet Data</t>
        </is>
      </c>
      <c r="E1128" s="306" t="inlineStr">
        <is>
          <t>-</t>
        </is>
      </c>
      <c r="F1128" s="307" t="n">
        <v>75000</v>
      </c>
      <c r="G1128" s="289" t="inlineStr">
        <is>
          <t>IDR</t>
        </is>
      </c>
      <c r="H1128" s="293" t="n">
        <v>1</v>
      </c>
      <c r="I1128" s="306" t="n"/>
      <c r="J1128" s="306" t="n"/>
      <c r="K1128" s="306" t="n"/>
      <c r="L1128" s="307">
        <f>$F1128*$H1128</f>
        <v/>
      </c>
      <c r="M1128" s="306" t="n"/>
      <c r="N1128" s="306" t="n"/>
      <c r="O1128" s="306" t="n"/>
      <c r="P1128" s="306" t="n"/>
      <c r="Q1128" s="306" t="n"/>
    </row>
    <row r="1129" ht="18.75" customHeight="1">
      <c r="B1129" s="288" t="n">
        <v>45411</v>
      </c>
      <c r="C1129" s="289" t="n">
        <v>543</v>
      </c>
      <c r="D1129" s="290" t="inlineStr">
        <is>
          <t>Internet Data</t>
        </is>
      </c>
      <c r="E1129" s="306" t="inlineStr">
        <is>
          <t>-</t>
        </is>
      </c>
      <c r="F1129" s="307" t="n">
        <v>75000</v>
      </c>
      <c r="G1129" s="289" t="inlineStr">
        <is>
          <t>IDR</t>
        </is>
      </c>
      <c r="H1129" s="293" t="n">
        <v>1</v>
      </c>
      <c r="I1129" s="306" t="n"/>
      <c r="J1129" s="306" t="n"/>
      <c r="K1129" s="306" t="n"/>
      <c r="L1129" s="307">
        <f>$F1129*$H1129</f>
        <v/>
      </c>
      <c r="M1129" s="306" t="n"/>
      <c r="N1129" s="306" t="n"/>
      <c r="O1129" s="306" t="n"/>
      <c r="P1129" s="306" t="n"/>
      <c r="Q1129" s="306" t="n"/>
    </row>
    <row r="1130" ht="18.75" customHeight="1">
      <c r="B1130" s="288" t="n">
        <v>45411</v>
      </c>
      <c r="C1130" s="289" t="n">
        <v>544</v>
      </c>
      <c r="D1130" s="290" t="inlineStr">
        <is>
          <t>Internet Data</t>
        </is>
      </c>
      <c r="E1130" s="306" t="inlineStr">
        <is>
          <t>-</t>
        </is>
      </c>
      <c r="F1130" s="307" t="n">
        <v>75000</v>
      </c>
      <c r="G1130" s="289" t="inlineStr">
        <is>
          <t>IDR</t>
        </is>
      </c>
      <c r="H1130" s="293" t="n">
        <v>1</v>
      </c>
      <c r="I1130" s="306" t="n"/>
      <c r="J1130" s="306" t="n"/>
      <c r="K1130" s="306" t="n"/>
      <c r="L1130" s="307">
        <f>$F1130*$H1130</f>
        <v/>
      </c>
      <c r="M1130" s="306" t="n"/>
      <c r="N1130" s="306" t="n"/>
      <c r="O1130" s="306" t="n"/>
      <c r="P1130" s="306" t="n"/>
      <c r="Q1130" s="306" t="n"/>
    </row>
    <row r="1131">
      <c r="B1131" s="312" t="n"/>
      <c r="C1131" s="312" t="n"/>
      <c r="D1131" s="285" t="inlineStr">
        <is>
          <t>Hand Tools</t>
        </is>
      </c>
      <c r="E1131" s="312" t="n"/>
      <c r="F1131" s="312" t="n"/>
      <c r="G1131" s="312" t="n"/>
      <c r="H1131" s="312" t="n"/>
      <c r="I1131" s="312" t="n"/>
      <c r="J1131" s="312" t="n"/>
      <c r="K1131" s="312" t="n"/>
      <c r="L1131" s="312" t="n"/>
      <c r="M1131" s="312" t="n"/>
      <c r="N1131" s="312" t="n"/>
      <c r="O1131" s="312" t="n"/>
      <c r="P1131" s="312" t="n"/>
      <c r="Q1131" s="312" t="n"/>
    </row>
    <row r="1132" ht="18.75" customHeight="1">
      <c r="B1132" s="288" t="n">
        <v>45401</v>
      </c>
      <c r="C1132" s="289" t="n">
        <v>545</v>
      </c>
      <c r="D1132" s="290" t="inlineStr">
        <is>
          <t>Tekiro Kunci L, Tekiro Tang, Obeng Set</t>
        </is>
      </c>
      <c r="E1132" s="306" t="inlineStr">
        <is>
          <t>-</t>
        </is>
      </c>
      <c r="F1132" s="307" t="n">
        <v>349000</v>
      </c>
      <c r="G1132" s="289" t="inlineStr">
        <is>
          <t>IDR</t>
        </is>
      </c>
      <c r="H1132" s="293" t="n">
        <v>1</v>
      </c>
      <c r="I1132" s="306" t="n"/>
      <c r="J1132" s="306" t="n"/>
      <c r="K1132" s="306" t="n"/>
      <c r="L1132" s="306" t="n"/>
      <c r="M1132" s="306" t="n"/>
      <c r="N1132" s="307">
        <f>$F1132*$H1132</f>
        <v/>
      </c>
      <c r="O1132" s="306" t="n"/>
      <c r="P1132" s="306" t="n"/>
      <c r="Q1132" s="306" t="n"/>
    </row>
    <row r="1133" ht="18.75" customHeight="1">
      <c r="B1133" s="288" t="n">
        <v>45401</v>
      </c>
      <c r="C1133" s="289" t="n">
        <v>546</v>
      </c>
      <c r="D1133" s="290" t="inlineStr">
        <is>
          <t>Tekiro Kunci L, Tekiro Tang, Obeng Set</t>
        </is>
      </c>
      <c r="E1133" s="306" t="inlineStr">
        <is>
          <t>-</t>
        </is>
      </c>
      <c r="F1133" s="307" t="n">
        <v>349000</v>
      </c>
      <c r="G1133" s="289" t="inlineStr">
        <is>
          <t>IDR</t>
        </is>
      </c>
      <c r="H1133" s="293" t="n">
        <v>1</v>
      </c>
      <c r="I1133" s="306" t="n"/>
      <c r="J1133" s="306" t="n"/>
      <c r="K1133" s="306" t="n"/>
      <c r="L1133" s="306" t="n"/>
      <c r="M1133" s="306" t="n"/>
      <c r="N1133" s="307">
        <f>$F1133*$H1133</f>
        <v/>
      </c>
      <c r="O1133" s="306" t="n"/>
      <c r="P1133" s="306" t="n"/>
      <c r="Q1133" s="306" t="n"/>
    </row>
    <row r="1134" ht="18.75" customHeight="1">
      <c r="B1134" s="288" t="n">
        <v>45401</v>
      </c>
      <c r="C1134" s="289" t="n">
        <v>547</v>
      </c>
      <c r="D1134" s="290" t="inlineStr">
        <is>
          <t>Tekiro Kunci L, Tekiro Tang, Obeng Set</t>
        </is>
      </c>
      <c r="E1134" s="306" t="inlineStr">
        <is>
          <t>-</t>
        </is>
      </c>
      <c r="F1134" s="307" t="n">
        <v>349000</v>
      </c>
      <c r="G1134" s="289" t="inlineStr">
        <is>
          <t>IDR</t>
        </is>
      </c>
      <c r="H1134" s="293" t="n">
        <v>1</v>
      </c>
      <c r="I1134" s="306" t="n"/>
      <c r="J1134" s="306" t="n"/>
      <c r="K1134" s="306" t="n"/>
      <c r="L1134" s="306" t="n"/>
      <c r="M1134" s="306" t="n"/>
      <c r="N1134" s="307">
        <f>$F1134*$H1134</f>
        <v/>
      </c>
      <c r="O1134" s="306" t="n"/>
      <c r="P1134" s="306" t="n"/>
      <c r="Q1134" s="306" t="n"/>
    </row>
    <row r="1135" ht="18.75" customHeight="1">
      <c r="B1135" s="288" t="n">
        <v>45401</v>
      </c>
      <c r="C1135" s="289" t="n">
        <v>548</v>
      </c>
      <c r="D1135" s="290" t="inlineStr">
        <is>
          <t>Tekiro Kunci L, Tekiro Tang, Obeng Set</t>
        </is>
      </c>
      <c r="E1135" s="306" t="inlineStr">
        <is>
          <t>-</t>
        </is>
      </c>
      <c r="F1135" s="307" t="n">
        <v>349000</v>
      </c>
      <c r="G1135" s="289" t="inlineStr">
        <is>
          <t>IDR</t>
        </is>
      </c>
      <c r="H1135" s="293" t="n">
        <v>1</v>
      </c>
      <c r="I1135" s="306" t="n"/>
      <c r="J1135" s="306" t="n"/>
      <c r="K1135" s="306" t="n"/>
      <c r="L1135" s="306" t="n"/>
      <c r="M1135" s="306" t="n"/>
      <c r="N1135" s="307">
        <f>$F1135*$H1135</f>
        <v/>
      </c>
      <c r="O1135" s="306" t="n"/>
      <c r="P1135" s="306" t="n"/>
      <c r="Q1135" s="306" t="n"/>
    </row>
    <row r="1136">
      <c r="B1136" s="312" t="n"/>
      <c r="C1136" s="312" t="n"/>
      <c r="D1136" s="285" t="inlineStr">
        <is>
          <t>Laundry</t>
        </is>
      </c>
      <c r="E1136" s="312" t="n"/>
      <c r="F1136" s="312" t="n"/>
      <c r="G1136" s="312" t="n"/>
      <c r="H1136" s="312" t="n"/>
      <c r="I1136" s="312" t="n"/>
      <c r="J1136" s="312" t="n"/>
      <c r="K1136" s="312" t="n"/>
      <c r="L1136" s="312" t="n"/>
      <c r="M1136" s="312" t="n"/>
      <c r="N1136" s="312" t="n"/>
      <c r="O1136" s="312" t="n"/>
      <c r="P1136" s="312" t="n"/>
      <c r="Q1136" s="312" t="n"/>
    </row>
    <row r="1137" ht="18.75" customHeight="1">
      <c r="B1137" s="288" t="n">
        <v>45407</v>
      </c>
      <c r="C1137" s="289" t="n">
        <v>549</v>
      </c>
      <c r="D1137" s="290" t="inlineStr">
        <is>
          <t>Laundry 7 days 1 Persons @ 50K IDR/day</t>
        </is>
      </c>
      <c r="E1137" s="306" t="inlineStr">
        <is>
          <t>-</t>
        </is>
      </c>
      <c r="F1137" s="307" t="n">
        <v>350000</v>
      </c>
      <c r="G1137" s="289" t="inlineStr">
        <is>
          <t>IDR</t>
        </is>
      </c>
      <c r="H1137" s="293" t="n">
        <v>1</v>
      </c>
      <c r="I1137" s="306" t="n"/>
      <c r="J1137" s="306" t="n"/>
      <c r="K1137" s="306" t="n"/>
      <c r="L1137" s="307">
        <f>$F1137*$H1137</f>
        <v/>
      </c>
      <c r="M1137" s="306" t="n"/>
      <c r="N1137" s="306" t="n"/>
      <c r="O1137" s="306" t="n"/>
      <c r="P1137" s="306" t="n"/>
      <c r="Q1137" s="306" t="n"/>
    </row>
    <row r="1138" ht="18.75" customHeight="1">
      <c r="B1138" s="288" t="n">
        <v>45407</v>
      </c>
      <c r="C1138" s="289" t="n">
        <v>550</v>
      </c>
      <c r="D1138" s="290" t="inlineStr">
        <is>
          <t>Laundry 7 days 1 Persons @ 50K IDR/day</t>
        </is>
      </c>
      <c r="E1138" s="306" t="inlineStr">
        <is>
          <t>-</t>
        </is>
      </c>
      <c r="F1138" s="307" t="n">
        <v>350000</v>
      </c>
      <c r="G1138" s="289" t="inlineStr">
        <is>
          <t>IDR</t>
        </is>
      </c>
      <c r="H1138" s="293" t="n">
        <v>1</v>
      </c>
      <c r="I1138" s="306" t="n"/>
      <c r="J1138" s="306" t="n"/>
      <c r="K1138" s="306" t="n"/>
      <c r="L1138" s="307">
        <f>$F1138*$H1138</f>
        <v/>
      </c>
      <c r="M1138" s="306" t="n"/>
      <c r="N1138" s="306" t="n"/>
      <c r="O1138" s="306" t="n"/>
      <c r="P1138" s="306" t="n"/>
      <c r="Q1138" s="306" t="n"/>
    </row>
    <row r="1139" ht="18.75" customHeight="1">
      <c r="B1139" s="288" t="n">
        <v>45407</v>
      </c>
      <c r="C1139" s="289" t="n">
        <v>551</v>
      </c>
      <c r="D1139" s="290" t="inlineStr">
        <is>
          <t>Laundry 7 days 1 Persons @ 50K IDR/day</t>
        </is>
      </c>
      <c r="E1139" s="306" t="inlineStr">
        <is>
          <t>-</t>
        </is>
      </c>
      <c r="F1139" s="307" t="n">
        <v>350000</v>
      </c>
      <c r="G1139" s="289" t="inlineStr">
        <is>
          <t>IDR</t>
        </is>
      </c>
      <c r="H1139" s="293" t="n">
        <v>1</v>
      </c>
      <c r="I1139" s="306" t="n"/>
      <c r="J1139" s="306" t="n"/>
      <c r="K1139" s="306" t="n"/>
      <c r="L1139" s="307">
        <f>$F1139*$H1139</f>
        <v/>
      </c>
      <c r="M1139" s="306" t="n"/>
      <c r="N1139" s="306" t="n"/>
      <c r="O1139" s="306" t="n"/>
      <c r="P1139" s="306" t="n"/>
      <c r="Q1139" s="306" t="n"/>
    </row>
    <row r="1140" ht="18.75" customHeight="1">
      <c r="B1140" s="288" t="n">
        <v>45407</v>
      </c>
      <c r="C1140" s="289" t="n">
        <v>552</v>
      </c>
      <c r="D1140" s="290" t="inlineStr">
        <is>
          <t>Laundry 7 days 1 Persons @ 50K IDR/day</t>
        </is>
      </c>
      <c r="E1140" s="306" t="inlineStr">
        <is>
          <t>-</t>
        </is>
      </c>
      <c r="F1140" s="307" t="n">
        <v>350000</v>
      </c>
      <c r="G1140" s="289" t="inlineStr">
        <is>
          <t>IDR</t>
        </is>
      </c>
      <c r="H1140" s="293" t="n">
        <v>1</v>
      </c>
      <c r="I1140" s="306" t="n"/>
      <c r="J1140" s="306" t="n"/>
      <c r="K1140" s="306" t="n"/>
      <c r="L1140" s="307">
        <f>$F1140*$H1140</f>
        <v/>
      </c>
      <c r="M1140" s="306" t="n"/>
      <c r="N1140" s="306" t="n"/>
      <c r="O1140" s="306" t="n"/>
      <c r="P1140" s="306" t="n"/>
      <c r="Q1140" s="306" t="n"/>
    </row>
    <row r="1141">
      <c r="B1141" s="312" t="n"/>
      <c r="C1141" s="312" t="n"/>
      <c r="D1141" s="285" t="inlineStr">
        <is>
          <t>Meal</t>
        </is>
      </c>
      <c r="E1141" s="312" t="n"/>
      <c r="F1141" s="312" t="n"/>
      <c r="G1141" s="312" t="n"/>
      <c r="H1141" s="312" t="n"/>
      <c r="I1141" s="312" t="n"/>
      <c r="J1141" s="312" t="n"/>
      <c r="K1141" s="312" t="n"/>
      <c r="L1141" s="312" t="n"/>
      <c r="M1141" s="312" t="n"/>
      <c r="N1141" s="312" t="n"/>
      <c r="O1141" s="312" t="n"/>
      <c r="P1141" s="312" t="n"/>
      <c r="Q1141" s="312" t="n"/>
    </row>
    <row r="1142" ht="18.75" customHeight="1">
      <c r="B1142" s="288" t="n">
        <v>45407</v>
      </c>
      <c r="C1142" s="289" t="n">
        <v>553</v>
      </c>
      <c r="D1142" s="290" t="inlineStr">
        <is>
          <t>Meals 7 days 1 Persons @ 150K IDR/day</t>
        </is>
      </c>
      <c r="E1142" s="306" t="inlineStr">
        <is>
          <t>-</t>
        </is>
      </c>
      <c r="F1142" s="307" t="n">
        <v>1050000</v>
      </c>
      <c r="G1142" s="289" t="inlineStr">
        <is>
          <t>IDR</t>
        </is>
      </c>
      <c r="H1142" s="293" t="n">
        <v>1</v>
      </c>
      <c r="I1142" s="306" t="n"/>
      <c r="J1142" s="306" t="n"/>
      <c r="K1142" s="306" t="n"/>
      <c r="L1142" s="307">
        <f>$F1142*$H1142</f>
        <v/>
      </c>
      <c r="M1142" s="306" t="n"/>
      <c r="N1142" s="306" t="n"/>
      <c r="O1142" s="306" t="n"/>
      <c r="P1142" s="306" t="n"/>
      <c r="Q1142" s="306" t="n"/>
    </row>
    <row r="1143" ht="18.75" customHeight="1">
      <c r="B1143" s="288" t="n">
        <v>45407</v>
      </c>
      <c r="C1143" s="289" t="n">
        <v>554</v>
      </c>
      <c r="D1143" s="290" t="inlineStr">
        <is>
          <t>Meals 7 days 1 Persons @ 150K IDR/day</t>
        </is>
      </c>
      <c r="E1143" s="306" t="inlineStr">
        <is>
          <t>-</t>
        </is>
      </c>
      <c r="F1143" s="307" t="n">
        <v>1050000</v>
      </c>
      <c r="G1143" s="289" t="inlineStr">
        <is>
          <t>IDR</t>
        </is>
      </c>
      <c r="H1143" s="293" t="n">
        <v>1</v>
      </c>
      <c r="I1143" s="306" t="n"/>
      <c r="J1143" s="306" t="n"/>
      <c r="K1143" s="306" t="n"/>
      <c r="L1143" s="307">
        <f>$F1143*$H1143</f>
        <v/>
      </c>
      <c r="M1143" s="306" t="n"/>
      <c r="N1143" s="306" t="n"/>
      <c r="O1143" s="306" t="n"/>
      <c r="P1143" s="306" t="n"/>
      <c r="Q1143" s="306" t="n"/>
    </row>
    <row r="1144" ht="18.75" customHeight="1">
      <c r="B1144" s="288" t="n">
        <v>45407</v>
      </c>
      <c r="C1144" s="289" t="n">
        <v>555</v>
      </c>
      <c r="D1144" s="290" t="inlineStr">
        <is>
          <t>Meals 7 days 1 Persons @ 150K IDR/day</t>
        </is>
      </c>
      <c r="E1144" s="306" t="inlineStr">
        <is>
          <t>-</t>
        </is>
      </c>
      <c r="F1144" s="307" t="n">
        <v>1050000</v>
      </c>
      <c r="G1144" s="289" t="inlineStr">
        <is>
          <t>IDR</t>
        </is>
      </c>
      <c r="H1144" s="293" t="n">
        <v>1</v>
      </c>
      <c r="I1144" s="306" t="n"/>
      <c r="J1144" s="306" t="n"/>
      <c r="K1144" s="306" t="n"/>
      <c r="L1144" s="307">
        <f>$F1144*$H1144</f>
        <v/>
      </c>
      <c r="M1144" s="306" t="n"/>
      <c r="N1144" s="306" t="n"/>
      <c r="O1144" s="306" t="n"/>
      <c r="P1144" s="306" t="n"/>
      <c r="Q1144" s="306" t="n"/>
    </row>
    <row r="1145" ht="18.75" customHeight="1">
      <c r="B1145" s="288" t="n">
        <v>45407</v>
      </c>
      <c r="C1145" s="289" t="n">
        <v>556</v>
      </c>
      <c r="D1145" s="290" t="inlineStr">
        <is>
          <t>Meals 7 days 1 Persons @ 150K IDR/day</t>
        </is>
      </c>
      <c r="E1145" s="306" t="inlineStr">
        <is>
          <t>-</t>
        </is>
      </c>
      <c r="F1145" s="307" t="n">
        <v>1050000</v>
      </c>
      <c r="G1145" s="289" t="inlineStr">
        <is>
          <t>IDR</t>
        </is>
      </c>
      <c r="H1145" s="293" t="n">
        <v>1</v>
      </c>
      <c r="I1145" s="306" t="n"/>
      <c r="J1145" s="306" t="n"/>
      <c r="K1145" s="306" t="n"/>
      <c r="L1145" s="307">
        <f>$F1145*$H1145</f>
        <v/>
      </c>
      <c r="M1145" s="306" t="n"/>
      <c r="N1145" s="306" t="n"/>
      <c r="O1145" s="306" t="n"/>
      <c r="P1145" s="306" t="n"/>
      <c r="Q1145" s="306" t="n"/>
    </row>
    <row r="1146">
      <c r="B1146" s="310" t="inlineStr">
        <is>
          <t>Expense#11</t>
        </is>
      </c>
      <c r="C1146" s="311" t="inlineStr">
        <is>
          <t>:</t>
        </is>
      </c>
      <c r="D1146" s="310" t="inlineStr">
        <is>
          <t>ALFA+MFC (TGB-033 Zona 7) Elnusa_TMA</t>
        </is>
      </c>
      <c r="E1146" s="311" t="n"/>
      <c r="F1146" s="311" t="n"/>
      <c r="G1146" s="311" t="n"/>
      <c r="H1146" s="311" t="n"/>
      <c r="I1146" s="311" t="n"/>
      <c r="J1146" s="311" t="n"/>
      <c r="K1146" s="311" t="n"/>
      <c r="L1146" s="311" t="n"/>
      <c r="M1146" s="311" t="n"/>
      <c r="N1146" s="311" t="n"/>
      <c r="O1146" s="311" t="n"/>
      <c r="P1146" s="311" t="n"/>
      <c r="Q1146" s="311" t="n"/>
    </row>
    <row r="1147">
      <c r="B1147" s="312" t="n"/>
      <c r="C1147" s="312" t="n"/>
      <c r="D1147" s="285" t="inlineStr">
        <is>
          <t>Accommodation</t>
        </is>
      </c>
      <c r="E1147" s="312" t="n"/>
      <c r="F1147" s="312" t="n"/>
      <c r="G1147" s="312" t="n"/>
      <c r="H1147" s="312" t="n"/>
      <c r="I1147" s="312" t="n"/>
      <c r="J1147" s="312" t="n"/>
      <c r="K1147" s="312" t="n"/>
      <c r="L1147" s="312" t="n"/>
      <c r="M1147" s="312" t="n"/>
      <c r="N1147" s="312" t="n"/>
      <c r="O1147" s="312" t="n"/>
      <c r="P1147" s="312" t="n"/>
      <c r="Q1147" s="312" t="n"/>
    </row>
    <row r="1148" ht="18.75" customHeight="1">
      <c r="B1148" s="288" t="n">
        <v>45401</v>
      </c>
      <c r="C1148" s="289" t="n">
        <v>557</v>
      </c>
      <c r="D1148" s="290" t="inlineStr">
        <is>
          <t>Hotel 19 Apr-22 Apr 2024 (3 days)</t>
        </is>
      </c>
      <c r="E1148" s="306" t="inlineStr">
        <is>
          <t>-</t>
        </is>
      </c>
      <c r="F1148" s="307" t="n">
        <v>1950000</v>
      </c>
      <c r="G1148" s="289" t="inlineStr">
        <is>
          <t>IDR</t>
        </is>
      </c>
      <c r="H1148" s="293" t="n">
        <v>1</v>
      </c>
      <c r="I1148" s="306" t="n"/>
      <c r="J1148" s="306" t="n"/>
      <c r="K1148" s="306" t="n"/>
      <c r="L1148" s="307">
        <f>$F1148*$H1148</f>
        <v/>
      </c>
      <c r="M1148" s="306" t="n"/>
      <c r="N1148" s="306" t="n"/>
      <c r="O1148" s="306" t="n"/>
      <c r="P1148" s="306" t="n"/>
      <c r="Q1148" s="306" t="n"/>
    </row>
    <row r="1149" ht="18.75" customHeight="1">
      <c r="B1149" s="288" t="n">
        <v>45401</v>
      </c>
      <c r="C1149" s="289" t="n">
        <v>558</v>
      </c>
      <c r="D1149" s="290" t="inlineStr">
        <is>
          <t>Hotel 19 Apr-22 Apr 2024 (3 days)</t>
        </is>
      </c>
      <c r="E1149" s="306" t="inlineStr">
        <is>
          <t>-</t>
        </is>
      </c>
      <c r="F1149" s="307" t="n">
        <v>1950000</v>
      </c>
      <c r="G1149" s="289" t="inlineStr">
        <is>
          <t>IDR</t>
        </is>
      </c>
      <c r="H1149" s="293" t="n">
        <v>1</v>
      </c>
      <c r="I1149" s="306" t="n"/>
      <c r="J1149" s="306" t="n"/>
      <c r="K1149" s="306" t="n"/>
      <c r="L1149" s="307">
        <f>$F1149*$H1149</f>
        <v/>
      </c>
      <c r="M1149" s="306" t="n"/>
      <c r="N1149" s="306" t="n"/>
      <c r="O1149" s="306" t="n"/>
      <c r="P1149" s="306" t="n"/>
      <c r="Q1149" s="306" t="n"/>
    </row>
    <row r="1150" ht="18.75" customHeight="1">
      <c r="B1150" s="288" t="n">
        <v>45401</v>
      </c>
      <c r="C1150" s="289" t="n">
        <v>559</v>
      </c>
      <c r="D1150" s="290" t="inlineStr">
        <is>
          <t>Hotel 19 Apr-22 Apr 2024 (3 days)</t>
        </is>
      </c>
      <c r="E1150" s="306" t="inlineStr">
        <is>
          <t>-</t>
        </is>
      </c>
      <c r="F1150" s="307" t="n">
        <v>1950000</v>
      </c>
      <c r="G1150" s="289" t="inlineStr">
        <is>
          <t>IDR</t>
        </is>
      </c>
      <c r="H1150" s="293" t="n">
        <v>1</v>
      </c>
      <c r="I1150" s="306" t="n"/>
      <c r="J1150" s="306" t="n"/>
      <c r="K1150" s="306" t="n"/>
      <c r="L1150" s="307">
        <f>$F1150*$H1150</f>
        <v/>
      </c>
      <c r="M1150" s="306" t="n"/>
      <c r="N1150" s="306" t="n"/>
      <c r="O1150" s="306" t="n"/>
      <c r="P1150" s="306" t="n"/>
      <c r="Q1150" s="306" t="n"/>
    </row>
    <row r="1151" ht="18.75" customHeight="1">
      <c r="B1151" s="288" t="n">
        <v>45401</v>
      </c>
      <c r="C1151" s="289" t="n">
        <v>560</v>
      </c>
      <c r="D1151" s="290" t="inlineStr">
        <is>
          <t>Hotel 19 Apr-22 Apr 2024 (3 days)</t>
        </is>
      </c>
      <c r="E1151" s="306" t="inlineStr">
        <is>
          <t>-</t>
        </is>
      </c>
      <c r="F1151" s="307" t="n">
        <v>1950000</v>
      </c>
      <c r="G1151" s="289" t="inlineStr">
        <is>
          <t>IDR</t>
        </is>
      </c>
      <c r="H1151" s="293" t="n">
        <v>1</v>
      </c>
      <c r="I1151" s="306" t="n"/>
      <c r="J1151" s="306" t="n"/>
      <c r="K1151" s="306" t="n"/>
      <c r="L1151" s="307">
        <f>$F1151*$H1151</f>
        <v/>
      </c>
      <c r="M1151" s="306" t="n"/>
      <c r="N1151" s="306" t="n"/>
      <c r="O1151" s="306" t="n"/>
      <c r="P1151" s="306" t="n"/>
      <c r="Q1151" s="306" t="n"/>
    </row>
    <row r="1152">
      <c r="B1152" s="312" t="n"/>
      <c r="C1152" s="312" t="n"/>
      <c r="D1152" s="285" t="inlineStr">
        <is>
          <t>Allowance</t>
        </is>
      </c>
      <c r="E1152" s="312" t="n"/>
      <c r="F1152" s="312" t="n"/>
      <c r="G1152" s="312" t="n"/>
      <c r="H1152" s="312" t="n"/>
      <c r="I1152" s="312" t="n"/>
      <c r="J1152" s="312" t="n"/>
      <c r="K1152" s="312" t="n"/>
      <c r="L1152" s="312" t="n"/>
      <c r="M1152" s="312" t="n"/>
      <c r="N1152" s="312" t="n"/>
      <c r="O1152" s="312" t="n"/>
      <c r="P1152" s="312" t="n"/>
      <c r="Q1152" s="312" t="n"/>
    </row>
    <row r="1153" ht="18.75" customHeight="1">
      <c r="B1153" s="288" t="n">
        <v>45401</v>
      </c>
      <c r="C1153" s="289" t="n">
        <v>561</v>
      </c>
      <c r="D1153" s="290" t="inlineStr">
        <is>
          <t>Field Bonus for 4 days (25$/Day)</t>
        </is>
      </c>
      <c r="E1153" s="306" t="inlineStr">
        <is>
          <t>-</t>
        </is>
      </c>
      <c r="F1153" s="307" t="n">
        <v>100</v>
      </c>
      <c r="G1153" s="289" t="inlineStr">
        <is>
          <t>USD</t>
        </is>
      </c>
      <c r="H1153" s="293" t="n">
        <v>16050.85</v>
      </c>
      <c r="I1153" s="306" t="n"/>
      <c r="J1153" s="306" t="n"/>
      <c r="K1153" s="306" t="n"/>
      <c r="L1153" s="307">
        <f>$F1153*$H1153</f>
        <v/>
      </c>
      <c r="M1153" s="306" t="n"/>
      <c r="N1153" s="306" t="n"/>
      <c r="O1153" s="306" t="n"/>
      <c r="P1153" s="306" t="n"/>
      <c r="Q1153" s="306" t="n"/>
    </row>
    <row r="1154" ht="18.75" customHeight="1">
      <c r="B1154" s="288" t="n">
        <v>45401</v>
      </c>
      <c r="C1154" s="289" t="n">
        <v>562</v>
      </c>
      <c r="D1154" s="290" t="inlineStr">
        <is>
          <t>Field Bonus for 4 days (25$/Day)</t>
        </is>
      </c>
      <c r="E1154" s="306" t="inlineStr">
        <is>
          <t>-</t>
        </is>
      </c>
      <c r="F1154" s="307" t="n">
        <v>100</v>
      </c>
      <c r="G1154" s="289" t="inlineStr">
        <is>
          <t>USD</t>
        </is>
      </c>
      <c r="H1154" s="293" t="n">
        <v>16050.85</v>
      </c>
      <c r="I1154" s="306" t="n"/>
      <c r="J1154" s="306" t="n"/>
      <c r="K1154" s="306" t="n"/>
      <c r="L1154" s="307">
        <f>$F1154*$H1154</f>
        <v/>
      </c>
      <c r="M1154" s="306" t="n"/>
      <c r="N1154" s="306" t="n"/>
      <c r="O1154" s="306" t="n"/>
      <c r="P1154" s="306" t="n"/>
      <c r="Q1154" s="306" t="n"/>
    </row>
    <row r="1155" ht="18.75" customHeight="1">
      <c r="B1155" s="288" t="n">
        <v>45401</v>
      </c>
      <c r="C1155" s="289" t="n">
        <v>563</v>
      </c>
      <c r="D1155" s="290" t="inlineStr">
        <is>
          <t>Field Bonus for 4 days (25$/Day)</t>
        </is>
      </c>
      <c r="E1155" s="306" t="inlineStr">
        <is>
          <t>-</t>
        </is>
      </c>
      <c r="F1155" s="307" t="n">
        <v>100</v>
      </c>
      <c r="G1155" s="289" t="inlineStr">
        <is>
          <t>USD</t>
        </is>
      </c>
      <c r="H1155" s="293" t="n">
        <v>16050.85</v>
      </c>
      <c r="I1155" s="306" t="n"/>
      <c r="J1155" s="306" t="n"/>
      <c r="K1155" s="306" t="n"/>
      <c r="L1155" s="307">
        <f>$F1155*$H1155</f>
        <v/>
      </c>
      <c r="M1155" s="306" t="n"/>
      <c r="N1155" s="306" t="n"/>
      <c r="O1155" s="306" t="n"/>
      <c r="P1155" s="306" t="n"/>
      <c r="Q1155" s="306" t="n"/>
    </row>
    <row r="1156" ht="18.75" customHeight="1">
      <c r="B1156" s="288" t="n">
        <v>45401</v>
      </c>
      <c r="C1156" s="289" t="n">
        <v>564</v>
      </c>
      <c r="D1156" s="290" t="inlineStr">
        <is>
          <t>Field Bonus for 4 days (25$/Day)</t>
        </is>
      </c>
      <c r="E1156" s="306" t="inlineStr">
        <is>
          <t>-</t>
        </is>
      </c>
      <c r="F1156" s="307" t="n">
        <v>100</v>
      </c>
      <c r="G1156" s="289" t="inlineStr">
        <is>
          <t>USD</t>
        </is>
      </c>
      <c r="H1156" s="293" t="n">
        <v>16050.85</v>
      </c>
      <c r="I1156" s="306" t="n"/>
      <c r="J1156" s="306" t="n"/>
      <c r="K1156" s="306" t="n"/>
      <c r="L1156" s="307">
        <f>$F1156*$H1156</f>
        <v/>
      </c>
      <c r="M1156" s="306" t="n"/>
      <c r="N1156" s="306" t="n"/>
      <c r="O1156" s="306" t="n"/>
      <c r="P1156" s="306" t="n"/>
      <c r="Q1156" s="306" t="n"/>
    </row>
    <row r="1157">
      <c r="B1157" s="312" t="n"/>
      <c r="C1157" s="312" t="n"/>
      <c r="D1157" s="285" t="inlineStr">
        <is>
          <t>Biaya Operasi Lain-lain</t>
        </is>
      </c>
      <c r="E1157" s="312" t="n"/>
      <c r="F1157" s="312" t="n"/>
      <c r="G1157" s="312" t="n"/>
      <c r="H1157" s="312" t="n"/>
      <c r="I1157" s="312" t="n"/>
      <c r="J1157" s="312" t="n"/>
      <c r="K1157" s="312" t="n"/>
      <c r="L1157" s="312" t="n"/>
      <c r="M1157" s="312" t="n"/>
      <c r="N1157" s="312" t="n"/>
      <c r="O1157" s="312" t="n"/>
      <c r="P1157" s="312" t="n"/>
      <c r="Q1157" s="312" t="n"/>
    </row>
    <row r="1158" ht="18.75" customHeight="1">
      <c r="B1158" s="288" t="n">
        <v>45401</v>
      </c>
      <c r="C1158" s="289" t="n">
        <v>565</v>
      </c>
      <c r="D1158" s="290" t="inlineStr">
        <is>
          <t>Battery A2</t>
        </is>
      </c>
      <c r="E1158" s="306" t="inlineStr">
        <is>
          <t>-</t>
        </is>
      </c>
      <c r="F1158" s="307" t="n">
        <v>101800</v>
      </c>
      <c r="G1158" s="289" t="inlineStr">
        <is>
          <t>IDR</t>
        </is>
      </c>
      <c r="H1158" s="293" t="n">
        <v>1</v>
      </c>
      <c r="I1158" s="306" t="n"/>
      <c r="J1158" s="306" t="n"/>
      <c r="K1158" s="306" t="n"/>
      <c r="L1158" s="307">
        <f>$F1158*$H1158</f>
        <v/>
      </c>
      <c r="M1158" s="306" t="n"/>
      <c r="N1158" s="306" t="n"/>
      <c r="O1158" s="306" t="n"/>
      <c r="P1158" s="306" t="n"/>
      <c r="Q1158" s="306" t="n"/>
    </row>
    <row r="1159" ht="18.75" customHeight="1">
      <c r="B1159" s="288" t="n">
        <v>45401</v>
      </c>
      <c r="C1159" s="289" t="n">
        <v>566</v>
      </c>
      <c r="D1159" s="290" t="inlineStr">
        <is>
          <t>Crew's Operational</t>
        </is>
      </c>
      <c r="E1159" s="306" t="inlineStr">
        <is>
          <t>-</t>
        </is>
      </c>
      <c r="F1159" s="307" t="n">
        <v>481900</v>
      </c>
      <c r="G1159" s="289" t="inlineStr">
        <is>
          <t>IDR</t>
        </is>
      </c>
      <c r="H1159" s="293" t="n">
        <v>1</v>
      </c>
      <c r="I1159" s="306" t="n"/>
      <c r="J1159" s="306" t="n"/>
      <c r="K1159" s="306" t="n"/>
      <c r="L1159" s="307">
        <f>$F1159*$H1159</f>
        <v/>
      </c>
      <c r="M1159" s="306" t="n"/>
      <c r="N1159" s="306" t="n"/>
      <c r="O1159" s="306" t="n"/>
      <c r="P1159" s="306" t="n"/>
      <c r="Q1159" s="306" t="n"/>
    </row>
    <row r="1160" ht="18.75" customHeight="1">
      <c r="B1160" s="288" t="n">
        <v>45401</v>
      </c>
      <c r="C1160" s="289" t="n">
        <v>567</v>
      </c>
      <c r="D1160" s="290" t="inlineStr">
        <is>
          <t>Battery A2</t>
        </is>
      </c>
      <c r="E1160" s="306" t="inlineStr">
        <is>
          <t>-</t>
        </is>
      </c>
      <c r="F1160" s="307" t="n">
        <v>101800</v>
      </c>
      <c r="G1160" s="289" t="inlineStr">
        <is>
          <t>IDR</t>
        </is>
      </c>
      <c r="H1160" s="293" t="n">
        <v>1</v>
      </c>
      <c r="I1160" s="306" t="n"/>
      <c r="J1160" s="306" t="n"/>
      <c r="K1160" s="306" t="n"/>
      <c r="L1160" s="307">
        <f>$F1160*$H1160</f>
        <v/>
      </c>
      <c r="M1160" s="306" t="n"/>
      <c r="N1160" s="306" t="n"/>
      <c r="O1160" s="306" t="n"/>
      <c r="P1160" s="306" t="n"/>
      <c r="Q1160" s="306" t="n"/>
    </row>
    <row r="1161" ht="18.75" customHeight="1">
      <c r="B1161" s="288" t="n">
        <v>45401</v>
      </c>
      <c r="C1161" s="289" t="n">
        <v>568</v>
      </c>
      <c r="D1161" s="290" t="inlineStr">
        <is>
          <t>Crew's Operational</t>
        </is>
      </c>
      <c r="E1161" s="306" t="inlineStr">
        <is>
          <t>-</t>
        </is>
      </c>
      <c r="F1161" s="307" t="n">
        <v>481900</v>
      </c>
      <c r="G1161" s="289" t="inlineStr">
        <is>
          <t>IDR</t>
        </is>
      </c>
      <c r="H1161" s="293" t="n">
        <v>1</v>
      </c>
      <c r="I1161" s="306" t="n"/>
      <c r="J1161" s="306" t="n"/>
      <c r="K1161" s="306" t="n"/>
      <c r="L1161" s="307">
        <f>$F1161*$H1161</f>
        <v/>
      </c>
      <c r="M1161" s="306" t="n"/>
      <c r="N1161" s="306" t="n"/>
      <c r="O1161" s="306" t="n"/>
      <c r="P1161" s="306" t="n"/>
      <c r="Q1161" s="306" t="n"/>
    </row>
    <row r="1162" ht="18.75" customHeight="1">
      <c r="B1162" s="288" t="n">
        <v>45401</v>
      </c>
      <c r="C1162" s="289" t="n">
        <v>569</v>
      </c>
      <c r="D1162" s="290" t="inlineStr">
        <is>
          <t>Battery A2</t>
        </is>
      </c>
      <c r="E1162" s="306" t="inlineStr">
        <is>
          <t>-</t>
        </is>
      </c>
      <c r="F1162" s="307" t="n">
        <v>101800</v>
      </c>
      <c r="G1162" s="289" t="inlineStr">
        <is>
          <t>IDR</t>
        </is>
      </c>
      <c r="H1162" s="293" t="n">
        <v>1</v>
      </c>
      <c r="I1162" s="306" t="n"/>
      <c r="J1162" s="306" t="n"/>
      <c r="K1162" s="306" t="n"/>
      <c r="L1162" s="307">
        <f>$F1162*$H1162</f>
        <v/>
      </c>
      <c r="M1162" s="306" t="n"/>
      <c r="N1162" s="306" t="n"/>
      <c r="O1162" s="306" t="n"/>
      <c r="P1162" s="306" t="n"/>
      <c r="Q1162" s="306" t="n"/>
    </row>
    <row r="1163" ht="18.75" customHeight="1">
      <c r="B1163" s="288" t="n">
        <v>45401</v>
      </c>
      <c r="C1163" s="289" t="n">
        <v>570</v>
      </c>
      <c r="D1163" s="290" t="inlineStr">
        <is>
          <t>Crew's Operational</t>
        </is>
      </c>
      <c r="E1163" s="306" t="inlineStr">
        <is>
          <t>-</t>
        </is>
      </c>
      <c r="F1163" s="307" t="n">
        <v>481900</v>
      </c>
      <c r="G1163" s="289" t="inlineStr">
        <is>
          <t>IDR</t>
        </is>
      </c>
      <c r="H1163" s="293" t="n">
        <v>1</v>
      </c>
      <c r="I1163" s="306" t="n"/>
      <c r="J1163" s="306" t="n"/>
      <c r="K1163" s="306" t="n"/>
      <c r="L1163" s="307">
        <f>$F1163*$H1163</f>
        <v/>
      </c>
      <c r="M1163" s="306" t="n"/>
      <c r="N1163" s="306" t="n"/>
      <c r="O1163" s="306" t="n"/>
      <c r="P1163" s="306" t="n"/>
      <c r="Q1163" s="306" t="n"/>
    </row>
    <row r="1164" ht="18.75" customHeight="1">
      <c r="B1164" s="288" t="n">
        <v>45401</v>
      </c>
      <c r="C1164" s="289" t="n">
        <v>571</v>
      </c>
      <c r="D1164" s="290" t="inlineStr">
        <is>
          <t>Battery A2</t>
        </is>
      </c>
      <c r="E1164" s="306" t="inlineStr">
        <is>
          <t>-</t>
        </is>
      </c>
      <c r="F1164" s="307" t="n">
        <v>101800</v>
      </c>
      <c r="G1164" s="289" t="inlineStr">
        <is>
          <t>IDR</t>
        </is>
      </c>
      <c r="H1164" s="293" t="n">
        <v>1</v>
      </c>
      <c r="I1164" s="306" t="n"/>
      <c r="J1164" s="306" t="n"/>
      <c r="K1164" s="306" t="n"/>
      <c r="L1164" s="307">
        <f>$F1164*$H1164</f>
        <v/>
      </c>
      <c r="M1164" s="306" t="n"/>
      <c r="N1164" s="306" t="n"/>
      <c r="O1164" s="306" t="n"/>
      <c r="P1164" s="306" t="n"/>
      <c r="Q1164" s="306" t="n"/>
    </row>
    <row r="1165" ht="18.75" customHeight="1">
      <c r="B1165" s="288" t="n">
        <v>45401</v>
      </c>
      <c r="C1165" s="289" t="n">
        <v>572</v>
      </c>
      <c r="D1165" s="290" t="inlineStr">
        <is>
          <t>Crew's Operational</t>
        </is>
      </c>
      <c r="E1165" s="306" t="inlineStr">
        <is>
          <t>-</t>
        </is>
      </c>
      <c r="F1165" s="307" t="n">
        <v>481900</v>
      </c>
      <c r="G1165" s="289" t="inlineStr">
        <is>
          <t>IDR</t>
        </is>
      </c>
      <c r="H1165" s="293" t="n">
        <v>1</v>
      </c>
      <c r="I1165" s="306" t="n"/>
      <c r="J1165" s="306" t="n"/>
      <c r="K1165" s="306" t="n"/>
      <c r="L1165" s="307">
        <f>$F1165*$H1165</f>
        <v/>
      </c>
      <c r="M1165" s="306" t="n"/>
      <c r="N1165" s="306" t="n"/>
      <c r="O1165" s="306" t="n"/>
      <c r="P1165" s="306" t="n"/>
      <c r="Q1165" s="306" t="n"/>
    </row>
    <row r="1166">
      <c r="B1166" s="312" t="n"/>
      <c r="C1166" s="312" t="n"/>
      <c r="D1166" s="285" t="inlineStr">
        <is>
          <t>Laundry</t>
        </is>
      </c>
      <c r="E1166" s="312" t="n"/>
      <c r="F1166" s="312" t="n"/>
      <c r="G1166" s="312" t="n"/>
      <c r="H1166" s="312" t="n"/>
      <c r="I1166" s="312" t="n"/>
      <c r="J1166" s="312" t="n"/>
      <c r="K1166" s="312" t="n"/>
      <c r="L1166" s="312" t="n"/>
      <c r="M1166" s="312" t="n"/>
      <c r="N1166" s="312" t="n"/>
      <c r="O1166" s="312" t="n"/>
      <c r="P1166" s="312" t="n"/>
      <c r="Q1166" s="312" t="n"/>
    </row>
    <row r="1167" ht="18.75" customHeight="1">
      <c r="B1167" s="288" t="n">
        <v>45401</v>
      </c>
      <c r="C1167" s="289" t="n">
        <v>573</v>
      </c>
      <c r="D1167" s="290" t="inlineStr">
        <is>
          <t>Laundry 4 days 1 Persons @ 50K IDR/day</t>
        </is>
      </c>
      <c r="E1167" s="306" t="inlineStr">
        <is>
          <t>-</t>
        </is>
      </c>
      <c r="F1167" s="307" t="n">
        <v>200000</v>
      </c>
      <c r="G1167" s="289" t="inlineStr">
        <is>
          <t>IDR</t>
        </is>
      </c>
      <c r="H1167" s="293" t="n">
        <v>1</v>
      </c>
      <c r="I1167" s="306" t="n"/>
      <c r="J1167" s="306" t="n"/>
      <c r="K1167" s="306" t="n"/>
      <c r="L1167" s="307">
        <f>$F1167*$H1167</f>
        <v/>
      </c>
      <c r="M1167" s="306" t="n"/>
      <c r="N1167" s="306" t="n"/>
      <c r="O1167" s="306" t="n"/>
      <c r="P1167" s="306" t="n"/>
      <c r="Q1167" s="306" t="n"/>
    </row>
    <row r="1168" ht="18.75" customHeight="1">
      <c r="B1168" s="288" t="n">
        <v>45401</v>
      </c>
      <c r="C1168" s="289" t="n">
        <v>574</v>
      </c>
      <c r="D1168" s="290" t="inlineStr">
        <is>
          <t>Laundry 4 days 1 Persons @ 50K IDR/day</t>
        </is>
      </c>
      <c r="E1168" s="306" t="inlineStr">
        <is>
          <t>-</t>
        </is>
      </c>
      <c r="F1168" s="307" t="n">
        <v>200000</v>
      </c>
      <c r="G1168" s="289" t="inlineStr">
        <is>
          <t>IDR</t>
        </is>
      </c>
      <c r="H1168" s="293" t="n">
        <v>1</v>
      </c>
      <c r="I1168" s="306" t="n"/>
      <c r="J1168" s="306" t="n"/>
      <c r="K1168" s="306" t="n"/>
      <c r="L1168" s="307">
        <f>$F1168*$H1168</f>
        <v/>
      </c>
      <c r="M1168" s="306" t="n"/>
      <c r="N1168" s="306" t="n"/>
      <c r="O1168" s="306" t="n"/>
      <c r="P1168" s="306" t="n"/>
      <c r="Q1168" s="306" t="n"/>
    </row>
    <row r="1169" ht="18.75" customHeight="1">
      <c r="B1169" s="288" t="n">
        <v>45401</v>
      </c>
      <c r="C1169" s="289" t="n">
        <v>575</v>
      </c>
      <c r="D1169" s="290" t="inlineStr">
        <is>
          <t>Laundry 4 days 1 Persons @ 50K IDR/day</t>
        </is>
      </c>
      <c r="E1169" s="306" t="inlineStr">
        <is>
          <t>-</t>
        </is>
      </c>
      <c r="F1169" s="307" t="n">
        <v>200000</v>
      </c>
      <c r="G1169" s="289" t="inlineStr">
        <is>
          <t>IDR</t>
        </is>
      </c>
      <c r="H1169" s="293" t="n">
        <v>1</v>
      </c>
      <c r="I1169" s="306" t="n"/>
      <c r="J1169" s="306" t="n"/>
      <c r="K1169" s="306" t="n"/>
      <c r="L1169" s="307">
        <f>$F1169*$H1169</f>
        <v/>
      </c>
      <c r="M1169" s="306" t="n"/>
      <c r="N1169" s="306" t="n"/>
      <c r="O1169" s="306" t="n"/>
      <c r="P1169" s="306" t="n"/>
      <c r="Q1169" s="306" t="n"/>
    </row>
    <row r="1170" ht="18.75" customHeight="1">
      <c r="B1170" s="288" t="n">
        <v>45401</v>
      </c>
      <c r="C1170" s="289" t="n">
        <v>576</v>
      </c>
      <c r="D1170" s="290" t="inlineStr">
        <is>
          <t>Laundry 4 days 1 Persons @ 50K IDR/day</t>
        </is>
      </c>
      <c r="E1170" s="306" t="inlineStr">
        <is>
          <t>-</t>
        </is>
      </c>
      <c r="F1170" s="307" t="n">
        <v>200000</v>
      </c>
      <c r="G1170" s="289" t="inlineStr">
        <is>
          <t>IDR</t>
        </is>
      </c>
      <c r="H1170" s="293" t="n">
        <v>1</v>
      </c>
      <c r="I1170" s="306" t="n"/>
      <c r="J1170" s="306" t="n"/>
      <c r="K1170" s="306" t="n"/>
      <c r="L1170" s="307">
        <f>$F1170*$H1170</f>
        <v/>
      </c>
      <c r="M1170" s="306" t="n"/>
      <c r="N1170" s="306" t="n"/>
      <c r="O1170" s="306" t="n"/>
      <c r="P1170" s="306" t="n"/>
      <c r="Q1170" s="306" t="n"/>
    </row>
    <row r="1171">
      <c r="B1171" s="312" t="n"/>
      <c r="C1171" s="312" t="n"/>
      <c r="D1171" s="285" t="inlineStr">
        <is>
          <t>Meal</t>
        </is>
      </c>
      <c r="E1171" s="312" t="n"/>
      <c r="F1171" s="312" t="n"/>
      <c r="G1171" s="312" t="n"/>
      <c r="H1171" s="312" t="n"/>
      <c r="I1171" s="312" t="n"/>
      <c r="J1171" s="312" t="n"/>
      <c r="K1171" s="312" t="n"/>
      <c r="L1171" s="312" t="n"/>
      <c r="M1171" s="312" t="n"/>
      <c r="N1171" s="312" t="n"/>
      <c r="O1171" s="312" t="n"/>
      <c r="P1171" s="312" t="n"/>
      <c r="Q1171" s="312" t="n"/>
    </row>
    <row r="1172" ht="18.75" customHeight="1">
      <c r="B1172" s="288" t="n">
        <v>45401</v>
      </c>
      <c r="C1172" s="289" t="n">
        <v>577</v>
      </c>
      <c r="D1172" s="290" t="inlineStr">
        <is>
          <t>Meals 4 days 1 Persons @ 150K IDR/day</t>
        </is>
      </c>
      <c r="E1172" s="306" t="inlineStr">
        <is>
          <t>-</t>
        </is>
      </c>
      <c r="F1172" s="307" t="n">
        <v>600000</v>
      </c>
      <c r="G1172" s="289" t="inlineStr">
        <is>
          <t>IDR</t>
        </is>
      </c>
      <c r="H1172" s="293" t="n">
        <v>1</v>
      </c>
      <c r="I1172" s="306" t="n"/>
      <c r="J1172" s="306" t="n"/>
      <c r="K1172" s="306" t="n"/>
      <c r="L1172" s="307">
        <f>$F1172*$H1172</f>
        <v/>
      </c>
      <c r="M1172" s="306" t="n"/>
      <c r="N1172" s="306" t="n"/>
      <c r="O1172" s="306" t="n"/>
      <c r="P1172" s="306" t="n"/>
      <c r="Q1172" s="306" t="n"/>
    </row>
    <row r="1173" ht="18.75" customHeight="1">
      <c r="B1173" s="288" t="n">
        <v>45401</v>
      </c>
      <c r="C1173" s="289" t="n">
        <v>578</v>
      </c>
      <c r="D1173" s="290" t="inlineStr">
        <is>
          <t>Meals 4 days 1 Persons @ 150K IDR/day</t>
        </is>
      </c>
      <c r="E1173" s="306" t="inlineStr">
        <is>
          <t>-</t>
        </is>
      </c>
      <c r="F1173" s="307" t="n">
        <v>600000</v>
      </c>
      <c r="G1173" s="289" t="inlineStr">
        <is>
          <t>IDR</t>
        </is>
      </c>
      <c r="H1173" s="293" t="n">
        <v>1</v>
      </c>
      <c r="I1173" s="306" t="n"/>
      <c r="J1173" s="306" t="n"/>
      <c r="K1173" s="306" t="n"/>
      <c r="L1173" s="307">
        <f>$F1173*$H1173</f>
        <v/>
      </c>
      <c r="M1173" s="306" t="n"/>
      <c r="N1173" s="306" t="n"/>
      <c r="O1173" s="306" t="n"/>
      <c r="P1173" s="306" t="n"/>
      <c r="Q1173" s="306" t="n"/>
    </row>
    <row r="1174" ht="18.75" customHeight="1">
      <c r="B1174" s="288" t="n">
        <v>45401</v>
      </c>
      <c r="C1174" s="289" t="n">
        <v>579</v>
      </c>
      <c r="D1174" s="290" t="inlineStr">
        <is>
          <t>Meals 4 days 1 Persons @ 150K IDR/day</t>
        </is>
      </c>
      <c r="E1174" s="306" t="inlineStr">
        <is>
          <t>-</t>
        </is>
      </c>
      <c r="F1174" s="307" t="n">
        <v>600000</v>
      </c>
      <c r="G1174" s="289" t="inlineStr">
        <is>
          <t>IDR</t>
        </is>
      </c>
      <c r="H1174" s="293" t="n">
        <v>1</v>
      </c>
      <c r="I1174" s="306" t="n"/>
      <c r="J1174" s="306" t="n"/>
      <c r="K1174" s="306" t="n"/>
      <c r="L1174" s="307">
        <f>$F1174*$H1174</f>
        <v/>
      </c>
      <c r="M1174" s="306" t="n"/>
      <c r="N1174" s="306" t="n"/>
      <c r="O1174" s="306" t="n"/>
      <c r="P1174" s="306" t="n"/>
      <c r="Q1174" s="306" t="n"/>
    </row>
    <row r="1175" ht="18.75" customHeight="1">
      <c r="B1175" s="288" t="n">
        <v>45401</v>
      </c>
      <c r="C1175" s="289" t="n">
        <v>580</v>
      </c>
      <c r="D1175" s="290" t="inlineStr">
        <is>
          <t>Meals 4 days 1 Persons @ 150K IDR/day</t>
        </is>
      </c>
      <c r="E1175" s="306" t="inlineStr">
        <is>
          <t>-</t>
        </is>
      </c>
      <c r="F1175" s="307" t="n">
        <v>600000</v>
      </c>
      <c r="G1175" s="289" t="inlineStr">
        <is>
          <t>IDR</t>
        </is>
      </c>
      <c r="H1175" s="293" t="n">
        <v>1</v>
      </c>
      <c r="I1175" s="306" t="n"/>
      <c r="J1175" s="306" t="n"/>
      <c r="K1175" s="306" t="n"/>
      <c r="L1175" s="307">
        <f>$F1175*$H1175</f>
        <v/>
      </c>
      <c r="M1175" s="306" t="n"/>
      <c r="N1175" s="306" t="n"/>
      <c r="O1175" s="306" t="n"/>
      <c r="P1175" s="306" t="n"/>
      <c r="Q1175" s="306" t="n"/>
    </row>
    <row r="1176">
      <c r="B1176" s="312" t="n"/>
      <c r="C1176" s="312" t="n"/>
      <c r="D1176" s="285" t="inlineStr">
        <is>
          <t>Transportation</t>
        </is>
      </c>
      <c r="E1176" s="312" t="n"/>
      <c r="F1176" s="312" t="n"/>
      <c r="G1176" s="312" t="n"/>
      <c r="H1176" s="312" t="n"/>
      <c r="I1176" s="312" t="n"/>
      <c r="J1176" s="312" t="n"/>
      <c r="K1176" s="312" t="n"/>
      <c r="L1176" s="312" t="n"/>
      <c r="M1176" s="312" t="n"/>
      <c r="N1176" s="312" t="n"/>
      <c r="O1176" s="312" t="n"/>
      <c r="P1176" s="312" t="n"/>
      <c r="Q1176" s="312" t="n"/>
    </row>
    <row r="1177" ht="18.75" customHeight="1">
      <c r="B1177" s="288" t="n">
        <v>45404</v>
      </c>
      <c r="C1177" s="289" t="n">
        <v>581</v>
      </c>
      <c r="D1177" s="290" t="inlineStr">
        <is>
          <t>Taxi Bintaro-Wisma Mas</t>
        </is>
      </c>
      <c r="E1177" s="306" t="inlineStr">
        <is>
          <t>-</t>
        </is>
      </c>
      <c r="F1177" s="307" t="n">
        <v>78500</v>
      </c>
      <c r="G1177" s="289" t="inlineStr">
        <is>
          <t>IDR</t>
        </is>
      </c>
      <c r="H1177" s="293" t="n">
        <v>1</v>
      </c>
      <c r="I1177" s="306" t="n"/>
      <c r="J1177" s="306" t="n"/>
      <c r="K1177" s="306" t="n"/>
      <c r="L1177" s="307">
        <f>$F1177*$H1177</f>
        <v/>
      </c>
      <c r="M1177" s="306" t="n"/>
      <c r="N1177" s="306" t="n"/>
      <c r="O1177" s="306" t="n"/>
      <c r="P1177" s="306" t="n"/>
      <c r="Q1177" s="306" t="n"/>
    </row>
    <row r="1178" ht="18.75" customHeight="1">
      <c r="B1178" s="288" t="n">
        <v>45404</v>
      </c>
      <c r="C1178" s="289" t="n">
        <v>582</v>
      </c>
      <c r="D1178" s="290" t="inlineStr">
        <is>
          <t>Taxi Bintaro-Wisma Mas</t>
        </is>
      </c>
      <c r="E1178" s="306" t="inlineStr">
        <is>
          <t>-</t>
        </is>
      </c>
      <c r="F1178" s="307" t="n">
        <v>78500</v>
      </c>
      <c r="G1178" s="289" t="inlineStr">
        <is>
          <t>IDR</t>
        </is>
      </c>
      <c r="H1178" s="293" t="n">
        <v>1</v>
      </c>
      <c r="I1178" s="306" t="n"/>
      <c r="J1178" s="306" t="n"/>
      <c r="K1178" s="306" t="n"/>
      <c r="L1178" s="307">
        <f>$F1178*$H1178</f>
        <v/>
      </c>
      <c r="M1178" s="306" t="n"/>
      <c r="N1178" s="306" t="n"/>
      <c r="O1178" s="306" t="n"/>
      <c r="P1178" s="306" t="n"/>
      <c r="Q1178" s="306" t="n"/>
    </row>
    <row r="1179" ht="18.75" customHeight="1">
      <c r="B1179" s="288" t="n">
        <v>45404</v>
      </c>
      <c r="C1179" s="289" t="n">
        <v>583</v>
      </c>
      <c r="D1179" s="290" t="inlineStr">
        <is>
          <t>Taxi Bintaro-Wisma Mas</t>
        </is>
      </c>
      <c r="E1179" s="306" t="inlineStr">
        <is>
          <t>-</t>
        </is>
      </c>
      <c r="F1179" s="307" t="n">
        <v>78500</v>
      </c>
      <c r="G1179" s="289" t="inlineStr">
        <is>
          <t>IDR</t>
        </is>
      </c>
      <c r="H1179" s="293" t="n">
        <v>1</v>
      </c>
      <c r="I1179" s="306" t="n"/>
      <c r="J1179" s="306" t="n"/>
      <c r="K1179" s="306" t="n"/>
      <c r="L1179" s="307">
        <f>$F1179*$H1179</f>
        <v/>
      </c>
      <c r="M1179" s="306" t="n"/>
      <c r="N1179" s="306" t="n"/>
      <c r="O1179" s="306" t="n"/>
      <c r="P1179" s="306" t="n"/>
      <c r="Q1179" s="306" t="n"/>
    </row>
    <row r="1180" ht="18.75" customHeight="1">
      <c r="B1180" s="288" t="n">
        <v>45404</v>
      </c>
      <c r="C1180" s="289" t="n">
        <v>584</v>
      </c>
      <c r="D1180" s="290" t="inlineStr">
        <is>
          <t>Taxi Bintaro-Wisma Mas</t>
        </is>
      </c>
      <c r="E1180" s="306" t="inlineStr">
        <is>
          <t>-</t>
        </is>
      </c>
      <c r="F1180" s="307" t="n">
        <v>78500</v>
      </c>
      <c r="G1180" s="289" t="inlineStr">
        <is>
          <t>IDR</t>
        </is>
      </c>
      <c r="H1180" s="293" t="n">
        <v>1</v>
      </c>
      <c r="I1180" s="306" t="n"/>
      <c r="J1180" s="306" t="n"/>
      <c r="K1180" s="306" t="n"/>
      <c r="L1180" s="307">
        <f>$F1180*$H1180</f>
        <v/>
      </c>
      <c r="M1180" s="306" t="n"/>
      <c r="N1180" s="306" t="n"/>
      <c r="O1180" s="306" t="n"/>
      <c r="P1180" s="306" t="n"/>
      <c r="Q1180" s="306" t="n"/>
    </row>
    <row r="1181">
      <c r="B1181" s="310" t="inlineStr">
        <is>
          <t>Expense#12</t>
        </is>
      </c>
      <c r="C1181" s="311" t="inlineStr">
        <is>
          <t>:</t>
        </is>
      </c>
      <c r="D1181" s="310" t="inlineStr">
        <is>
          <t>BOSIET Training -_TMA</t>
        </is>
      </c>
      <c r="E1181" s="311" t="n"/>
      <c r="F1181" s="311" t="n"/>
      <c r="G1181" s="311" t="n"/>
      <c r="H1181" s="311" t="n"/>
      <c r="I1181" s="311" t="n"/>
      <c r="J1181" s="311" t="n"/>
      <c r="K1181" s="311" t="n"/>
      <c r="L1181" s="311" t="n"/>
      <c r="M1181" s="311" t="n"/>
      <c r="N1181" s="311" t="n"/>
      <c r="O1181" s="311" t="n"/>
      <c r="P1181" s="311" t="n"/>
      <c r="Q1181" s="311" t="n"/>
    </row>
    <row r="1182">
      <c r="B1182" s="312" t="n"/>
      <c r="C1182" s="312" t="n"/>
      <c r="D1182" s="285" t="inlineStr">
        <is>
          <t>Transportation</t>
        </is>
      </c>
      <c r="E1182" s="312" t="n"/>
      <c r="F1182" s="312" t="n"/>
      <c r="G1182" s="312" t="n"/>
      <c r="H1182" s="312" t="n"/>
      <c r="I1182" s="312" t="n"/>
      <c r="J1182" s="312" t="n"/>
      <c r="K1182" s="312" t="n"/>
      <c r="L1182" s="312" t="n"/>
      <c r="M1182" s="312" t="n"/>
      <c r="N1182" s="312" t="n"/>
      <c r="O1182" s="312" t="n"/>
      <c r="P1182" s="312" t="n"/>
      <c r="Q1182" s="312" t="n"/>
    </row>
    <row r="1183" ht="18.75" customHeight="1">
      <c r="B1183" s="288" t="n">
        <v>45429</v>
      </c>
      <c r="C1183" s="289" t="n">
        <v>585</v>
      </c>
      <c r="D1183" s="290" t="inlineStr">
        <is>
          <t>BOSIET Training</t>
        </is>
      </c>
      <c r="E1183" s="306" t="inlineStr">
        <is>
          <t>-</t>
        </is>
      </c>
      <c r="F1183" s="307" t="n">
        <v>9693878</v>
      </c>
      <c r="G1183" s="289" t="inlineStr">
        <is>
          <t>IDR</t>
        </is>
      </c>
      <c r="H1183" s="293" t="n">
        <v>1</v>
      </c>
      <c r="I1183" s="306" t="n"/>
      <c r="J1183" s="306" t="n"/>
      <c r="K1183" s="306" t="n"/>
      <c r="L1183" s="307">
        <f>$F1183*$H1183</f>
        <v/>
      </c>
      <c r="M1183" s="306" t="n"/>
      <c r="N1183" s="306" t="n"/>
      <c r="O1183" s="306" t="n"/>
      <c r="P1183" s="306" t="n"/>
      <c r="Q1183" s="306" t="n"/>
    </row>
    <row r="1184" ht="18.75" customHeight="1">
      <c r="B1184" s="288" t="n">
        <v>45429</v>
      </c>
      <c r="C1184" s="289" t="n">
        <v>586</v>
      </c>
      <c r="D1184" s="290" t="inlineStr">
        <is>
          <t>BOSIET Training</t>
        </is>
      </c>
      <c r="E1184" s="306" t="inlineStr">
        <is>
          <t>-</t>
        </is>
      </c>
      <c r="F1184" s="307" t="n">
        <v>9693878</v>
      </c>
      <c r="G1184" s="289" t="inlineStr">
        <is>
          <t>IDR</t>
        </is>
      </c>
      <c r="H1184" s="293" t="n">
        <v>1</v>
      </c>
      <c r="I1184" s="306" t="n"/>
      <c r="J1184" s="306" t="n"/>
      <c r="K1184" s="306" t="n"/>
      <c r="L1184" s="307">
        <f>$F1184*$H1184</f>
        <v/>
      </c>
      <c r="M1184" s="306" t="n"/>
      <c r="N1184" s="306" t="n"/>
      <c r="O1184" s="306" t="n"/>
      <c r="P1184" s="306" t="n"/>
      <c r="Q1184" s="306" t="n"/>
    </row>
    <row r="1185" ht="18.75" customHeight="1">
      <c r="B1185" s="288" t="n">
        <v>45429</v>
      </c>
      <c r="C1185" s="289" t="n">
        <v>587</v>
      </c>
      <c r="D1185" s="290" t="inlineStr">
        <is>
          <t>BOSIET Training</t>
        </is>
      </c>
      <c r="E1185" s="306" t="inlineStr">
        <is>
          <t>-</t>
        </is>
      </c>
      <c r="F1185" s="307" t="n">
        <v>9693878</v>
      </c>
      <c r="G1185" s="289" t="inlineStr">
        <is>
          <t>IDR</t>
        </is>
      </c>
      <c r="H1185" s="293" t="n">
        <v>1</v>
      </c>
      <c r="I1185" s="306" t="n"/>
      <c r="J1185" s="306" t="n"/>
      <c r="K1185" s="306" t="n"/>
      <c r="L1185" s="307">
        <f>$F1185*$H1185</f>
        <v/>
      </c>
      <c r="M1185" s="306" t="n"/>
      <c r="N1185" s="306" t="n"/>
      <c r="O1185" s="306" t="n"/>
      <c r="P1185" s="306" t="n"/>
      <c r="Q1185" s="306" t="n"/>
    </row>
    <row r="1186" ht="18.75" customHeight="1">
      <c r="B1186" s="288" t="n">
        <v>45429</v>
      </c>
      <c r="C1186" s="289" t="n">
        <v>588</v>
      </c>
      <c r="D1186" s="290" t="inlineStr">
        <is>
          <t>BOSIET Training</t>
        </is>
      </c>
      <c r="E1186" s="306" t="inlineStr">
        <is>
          <t>-</t>
        </is>
      </c>
      <c r="F1186" s="307" t="n">
        <v>9693878</v>
      </c>
      <c r="G1186" s="289" t="inlineStr">
        <is>
          <t>IDR</t>
        </is>
      </c>
      <c r="H1186" s="293" t="n">
        <v>1</v>
      </c>
      <c r="I1186" s="306" t="n"/>
      <c r="J1186" s="306" t="n"/>
      <c r="K1186" s="306" t="n"/>
      <c r="L1186" s="307">
        <f>$F1186*$H1186</f>
        <v/>
      </c>
      <c r="M1186" s="306" t="n"/>
      <c r="N1186" s="306" t="n"/>
      <c r="O1186" s="306" t="n"/>
      <c r="P1186" s="306" t="n"/>
      <c r="Q1186" s="306" t="n"/>
    </row>
    <row r="1187">
      <c r="B1187" s="310" t="inlineStr">
        <is>
          <t>Expense#13</t>
        </is>
      </c>
      <c r="C1187" s="311" t="inlineStr">
        <is>
          <t>:</t>
        </is>
      </c>
      <c r="D1187" s="310" t="inlineStr">
        <is>
          <t>Non Trip MCU Dwiyanto</t>
        </is>
      </c>
      <c r="E1187" s="311" t="n"/>
      <c r="F1187" s="311" t="n"/>
      <c r="G1187" s="311" t="n"/>
      <c r="H1187" s="311" t="n"/>
      <c r="I1187" s="311" t="n"/>
      <c r="J1187" s="311" t="n"/>
      <c r="K1187" s="311" t="n"/>
      <c r="L1187" s="311" t="n"/>
      <c r="M1187" s="311" t="n"/>
      <c r="N1187" s="311" t="n"/>
      <c r="O1187" s="311" t="n"/>
      <c r="P1187" s="311" t="n"/>
      <c r="Q1187" s="311" t="n"/>
    </row>
    <row r="1188">
      <c r="B1188" s="312" t="n"/>
      <c r="C1188" s="312" t="n"/>
      <c r="D1188" s="285" t="inlineStr">
        <is>
          <t>Hand Tools</t>
        </is>
      </c>
      <c r="E1188" s="312" t="n"/>
      <c r="F1188" s="312" t="n"/>
      <c r="G1188" s="312" t="n"/>
      <c r="H1188" s="312" t="n"/>
      <c r="I1188" s="312" t="n"/>
      <c r="J1188" s="312" t="n"/>
      <c r="K1188" s="312" t="n"/>
      <c r="L1188" s="312" t="n"/>
      <c r="M1188" s="312" t="n"/>
      <c r="N1188" s="312" t="n"/>
      <c r="O1188" s="312" t="n"/>
      <c r="P1188" s="312" t="n"/>
      <c r="Q1188" s="312" t="n"/>
    </row>
    <row r="1189" ht="18.75" customHeight="1">
      <c r="B1189" s="288" t="n">
        <v>45433</v>
      </c>
      <c r="C1189" s="289" t="n">
        <v>589</v>
      </c>
      <c r="D1189" s="290" t="inlineStr">
        <is>
          <t>Safety shoes</t>
        </is>
      </c>
      <c r="E1189" s="306" t="inlineStr">
        <is>
          <t>-</t>
        </is>
      </c>
      <c r="F1189" s="307" t="n">
        <v>2402000</v>
      </c>
      <c r="G1189" s="289" t="inlineStr">
        <is>
          <t>IDR</t>
        </is>
      </c>
      <c r="H1189" s="293" t="n">
        <v>1</v>
      </c>
      <c r="I1189" s="306" t="n"/>
      <c r="J1189" s="306" t="n"/>
      <c r="K1189" s="306" t="n"/>
      <c r="L1189" s="306" t="n"/>
      <c r="M1189" s="306" t="n"/>
      <c r="N1189" s="307">
        <f>$F1189*$H1189</f>
        <v/>
      </c>
      <c r="O1189" s="306" t="n"/>
      <c r="P1189" s="306" t="n"/>
      <c r="Q1189" s="306" t="n"/>
    </row>
    <row r="1190" ht="18.75" customHeight="1">
      <c r="B1190" s="288" t="n">
        <v>45433</v>
      </c>
      <c r="C1190" s="289" t="n">
        <v>590</v>
      </c>
      <c r="D1190" s="290" t="inlineStr">
        <is>
          <t>Safety shoes</t>
        </is>
      </c>
      <c r="E1190" s="306" t="inlineStr">
        <is>
          <t>-</t>
        </is>
      </c>
      <c r="F1190" s="307" t="n">
        <v>2402000</v>
      </c>
      <c r="G1190" s="289" t="inlineStr">
        <is>
          <t>IDR</t>
        </is>
      </c>
      <c r="H1190" s="293" t="n">
        <v>1</v>
      </c>
      <c r="I1190" s="306" t="n"/>
      <c r="J1190" s="306" t="n"/>
      <c r="K1190" s="306" t="n"/>
      <c r="L1190" s="306" t="n"/>
      <c r="M1190" s="306" t="n"/>
      <c r="N1190" s="307">
        <f>$F1190*$H1190</f>
        <v/>
      </c>
      <c r="O1190" s="306" t="n"/>
      <c r="P1190" s="306" t="n"/>
      <c r="Q1190" s="306" t="n"/>
    </row>
    <row r="1191" ht="18.75" customHeight="1">
      <c r="B1191" s="288" t="n">
        <v>45433</v>
      </c>
      <c r="C1191" s="289" t="n">
        <v>591</v>
      </c>
      <c r="D1191" s="290" t="inlineStr">
        <is>
          <t>Safety shoes</t>
        </is>
      </c>
      <c r="E1191" s="306" t="inlineStr">
        <is>
          <t>-</t>
        </is>
      </c>
      <c r="F1191" s="307" t="n">
        <v>2402000</v>
      </c>
      <c r="G1191" s="289" t="inlineStr">
        <is>
          <t>IDR</t>
        </is>
      </c>
      <c r="H1191" s="293" t="n">
        <v>1</v>
      </c>
      <c r="I1191" s="306" t="n"/>
      <c r="J1191" s="306" t="n"/>
      <c r="K1191" s="306" t="n"/>
      <c r="L1191" s="306" t="n"/>
      <c r="M1191" s="306" t="n"/>
      <c r="N1191" s="307">
        <f>$F1191*$H1191</f>
        <v/>
      </c>
      <c r="O1191" s="306" t="n"/>
      <c r="P1191" s="306" t="n"/>
      <c r="Q1191" s="306" t="n"/>
    </row>
    <row r="1192" ht="18.75" customHeight="1">
      <c r="B1192" s="288" t="n">
        <v>45433</v>
      </c>
      <c r="C1192" s="289" t="n">
        <v>592</v>
      </c>
      <c r="D1192" s="290" t="inlineStr">
        <is>
          <t>Safety shoes</t>
        </is>
      </c>
      <c r="E1192" s="306" t="inlineStr">
        <is>
          <t>-</t>
        </is>
      </c>
      <c r="F1192" s="307" t="n">
        <v>2402000</v>
      </c>
      <c r="G1192" s="289" t="inlineStr">
        <is>
          <t>IDR</t>
        </is>
      </c>
      <c r="H1192" s="293" t="n">
        <v>1</v>
      </c>
      <c r="I1192" s="306" t="n"/>
      <c r="J1192" s="306" t="n"/>
      <c r="K1192" s="306" t="n"/>
      <c r="L1192" s="306" t="n"/>
      <c r="M1192" s="306" t="n"/>
      <c r="N1192" s="307">
        <f>$F1192*$H1192</f>
        <v/>
      </c>
      <c r="O1192" s="306" t="n"/>
      <c r="P1192" s="306" t="n"/>
      <c r="Q1192" s="306" t="n"/>
    </row>
    <row r="1193">
      <c r="B1193" s="312" t="n"/>
      <c r="C1193" s="312" t="n"/>
      <c r="D1193" s="285" t="inlineStr">
        <is>
          <t>Medical</t>
        </is>
      </c>
      <c r="E1193" s="312" t="n"/>
      <c r="F1193" s="312" t="n"/>
      <c r="G1193" s="312" t="n"/>
      <c r="H1193" s="312" t="n"/>
      <c r="I1193" s="312" t="n"/>
      <c r="J1193" s="312" t="n"/>
      <c r="K1193" s="312" t="n"/>
      <c r="L1193" s="312" t="n"/>
      <c r="M1193" s="312" t="n"/>
      <c r="N1193" s="312" t="n"/>
      <c r="O1193" s="312" t="n"/>
      <c r="P1193" s="312" t="n"/>
      <c r="Q1193" s="312" t="n"/>
    </row>
    <row r="1194" ht="18.75" customHeight="1">
      <c r="B1194" s="288" t="n">
        <v>45432</v>
      </c>
      <c r="C1194" s="289" t="n">
        <v>593</v>
      </c>
      <c r="D1194" s="290" t="inlineStr">
        <is>
          <t>MCU Paket Umum Basic 1</t>
        </is>
      </c>
      <c r="E1194" s="306" t="inlineStr">
        <is>
          <t>-</t>
        </is>
      </c>
      <c r="F1194" s="307" t="n">
        <v>5322000</v>
      </c>
      <c r="G1194" s="289" t="inlineStr">
        <is>
          <t>IDR</t>
        </is>
      </c>
      <c r="H1194" s="293" t="n">
        <v>1</v>
      </c>
      <c r="I1194" s="306" t="n"/>
      <c r="J1194" s="306" t="n"/>
      <c r="K1194" s="306" t="n"/>
      <c r="L1194" s="306" t="n"/>
      <c r="M1194" s="306" t="n"/>
      <c r="N1194" s="306" t="n"/>
      <c r="O1194" s="306" t="n"/>
      <c r="P1194" s="307">
        <f>$F1194*$H1194</f>
        <v/>
      </c>
      <c r="Q1194" s="306" t="n"/>
    </row>
    <row r="1195" ht="18.75" customHeight="1">
      <c r="B1195" s="288" t="n">
        <v>45432</v>
      </c>
      <c r="C1195" s="289" t="n">
        <v>594</v>
      </c>
      <c r="D1195" s="290" t="inlineStr">
        <is>
          <t>MCU Paket Umum Basic 1</t>
        </is>
      </c>
      <c r="E1195" s="306" t="inlineStr">
        <is>
          <t>-</t>
        </is>
      </c>
      <c r="F1195" s="307" t="n">
        <v>5322000</v>
      </c>
      <c r="G1195" s="289" t="inlineStr">
        <is>
          <t>IDR</t>
        </is>
      </c>
      <c r="H1195" s="293" t="n">
        <v>1</v>
      </c>
      <c r="I1195" s="306" t="n"/>
      <c r="J1195" s="306" t="n"/>
      <c r="K1195" s="306" t="n"/>
      <c r="L1195" s="306" t="n"/>
      <c r="M1195" s="306" t="n"/>
      <c r="N1195" s="306" t="n"/>
      <c r="O1195" s="306" t="n"/>
      <c r="P1195" s="307">
        <f>$F1195*$H1195</f>
        <v/>
      </c>
      <c r="Q1195" s="306" t="n"/>
    </row>
    <row r="1196" ht="18.75" customHeight="1">
      <c r="B1196" s="288" t="n">
        <v>45432</v>
      </c>
      <c r="C1196" s="289" t="n">
        <v>595</v>
      </c>
      <c r="D1196" s="290" t="inlineStr">
        <is>
          <t>MCU Paket Umum Basic 1</t>
        </is>
      </c>
      <c r="E1196" s="306" t="inlineStr">
        <is>
          <t>-</t>
        </is>
      </c>
      <c r="F1196" s="307" t="n">
        <v>5322000</v>
      </c>
      <c r="G1196" s="289" t="inlineStr">
        <is>
          <t>IDR</t>
        </is>
      </c>
      <c r="H1196" s="293" t="n">
        <v>1</v>
      </c>
      <c r="I1196" s="306" t="n"/>
      <c r="J1196" s="306" t="n"/>
      <c r="K1196" s="306" t="n"/>
      <c r="L1196" s="306" t="n"/>
      <c r="M1196" s="306" t="n"/>
      <c r="N1196" s="306" t="n"/>
      <c r="O1196" s="306" t="n"/>
      <c r="P1196" s="307">
        <f>$F1196*$H1196</f>
        <v/>
      </c>
      <c r="Q1196" s="306" t="n"/>
    </row>
    <row r="1197" ht="18.75" customHeight="1">
      <c r="B1197" s="288" t="n">
        <v>45432</v>
      </c>
      <c r="C1197" s="289" t="n">
        <v>596</v>
      </c>
      <c r="D1197" s="290" t="inlineStr">
        <is>
          <t>MCU Paket Umum Basic 1</t>
        </is>
      </c>
      <c r="E1197" s="306" t="inlineStr">
        <is>
          <t>-</t>
        </is>
      </c>
      <c r="F1197" s="307" t="n">
        <v>5322000</v>
      </c>
      <c r="G1197" s="289" t="inlineStr">
        <is>
          <t>IDR</t>
        </is>
      </c>
      <c r="H1197" s="293" t="n">
        <v>1</v>
      </c>
      <c r="I1197" s="306" t="n"/>
      <c r="J1197" s="306" t="n"/>
      <c r="K1197" s="306" t="n"/>
      <c r="L1197" s="306" t="n"/>
      <c r="M1197" s="306" t="n"/>
      <c r="N1197" s="306" t="n"/>
      <c r="O1197" s="306" t="n"/>
      <c r="P1197" s="307">
        <f>$F1197*$H1197</f>
        <v/>
      </c>
      <c r="Q1197" s="306" t="n"/>
    </row>
    <row r="1198">
      <c r="B1198" s="310" t="inlineStr">
        <is>
          <t>Expense#14</t>
        </is>
      </c>
      <c r="C1198" s="311" t="inlineStr">
        <is>
          <t>:</t>
        </is>
      </c>
      <c r="D1198" s="310" t="inlineStr">
        <is>
          <t>Non project _ MCU - Ilham BR</t>
        </is>
      </c>
      <c r="E1198" s="311" t="n"/>
      <c r="F1198" s="311" t="n"/>
      <c r="G1198" s="311" t="n"/>
      <c r="H1198" s="311" t="n"/>
      <c r="I1198" s="311" t="n"/>
      <c r="J1198" s="311" t="n"/>
      <c r="K1198" s="311" t="n"/>
      <c r="L1198" s="311" t="n"/>
      <c r="M1198" s="311" t="n"/>
      <c r="N1198" s="311" t="n"/>
      <c r="O1198" s="311" t="n"/>
      <c r="P1198" s="311" t="n"/>
      <c r="Q1198" s="311" t="n"/>
    </row>
    <row r="1199">
      <c r="B1199" s="312" t="n"/>
      <c r="C1199" s="312" t="n"/>
      <c r="D1199" s="285" t="inlineStr">
        <is>
          <t>Medical</t>
        </is>
      </c>
      <c r="E1199" s="312" t="n"/>
      <c r="F1199" s="312" t="n"/>
      <c r="G1199" s="312" t="n"/>
      <c r="H1199" s="312" t="n"/>
      <c r="I1199" s="312" t="n"/>
      <c r="J1199" s="312" t="n"/>
      <c r="K1199" s="312" t="n"/>
      <c r="L1199" s="312" t="n"/>
      <c r="M1199" s="312" t="n"/>
      <c r="N1199" s="312" t="n"/>
      <c r="O1199" s="312" t="n"/>
      <c r="P1199" s="312" t="n"/>
      <c r="Q1199" s="312" t="n"/>
    </row>
    <row r="1200" ht="18.75" customHeight="1">
      <c r="B1200" s="288" t="n">
        <v>45432</v>
      </c>
      <c r="C1200" s="289" t="n">
        <v>597</v>
      </c>
      <c r="D1200" s="290" t="inlineStr">
        <is>
          <t>Biaya MCU</t>
        </is>
      </c>
      <c r="E1200" s="306" t="inlineStr">
        <is>
          <t>-</t>
        </is>
      </c>
      <c r="F1200" s="307" t="n">
        <v>5407000</v>
      </c>
      <c r="G1200" s="289" t="inlineStr">
        <is>
          <t>IDR</t>
        </is>
      </c>
      <c r="H1200" s="293" t="n">
        <v>1</v>
      </c>
      <c r="I1200" s="306" t="n"/>
      <c r="J1200" s="306" t="n"/>
      <c r="K1200" s="306" t="n"/>
      <c r="L1200" s="306" t="n"/>
      <c r="M1200" s="306" t="n"/>
      <c r="N1200" s="306" t="n"/>
      <c r="O1200" s="306" t="n"/>
      <c r="P1200" s="307">
        <f>$F1200*$H1200</f>
        <v/>
      </c>
      <c r="Q1200" s="306" t="n"/>
    </row>
    <row r="1201" ht="18.75" customHeight="1">
      <c r="B1201" s="288" t="n">
        <v>45432</v>
      </c>
      <c r="C1201" s="289" t="n">
        <v>598</v>
      </c>
      <c r="D1201" s="290" t="inlineStr">
        <is>
          <t>Biaya MCU</t>
        </is>
      </c>
      <c r="E1201" s="306" t="inlineStr">
        <is>
          <t>-</t>
        </is>
      </c>
      <c r="F1201" s="307" t="n">
        <v>5407000</v>
      </c>
      <c r="G1201" s="289" t="inlineStr">
        <is>
          <t>IDR</t>
        </is>
      </c>
      <c r="H1201" s="293" t="n">
        <v>1</v>
      </c>
      <c r="I1201" s="306" t="n"/>
      <c r="J1201" s="306" t="n"/>
      <c r="K1201" s="306" t="n"/>
      <c r="L1201" s="306" t="n"/>
      <c r="M1201" s="306" t="n"/>
      <c r="N1201" s="306" t="n"/>
      <c r="O1201" s="306" t="n"/>
      <c r="P1201" s="307">
        <f>$F1201*$H1201</f>
        <v/>
      </c>
      <c r="Q1201" s="306" t="n"/>
    </row>
    <row r="1202" ht="18.75" customHeight="1">
      <c r="B1202" s="288" t="n">
        <v>45432</v>
      </c>
      <c r="C1202" s="289" t="n">
        <v>599</v>
      </c>
      <c r="D1202" s="290" t="inlineStr">
        <is>
          <t>Biaya MCU</t>
        </is>
      </c>
      <c r="E1202" s="306" t="inlineStr">
        <is>
          <t>-</t>
        </is>
      </c>
      <c r="F1202" s="307" t="n">
        <v>5407000</v>
      </c>
      <c r="G1202" s="289" t="inlineStr">
        <is>
          <t>IDR</t>
        </is>
      </c>
      <c r="H1202" s="293" t="n">
        <v>1</v>
      </c>
      <c r="I1202" s="306" t="n"/>
      <c r="J1202" s="306" t="n"/>
      <c r="K1202" s="306" t="n"/>
      <c r="L1202" s="306" t="n"/>
      <c r="M1202" s="306" t="n"/>
      <c r="N1202" s="306" t="n"/>
      <c r="O1202" s="306" t="n"/>
      <c r="P1202" s="307">
        <f>$F1202*$H1202</f>
        <v/>
      </c>
      <c r="Q1202" s="306" t="n"/>
    </row>
    <row r="1203" ht="18.75" customHeight="1">
      <c r="B1203" s="288" t="n">
        <v>45432</v>
      </c>
      <c r="C1203" s="289" t="n">
        <v>600</v>
      </c>
      <c r="D1203" s="290" t="inlineStr">
        <is>
          <t>Biaya MCU</t>
        </is>
      </c>
      <c r="E1203" s="306" t="inlineStr">
        <is>
          <t>-</t>
        </is>
      </c>
      <c r="F1203" s="307" t="n">
        <v>5407000</v>
      </c>
      <c r="G1203" s="289" t="inlineStr">
        <is>
          <t>IDR</t>
        </is>
      </c>
      <c r="H1203" s="293" t="n">
        <v>1</v>
      </c>
      <c r="I1203" s="306" t="n"/>
      <c r="J1203" s="306" t="n"/>
      <c r="K1203" s="306" t="n"/>
      <c r="L1203" s="306" t="n"/>
      <c r="M1203" s="306" t="n"/>
      <c r="N1203" s="306" t="n"/>
      <c r="O1203" s="306" t="n"/>
      <c r="P1203" s="307">
        <f>$F1203*$H1203</f>
        <v/>
      </c>
      <c r="Q1203" s="306" t="n"/>
    </row>
    <row r="1204">
      <c r="B1204" s="310" t="inlineStr">
        <is>
          <t>Expense#15</t>
        </is>
      </c>
      <c r="C1204" s="311" t="inlineStr">
        <is>
          <t>:</t>
        </is>
      </c>
      <c r="D1204" s="310" t="inlineStr">
        <is>
          <t>ALFA Job - Jrk-193 _ OJT_ Ilham BR</t>
        </is>
      </c>
      <c r="E1204" s="311" t="n"/>
      <c r="F1204" s="311" t="n"/>
      <c r="G1204" s="311" t="n"/>
      <c r="H1204" s="311" t="n"/>
      <c r="I1204" s="311" t="n"/>
      <c r="J1204" s="311" t="n"/>
      <c r="K1204" s="311" t="n"/>
      <c r="L1204" s="311" t="n"/>
      <c r="M1204" s="311" t="n"/>
      <c r="N1204" s="311" t="n"/>
      <c r="O1204" s="311" t="n"/>
      <c r="P1204" s="311" t="n"/>
      <c r="Q1204" s="311" t="n"/>
    </row>
    <row r="1205">
      <c r="B1205" s="312" t="n"/>
      <c r="C1205" s="312" t="n"/>
      <c r="D1205" s="285" t="inlineStr">
        <is>
          <t>Allowance</t>
        </is>
      </c>
      <c r="E1205" s="312" t="n"/>
      <c r="F1205" s="312" t="n"/>
      <c r="G1205" s="312" t="n"/>
      <c r="H1205" s="312" t="n"/>
      <c r="I1205" s="312" t="n"/>
      <c r="J1205" s="312" t="n"/>
      <c r="K1205" s="312" t="n"/>
      <c r="L1205" s="312" t="n"/>
      <c r="M1205" s="312" t="n"/>
      <c r="N1205" s="312" t="n"/>
      <c r="O1205" s="312" t="n"/>
      <c r="P1205" s="312" t="n"/>
      <c r="Q1205" s="312" t="n"/>
    </row>
    <row r="1206" ht="18.75" customHeight="1">
      <c r="B1206" s="288" t="n">
        <v>45437</v>
      </c>
      <c r="C1206" s="289" t="n">
        <v>601</v>
      </c>
      <c r="D1206" s="290" t="inlineStr">
        <is>
          <t>Tunjangan Lapangan JRK-193 (25 - 30 May 2024)</t>
        </is>
      </c>
      <c r="E1206" s="306" t="inlineStr">
        <is>
          <t>-</t>
        </is>
      </c>
      <c r="F1206" s="307" t="n">
        <v>150</v>
      </c>
      <c r="G1206" s="289" t="inlineStr">
        <is>
          <t>$</t>
        </is>
      </c>
      <c r="H1206" s="293" t="n">
        <v>16200</v>
      </c>
      <c r="I1206" s="306" t="n"/>
      <c r="J1206" s="306" t="n"/>
      <c r="K1206" s="306" t="n"/>
      <c r="L1206" s="307">
        <f>$F1206*$H1206</f>
        <v/>
      </c>
      <c r="M1206" s="306" t="n"/>
      <c r="N1206" s="306" t="n"/>
      <c r="O1206" s="306" t="n"/>
      <c r="P1206" s="306" t="n"/>
      <c r="Q1206" s="306" t="n"/>
    </row>
    <row r="1207" ht="18.75" customHeight="1">
      <c r="B1207" s="288" t="n">
        <v>45437</v>
      </c>
      <c r="C1207" s="289" t="n">
        <v>602</v>
      </c>
      <c r="D1207" s="290" t="inlineStr">
        <is>
          <t>Tunjangan Lapangan JRK-193 (25 - 30 May 2024)</t>
        </is>
      </c>
      <c r="E1207" s="306" t="inlineStr">
        <is>
          <t>-</t>
        </is>
      </c>
      <c r="F1207" s="307" t="n">
        <v>150</v>
      </c>
      <c r="G1207" s="289" t="inlineStr">
        <is>
          <t>$</t>
        </is>
      </c>
      <c r="H1207" s="293" t="n">
        <v>16200</v>
      </c>
      <c r="I1207" s="306" t="n"/>
      <c r="J1207" s="306" t="n"/>
      <c r="K1207" s="306" t="n"/>
      <c r="L1207" s="307">
        <f>$F1207*$H1207</f>
        <v/>
      </c>
      <c r="M1207" s="306" t="n"/>
      <c r="N1207" s="306" t="n"/>
      <c r="O1207" s="306" t="n"/>
      <c r="P1207" s="306" t="n"/>
      <c r="Q1207" s="306" t="n"/>
    </row>
    <row r="1208" ht="18.75" customHeight="1">
      <c r="B1208" s="288" t="n">
        <v>45437</v>
      </c>
      <c r="C1208" s="289" t="n">
        <v>603</v>
      </c>
      <c r="D1208" s="290" t="inlineStr">
        <is>
          <t>Tunjangan Lapangan JRK-193 (25 - 30 May 2024)</t>
        </is>
      </c>
      <c r="E1208" s="306" t="inlineStr">
        <is>
          <t>-</t>
        </is>
      </c>
      <c r="F1208" s="307" t="n">
        <v>150</v>
      </c>
      <c r="G1208" s="289" t="inlineStr">
        <is>
          <t>$</t>
        </is>
      </c>
      <c r="H1208" s="293" t="n">
        <v>16200</v>
      </c>
      <c r="I1208" s="306" t="n"/>
      <c r="J1208" s="306" t="n"/>
      <c r="K1208" s="306" t="n"/>
      <c r="L1208" s="307">
        <f>$F1208*$H1208</f>
        <v/>
      </c>
      <c r="M1208" s="306" t="n"/>
      <c r="N1208" s="306" t="n"/>
      <c r="O1208" s="306" t="n"/>
      <c r="P1208" s="306" t="n"/>
      <c r="Q1208" s="306" t="n"/>
    </row>
    <row r="1209" ht="18.75" customHeight="1">
      <c r="B1209" s="288" t="n">
        <v>45437</v>
      </c>
      <c r="C1209" s="289" t="n">
        <v>604</v>
      </c>
      <c r="D1209" s="290" t="inlineStr">
        <is>
          <t>Tunjangan Lapangan JRK-193 (25 - 30 May 2024)</t>
        </is>
      </c>
      <c r="E1209" s="306" t="inlineStr">
        <is>
          <t>-</t>
        </is>
      </c>
      <c r="F1209" s="307" t="n">
        <v>150</v>
      </c>
      <c r="G1209" s="289" t="inlineStr">
        <is>
          <t>$</t>
        </is>
      </c>
      <c r="H1209" s="293" t="n">
        <v>16200</v>
      </c>
      <c r="I1209" s="306" t="n"/>
      <c r="J1209" s="306" t="n"/>
      <c r="K1209" s="306" t="n"/>
      <c r="L1209" s="307">
        <f>$F1209*$H1209</f>
        <v/>
      </c>
      <c r="M1209" s="306" t="n"/>
      <c r="N1209" s="306" t="n"/>
      <c r="O1209" s="306" t="n"/>
      <c r="P1209" s="306" t="n"/>
      <c r="Q1209" s="306" t="n"/>
    </row>
    <row r="1210">
      <c r="B1210" s="312" t="n"/>
      <c r="C1210" s="312" t="n"/>
      <c r="D1210" s="285" t="inlineStr">
        <is>
          <t>Meal</t>
        </is>
      </c>
      <c r="E1210" s="312" t="n"/>
      <c r="F1210" s="312" t="n"/>
      <c r="G1210" s="312" t="n"/>
      <c r="H1210" s="312" t="n"/>
      <c r="I1210" s="312" t="n"/>
      <c r="J1210" s="312" t="n"/>
      <c r="K1210" s="312" t="n"/>
      <c r="L1210" s="312" t="n"/>
      <c r="M1210" s="312" t="n"/>
      <c r="N1210" s="312" t="n"/>
      <c r="O1210" s="312" t="n"/>
      <c r="P1210" s="312" t="n"/>
      <c r="Q1210" s="312" t="n"/>
    </row>
    <row r="1211" ht="18.75" customHeight="1">
      <c r="B1211" s="288" t="n">
        <v>45437</v>
      </c>
      <c r="C1211" s="289" t="n">
        <v>605</v>
      </c>
      <c r="D1211" s="290" t="inlineStr">
        <is>
          <t>Uang makan (25 - 30 May 2024)</t>
        </is>
      </c>
      <c r="E1211" s="306" t="inlineStr">
        <is>
          <t>-</t>
        </is>
      </c>
      <c r="F1211" s="307" t="n">
        <v>900000</v>
      </c>
      <c r="G1211" s="289" t="inlineStr">
        <is>
          <t>IDR</t>
        </is>
      </c>
      <c r="H1211" s="293" t="n">
        <v>1</v>
      </c>
      <c r="I1211" s="306" t="n"/>
      <c r="J1211" s="306" t="n"/>
      <c r="K1211" s="306" t="n"/>
      <c r="L1211" s="307">
        <f>$F1211*$H1211</f>
        <v/>
      </c>
      <c r="M1211" s="306" t="n"/>
      <c r="N1211" s="306" t="n"/>
      <c r="O1211" s="306" t="n"/>
      <c r="P1211" s="306" t="n"/>
      <c r="Q1211" s="306" t="n"/>
    </row>
    <row r="1212" ht="18.75" customHeight="1">
      <c r="B1212" s="288" t="n">
        <v>45437</v>
      </c>
      <c r="C1212" s="289" t="n">
        <v>606</v>
      </c>
      <c r="D1212" s="290" t="inlineStr">
        <is>
          <t>Uang makan (25 - 30 May 2024)</t>
        </is>
      </c>
      <c r="E1212" s="306" t="inlineStr">
        <is>
          <t>-</t>
        </is>
      </c>
      <c r="F1212" s="307" t="n">
        <v>900000</v>
      </c>
      <c r="G1212" s="289" t="inlineStr">
        <is>
          <t>IDR</t>
        </is>
      </c>
      <c r="H1212" s="293" t="n">
        <v>1</v>
      </c>
      <c r="I1212" s="306" t="n"/>
      <c r="J1212" s="306" t="n"/>
      <c r="K1212" s="306" t="n"/>
      <c r="L1212" s="307">
        <f>$F1212*$H1212</f>
        <v/>
      </c>
      <c r="M1212" s="306" t="n"/>
      <c r="N1212" s="306" t="n"/>
      <c r="O1212" s="306" t="n"/>
      <c r="P1212" s="306" t="n"/>
      <c r="Q1212" s="306" t="n"/>
    </row>
    <row r="1213" ht="18.75" customHeight="1">
      <c r="B1213" s="288" t="n">
        <v>45437</v>
      </c>
      <c r="C1213" s="289" t="n">
        <v>607</v>
      </c>
      <c r="D1213" s="290" t="inlineStr">
        <is>
          <t>Uang makan (25 - 30 May 2024)</t>
        </is>
      </c>
      <c r="E1213" s="306" t="inlineStr">
        <is>
          <t>-</t>
        </is>
      </c>
      <c r="F1213" s="307" t="n">
        <v>900000</v>
      </c>
      <c r="G1213" s="289" t="inlineStr">
        <is>
          <t>IDR</t>
        </is>
      </c>
      <c r="H1213" s="293" t="n">
        <v>1</v>
      </c>
      <c r="I1213" s="306" t="n"/>
      <c r="J1213" s="306" t="n"/>
      <c r="K1213" s="306" t="n"/>
      <c r="L1213" s="307">
        <f>$F1213*$H1213</f>
        <v/>
      </c>
      <c r="M1213" s="306" t="n"/>
      <c r="N1213" s="306" t="n"/>
      <c r="O1213" s="306" t="n"/>
      <c r="P1213" s="306" t="n"/>
      <c r="Q1213" s="306" t="n"/>
    </row>
    <row r="1214" ht="18.75" customHeight="1">
      <c r="B1214" s="288" t="n">
        <v>45437</v>
      </c>
      <c r="C1214" s="289" t="n">
        <v>608</v>
      </c>
      <c r="D1214" s="290" t="inlineStr">
        <is>
          <t>Uang makan (25 - 30 May 2024)</t>
        </is>
      </c>
      <c r="E1214" s="306" t="inlineStr">
        <is>
          <t>-</t>
        </is>
      </c>
      <c r="F1214" s="307" t="n">
        <v>900000</v>
      </c>
      <c r="G1214" s="289" t="inlineStr">
        <is>
          <t>IDR</t>
        </is>
      </c>
      <c r="H1214" s="293" t="n">
        <v>1</v>
      </c>
      <c r="I1214" s="306" t="n"/>
      <c r="J1214" s="306" t="n"/>
      <c r="K1214" s="306" t="n"/>
      <c r="L1214" s="307">
        <f>$F1214*$H1214</f>
        <v/>
      </c>
      <c r="M1214" s="306" t="n"/>
      <c r="N1214" s="306" t="n"/>
      <c r="O1214" s="306" t="n"/>
      <c r="P1214" s="306" t="n"/>
      <c r="Q1214" s="306" t="n"/>
    </row>
    <row r="1215">
      <c r="B1215" s="312" t="n"/>
      <c r="C1215" s="312" t="n"/>
      <c r="D1215" s="285" t="inlineStr">
        <is>
          <t>Transportation</t>
        </is>
      </c>
      <c r="E1215" s="312" t="n"/>
      <c r="F1215" s="312" t="n"/>
      <c r="G1215" s="312" t="n"/>
      <c r="H1215" s="312" t="n"/>
      <c r="I1215" s="312" t="n"/>
      <c r="J1215" s="312" t="n"/>
      <c r="K1215" s="312" t="n"/>
      <c r="L1215" s="312" t="n"/>
      <c r="M1215" s="312" t="n"/>
      <c r="N1215" s="312" t="n"/>
      <c r="O1215" s="312" t="n"/>
      <c r="P1215" s="312" t="n"/>
      <c r="Q1215" s="312" t="n"/>
    </row>
    <row r="1216" ht="18.75" customHeight="1">
      <c r="B1216" s="288" t="n">
        <v>45433</v>
      </c>
      <c r="C1216" s="289" t="n">
        <v>609</v>
      </c>
      <c r="D1216" s="290" t="inlineStr">
        <is>
          <t>Tiket Pesawat Citilink (CGK-PLM 25 Mei 2024)</t>
        </is>
      </c>
      <c r="E1216" s="306" t="inlineStr">
        <is>
          <t>-</t>
        </is>
      </c>
      <c r="F1216" s="307" t="n">
        <v>773238</v>
      </c>
      <c r="G1216" s="289" t="inlineStr">
        <is>
          <t>IDR</t>
        </is>
      </c>
      <c r="H1216" s="293" t="n">
        <v>1</v>
      </c>
      <c r="I1216" s="306" t="n"/>
      <c r="J1216" s="306" t="n"/>
      <c r="K1216" s="306" t="n"/>
      <c r="L1216" s="307">
        <f>$F1216*$H1216</f>
        <v/>
      </c>
      <c r="M1216" s="306" t="n"/>
      <c r="N1216" s="306" t="n"/>
      <c r="O1216" s="306" t="n"/>
      <c r="P1216" s="306" t="n"/>
      <c r="Q1216" s="306" t="n"/>
    </row>
    <row r="1217" ht="18.75" customHeight="1">
      <c r="B1217" s="288" t="n">
        <v>45433</v>
      </c>
      <c r="C1217" s="289" t="n">
        <v>610</v>
      </c>
      <c r="D1217" s="290" t="inlineStr">
        <is>
          <t>Tiket Pesawat Citilink (CGK-PLM 25 Mei 2024)</t>
        </is>
      </c>
      <c r="E1217" s="306" t="inlineStr">
        <is>
          <t>-</t>
        </is>
      </c>
      <c r="F1217" s="307" t="n">
        <v>773238</v>
      </c>
      <c r="G1217" s="289" t="inlineStr">
        <is>
          <t>IDR</t>
        </is>
      </c>
      <c r="H1217" s="293" t="n">
        <v>1</v>
      </c>
      <c r="I1217" s="306" t="n"/>
      <c r="J1217" s="306" t="n"/>
      <c r="K1217" s="306" t="n"/>
      <c r="L1217" s="307">
        <f>$F1217*$H1217</f>
        <v/>
      </c>
      <c r="M1217" s="306" t="n"/>
      <c r="N1217" s="306" t="n"/>
      <c r="O1217" s="306" t="n"/>
      <c r="P1217" s="306" t="n"/>
      <c r="Q1217" s="306" t="n"/>
    </row>
    <row r="1218" ht="18.75" customHeight="1">
      <c r="B1218" s="288" t="n">
        <v>45433</v>
      </c>
      <c r="C1218" s="289" t="n">
        <v>611</v>
      </c>
      <c r="D1218" s="290" t="inlineStr">
        <is>
          <t>Tiket Pesawat Citilink (CGK-PLM 25 Mei 2024)</t>
        </is>
      </c>
      <c r="E1218" s="306" t="inlineStr">
        <is>
          <t>-</t>
        </is>
      </c>
      <c r="F1218" s="307" t="n">
        <v>773238</v>
      </c>
      <c r="G1218" s="289" t="inlineStr">
        <is>
          <t>IDR</t>
        </is>
      </c>
      <c r="H1218" s="293" t="n">
        <v>1</v>
      </c>
      <c r="I1218" s="306" t="n"/>
      <c r="J1218" s="306" t="n"/>
      <c r="K1218" s="306" t="n"/>
      <c r="L1218" s="307">
        <f>$F1218*$H1218</f>
        <v/>
      </c>
      <c r="M1218" s="306" t="n"/>
      <c r="N1218" s="306" t="n"/>
      <c r="O1218" s="306" t="n"/>
      <c r="P1218" s="306" t="n"/>
      <c r="Q1218" s="306" t="n"/>
    </row>
    <row r="1219" ht="18.75" customHeight="1">
      <c r="B1219" s="288" t="n">
        <v>45433</v>
      </c>
      <c r="C1219" s="289" t="n">
        <v>612</v>
      </c>
      <c r="D1219" s="290" t="inlineStr">
        <is>
          <t>Tiket Pesawat Citilink (CGK-PLM 25 Mei 2024)</t>
        </is>
      </c>
      <c r="E1219" s="306" t="inlineStr">
        <is>
          <t>-</t>
        </is>
      </c>
      <c r="F1219" s="307" t="n">
        <v>773238</v>
      </c>
      <c r="G1219" s="289" t="inlineStr">
        <is>
          <t>IDR</t>
        </is>
      </c>
      <c r="H1219" s="293" t="n">
        <v>1</v>
      </c>
      <c r="I1219" s="306" t="n"/>
      <c r="J1219" s="306" t="n"/>
      <c r="K1219" s="306" t="n"/>
      <c r="L1219" s="307">
        <f>$F1219*$H1219</f>
        <v/>
      </c>
      <c r="M1219" s="306" t="n"/>
      <c r="N1219" s="306" t="n"/>
      <c r="O1219" s="306" t="n"/>
      <c r="P1219" s="306" t="n"/>
      <c r="Q1219" s="306" t="n"/>
    </row>
    <row r="1220" ht="34.5" customHeight="1">
      <c r="B1220" s="288" t="n">
        <v>45436</v>
      </c>
      <c r="C1220" s="289" t="n">
        <v>613</v>
      </c>
      <c r="D1220" s="290" t="inlineStr">
        <is>
          <t>Reschedule Tiket Pesawat dari Citilink ke Super Air Jet (CGK-PLg)</t>
        </is>
      </c>
      <c r="E1220" s="306" t="inlineStr">
        <is>
          <t>-</t>
        </is>
      </c>
      <c r="F1220" s="307" t="n">
        <v>296853</v>
      </c>
      <c r="G1220" s="289" t="inlineStr">
        <is>
          <t>IDR</t>
        </is>
      </c>
      <c r="H1220" s="293" t="n">
        <v>1</v>
      </c>
      <c r="I1220" s="306" t="n"/>
      <c r="J1220" s="306" t="n"/>
      <c r="K1220" s="306" t="n"/>
      <c r="L1220" s="307">
        <f>$F1220*$H1220</f>
        <v/>
      </c>
      <c r="M1220" s="306" t="n"/>
      <c r="N1220" s="306" t="n"/>
      <c r="O1220" s="306" t="n"/>
      <c r="P1220" s="306" t="n"/>
      <c r="Q1220" s="306" t="n"/>
    </row>
    <row r="1221" ht="18.75" customHeight="1">
      <c r="B1221" s="288" t="n">
        <v>45436</v>
      </c>
      <c r="C1221" s="289" t="n">
        <v>614</v>
      </c>
      <c r="D1221" s="290" t="inlineStr">
        <is>
          <t>Taxi + Tol To Airport CGK</t>
        </is>
      </c>
      <c r="E1221" s="306" t="inlineStr">
        <is>
          <t>-</t>
        </is>
      </c>
      <c r="F1221" s="307" t="n">
        <v>250000</v>
      </c>
      <c r="G1221" s="289" t="inlineStr">
        <is>
          <t>IDR</t>
        </is>
      </c>
      <c r="H1221" s="293" t="n">
        <v>1</v>
      </c>
      <c r="I1221" s="306" t="n"/>
      <c r="J1221" s="306" t="n"/>
      <c r="K1221" s="306" t="n"/>
      <c r="L1221" s="307">
        <f>$F1221*$H1221</f>
        <v/>
      </c>
      <c r="M1221" s="306" t="n"/>
      <c r="N1221" s="306" t="n"/>
      <c r="O1221" s="306" t="n"/>
      <c r="P1221" s="306" t="n"/>
      <c r="Q1221" s="306" t="n"/>
    </row>
    <row r="1222" ht="34.5" customHeight="1">
      <c r="B1222" s="288" t="n">
        <v>45436</v>
      </c>
      <c r="C1222" s="289" t="n">
        <v>615</v>
      </c>
      <c r="D1222" s="290" t="inlineStr">
        <is>
          <t>Reschedule Tiket Pesawat dari Citilink ke Super Air Jet (CGK-PLg)</t>
        </is>
      </c>
      <c r="E1222" s="306" t="inlineStr">
        <is>
          <t>-</t>
        </is>
      </c>
      <c r="F1222" s="307" t="n">
        <v>296853</v>
      </c>
      <c r="G1222" s="289" t="inlineStr">
        <is>
          <t>IDR</t>
        </is>
      </c>
      <c r="H1222" s="293" t="n">
        <v>1</v>
      </c>
      <c r="I1222" s="306" t="n"/>
      <c r="J1222" s="306" t="n"/>
      <c r="K1222" s="306" t="n"/>
      <c r="L1222" s="307">
        <f>$F1222*$H1222</f>
        <v/>
      </c>
      <c r="M1222" s="306" t="n"/>
      <c r="N1222" s="306" t="n"/>
      <c r="O1222" s="306" t="n"/>
      <c r="P1222" s="306" t="n"/>
      <c r="Q1222" s="306" t="n"/>
    </row>
    <row r="1223" ht="18.75" customHeight="1">
      <c r="B1223" s="288" t="n">
        <v>45436</v>
      </c>
      <c r="C1223" s="289" t="n">
        <v>616</v>
      </c>
      <c r="D1223" s="290" t="inlineStr">
        <is>
          <t>Taxi + Tol To Airport CGK</t>
        </is>
      </c>
      <c r="E1223" s="306" t="inlineStr">
        <is>
          <t>-</t>
        </is>
      </c>
      <c r="F1223" s="307" t="n">
        <v>250000</v>
      </c>
      <c r="G1223" s="289" t="inlineStr">
        <is>
          <t>IDR</t>
        </is>
      </c>
      <c r="H1223" s="293" t="n">
        <v>1</v>
      </c>
      <c r="I1223" s="306" t="n"/>
      <c r="J1223" s="306" t="n"/>
      <c r="K1223" s="306" t="n"/>
      <c r="L1223" s="307">
        <f>$F1223*$H1223</f>
        <v/>
      </c>
      <c r="M1223" s="306" t="n"/>
      <c r="N1223" s="306" t="n"/>
      <c r="O1223" s="306" t="n"/>
      <c r="P1223" s="306" t="n"/>
      <c r="Q1223" s="306" t="n"/>
    </row>
    <row r="1224" ht="34.5" customHeight="1">
      <c r="B1224" s="288" t="n">
        <v>45436</v>
      </c>
      <c r="C1224" s="289" t="n">
        <v>617</v>
      </c>
      <c r="D1224" s="290" t="inlineStr">
        <is>
          <t>Reschedule Tiket Pesawat dari Citilink ke Super Air Jet (CGK-PLg)</t>
        </is>
      </c>
      <c r="E1224" s="306" t="inlineStr">
        <is>
          <t>-</t>
        </is>
      </c>
      <c r="F1224" s="307" t="n">
        <v>296853</v>
      </c>
      <c r="G1224" s="289" t="inlineStr">
        <is>
          <t>IDR</t>
        </is>
      </c>
      <c r="H1224" s="293" t="n">
        <v>1</v>
      </c>
      <c r="I1224" s="306" t="n"/>
      <c r="J1224" s="306" t="n"/>
      <c r="K1224" s="306" t="n"/>
      <c r="L1224" s="307">
        <f>$F1224*$H1224</f>
        <v/>
      </c>
      <c r="M1224" s="306" t="n"/>
      <c r="N1224" s="306" t="n"/>
      <c r="O1224" s="306" t="n"/>
      <c r="P1224" s="306" t="n"/>
      <c r="Q1224" s="306" t="n"/>
    </row>
    <row r="1225" ht="18.75" customHeight="1">
      <c r="B1225" s="288" t="n">
        <v>45436</v>
      </c>
      <c r="C1225" s="289" t="n">
        <v>618</v>
      </c>
      <c r="D1225" s="290" t="inlineStr">
        <is>
          <t>Taxi + Tol To Airport CGK</t>
        </is>
      </c>
      <c r="E1225" s="306" t="inlineStr">
        <is>
          <t>-</t>
        </is>
      </c>
      <c r="F1225" s="307" t="n">
        <v>250000</v>
      </c>
      <c r="G1225" s="289" t="inlineStr">
        <is>
          <t>IDR</t>
        </is>
      </c>
      <c r="H1225" s="293" t="n">
        <v>1</v>
      </c>
      <c r="I1225" s="306" t="n"/>
      <c r="J1225" s="306" t="n"/>
      <c r="K1225" s="306" t="n"/>
      <c r="L1225" s="307">
        <f>$F1225*$H1225</f>
        <v/>
      </c>
      <c r="M1225" s="306" t="n"/>
      <c r="N1225" s="306" t="n"/>
      <c r="O1225" s="306" t="n"/>
      <c r="P1225" s="306" t="n"/>
      <c r="Q1225" s="306" t="n"/>
    </row>
    <row r="1226" ht="34.5" customHeight="1">
      <c r="B1226" s="288" t="n">
        <v>45436</v>
      </c>
      <c r="C1226" s="289" t="n">
        <v>619</v>
      </c>
      <c r="D1226" s="290" t="inlineStr">
        <is>
          <t>Reschedule Tiket Pesawat dari Citilink ke Super Air Jet (CGK-PLg)</t>
        </is>
      </c>
      <c r="E1226" s="306" t="inlineStr">
        <is>
          <t>-</t>
        </is>
      </c>
      <c r="F1226" s="307" t="n">
        <v>296853</v>
      </c>
      <c r="G1226" s="289" t="inlineStr">
        <is>
          <t>IDR</t>
        </is>
      </c>
      <c r="H1226" s="293" t="n">
        <v>1</v>
      </c>
      <c r="I1226" s="306" t="n"/>
      <c r="J1226" s="306" t="n"/>
      <c r="K1226" s="306" t="n"/>
      <c r="L1226" s="307">
        <f>$F1226*$H1226</f>
        <v/>
      </c>
      <c r="M1226" s="306" t="n"/>
      <c r="N1226" s="306" t="n"/>
      <c r="O1226" s="306" t="n"/>
      <c r="P1226" s="306" t="n"/>
      <c r="Q1226" s="306" t="n"/>
    </row>
    <row r="1227" ht="18.75" customHeight="1">
      <c r="B1227" s="288" t="n">
        <v>45436</v>
      </c>
      <c r="C1227" s="289" t="n">
        <v>620</v>
      </c>
      <c r="D1227" s="290" t="inlineStr">
        <is>
          <t>Taxi + Tol To Airport CGK</t>
        </is>
      </c>
      <c r="E1227" s="306" t="inlineStr">
        <is>
          <t>-</t>
        </is>
      </c>
      <c r="F1227" s="307" t="n">
        <v>250000</v>
      </c>
      <c r="G1227" s="289" t="inlineStr">
        <is>
          <t>IDR</t>
        </is>
      </c>
      <c r="H1227" s="293" t="n">
        <v>1</v>
      </c>
      <c r="I1227" s="306" t="n"/>
      <c r="J1227" s="306" t="n"/>
      <c r="K1227" s="306" t="n"/>
      <c r="L1227" s="307">
        <f>$F1227*$H1227</f>
        <v/>
      </c>
      <c r="M1227" s="306" t="n"/>
      <c r="N1227" s="306" t="n"/>
      <c r="O1227" s="306" t="n"/>
      <c r="P1227" s="306" t="n"/>
      <c r="Q1227" s="306" t="n"/>
    </row>
    <row r="1228">
      <c r="B1228" s="310" t="inlineStr">
        <is>
          <t>Expense#16</t>
        </is>
      </c>
      <c r="C1228" s="311" t="inlineStr">
        <is>
          <t>:</t>
        </is>
      </c>
      <c r="D1228" s="310" t="inlineStr">
        <is>
          <t>ALFA job - JRK-193 OJT - Dwiyanto S</t>
        </is>
      </c>
      <c r="E1228" s="311" t="n"/>
      <c r="F1228" s="311" t="n"/>
      <c r="G1228" s="311" t="n"/>
      <c r="H1228" s="311" t="n"/>
      <c r="I1228" s="311" t="n"/>
      <c r="J1228" s="311" t="n"/>
      <c r="K1228" s="311" t="n"/>
      <c r="L1228" s="311" t="n"/>
      <c r="M1228" s="311" t="n"/>
      <c r="N1228" s="311" t="n"/>
      <c r="O1228" s="311" t="n"/>
      <c r="P1228" s="311" t="n"/>
      <c r="Q1228" s="311" t="n"/>
    </row>
    <row r="1229">
      <c r="B1229" s="312" t="n"/>
      <c r="C1229" s="312" t="n"/>
      <c r="D1229" s="285" t="inlineStr">
        <is>
          <t>Allowance</t>
        </is>
      </c>
      <c r="E1229" s="312" t="n"/>
      <c r="F1229" s="312" t="n"/>
      <c r="G1229" s="312" t="n"/>
      <c r="H1229" s="312" t="n"/>
      <c r="I1229" s="312" t="n"/>
      <c r="J1229" s="312" t="n"/>
      <c r="K1229" s="312" t="n"/>
      <c r="L1229" s="312" t="n"/>
      <c r="M1229" s="312" t="n"/>
      <c r="N1229" s="312" t="n"/>
      <c r="O1229" s="312" t="n"/>
      <c r="P1229" s="312" t="n"/>
      <c r="Q1229" s="312" t="n"/>
    </row>
    <row r="1230" ht="34.5" customHeight="1">
      <c r="B1230" s="288" t="n">
        <v>45437</v>
      </c>
      <c r="C1230" s="289" t="n">
        <v>621</v>
      </c>
      <c r="D1230" s="290" t="inlineStr">
        <is>
          <t>Tunjangan Lapangan JRK-193 (25 - 30 May 2024). 1US$=16.200</t>
        </is>
      </c>
      <c r="E1230" s="306" t="inlineStr">
        <is>
          <t>-</t>
        </is>
      </c>
      <c r="F1230" s="307" t="n">
        <v>150</v>
      </c>
      <c r="G1230" s="289" t="inlineStr">
        <is>
          <t>IDR</t>
        </is>
      </c>
      <c r="H1230" s="293" t="n">
        <v>16200</v>
      </c>
      <c r="I1230" s="306" t="n"/>
      <c r="J1230" s="306" t="n"/>
      <c r="K1230" s="306" t="n"/>
      <c r="L1230" s="307">
        <f>$F1230*$H1230</f>
        <v/>
      </c>
      <c r="M1230" s="306" t="n"/>
      <c r="N1230" s="306" t="n"/>
      <c r="O1230" s="306" t="n"/>
      <c r="P1230" s="306" t="n"/>
      <c r="Q1230" s="306" t="n"/>
    </row>
    <row r="1231" ht="34.5" customHeight="1">
      <c r="B1231" s="288" t="n">
        <v>45437</v>
      </c>
      <c r="C1231" s="289" t="n">
        <v>622</v>
      </c>
      <c r="D1231" s="290" t="inlineStr">
        <is>
          <t>Tunjangan Lapangan JRK-193 (25 - 30 May 2024). 1US$=16.200</t>
        </is>
      </c>
      <c r="E1231" s="306" t="inlineStr">
        <is>
          <t>-</t>
        </is>
      </c>
      <c r="F1231" s="307" t="n">
        <v>150</v>
      </c>
      <c r="G1231" s="289" t="inlineStr">
        <is>
          <t>IDR</t>
        </is>
      </c>
      <c r="H1231" s="293" t="n">
        <v>16200</v>
      </c>
      <c r="I1231" s="306" t="n"/>
      <c r="J1231" s="306" t="n"/>
      <c r="K1231" s="306" t="n"/>
      <c r="L1231" s="307">
        <f>$F1231*$H1231</f>
        <v/>
      </c>
      <c r="M1231" s="306" t="n"/>
      <c r="N1231" s="306" t="n"/>
      <c r="O1231" s="306" t="n"/>
      <c r="P1231" s="306" t="n"/>
      <c r="Q1231" s="306" t="n"/>
    </row>
    <row r="1232" ht="34.5" customHeight="1">
      <c r="B1232" s="288" t="n">
        <v>45437</v>
      </c>
      <c r="C1232" s="289" t="n">
        <v>623</v>
      </c>
      <c r="D1232" s="290" t="inlineStr">
        <is>
          <t>Tunjangan Lapangan JRK-193 (25 - 30 May 2024). 1US$=16.200</t>
        </is>
      </c>
      <c r="E1232" s="306" t="inlineStr">
        <is>
          <t>-</t>
        </is>
      </c>
      <c r="F1232" s="307" t="n">
        <v>150</v>
      </c>
      <c r="G1232" s="289" t="inlineStr">
        <is>
          <t>IDR</t>
        </is>
      </c>
      <c r="H1232" s="293" t="n">
        <v>16200</v>
      </c>
      <c r="I1232" s="306" t="n"/>
      <c r="J1232" s="306" t="n"/>
      <c r="K1232" s="306" t="n"/>
      <c r="L1232" s="307">
        <f>$F1232*$H1232</f>
        <v/>
      </c>
      <c r="M1232" s="306" t="n"/>
      <c r="N1232" s="306" t="n"/>
      <c r="O1232" s="306" t="n"/>
      <c r="P1232" s="306" t="n"/>
      <c r="Q1232" s="306" t="n"/>
    </row>
    <row r="1233" ht="34.5" customHeight="1">
      <c r="B1233" s="288" t="n">
        <v>45437</v>
      </c>
      <c r="C1233" s="289" t="n">
        <v>624</v>
      </c>
      <c r="D1233" s="290" t="inlineStr">
        <is>
          <t>Tunjangan Lapangan JRK-193 (25 - 30 May 2024). 1US$=16.200</t>
        </is>
      </c>
      <c r="E1233" s="306" t="inlineStr">
        <is>
          <t>-</t>
        </is>
      </c>
      <c r="F1233" s="307" t="n">
        <v>150</v>
      </c>
      <c r="G1233" s="289" t="inlineStr">
        <is>
          <t>IDR</t>
        </is>
      </c>
      <c r="H1233" s="293" t="n">
        <v>16200</v>
      </c>
      <c r="I1233" s="306" t="n"/>
      <c r="J1233" s="306" t="n"/>
      <c r="K1233" s="306" t="n"/>
      <c r="L1233" s="307">
        <f>$F1233*$H1233</f>
        <v/>
      </c>
      <c r="M1233" s="306" t="n"/>
      <c r="N1233" s="306" t="n"/>
      <c r="O1233" s="306" t="n"/>
      <c r="P1233" s="306" t="n"/>
      <c r="Q1233" s="306" t="n"/>
    </row>
    <row r="1234">
      <c r="B1234" s="312" t="n"/>
      <c r="C1234" s="312" t="n"/>
      <c r="D1234" s="285" t="inlineStr">
        <is>
          <t>Hand Tools</t>
        </is>
      </c>
      <c r="E1234" s="312" t="n"/>
      <c r="F1234" s="312" t="n"/>
      <c r="G1234" s="312" t="n"/>
      <c r="H1234" s="312" t="n"/>
      <c r="I1234" s="312" t="n"/>
      <c r="J1234" s="312" t="n"/>
      <c r="K1234" s="312" t="n"/>
      <c r="L1234" s="312" t="n"/>
      <c r="M1234" s="312" t="n"/>
      <c r="N1234" s="312" t="n"/>
      <c r="O1234" s="312" t="n"/>
      <c r="P1234" s="312" t="n"/>
      <c r="Q1234" s="312" t="n"/>
    </row>
    <row r="1235" ht="18.75" customHeight="1">
      <c r="B1235" s="288" t="n">
        <v>45439</v>
      </c>
      <c r="C1235" s="289" t="n">
        <v>625</v>
      </c>
      <c r="D1235" s="290" t="inlineStr">
        <is>
          <t>Hand gloves</t>
        </is>
      </c>
      <c r="E1235" s="306" t="inlineStr">
        <is>
          <t>-</t>
        </is>
      </c>
      <c r="F1235" s="307" t="n">
        <v>21900</v>
      </c>
      <c r="G1235" s="289" t="inlineStr">
        <is>
          <t>IDR</t>
        </is>
      </c>
      <c r="H1235" s="293" t="n">
        <v>1</v>
      </c>
      <c r="I1235" s="306" t="n"/>
      <c r="J1235" s="306" t="n"/>
      <c r="K1235" s="306" t="n"/>
      <c r="L1235" s="306" t="n"/>
      <c r="M1235" s="306" t="n"/>
      <c r="N1235" s="307">
        <f>$F1235*$H1235</f>
        <v/>
      </c>
      <c r="O1235" s="306" t="n"/>
      <c r="P1235" s="306" t="n"/>
      <c r="Q1235" s="306" t="n"/>
    </row>
    <row r="1236" ht="18.75" customHeight="1">
      <c r="B1236" s="288" t="n">
        <v>45439</v>
      </c>
      <c r="C1236" s="289" t="n">
        <v>626</v>
      </c>
      <c r="D1236" s="290" t="inlineStr">
        <is>
          <t>Hand gloves</t>
        </is>
      </c>
      <c r="E1236" s="306" t="inlineStr">
        <is>
          <t>-</t>
        </is>
      </c>
      <c r="F1236" s="307" t="n">
        <v>21900</v>
      </c>
      <c r="G1236" s="289" t="inlineStr">
        <is>
          <t>IDR</t>
        </is>
      </c>
      <c r="H1236" s="293" t="n">
        <v>1</v>
      </c>
      <c r="I1236" s="306" t="n"/>
      <c r="J1236" s="306" t="n"/>
      <c r="K1236" s="306" t="n"/>
      <c r="L1236" s="306" t="n"/>
      <c r="M1236" s="306" t="n"/>
      <c r="N1236" s="307">
        <f>$F1236*$H1236</f>
        <v/>
      </c>
      <c r="O1236" s="306" t="n"/>
      <c r="P1236" s="306" t="n"/>
      <c r="Q1236" s="306" t="n"/>
    </row>
    <row r="1237" ht="18.75" customHeight="1">
      <c r="B1237" s="288" t="n">
        <v>45439</v>
      </c>
      <c r="C1237" s="289" t="n">
        <v>627</v>
      </c>
      <c r="D1237" s="290" t="inlineStr">
        <is>
          <t>Hand gloves</t>
        </is>
      </c>
      <c r="E1237" s="306" t="inlineStr">
        <is>
          <t>-</t>
        </is>
      </c>
      <c r="F1237" s="307" t="n">
        <v>21900</v>
      </c>
      <c r="G1237" s="289" t="inlineStr">
        <is>
          <t>IDR</t>
        </is>
      </c>
      <c r="H1237" s="293" t="n">
        <v>1</v>
      </c>
      <c r="I1237" s="306" t="n"/>
      <c r="J1237" s="306" t="n"/>
      <c r="K1237" s="306" t="n"/>
      <c r="L1237" s="306" t="n"/>
      <c r="M1237" s="306" t="n"/>
      <c r="N1237" s="307">
        <f>$F1237*$H1237</f>
        <v/>
      </c>
      <c r="O1237" s="306" t="n"/>
      <c r="P1237" s="306" t="n"/>
      <c r="Q1237" s="306" t="n"/>
    </row>
    <row r="1238" ht="18.75" customHeight="1">
      <c r="B1238" s="288" t="n">
        <v>45439</v>
      </c>
      <c r="C1238" s="289" t="n">
        <v>628</v>
      </c>
      <c r="D1238" s="290" t="inlineStr">
        <is>
          <t>Hand gloves</t>
        </is>
      </c>
      <c r="E1238" s="306" t="inlineStr">
        <is>
          <t>-</t>
        </is>
      </c>
      <c r="F1238" s="307" t="n">
        <v>21900</v>
      </c>
      <c r="G1238" s="289" t="inlineStr">
        <is>
          <t>IDR</t>
        </is>
      </c>
      <c r="H1238" s="293" t="n">
        <v>1</v>
      </c>
      <c r="I1238" s="306" t="n"/>
      <c r="J1238" s="306" t="n"/>
      <c r="K1238" s="306" t="n"/>
      <c r="L1238" s="306" t="n"/>
      <c r="M1238" s="306" t="n"/>
      <c r="N1238" s="307">
        <f>$F1238*$H1238</f>
        <v/>
      </c>
      <c r="O1238" s="306" t="n"/>
      <c r="P1238" s="306" t="n"/>
      <c r="Q1238" s="306" t="n"/>
    </row>
    <row r="1239">
      <c r="B1239" s="312" t="n"/>
      <c r="C1239" s="312" t="n"/>
      <c r="D1239" s="285" t="inlineStr">
        <is>
          <t>Laundry</t>
        </is>
      </c>
      <c r="E1239" s="312" t="n"/>
      <c r="F1239" s="312" t="n"/>
      <c r="G1239" s="312" t="n"/>
      <c r="H1239" s="312" t="n"/>
      <c r="I1239" s="312" t="n"/>
      <c r="J1239" s="312" t="n"/>
      <c r="K1239" s="312" t="n"/>
      <c r="L1239" s="312" t="n"/>
      <c r="M1239" s="312" t="n"/>
      <c r="N1239" s="312" t="n"/>
      <c r="O1239" s="312" t="n"/>
      <c r="P1239" s="312" t="n"/>
      <c r="Q1239" s="312" t="n"/>
    </row>
    <row r="1240" ht="18.75" customHeight="1">
      <c r="B1240" s="288" t="n">
        <v>45437</v>
      </c>
      <c r="C1240" s="289" t="n">
        <v>629</v>
      </c>
      <c r="D1240" s="290" t="inlineStr">
        <is>
          <t>Laundry (25 - 30 May 2024)</t>
        </is>
      </c>
      <c r="E1240" s="306" t="inlineStr">
        <is>
          <t>-</t>
        </is>
      </c>
      <c r="F1240" s="307" t="n">
        <v>300000</v>
      </c>
      <c r="G1240" s="289" t="inlineStr">
        <is>
          <t>IDR</t>
        </is>
      </c>
      <c r="H1240" s="293" t="n">
        <v>1</v>
      </c>
      <c r="I1240" s="306" t="n"/>
      <c r="J1240" s="306" t="n"/>
      <c r="K1240" s="306" t="n"/>
      <c r="L1240" s="307">
        <f>$F1240*$H1240</f>
        <v/>
      </c>
      <c r="M1240" s="306" t="n"/>
      <c r="N1240" s="306" t="n"/>
      <c r="O1240" s="306" t="n"/>
      <c r="P1240" s="306" t="n"/>
      <c r="Q1240" s="306" t="n"/>
    </row>
    <row r="1241" ht="18.75" customHeight="1">
      <c r="B1241" s="288" t="n">
        <v>45437</v>
      </c>
      <c r="C1241" s="289" t="n">
        <v>630</v>
      </c>
      <c r="D1241" s="290" t="inlineStr">
        <is>
          <t>Laundry (25 - 30 May 2024)</t>
        </is>
      </c>
      <c r="E1241" s="306" t="inlineStr">
        <is>
          <t>-</t>
        </is>
      </c>
      <c r="F1241" s="307" t="n">
        <v>300000</v>
      </c>
      <c r="G1241" s="289" t="inlineStr">
        <is>
          <t>IDR</t>
        </is>
      </c>
      <c r="H1241" s="293" t="n">
        <v>1</v>
      </c>
      <c r="I1241" s="306" t="n"/>
      <c r="J1241" s="306" t="n"/>
      <c r="K1241" s="306" t="n"/>
      <c r="L1241" s="307">
        <f>$F1241*$H1241</f>
        <v/>
      </c>
      <c r="M1241" s="306" t="n"/>
      <c r="N1241" s="306" t="n"/>
      <c r="O1241" s="306" t="n"/>
      <c r="P1241" s="306" t="n"/>
      <c r="Q1241" s="306" t="n"/>
    </row>
    <row r="1242" ht="18.75" customHeight="1">
      <c r="B1242" s="288" t="n">
        <v>45437</v>
      </c>
      <c r="C1242" s="289" t="n">
        <v>631</v>
      </c>
      <c r="D1242" s="290" t="inlineStr">
        <is>
          <t>Laundry (25 - 30 May 2024)</t>
        </is>
      </c>
      <c r="E1242" s="306" t="inlineStr">
        <is>
          <t>-</t>
        </is>
      </c>
      <c r="F1242" s="307" t="n">
        <v>300000</v>
      </c>
      <c r="G1242" s="289" t="inlineStr">
        <is>
          <t>IDR</t>
        </is>
      </c>
      <c r="H1242" s="293" t="n">
        <v>1</v>
      </c>
      <c r="I1242" s="306" t="n"/>
      <c r="J1242" s="306" t="n"/>
      <c r="K1242" s="306" t="n"/>
      <c r="L1242" s="307">
        <f>$F1242*$H1242</f>
        <v/>
      </c>
      <c r="M1242" s="306" t="n"/>
      <c r="N1242" s="306" t="n"/>
      <c r="O1242" s="306" t="n"/>
      <c r="P1242" s="306" t="n"/>
      <c r="Q1242" s="306" t="n"/>
    </row>
    <row r="1243" ht="18.75" customHeight="1">
      <c r="B1243" s="288" t="n">
        <v>45437</v>
      </c>
      <c r="C1243" s="289" t="n">
        <v>632</v>
      </c>
      <c r="D1243" s="290" t="inlineStr">
        <is>
          <t>Laundry (25 - 30 May 2024)</t>
        </is>
      </c>
      <c r="E1243" s="306" t="inlineStr">
        <is>
          <t>-</t>
        </is>
      </c>
      <c r="F1243" s="307" t="n">
        <v>300000</v>
      </c>
      <c r="G1243" s="289" t="inlineStr">
        <is>
          <t>IDR</t>
        </is>
      </c>
      <c r="H1243" s="293" t="n">
        <v>1</v>
      </c>
      <c r="I1243" s="306" t="n"/>
      <c r="J1243" s="306" t="n"/>
      <c r="K1243" s="306" t="n"/>
      <c r="L1243" s="307">
        <f>$F1243*$H1243</f>
        <v/>
      </c>
      <c r="M1243" s="306" t="n"/>
      <c r="N1243" s="306" t="n"/>
      <c r="O1243" s="306" t="n"/>
      <c r="P1243" s="306" t="n"/>
      <c r="Q1243" s="306" t="n"/>
    </row>
    <row r="1244">
      <c r="B1244" s="312" t="n"/>
      <c r="C1244" s="312" t="n"/>
      <c r="D1244" s="285" t="inlineStr">
        <is>
          <t>Logistic</t>
        </is>
      </c>
      <c r="E1244" s="312" t="n"/>
      <c r="F1244" s="312" t="n"/>
      <c r="G1244" s="312" t="n"/>
      <c r="H1244" s="312" t="n"/>
      <c r="I1244" s="312" t="n"/>
      <c r="J1244" s="312" t="n"/>
      <c r="K1244" s="312" t="n"/>
      <c r="L1244" s="312" t="n"/>
      <c r="M1244" s="312" t="n"/>
      <c r="N1244" s="312" t="n"/>
      <c r="O1244" s="312" t="n"/>
      <c r="P1244" s="312" t="n"/>
      <c r="Q1244" s="312" t="n"/>
    </row>
    <row r="1245" ht="18.75" customHeight="1">
      <c r="B1245" s="288" t="n">
        <v>45437</v>
      </c>
      <c r="C1245" s="289" t="n">
        <v>633</v>
      </c>
      <c r="D1245" s="290" t="inlineStr">
        <is>
          <t>Wrapping Alfa Box</t>
        </is>
      </c>
      <c r="E1245" s="306" t="inlineStr">
        <is>
          <t>-</t>
        </is>
      </c>
      <c r="F1245" s="307" t="n">
        <v>80000</v>
      </c>
      <c r="G1245" s="289" t="inlineStr">
        <is>
          <t>IDR</t>
        </is>
      </c>
      <c r="H1245" s="293" t="n">
        <v>1</v>
      </c>
      <c r="I1245" s="306" t="n"/>
      <c r="J1245" s="306" t="n"/>
      <c r="K1245" s="306" t="n"/>
      <c r="L1245" s="306" t="n"/>
      <c r="M1245" s="306" t="n"/>
      <c r="N1245" s="307">
        <f>$F1245*$H1245</f>
        <v/>
      </c>
      <c r="O1245" s="306" t="n"/>
      <c r="P1245" s="306" t="n"/>
      <c r="Q1245" s="306" t="n"/>
    </row>
    <row r="1246" ht="18.75" customHeight="1">
      <c r="B1246" s="288" t="n">
        <v>45437</v>
      </c>
      <c r="C1246" s="289" t="n">
        <v>634</v>
      </c>
      <c r="D1246" s="290" t="inlineStr">
        <is>
          <t>Wrapping Alfa Box</t>
        </is>
      </c>
      <c r="E1246" s="306" t="inlineStr">
        <is>
          <t>-</t>
        </is>
      </c>
      <c r="F1246" s="307" t="n">
        <v>80000</v>
      </c>
      <c r="G1246" s="289" t="inlineStr">
        <is>
          <t>IDR</t>
        </is>
      </c>
      <c r="H1246" s="293" t="n">
        <v>1</v>
      </c>
      <c r="I1246" s="306" t="n"/>
      <c r="J1246" s="306" t="n"/>
      <c r="K1246" s="306" t="n"/>
      <c r="L1246" s="306" t="n"/>
      <c r="M1246" s="306" t="n"/>
      <c r="N1246" s="307">
        <f>$F1246*$H1246</f>
        <v/>
      </c>
      <c r="O1246" s="306" t="n"/>
      <c r="P1246" s="306" t="n"/>
      <c r="Q1246" s="306" t="n"/>
    </row>
    <row r="1247" ht="18.75" customHeight="1">
      <c r="B1247" s="288" t="n">
        <v>45437</v>
      </c>
      <c r="C1247" s="289" t="n">
        <v>635</v>
      </c>
      <c r="D1247" s="290" t="inlineStr">
        <is>
          <t>Wrapping Alfa Box</t>
        </is>
      </c>
      <c r="E1247" s="306" t="inlineStr">
        <is>
          <t>-</t>
        </is>
      </c>
      <c r="F1247" s="307" t="n">
        <v>80000</v>
      </c>
      <c r="G1247" s="289" t="inlineStr">
        <is>
          <t>IDR</t>
        </is>
      </c>
      <c r="H1247" s="293" t="n">
        <v>1</v>
      </c>
      <c r="I1247" s="306" t="n"/>
      <c r="J1247" s="306" t="n"/>
      <c r="K1247" s="306" t="n"/>
      <c r="L1247" s="306" t="n"/>
      <c r="M1247" s="306" t="n"/>
      <c r="N1247" s="307">
        <f>$F1247*$H1247</f>
        <v/>
      </c>
      <c r="O1247" s="306" t="n"/>
      <c r="P1247" s="306" t="n"/>
      <c r="Q1247" s="306" t="n"/>
    </row>
    <row r="1248" ht="18.75" customHeight="1">
      <c r="B1248" s="288" t="n">
        <v>45437</v>
      </c>
      <c r="C1248" s="289" t="n">
        <v>636</v>
      </c>
      <c r="D1248" s="290" t="inlineStr">
        <is>
          <t>Wrapping Alfa Box</t>
        </is>
      </c>
      <c r="E1248" s="306" t="inlineStr">
        <is>
          <t>-</t>
        </is>
      </c>
      <c r="F1248" s="307" t="n">
        <v>80000</v>
      </c>
      <c r="G1248" s="289" t="inlineStr">
        <is>
          <t>IDR</t>
        </is>
      </c>
      <c r="H1248" s="293" t="n">
        <v>1</v>
      </c>
      <c r="I1248" s="306" t="n"/>
      <c r="J1248" s="306" t="n"/>
      <c r="K1248" s="306" t="n"/>
      <c r="L1248" s="306" t="n"/>
      <c r="M1248" s="306" t="n"/>
      <c r="N1248" s="307">
        <f>$F1248*$H1248</f>
        <v/>
      </c>
      <c r="O1248" s="306" t="n"/>
      <c r="P1248" s="306" t="n"/>
      <c r="Q1248" s="306" t="n"/>
    </row>
    <row r="1249">
      <c r="B1249" s="312" t="n"/>
      <c r="C1249" s="312" t="n"/>
      <c r="D1249" s="285" t="inlineStr">
        <is>
          <t>Meal</t>
        </is>
      </c>
      <c r="E1249" s="312" t="n"/>
      <c r="F1249" s="312" t="n"/>
      <c r="G1249" s="312" t="n"/>
      <c r="H1249" s="312" t="n"/>
      <c r="I1249" s="312" t="n"/>
      <c r="J1249" s="312" t="n"/>
      <c r="K1249" s="312" t="n"/>
      <c r="L1249" s="312" t="n"/>
      <c r="M1249" s="312" t="n"/>
      <c r="N1249" s="312" t="n"/>
      <c r="O1249" s="312" t="n"/>
      <c r="P1249" s="312" t="n"/>
      <c r="Q1249" s="312" t="n"/>
    </row>
    <row r="1250" ht="18.75" customHeight="1">
      <c r="B1250" s="288" t="n">
        <v>45437</v>
      </c>
      <c r="C1250" s="289" t="n">
        <v>637</v>
      </c>
      <c r="D1250" s="290" t="inlineStr">
        <is>
          <t>Uang Makan (25 - 30 May 2024)</t>
        </is>
      </c>
      <c r="E1250" s="306" t="inlineStr">
        <is>
          <t>-</t>
        </is>
      </c>
      <c r="F1250" s="307" t="n">
        <v>900000</v>
      </c>
      <c r="G1250" s="289" t="inlineStr">
        <is>
          <t>IDR</t>
        </is>
      </c>
      <c r="H1250" s="293" t="n">
        <v>1</v>
      </c>
      <c r="I1250" s="306" t="n"/>
      <c r="J1250" s="306" t="n"/>
      <c r="K1250" s="306" t="n"/>
      <c r="L1250" s="307">
        <f>$F1250*$H1250</f>
        <v/>
      </c>
      <c r="M1250" s="306" t="n"/>
      <c r="N1250" s="306" t="n"/>
      <c r="O1250" s="306" t="n"/>
      <c r="P1250" s="306" t="n"/>
      <c r="Q1250" s="306" t="n"/>
    </row>
    <row r="1251" ht="18.75" customHeight="1">
      <c r="B1251" s="288" t="n">
        <v>45437</v>
      </c>
      <c r="C1251" s="289" t="n">
        <v>638</v>
      </c>
      <c r="D1251" s="290" t="inlineStr">
        <is>
          <t>Uang Makan (25 - 30 May 2024)</t>
        </is>
      </c>
      <c r="E1251" s="306" t="inlineStr">
        <is>
          <t>-</t>
        </is>
      </c>
      <c r="F1251" s="307" t="n">
        <v>900000</v>
      </c>
      <c r="G1251" s="289" t="inlineStr">
        <is>
          <t>IDR</t>
        </is>
      </c>
      <c r="H1251" s="293" t="n">
        <v>1</v>
      </c>
      <c r="I1251" s="306" t="n"/>
      <c r="J1251" s="306" t="n"/>
      <c r="K1251" s="306" t="n"/>
      <c r="L1251" s="307">
        <f>$F1251*$H1251</f>
        <v/>
      </c>
      <c r="M1251" s="306" t="n"/>
      <c r="N1251" s="306" t="n"/>
      <c r="O1251" s="306" t="n"/>
      <c r="P1251" s="306" t="n"/>
      <c r="Q1251" s="306" t="n"/>
    </row>
    <row r="1252" ht="18.75" customHeight="1">
      <c r="B1252" s="288" t="n">
        <v>45437</v>
      </c>
      <c r="C1252" s="289" t="n">
        <v>639</v>
      </c>
      <c r="D1252" s="290" t="inlineStr">
        <is>
          <t>Uang Makan (25 - 30 May 2024)</t>
        </is>
      </c>
      <c r="E1252" s="306" t="inlineStr">
        <is>
          <t>-</t>
        </is>
      </c>
      <c r="F1252" s="307" t="n">
        <v>900000</v>
      </c>
      <c r="G1252" s="289" t="inlineStr">
        <is>
          <t>IDR</t>
        </is>
      </c>
      <c r="H1252" s="293" t="n">
        <v>1</v>
      </c>
      <c r="I1252" s="306" t="n"/>
      <c r="J1252" s="306" t="n"/>
      <c r="K1252" s="306" t="n"/>
      <c r="L1252" s="307">
        <f>$F1252*$H1252</f>
        <v/>
      </c>
      <c r="M1252" s="306" t="n"/>
      <c r="N1252" s="306" t="n"/>
      <c r="O1252" s="306" t="n"/>
      <c r="P1252" s="306" t="n"/>
      <c r="Q1252" s="306" t="n"/>
    </row>
    <row r="1253" ht="18.75" customHeight="1">
      <c r="B1253" s="288" t="n">
        <v>45437</v>
      </c>
      <c r="C1253" s="289" t="n">
        <v>640</v>
      </c>
      <c r="D1253" s="290" t="inlineStr">
        <is>
          <t>Uang Makan (25 - 30 May 2024)</t>
        </is>
      </c>
      <c r="E1253" s="306" t="inlineStr">
        <is>
          <t>-</t>
        </is>
      </c>
      <c r="F1253" s="307" t="n">
        <v>900000</v>
      </c>
      <c r="G1253" s="289" t="inlineStr">
        <is>
          <t>IDR</t>
        </is>
      </c>
      <c r="H1253" s="293" t="n">
        <v>1</v>
      </c>
      <c r="I1253" s="306" t="n"/>
      <c r="J1253" s="306" t="n"/>
      <c r="K1253" s="306" t="n"/>
      <c r="L1253" s="307">
        <f>$F1253*$H1253</f>
        <v/>
      </c>
      <c r="M1253" s="306" t="n"/>
      <c r="N1253" s="306" t="n"/>
      <c r="O1253" s="306" t="n"/>
      <c r="P1253" s="306" t="n"/>
      <c r="Q1253" s="306" t="n"/>
    </row>
    <row r="1254">
      <c r="B1254" s="312" t="n"/>
      <c r="C1254" s="312" t="n"/>
      <c r="D1254" s="285" t="inlineStr">
        <is>
          <t>Sparepart</t>
        </is>
      </c>
      <c r="E1254" s="312" t="n"/>
      <c r="F1254" s="312" t="n"/>
      <c r="G1254" s="312" t="n"/>
      <c r="H1254" s="312" t="n"/>
      <c r="I1254" s="312" t="n"/>
      <c r="J1254" s="312" t="n"/>
      <c r="K1254" s="312" t="n"/>
      <c r="L1254" s="312" t="n"/>
      <c r="M1254" s="312" t="n"/>
      <c r="N1254" s="312" t="n"/>
      <c r="O1254" s="312" t="n"/>
      <c r="P1254" s="312" t="n"/>
      <c r="Q1254" s="312" t="n"/>
    </row>
    <row r="1255" ht="18.75" customHeight="1">
      <c r="B1255" s="288" t="n">
        <v>45443</v>
      </c>
      <c r="C1255" s="289" t="n">
        <v>641</v>
      </c>
      <c r="D1255" s="290" t="inlineStr">
        <is>
          <t>Allen key, pliers, screwdrivers</t>
        </is>
      </c>
      <c r="E1255" s="306" t="inlineStr">
        <is>
          <t>-</t>
        </is>
      </c>
      <c r="F1255" s="307" t="n">
        <v>268000</v>
      </c>
      <c r="G1255" s="289" t="inlineStr">
        <is>
          <t>IDR</t>
        </is>
      </c>
      <c r="H1255" s="293" t="n">
        <v>1</v>
      </c>
      <c r="I1255" s="306" t="n"/>
      <c r="J1255" s="306" t="n"/>
      <c r="K1255" s="306" t="n"/>
      <c r="L1255" s="306" t="n"/>
      <c r="M1255" s="306" t="n"/>
      <c r="N1255" s="307">
        <f>$F1255*$H1255</f>
        <v/>
      </c>
      <c r="O1255" s="306" t="n"/>
      <c r="P1255" s="306" t="n"/>
      <c r="Q1255" s="306" t="n"/>
    </row>
    <row r="1256" ht="18.75" customHeight="1">
      <c r="B1256" s="288" t="n">
        <v>45443</v>
      </c>
      <c r="C1256" s="289" t="n">
        <v>642</v>
      </c>
      <c r="D1256" s="290" t="inlineStr">
        <is>
          <t>Allen key, pliers, screwdrivers</t>
        </is>
      </c>
      <c r="E1256" s="306" t="inlineStr">
        <is>
          <t>-</t>
        </is>
      </c>
      <c r="F1256" s="307" t="n">
        <v>268000</v>
      </c>
      <c r="G1256" s="289" t="inlineStr">
        <is>
          <t>IDR</t>
        </is>
      </c>
      <c r="H1256" s="293" t="n">
        <v>1</v>
      </c>
      <c r="I1256" s="306" t="n"/>
      <c r="J1256" s="306" t="n"/>
      <c r="K1256" s="306" t="n"/>
      <c r="L1256" s="306" t="n"/>
      <c r="M1256" s="306" t="n"/>
      <c r="N1256" s="307">
        <f>$F1256*$H1256</f>
        <v/>
      </c>
      <c r="O1256" s="306" t="n"/>
      <c r="P1256" s="306" t="n"/>
      <c r="Q1256" s="306" t="n"/>
    </row>
    <row r="1257" ht="18.75" customHeight="1">
      <c r="B1257" s="288" t="n">
        <v>45443</v>
      </c>
      <c r="C1257" s="289" t="n">
        <v>643</v>
      </c>
      <c r="D1257" s="290" t="inlineStr">
        <is>
          <t>Allen key, pliers, screwdrivers</t>
        </is>
      </c>
      <c r="E1257" s="306" t="inlineStr">
        <is>
          <t>-</t>
        </is>
      </c>
      <c r="F1257" s="307" t="n">
        <v>268000</v>
      </c>
      <c r="G1257" s="289" t="inlineStr">
        <is>
          <t>IDR</t>
        </is>
      </c>
      <c r="H1257" s="293" t="n">
        <v>1</v>
      </c>
      <c r="I1257" s="306" t="n"/>
      <c r="J1257" s="306" t="n"/>
      <c r="K1257" s="306" t="n"/>
      <c r="L1257" s="306" t="n"/>
      <c r="M1257" s="306" t="n"/>
      <c r="N1257" s="307">
        <f>$F1257*$H1257</f>
        <v/>
      </c>
      <c r="O1257" s="306" t="n"/>
      <c r="P1257" s="306" t="n"/>
      <c r="Q1257" s="306" t="n"/>
    </row>
    <row r="1258" ht="18.75" customHeight="1">
      <c r="B1258" s="288" t="n">
        <v>45443</v>
      </c>
      <c r="C1258" s="289" t="n">
        <v>644</v>
      </c>
      <c r="D1258" s="290" t="inlineStr">
        <is>
          <t>Allen key, pliers, screwdrivers</t>
        </is>
      </c>
      <c r="E1258" s="306" t="inlineStr">
        <is>
          <t>-</t>
        </is>
      </c>
      <c r="F1258" s="307" t="n">
        <v>268000</v>
      </c>
      <c r="G1258" s="289" t="inlineStr">
        <is>
          <t>IDR</t>
        </is>
      </c>
      <c r="H1258" s="293" t="n">
        <v>1</v>
      </c>
      <c r="I1258" s="306" t="n"/>
      <c r="J1258" s="306" t="n"/>
      <c r="K1258" s="306" t="n"/>
      <c r="L1258" s="306" t="n"/>
      <c r="M1258" s="306" t="n"/>
      <c r="N1258" s="307">
        <f>$F1258*$H1258</f>
        <v/>
      </c>
      <c r="O1258" s="306" t="n"/>
      <c r="P1258" s="306" t="n"/>
      <c r="Q1258" s="306" t="n"/>
    </row>
    <row r="1259">
      <c r="B1259" s="312" t="n"/>
      <c r="C1259" s="312" t="n"/>
      <c r="D1259" s="285" t="inlineStr">
        <is>
          <t>Transportation</t>
        </is>
      </c>
      <c r="E1259" s="312" t="n"/>
      <c r="F1259" s="312" t="n"/>
      <c r="G1259" s="312" t="n"/>
      <c r="H1259" s="312" t="n"/>
      <c r="I1259" s="312" t="n"/>
      <c r="J1259" s="312" t="n"/>
      <c r="K1259" s="312" t="n"/>
      <c r="L1259" s="312" t="n"/>
      <c r="M1259" s="312" t="n"/>
      <c r="N1259" s="312" t="n"/>
      <c r="O1259" s="312" t="n"/>
      <c r="P1259" s="312" t="n"/>
      <c r="Q1259" s="312" t="n"/>
    </row>
    <row r="1260" ht="18.75" customHeight="1">
      <c r="B1260" s="288" t="n">
        <v>45437</v>
      </c>
      <c r="C1260" s="289" t="n">
        <v>645</v>
      </c>
      <c r="D1260" s="290" t="inlineStr">
        <is>
          <t>Taxi + Tol to Airport Jakarta</t>
        </is>
      </c>
      <c r="E1260" s="306" t="inlineStr">
        <is>
          <t>-</t>
        </is>
      </c>
      <c r="F1260" s="307" t="n">
        <v>232520</v>
      </c>
      <c r="G1260" s="289" t="inlineStr">
        <is>
          <t>IDR</t>
        </is>
      </c>
      <c r="H1260" s="293" t="n">
        <v>1</v>
      </c>
      <c r="I1260" s="306" t="n"/>
      <c r="J1260" s="306" t="n"/>
      <c r="K1260" s="306" t="n"/>
      <c r="L1260" s="307">
        <f>$F1260*$H1260</f>
        <v/>
      </c>
      <c r="M1260" s="306" t="n"/>
      <c r="N1260" s="306" t="n"/>
      <c r="O1260" s="306" t="n"/>
      <c r="P1260" s="306" t="n"/>
      <c r="Q1260" s="306" t="n"/>
    </row>
    <row r="1261" ht="18.75" customHeight="1">
      <c r="B1261" s="288" t="n">
        <v>45437</v>
      </c>
      <c r="C1261" s="289" t="n">
        <v>646</v>
      </c>
      <c r="D1261" s="290" t="inlineStr">
        <is>
          <t>fuel + tol PLM-Prabu</t>
        </is>
      </c>
      <c r="E1261" s="306" t="inlineStr">
        <is>
          <t>-</t>
        </is>
      </c>
      <c r="F1261" s="307" t="n">
        <v>312000</v>
      </c>
      <c r="G1261" s="289" t="inlineStr">
        <is>
          <t>IDR</t>
        </is>
      </c>
      <c r="H1261" s="293" t="n">
        <v>1</v>
      </c>
      <c r="I1261" s="306" t="n"/>
      <c r="J1261" s="306" t="n"/>
      <c r="K1261" s="306" t="n"/>
      <c r="L1261" s="307">
        <f>$F1261*$H1261</f>
        <v/>
      </c>
      <c r="M1261" s="306" t="n"/>
      <c r="N1261" s="306" t="n"/>
      <c r="O1261" s="306" t="n"/>
      <c r="P1261" s="306" t="n"/>
      <c r="Q1261" s="306" t="n"/>
    </row>
    <row r="1262" ht="18.75" customHeight="1">
      <c r="B1262" s="288" t="n">
        <v>45437</v>
      </c>
      <c r="C1262" s="289" t="n">
        <v>647</v>
      </c>
      <c r="D1262" s="290" t="inlineStr">
        <is>
          <t>Taxi + Tol to Airport Jakarta</t>
        </is>
      </c>
      <c r="E1262" s="306" t="inlineStr">
        <is>
          <t>-</t>
        </is>
      </c>
      <c r="F1262" s="307" t="n">
        <v>232520</v>
      </c>
      <c r="G1262" s="289" t="inlineStr">
        <is>
          <t>IDR</t>
        </is>
      </c>
      <c r="H1262" s="293" t="n">
        <v>1</v>
      </c>
      <c r="I1262" s="306" t="n"/>
      <c r="J1262" s="306" t="n"/>
      <c r="K1262" s="306" t="n"/>
      <c r="L1262" s="307">
        <f>$F1262*$H1262</f>
        <v/>
      </c>
      <c r="M1262" s="306" t="n"/>
      <c r="N1262" s="306" t="n"/>
      <c r="O1262" s="306" t="n"/>
      <c r="P1262" s="306" t="n"/>
      <c r="Q1262" s="306" t="n"/>
    </row>
    <row r="1263" ht="18.75" customHeight="1">
      <c r="B1263" s="288" t="n">
        <v>45437</v>
      </c>
      <c r="C1263" s="289" t="n">
        <v>648</v>
      </c>
      <c r="D1263" s="290" t="inlineStr">
        <is>
          <t>fuel + tol PLM-Prabu</t>
        </is>
      </c>
      <c r="E1263" s="306" t="inlineStr">
        <is>
          <t>-</t>
        </is>
      </c>
      <c r="F1263" s="307" t="n">
        <v>312000</v>
      </c>
      <c r="G1263" s="289" t="inlineStr">
        <is>
          <t>IDR</t>
        </is>
      </c>
      <c r="H1263" s="293" t="n">
        <v>1</v>
      </c>
      <c r="I1263" s="306" t="n"/>
      <c r="J1263" s="306" t="n"/>
      <c r="K1263" s="306" t="n"/>
      <c r="L1263" s="307">
        <f>$F1263*$H1263</f>
        <v/>
      </c>
      <c r="M1263" s="306" t="n"/>
      <c r="N1263" s="306" t="n"/>
      <c r="O1263" s="306" t="n"/>
      <c r="P1263" s="306" t="n"/>
      <c r="Q1263" s="306" t="n"/>
    </row>
    <row r="1264" ht="18.75" customHeight="1">
      <c r="B1264" s="288" t="n">
        <v>45437</v>
      </c>
      <c r="C1264" s="289" t="n">
        <v>649</v>
      </c>
      <c r="D1264" s="290" t="inlineStr">
        <is>
          <t>Taxi + Tol to Airport Jakarta</t>
        </is>
      </c>
      <c r="E1264" s="306" t="inlineStr">
        <is>
          <t>-</t>
        </is>
      </c>
      <c r="F1264" s="307" t="n">
        <v>232520</v>
      </c>
      <c r="G1264" s="289" t="inlineStr">
        <is>
          <t>IDR</t>
        </is>
      </c>
      <c r="H1264" s="293" t="n">
        <v>1</v>
      </c>
      <c r="I1264" s="306" t="n"/>
      <c r="J1264" s="306" t="n"/>
      <c r="K1264" s="306" t="n"/>
      <c r="L1264" s="307">
        <f>$F1264*$H1264</f>
        <v/>
      </c>
      <c r="M1264" s="306" t="n"/>
      <c r="N1264" s="306" t="n"/>
      <c r="O1264" s="306" t="n"/>
      <c r="P1264" s="306" t="n"/>
      <c r="Q1264" s="306" t="n"/>
    </row>
    <row r="1265" ht="18.75" customHeight="1">
      <c r="B1265" s="288" t="n">
        <v>45437</v>
      </c>
      <c r="C1265" s="289" t="n">
        <v>650</v>
      </c>
      <c r="D1265" s="290" t="inlineStr">
        <is>
          <t>fuel + tol PLM-Prabu</t>
        </is>
      </c>
      <c r="E1265" s="306" t="inlineStr">
        <is>
          <t>-</t>
        </is>
      </c>
      <c r="F1265" s="307" t="n">
        <v>312000</v>
      </c>
      <c r="G1265" s="289" t="inlineStr">
        <is>
          <t>IDR</t>
        </is>
      </c>
      <c r="H1265" s="293" t="n">
        <v>1</v>
      </c>
      <c r="I1265" s="306" t="n"/>
      <c r="J1265" s="306" t="n"/>
      <c r="K1265" s="306" t="n"/>
      <c r="L1265" s="307">
        <f>$F1265*$H1265</f>
        <v/>
      </c>
      <c r="M1265" s="306" t="n"/>
      <c r="N1265" s="306" t="n"/>
      <c r="O1265" s="306" t="n"/>
      <c r="P1265" s="306" t="n"/>
      <c r="Q1265" s="306" t="n"/>
    </row>
    <row r="1266" ht="18.75" customHeight="1">
      <c r="B1266" s="288" t="n">
        <v>45437</v>
      </c>
      <c r="C1266" s="289" t="n">
        <v>651</v>
      </c>
      <c r="D1266" s="290" t="inlineStr">
        <is>
          <t>Taxi + Tol to Airport Jakarta</t>
        </is>
      </c>
      <c r="E1266" s="306" t="inlineStr">
        <is>
          <t>-</t>
        </is>
      </c>
      <c r="F1266" s="307" t="n">
        <v>232520</v>
      </c>
      <c r="G1266" s="289" t="inlineStr">
        <is>
          <t>IDR</t>
        </is>
      </c>
      <c r="H1266" s="293" t="n">
        <v>1</v>
      </c>
      <c r="I1266" s="306" t="n"/>
      <c r="J1266" s="306" t="n"/>
      <c r="K1266" s="306" t="n"/>
      <c r="L1266" s="307">
        <f>$F1266*$H1266</f>
        <v/>
      </c>
      <c r="M1266" s="306" t="n"/>
      <c r="N1266" s="306" t="n"/>
      <c r="O1266" s="306" t="n"/>
      <c r="P1266" s="306" t="n"/>
      <c r="Q1266" s="306" t="n"/>
    </row>
    <row r="1267" ht="18.75" customHeight="1">
      <c r="B1267" s="288" t="n">
        <v>45437</v>
      </c>
      <c r="C1267" s="289" t="n">
        <v>652</v>
      </c>
      <c r="D1267" s="290" t="inlineStr">
        <is>
          <t>fuel + tol PLM-Prabu</t>
        </is>
      </c>
      <c r="E1267" s="306" t="inlineStr">
        <is>
          <t>-</t>
        </is>
      </c>
      <c r="F1267" s="307" t="n">
        <v>312000</v>
      </c>
      <c r="G1267" s="289" t="inlineStr">
        <is>
          <t>IDR</t>
        </is>
      </c>
      <c r="H1267" s="293" t="n">
        <v>1</v>
      </c>
      <c r="I1267" s="306" t="n"/>
      <c r="J1267" s="306" t="n"/>
      <c r="K1267" s="306" t="n"/>
      <c r="L1267" s="307">
        <f>$F1267*$H1267</f>
        <v/>
      </c>
      <c r="M1267" s="306" t="n"/>
      <c r="N1267" s="306" t="n"/>
      <c r="O1267" s="306" t="n"/>
      <c r="P1267" s="306" t="n"/>
      <c r="Q1267" s="306" t="n"/>
    </row>
    <row r="1268">
      <c r="B1268" s="310" t="inlineStr">
        <is>
          <t>Expense#17</t>
        </is>
      </c>
      <c r="C1268" s="311" t="inlineStr">
        <is>
          <t>:</t>
        </is>
      </c>
      <c r="D1268" s="310" t="inlineStr">
        <is>
          <t>ALFA JRK-193 - project SI_ TMA</t>
        </is>
      </c>
      <c r="E1268" s="311" t="n"/>
      <c r="F1268" s="311" t="n"/>
      <c r="G1268" s="311" t="n"/>
      <c r="H1268" s="311" t="n"/>
      <c r="I1268" s="311" t="n"/>
      <c r="J1268" s="311" t="n"/>
      <c r="K1268" s="311" t="n"/>
      <c r="L1268" s="311" t="n"/>
      <c r="M1268" s="311" t="n"/>
      <c r="N1268" s="311" t="n"/>
      <c r="O1268" s="311" t="n"/>
      <c r="P1268" s="311" t="n"/>
      <c r="Q1268" s="311" t="n"/>
    </row>
    <row r="1269">
      <c r="B1269" s="312" t="n"/>
      <c r="C1269" s="312" t="n"/>
      <c r="D1269" s="285" t="inlineStr">
        <is>
          <t>Accommodation</t>
        </is>
      </c>
      <c r="E1269" s="312" t="n"/>
      <c r="F1269" s="312" t="n"/>
      <c r="G1269" s="312" t="n"/>
      <c r="H1269" s="312" t="n"/>
      <c r="I1269" s="312" t="n"/>
      <c r="J1269" s="312" t="n"/>
      <c r="K1269" s="312" t="n"/>
      <c r="L1269" s="312" t="n"/>
      <c r="M1269" s="312" t="n"/>
      <c r="N1269" s="312" t="n"/>
      <c r="O1269" s="312" t="n"/>
      <c r="P1269" s="312" t="n"/>
      <c r="Q1269" s="312" t="n"/>
    </row>
    <row r="1270" ht="18.75" customHeight="1">
      <c r="B1270" s="288" t="n">
        <v>45437</v>
      </c>
      <c r="C1270" s="289" t="n">
        <v>653</v>
      </c>
      <c r="D1270" s="290" t="inlineStr">
        <is>
          <t>Hotel 24 May - 30 May (6 days)</t>
        </is>
      </c>
      <c r="E1270" s="306" t="inlineStr">
        <is>
          <t>-</t>
        </is>
      </c>
      <c r="F1270" s="307" t="n">
        <v>1650000</v>
      </c>
      <c r="G1270" s="289" t="inlineStr">
        <is>
          <t>IDR</t>
        </is>
      </c>
      <c r="H1270" s="293" t="n">
        <v>1</v>
      </c>
      <c r="I1270" s="306" t="n"/>
      <c r="J1270" s="306" t="n"/>
      <c r="K1270" s="306" t="n"/>
      <c r="L1270" s="307">
        <f>$F1270*$H1270</f>
        <v/>
      </c>
      <c r="M1270" s="306" t="n"/>
      <c r="N1270" s="306" t="n"/>
      <c r="O1270" s="306" t="n"/>
      <c r="P1270" s="306" t="n"/>
      <c r="Q1270" s="306" t="n"/>
    </row>
    <row r="1271" ht="18.75" customHeight="1">
      <c r="B1271" s="288" t="n">
        <v>45437</v>
      </c>
      <c r="C1271" s="289" t="n">
        <v>654</v>
      </c>
      <c r="D1271" s="290" t="inlineStr">
        <is>
          <t>Hotel 24 May - 30 May (6 days)</t>
        </is>
      </c>
      <c r="E1271" s="306" t="inlineStr">
        <is>
          <t>-</t>
        </is>
      </c>
      <c r="F1271" s="307" t="n">
        <v>1650000</v>
      </c>
      <c r="G1271" s="289" t="inlineStr">
        <is>
          <t>IDR</t>
        </is>
      </c>
      <c r="H1271" s="293" t="n">
        <v>1</v>
      </c>
      <c r="I1271" s="306" t="n"/>
      <c r="J1271" s="306" t="n"/>
      <c r="K1271" s="306" t="n"/>
      <c r="L1271" s="307">
        <f>$F1271*$H1271</f>
        <v/>
      </c>
      <c r="M1271" s="306" t="n"/>
      <c r="N1271" s="306" t="n"/>
      <c r="O1271" s="306" t="n"/>
      <c r="P1271" s="306" t="n"/>
      <c r="Q1271" s="306" t="n"/>
    </row>
    <row r="1272" ht="18.75" customHeight="1">
      <c r="B1272" s="288" t="n">
        <v>45437</v>
      </c>
      <c r="C1272" s="289" t="n">
        <v>655</v>
      </c>
      <c r="D1272" s="290" t="inlineStr">
        <is>
          <t>Hotel 24 May - 30 May (6 days)</t>
        </is>
      </c>
      <c r="E1272" s="306" t="inlineStr">
        <is>
          <t>-</t>
        </is>
      </c>
      <c r="F1272" s="307" t="n">
        <v>1650000</v>
      </c>
      <c r="G1272" s="289" t="inlineStr">
        <is>
          <t>IDR</t>
        </is>
      </c>
      <c r="H1272" s="293" t="n">
        <v>1</v>
      </c>
      <c r="I1272" s="306" t="n"/>
      <c r="J1272" s="306" t="n"/>
      <c r="K1272" s="306" t="n"/>
      <c r="L1272" s="307">
        <f>$F1272*$H1272</f>
        <v/>
      </c>
      <c r="M1272" s="306" t="n"/>
      <c r="N1272" s="306" t="n"/>
      <c r="O1272" s="306" t="n"/>
      <c r="P1272" s="306" t="n"/>
      <c r="Q1272" s="306" t="n"/>
    </row>
    <row r="1273" ht="18.75" customHeight="1">
      <c r="B1273" s="288" t="n">
        <v>45437</v>
      </c>
      <c r="C1273" s="289" t="n">
        <v>656</v>
      </c>
      <c r="D1273" s="290" t="inlineStr">
        <is>
          <t>Hotel 24 May - 30 May (6 days)</t>
        </is>
      </c>
      <c r="E1273" s="306" t="inlineStr">
        <is>
          <t>-</t>
        </is>
      </c>
      <c r="F1273" s="307" t="n">
        <v>1650000</v>
      </c>
      <c r="G1273" s="289" t="inlineStr">
        <is>
          <t>IDR</t>
        </is>
      </c>
      <c r="H1273" s="293" t="n">
        <v>1</v>
      </c>
      <c r="I1273" s="306" t="n"/>
      <c r="J1273" s="306" t="n"/>
      <c r="K1273" s="306" t="n"/>
      <c r="L1273" s="307">
        <f>$F1273*$H1273</f>
        <v/>
      </c>
      <c r="M1273" s="306" t="n"/>
      <c r="N1273" s="306" t="n"/>
      <c r="O1273" s="306" t="n"/>
      <c r="P1273" s="306" t="n"/>
      <c r="Q1273" s="306" t="n"/>
    </row>
    <row r="1274">
      <c r="B1274" s="312" t="n"/>
      <c r="C1274" s="312" t="n"/>
      <c r="D1274" s="285" t="inlineStr">
        <is>
          <t>Allowance</t>
        </is>
      </c>
      <c r="E1274" s="312" t="n"/>
      <c r="F1274" s="312" t="n"/>
      <c r="G1274" s="312" t="n"/>
      <c r="H1274" s="312" t="n"/>
      <c r="I1274" s="312" t="n"/>
      <c r="J1274" s="312" t="n"/>
      <c r="K1274" s="312" t="n"/>
      <c r="L1274" s="312" t="n"/>
      <c r="M1274" s="312" t="n"/>
      <c r="N1274" s="312" t="n"/>
      <c r="O1274" s="312" t="n"/>
      <c r="P1274" s="312" t="n"/>
      <c r="Q1274" s="312" t="n"/>
    </row>
    <row r="1275" ht="18.75" customHeight="1">
      <c r="B1275" s="288" t="n">
        <v>45437</v>
      </c>
      <c r="C1275" s="289" t="n">
        <v>657</v>
      </c>
      <c r="D1275" s="290" t="inlineStr">
        <is>
          <t>Tunjangan Lapangan for 6 days</t>
        </is>
      </c>
      <c r="E1275" s="306" t="inlineStr">
        <is>
          <t>-</t>
        </is>
      </c>
      <c r="F1275" s="307" t="n">
        <v>600</v>
      </c>
      <c r="G1275" s="289" t="inlineStr">
        <is>
          <t>USD</t>
        </is>
      </c>
      <c r="H1275" s="293" t="n">
        <v>16196</v>
      </c>
      <c r="I1275" s="306" t="n"/>
      <c r="J1275" s="306" t="n"/>
      <c r="K1275" s="306" t="n"/>
      <c r="L1275" s="307">
        <f>$F1275*$H1275</f>
        <v/>
      </c>
      <c r="M1275" s="306" t="n"/>
      <c r="N1275" s="306" t="n"/>
      <c r="O1275" s="306" t="n"/>
      <c r="P1275" s="306" t="n"/>
      <c r="Q1275" s="306" t="n"/>
    </row>
    <row r="1276" ht="18.75" customHeight="1">
      <c r="B1276" s="288" t="n">
        <v>45437</v>
      </c>
      <c r="C1276" s="289" t="n">
        <v>658</v>
      </c>
      <c r="D1276" s="290" t="inlineStr">
        <is>
          <t>Tunjangan Lapangan for 6 days</t>
        </is>
      </c>
      <c r="E1276" s="306" t="inlineStr">
        <is>
          <t>-</t>
        </is>
      </c>
      <c r="F1276" s="307" t="n">
        <v>600</v>
      </c>
      <c r="G1276" s="289" t="inlineStr">
        <is>
          <t>USD</t>
        </is>
      </c>
      <c r="H1276" s="293" t="n">
        <v>16196</v>
      </c>
      <c r="I1276" s="306" t="n"/>
      <c r="J1276" s="306" t="n"/>
      <c r="K1276" s="306" t="n"/>
      <c r="L1276" s="307">
        <f>$F1276*$H1276</f>
        <v/>
      </c>
      <c r="M1276" s="306" t="n"/>
      <c r="N1276" s="306" t="n"/>
      <c r="O1276" s="306" t="n"/>
      <c r="P1276" s="306" t="n"/>
      <c r="Q1276" s="306" t="n"/>
    </row>
    <row r="1277" ht="18.75" customHeight="1">
      <c r="B1277" s="288" t="n">
        <v>45437</v>
      </c>
      <c r="C1277" s="289" t="n">
        <v>659</v>
      </c>
      <c r="D1277" s="290" t="inlineStr">
        <is>
          <t>Tunjangan Lapangan for 6 days</t>
        </is>
      </c>
      <c r="E1277" s="306" t="inlineStr">
        <is>
          <t>-</t>
        </is>
      </c>
      <c r="F1277" s="307" t="n">
        <v>600</v>
      </c>
      <c r="G1277" s="289" t="inlineStr">
        <is>
          <t>USD</t>
        </is>
      </c>
      <c r="H1277" s="293" t="n">
        <v>16196</v>
      </c>
      <c r="I1277" s="306" t="n"/>
      <c r="J1277" s="306" t="n"/>
      <c r="K1277" s="306" t="n"/>
      <c r="L1277" s="307">
        <f>$F1277*$H1277</f>
        <v/>
      </c>
      <c r="M1277" s="306" t="n"/>
      <c r="N1277" s="306" t="n"/>
      <c r="O1277" s="306" t="n"/>
      <c r="P1277" s="306" t="n"/>
      <c r="Q1277" s="306" t="n"/>
    </row>
    <row r="1278" ht="18.75" customHeight="1">
      <c r="B1278" s="288" t="n">
        <v>45437</v>
      </c>
      <c r="C1278" s="289" t="n">
        <v>660</v>
      </c>
      <c r="D1278" s="290" t="inlineStr">
        <is>
          <t>Tunjangan Lapangan for 6 days</t>
        </is>
      </c>
      <c r="E1278" s="306" t="inlineStr">
        <is>
          <t>-</t>
        </is>
      </c>
      <c r="F1278" s="307" t="n">
        <v>600</v>
      </c>
      <c r="G1278" s="289" t="inlineStr">
        <is>
          <t>USD</t>
        </is>
      </c>
      <c r="H1278" s="293" t="n">
        <v>16196</v>
      </c>
      <c r="I1278" s="306" t="n"/>
      <c r="J1278" s="306" t="n"/>
      <c r="K1278" s="306" t="n"/>
      <c r="L1278" s="307">
        <f>$F1278*$H1278</f>
        <v/>
      </c>
      <c r="M1278" s="306" t="n"/>
      <c r="N1278" s="306" t="n"/>
      <c r="O1278" s="306" t="n"/>
      <c r="P1278" s="306" t="n"/>
      <c r="Q1278" s="306" t="n"/>
    </row>
    <row r="1279">
      <c r="B1279" s="312" t="n"/>
      <c r="C1279" s="312" t="n"/>
      <c r="D1279" s="285" t="inlineStr">
        <is>
          <t>Biaya Operasi Lain-lain</t>
        </is>
      </c>
      <c r="E1279" s="312" t="n"/>
      <c r="F1279" s="312" t="n"/>
      <c r="G1279" s="312" t="n"/>
      <c r="H1279" s="312" t="n"/>
      <c r="I1279" s="312" t="n"/>
      <c r="J1279" s="312" t="n"/>
      <c r="K1279" s="312" t="n"/>
      <c r="L1279" s="312" t="n"/>
      <c r="M1279" s="312" t="n"/>
      <c r="N1279" s="312" t="n"/>
      <c r="O1279" s="312" t="n"/>
      <c r="P1279" s="312" t="n"/>
      <c r="Q1279" s="312" t="n"/>
    </row>
    <row r="1280" ht="18.75" customHeight="1">
      <c r="B1280" s="288" t="n">
        <v>45437</v>
      </c>
      <c r="C1280" s="289" t="n">
        <v>661</v>
      </c>
      <c r="D1280" s="290" t="inlineStr">
        <is>
          <t>Rent Car 6 Days</t>
        </is>
      </c>
      <c r="E1280" s="306" t="inlineStr">
        <is>
          <t>-</t>
        </is>
      </c>
      <c r="F1280" s="307" t="n">
        <v>2900000</v>
      </c>
      <c r="G1280" s="289" t="inlineStr">
        <is>
          <t>IDR</t>
        </is>
      </c>
      <c r="H1280" s="293" t="n">
        <v>1</v>
      </c>
      <c r="I1280" s="306" t="n"/>
      <c r="J1280" s="306" t="n"/>
      <c r="K1280" s="306" t="n"/>
      <c r="L1280" s="307">
        <f>$F1280*$H1280</f>
        <v/>
      </c>
      <c r="M1280" s="306" t="n"/>
      <c r="N1280" s="306" t="n"/>
      <c r="O1280" s="306" t="n"/>
      <c r="P1280" s="306" t="n"/>
      <c r="Q1280" s="306" t="n"/>
    </row>
    <row r="1281" ht="18.75" customHeight="1">
      <c r="B1281" s="288" t="n">
        <v>45437</v>
      </c>
      <c r="C1281" s="289" t="n">
        <v>662</v>
      </c>
      <c r="D1281" s="290" t="inlineStr">
        <is>
          <t>Rent Car 6 Days</t>
        </is>
      </c>
      <c r="E1281" s="306" t="inlineStr">
        <is>
          <t>-</t>
        </is>
      </c>
      <c r="F1281" s="307" t="n">
        <v>2900000</v>
      </c>
      <c r="G1281" s="289" t="inlineStr">
        <is>
          <t>IDR</t>
        </is>
      </c>
      <c r="H1281" s="293" t="n">
        <v>1</v>
      </c>
      <c r="I1281" s="306" t="n"/>
      <c r="J1281" s="306" t="n"/>
      <c r="K1281" s="306" t="n"/>
      <c r="L1281" s="307">
        <f>$F1281*$H1281</f>
        <v/>
      </c>
      <c r="M1281" s="306" t="n"/>
      <c r="N1281" s="306" t="n"/>
      <c r="O1281" s="306" t="n"/>
      <c r="P1281" s="306" t="n"/>
      <c r="Q1281" s="306" t="n"/>
    </row>
    <row r="1282" ht="18.75" customHeight="1">
      <c r="B1282" s="288" t="n">
        <v>45437</v>
      </c>
      <c r="C1282" s="289" t="n">
        <v>663</v>
      </c>
      <c r="D1282" s="290" t="inlineStr">
        <is>
          <t>Rent Car 6 Days</t>
        </is>
      </c>
      <c r="E1282" s="306" t="inlineStr">
        <is>
          <t>-</t>
        </is>
      </c>
      <c r="F1282" s="307" t="n">
        <v>2900000</v>
      </c>
      <c r="G1282" s="289" t="inlineStr">
        <is>
          <t>IDR</t>
        </is>
      </c>
      <c r="H1282" s="293" t="n">
        <v>1</v>
      </c>
      <c r="I1282" s="306" t="n"/>
      <c r="J1282" s="306" t="n"/>
      <c r="K1282" s="306" t="n"/>
      <c r="L1282" s="307">
        <f>$F1282*$H1282</f>
        <v/>
      </c>
      <c r="M1282" s="306" t="n"/>
      <c r="N1282" s="306" t="n"/>
      <c r="O1282" s="306" t="n"/>
      <c r="P1282" s="306" t="n"/>
      <c r="Q1282" s="306" t="n"/>
    </row>
    <row r="1283" ht="18.75" customHeight="1">
      <c r="B1283" s="288" t="n">
        <v>45437</v>
      </c>
      <c r="C1283" s="289" t="n">
        <v>664</v>
      </c>
      <c r="D1283" s="290" t="inlineStr">
        <is>
          <t>Rent Car 6 Days</t>
        </is>
      </c>
      <c r="E1283" s="306" t="inlineStr">
        <is>
          <t>-</t>
        </is>
      </c>
      <c r="F1283" s="307" t="n">
        <v>2900000</v>
      </c>
      <c r="G1283" s="289" t="inlineStr">
        <is>
          <t>IDR</t>
        </is>
      </c>
      <c r="H1283" s="293" t="n">
        <v>1</v>
      </c>
      <c r="I1283" s="306" t="n"/>
      <c r="J1283" s="306" t="n"/>
      <c r="K1283" s="306" t="n"/>
      <c r="L1283" s="307">
        <f>$F1283*$H1283</f>
        <v/>
      </c>
      <c r="M1283" s="306" t="n"/>
      <c r="N1283" s="306" t="n"/>
      <c r="O1283" s="306" t="n"/>
      <c r="P1283" s="306" t="n"/>
      <c r="Q1283" s="306" t="n"/>
    </row>
    <row r="1284">
      <c r="B1284" s="312" t="n"/>
      <c r="C1284" s="312" t="n"/>
      <c r="D1284" s="285" t="inlineStr">
        <is>
          <t>Laundry</t>
        </is>
      </c>
      <c r="E1284" s="312" t="n"/>
      <c r="F1284" s="312" t="n"/>
      <c r="G1284" s="312" t="n"/>
      <c r="H1284" s="312" t="n"/>
      <c r="I1284" s="312" t="n"/>
      <c r="J1284" s="312" t="n"/>
      <c r="K1284" s="312" t="n"/>
      <c r="L1284" s="312" t="n"/>
      <c r="M1284" s="312" t="n"/>
      <c r="N1284" s="312" t="n"/>
      <c r="O1284" s="312" t="n"/>
      <c r="P1284" s="312" t="n"/>
      <c r="Q1284" s="312" t="n"/>
    </row>
    <row r="1285" ht="18.75" customHeight="1">
      <c r="B1285" s="288" t="n">
        <v>45437</v>
      </c>
      <c r="C1285" s="289" t="n">
        <v>665</v>
      </c>
      <c r="D1285" s="290" t="inlineStr">
        <is>
          <t>Laundry 6 days 1 Persons @ 50K IDR/day</t>
        </is>
      </c>
      <c r="E1285" s="306" t="inlineStr">
        <is>
          <t>-</t>
        </is>
      </c>
      <c r="F1285" s="307" t="n">
        <v>300000</v>
      </c>
      <c r="G1285" s="289" t="inlineStr">
        <is>
          <t>IDR</t>
        </is>
      </c>
      <c r="H1285" s="293" t="n">
        <v>1</v>
      </c>
      <c r="I1285" s="306" t="n"/>
      <c r="J1285" s="306" t="n"/>
      <c r="K1285" s="306" t="n"/>
      <c r="L1285" s="307">
        <f>$F1285*$H1285</f>
        <v/>
      </c>
      <c r="M1285" s="306" t="n"/>
      <c r="N1285" s="306" t="n"/>
      <c r="O1285" s="306" t="n"/>
      <c r="P1285" s="306" t="n"/>
      <c r="Q1285" s="306" t="n"/>
    </row>
    <row r="1286" ht="18.75" customHeight="1">
      <c r="B1286" s="288" t="n">
        <v>45437</v>
      </c>
      <c r="C1286" s="289" t="n">
        <v>666</v>
      </c>
      <c r="D1286" s="290" t="inlineStr">
        <is>
          <t>Laundry 6 days 1 Persons @ 50K IDR/day</t>
        </is>
      </c>
      <c r="E1286" s="306" t="inlineStr">
        <is>
          <t>-</t>
        </is>
      </c>
      <c r="F1286" s="307" t="n">
        <v>300000</v>
      </c>
      <c r="G1286" s="289" t="inlineStr">
        <is>
          <t>IDR</t>
        </is>
      </c>
      <c r="H1286" s="293" t="n">
        <v>1</v>
      </c>
      <c r="I1286" s="306" t="n"/>
      <c r="J1286" s="306" t="n"/>
      <c r="K1286" s="306" t="n"/>
      <c r="L1286" s="307">
        <f>$F1286*$H1286</f>
        <v/>
      </c>
      <c r="M1286" s="306" t="n"/>
      <c r="N1286" s="306" t="n"/>
      <c r="O1286" s="306" t="n"/>
      <c r="P1286" s="306" t="n"/>
      <c r="Q1286" s="306" t="n"/>
    </row>
    <row r="1287" ht="18.75" customHeight="1">
      <c r="B1287" s="288" t="n">
        <v>45437</v>
      </c>
      <c r="C1287" s="289" t="n">
        <v>667</v>
      </c>
      <c r="D1287" s="290" t="inlineStr">
        <is>
          <t>Laundry 6 days 1 Persons @ 50K IDR/day</t>
        </is>
      </c>
      <c r="E1287" s="306" t="inlineStr">
        <is>
          <t>-</t>
        </is>
      </c>
      <c r="F1287" s="307" t="n">
        <v>300000</v>
      </c>
      <c r="G1287" s="289" t="inlineStr">
        <is>
          <t>IDR</t>
        </is>
      </c>
      <c r="H1287" s="293" t="n">
        <v>1</v>
      </c>
      <c r="I1287" s="306" t="n"/>
      <c r="J1287" s="306" t="n"/>
      <c r="K1287" s="306" t="n"/>
      <c r="L1287" s="307">
        <f>$F1287*$H1287</f>
        <v/>
      </c>
      <c r="M1287" s="306" t="n"/>
      <c r="N1287" s="306" t="n"/>
      <c r="O1287" s="306" t="n"/>
      <c r="P1287" s="306" t="n"/>
      <c r="Q1287" s="306" t="n"/>
    </row>
    <row r="1288" ht="18.75" customHeight="1">
      <c r="B1288" s="288" t="n">
        <v>45437</v>
      </c>
      <c r="C1288" s="289" t="n">
        <v>668</v>
      </c>
      <c r="D1288" s="290" t="inlineStr">
        <is>
          <t>Laundry 6 days 1 Persons @ 50K IDR/day</t>
        </is>
      </c>
      <c r="E1288" s="306" t="inlineStr">
        <is>
          <t>-</t>
        </is>
      </c>
      <c r="F1288" s="307" t="n">
        <v>300000</v>
      </c>
      <c r="G1288" s="289" t="inlineStr">
        <is>
          <t>IDR</t>
        </is>
      </c>
      <c r="H1288" s="293" t="n">
        <v>1</v>
      </c>
      <c r="I1288" s="306" t="n"/>
      <c r="J1288" s="306" t="n"/>
      <c r="K1288" s="306" t="n"/>
      <c r="L1288" s="307">
        <f>$F1288*$H1288</f>
        <v/>
      </c>
      <c r="M1288" s="306" t="n"/>
      <c r="N1288" s="306" t="n"/>
      <c r="O1288" s="306" t="n"/>
      <c r="P1288" s="306" t="n"/>
      <c r="Q1288" s="306" t="n"/>
    </row>
    <row r="1289">
      <c r="B1289" s="312" t="n"/>
      <c r="C1289" s="312" t="n"/>
      <c r="D1289" s="285" t="inlineStr">
        <is>
          <t>Meal</t>
        </is>
      </c>
      <c r="E1289" s="312" t="n"/>
      <c r="F1289" s="312" t="n"/>
      <c r="G1289" s="312" t="n"/>
      <c r="H1289" s="312" t="n"/>
      <c r="I1289" s="312" t="n"/>
      <c r="J1289" s="312" t="n"/>
      <c r="K1289" s="312" t="n"/>
      <c r="L1289" s="312" t="n"/>
      <c r="M1289" s="312" t="n"/>
      <c r="N1289" s="312" t="n"/>
      <c r="O1289" s="312" t="n"/>
      <c r="P1289" s="312" t="n"/>
      <c r="Q1289" s="312" t="n"/>
    </row>
    <row r="1290" ht="18.75" customHeight="1">
      <c r="B1290" s="288" t="n">
        <v>45437</v>
      </c>
      <c r="C1290" s="289" t="n">
        <v>669</v>
      </c>
      <c r="D1290" s="290" t="inlineStr">
        <is>
          <t>Meal Crew's Operational</t>
        </is>
      </c>
      <c r="E1290" s="306" t="inlineStr">
        <is>
          <t>-</t>
        </is>
      </c>
      <c r="F1290" s="307" t="n">
        <v>709300</v>
      </c>
      <c r="G1290" s="289" t="inlineStr">
        <is>
          <t>IDR</t>
        </is>
      </c>
      <c r="H1290" s="293" t="n">
        <v>1</v>
      </c>
      <c r="I1290" s="306" t="n"/>
      <c r="J1290" s="306" t="n"/>
      <c r="K1290" s="306" t="n"/>
      <c r="L1290" s="307">
        <f>$F1290*$H1290</f>
        <v/>
      </c>
      <c r="M1290" s="306" t="n"/>
      <c r="N1290" s="306" t="n"/>
      <c r="O1290" s="306" t="n"/>
      <c r="P1290" s="306" t="n"/>
      <c r="Q1290" s="306" t="n"/>
    </row>
    <row r="1291" ht="18.75" customHeight="1">
      <c r="B1291" s="288" t="n">
        <v>45437</v>
      </c>
      <c r="C1291" s="289" t="n">
        <v>670</v>
      </c>
      <c r="D1291" s="290" t="inlineStr">
        <is>
          <t>Meals 7 days 1 Persons @ 150K IDR/day</t>
        </is>
      </c>
      <c r="E1291" s="306" t="inlineStr">
        <is>
          <t>-</t>
        </is>
      </c>
      <c r="F1291" s="307" t="n">
        <v>900000</v>
      </c>
      <c r="G1291" s="289" t="inlineStr">
        <is>
          <t>IDR</t>
        </is>
      </c>
      <c r="H1291" s="293" t="n">
        <v>1</v>
      </c>
      <c r="I1291" s="306" t="n"/>
      <c r="J1291" s="306" t="n"/>
      <c r="K1291" s="306" t="n"/>
      <c r="L1291" s="307">
        <f>$F1291*$H1291</f>
        <v/>
      </c>
      <c r="M1291" s="306" t="n"/>
      <c r="N1291" s="306" t="n"/>
      <c r="O1291" s="306" t="n"/>
      <c r="P1291" s="306" t="n"/>
      <c r="Q1291" s="306" t="n"/>
    </row>
    <row r="1292" ht="18.75" customHeight="1">
      <c r="B1292" s="288" t="n">
        <v>45437</v>
      </c>
      <c r="C1292" s="289" t="n">
        <v>671</v>
      </c>
      <c r="D1292" s="290" t="inlineStr">
        <is>
          <t>Meal Crew's Operational</t>
        </is>
      </c>
      <c r="E1292" s="306" t="inlineStr">
        <is>
          <t>-</t>
        </is>
      </c>
      <c r="F1292" s="307" t="n">
        <v>709300</v>
      </c>
      <c r="G1292" s="289" t="inlineStr">
        <is>
          <t>IDR</t>
        </is>
      </c>
      <c r="H1292" s="293" t="n">
        <v>1</v>
      </c>
      <c r="I1292" s="306" t="n"/>
      <c r="J1292" s="306" t="n"/>
      <c r="K1292" s="306" t="n"/>
      <c r="L1292" s="307">
        <f>$F1292*$H1292</f>
        <v/>
      </c>
      <c r="M1292" s="306" t="n"/>
      <c r="N1292" s="306" t="n"/>
      <c r="O1292" s="306" t="n"/>
      <c r="P1292" s="306" t="n"/>
      <c r="Q1292" s="306" t="n"/>
    </row>
    <row r="1293" ht="18.75" customHeight="1">
      <c r="B1293" s="288" t="n">
        <v>45437</v>
      </c>
      <c r="C1293" s="289" t="n">
        <v>672</v>
      </c>
      <c r="D1293" s="290" t="inlineStr">
        <is>
          <t>Meals 7 days 1 Persons @ 150K IDR/day</t>
        </is>
      </c>
      <c r="E1293" s="306" t="inlineStr">
        <is>
          <t>-</t>
        </is>
      </c>
      <c r="F1293" s="307" t="n">
        <v>900000</v>
      </c>
      <c r="G1293" s="289" t="inlineStr">
        <is>
          <t>IDR</t>
        </is>
      </c>
      <c r="H1293" s="293" t="n">
        <v>1</v>
      </c>
      <c r="I1293" s="306" t="n"/>
      <c r="J1293" s="306" t="n"/>
      <c r="K1293" s="306" t="n"/>
      <c r="L1293" s="307">
        <f>$F1293*$H1293</f>
        <v/>
      </c>
      <c r="M1293" s="306" t="n"/>
      <c r="N1293" s="306" t="n"/>
      <c r="O1293" s="306" t="n"/>
      <c r="P1293" s="306" t="n"/>
      <c r="Q1293" s="306" t="n"/>
    </row>
    <row r="1294" ht="18.75" customHeight="1">
      <c r="B1294" s="288" t="n">
        <v>45437</v>
      </c>
      <c r="C1294" s="289" t="n">
        <v>673</v>
      </c>
      <c r="D1294" s="290" t="inlineStr">
        <is>
          <t>Meal Crew's Operational</t>
        </is>
      </c>
      <c r="E1294" s="306" t="inlineStr">
        <is>
          <t>-</t>
        </is>
      </c>
      <c r="F1294" s="307" t="n">
        <v>709300</v>
      </c>
      <c r="G1294" s="289" t="inlineStr">
        <is>
          <t>IDR</t>
        </is>
      </c>
      <c r="H1294" s="293" t="n">
        <v>1</v>
      </c>
      <c r="I1294" s="306" t="n"/>
      <c r="J1294" s="306" t="n"/>
      <c r="K1294" s="306" t="n"/>
      <c r="L1294" s="307">
        <f>$F1294*$H1294</f>
        <v/>
      </c>
      <c r="M1294" s="306" t="n"/>
      <c r="N1294" s="306" t="n"/>
      <c r="O1294" s="306" t="n"/>
      <c r="P1294" s="306" t="n"/>
      <c r="Q1294" s="306" t="n"/>
    </row>
    <row r="1295" ht="18.75" customHeight="1">
      <c r="B1295" s="288" t="n">
        <v>45437</v>
      </c>
      <c r="C1295" s="289" t="n">
        <v>674</v>
      </c>
      <c r="D1295" s="290" t="inlineStr">
        <is>
          <t>Meals 7 days 1 Persons @ 150K IDR/day</t>
        </is>
      </c>
      <c r="E1295" s="306" t="inlineStr">
        <is>
          <t>-</t>
        </is>
      </c>
      <c r="F1295" s="307" t="n">
        <v>900000</v>
      </c>
      <c r="G1295" s="289" t="inlineStr">
        <is>
          <t>IDR</t>
        </is>
      </c>
      <c r="H1295" s="293" t="n">
        <v>1</v>
      </c>
      <c r="I1295" s="306" t="n"/>
      <c r="J1295" s="306" t="n"/>
      <c r="K1295" s="306" t="n"/>
      <c r="L1295" s="307">
        <f>$F1295*$H1295</f>
        <v/>
      </c>
      <c r="M1295" s="306" t="n"/>
      <c r="N1295" s="306" t="n"/>
      <c r="O1295" s="306" t="n"/>
      <c r="P1295" s="306" t="n"/>
      <c r="Q1295" s="306" t="n"/>
    </row>
    <row r="1296" ht="18.75" customHeight="1">
      <c r="B1296" s="288" t="n">
        <v>45437</v>
      </c>
      <c r="C1296" s="289" t="n">
        <v>675</v>
      </c>
      <c r="D1296" s="290" t="inlineStr">
        <is>
          <t>Meal Crew's Operational</t>
        </is>
      </c>
      <c r="E1296" s="306" t="inlineStr">
        <is>
          <t>-</t>
        </is>
      </c>
      <c r="F1296" s="307" t="n">
        <v>709300</v>
      </c>
      <c r="G1296" s="289" t="inlineStr">
        <is>
          <t>IDR</t>
        </is>
      </c>
      <c r="H1296" s="293" t="n">
        <v>1</v>
      </c>
      <c r="I1296" s="306" t="n"/>
      <c r="J1296" s="306" t="n"/>
      <c r="K1296" s="306" t="n"/>
      <c r="L1296" s="307">
        <f>$F1296*$H1296</f>
        <v/>
      </c>
      <c r="M1296" s="306" t="n"/>
      <c r="N1296" s="306" t="n"/>
      <c r="O1296" s="306" t="n"/>
      <c r="P1296" s="306" t="n"/>
      <c r="Q1296" s="306" t="n"/>
    </row>
    <row r="1297" ht="18.75" customHeight="1">
      <c r="B1297" s="288" t="n">
        <v>45437</v>
      </c>
      <c r="C1297" s="289" t="n">
        <v>676</v>
      </c>
      <c r="D1297" s="290" t="inlineStr">
        <is>
          <t>Meals 7 days 1 Persons @ 150K IDR/day</t>
        </is>
      </c>
      <c r="E1297" s="306" t="inlineStr">
        <is>
          <t>-</t>
        </is>
      </c>
      <c r="F1297" s="307" t="n">
        <v>900000</v>
      </c>
      <c r="G1297" s="289" t="inlineStr">
        <is>
          <t>IDR</t>
        </is>
      </c>
      <c r="H1297" s="293" t="n">
        <v>1</v>
      </c>
      <c r="I1297" s="306" t="n"/>
      <c r="J1297" s="306" t="n"/>
      <c r="K1297" s="306" t="n"/>
      <c r="L1297" s="307">
        <f>$F1297*$H1297</f>
        <v/>
      </c>
      <c r="M1297" s="306" t="n"/>
      <c r="N1297" s="306" t="n"/>
      <c r="O1297" s="306" t="n"/>
      <c r="P1297" s="306" t="n"/>
      <c r="Q1297" s="306" t="n"/>
    </row>
    <row r="1298">
      <c r="B1298" s="312" t="n"/>
      <c r="C1298" s="312" t="n"/>
      <c r="D1298" s="285" t="inlineStr">
        <is>
          <t>Transportation</t>
        </is>
      </c>
      <c r="E1298" s="312" t="n"/>
      <c r="F1298" s="312" t="n"/>
      <c r="G1298" s="312" t="n"/>
      <c r="H1298" s="312" t="n"/>
      <c r="I1298" s="312" t="n"/>
      <c r="J1298" s="312" t="n"/>
      <c r="K1298" s="312" t="n"/>
      <c r="L1298" s="312" t="n"/>
      <c r="M1298" s="312" t="n"/>
      <c r="N1298" s="312" t="n"/>
      <c r="O1298" s="312" t="n"/>
      <c r="P1298" s="312" t="n"/>
      <c r="Q1298" s="312" t="n"/>
    </row>
    <row r="1299" ht="18.75" customHeight="1">
      <c r="B1299" s="288" t="n">
        <v>45437</v>
      </c>
      <c r="C1299" s="289" t="n">
        <v>677</v>
      </c>
      <c r="D1299" s="290" t="inlineStr">
        <is>
          <t>Airplane Ticket CGK-PLM (2 Person)</t>
        </is>
      </c>
      <c r="E1299" s="306" t="inlineStr">
        <is>
          <t>-</t>
        </is>
      </c>
      <c r="F1299" s="307" t="n">
        <v>1418800</v>
      </c>
      <c r="G1299" s="289" t="inlineStr">
        <is>
          <t>IDR</t>
        </is>
      </c>
      <c r="H1299" s="293" t="n">
        <v>1</v>
      </c>
      <c r="I1299" s="306" t="n"/>
      <c r="J1299" s="306" t="n"/>
      <c r="K1299" s="306" t="n"/>
      <c r="L1299" s="307">
        <f>$F1299*$H1299</f>
        <v/>
      </c>
      <c r="M1299" s="306" t="n"/>
      <c r="N1299" s="306" t="n"/>
      <c r="O1299" s="306" t="n"/>
      <c r="P1299" s="306" t="n"/>
      <c r="Q1299" s="306" t="n"/>
    </row>
    <row r="1300" ht="18.75" customHeight="1">
      <c r="B1300" s="288" t="n">
        <v>45437</v>
      </c>
      <c r="C1300" s="289" t="n">
        <v>678</v>
      </c>
      <c r="D1300" s="290" t="inlineStr">
        <is>
          <t>Taxi Pondok Cabe-CGK</t>
        </is>
      </c>
      <c r="E1300" s="306" t="inlineStr">
        <is>
          <t>-</t>
        </is>
      </c>
      <c r="F1300" s="307" t="n">
        <v>166000</v>
      </c>
      <c r="G1300" s="289" t="inlineStr">
        <is>
          <t>IDR</t>
        </is>
      </c>
      <c r="H1300" s="293" t="n">
        <v>1</v>
      </c>
      <c r="I1300" s="306" t="n"/>
      <c r="J1300" s="306" t="n"/>
      <c r="K1300" s="306" t="n"/>
      <c r="L1300" s="307">
        <f>$F1300*$H1300</f>
        <v/>
      </c>
      <c r="M1300" s="306" t="n"/>
      <c r="N1300" s="306" t="n"/>
      <c r="O1300" s="306" t="n"/>
      <c r="P1300" s="306" t="n"/>
      <c r="Q1300" s="306" t="n"/>
    </row>
    <row r="1301" ht="18.75" customHeight="1">
      <c r="B1301" s="288" t="n">
        <v>45437</v>
      </c>
      <c r="C1301" s="289" t="n">
        <v>679</v>
      </c>
      <c r="D1301" s="290" t="inlineStr">
        <is>
          <t>Toll (Pondok Cabe-CGK)</t>
        </is>
      </c>
      <c r="E1301" s="306" t="inlineStr">
        <is>
          <t>-</t>
        </is>
      </c>
      <c r="F1301" s="307" t="n">
        <v>60000</v>
      </c>
      <c r="G1301" s="289" t="inlineStr">
        <is>
          <t>IDR</t>
        </is>
      </c>
      <c r="H1301" s="293" t="n">
        <v>1</v>
      </c>
      <c r="I1301" s="306" t="n"/>
      <c r="J1301" s="306" t="n"/>
      <c r="K1301" s="306" t="n"/>
      <c r="L1301" s="307">
        <f>$F1301*$H1301</f>
        <v/>
      </c>
      <c r="M1301" s="306" t="n"/>
      <c r="N1301" s="306" t="n"/>
      <c r="O1301" s="306" t="n"/>
      <c r="P1301" s="306" t="n"/>
      <c r="Q1301" s="306" t="n"/>
    </row>
    <row r="1302" ht="18.75" customHeight="1">
      <c r="B1302" s="288" t="n">
        <v>45437</v>
      </c>
      <c r="C1302" s="289" t="n">
        <v>680</v>
      </c>
      <c r="D1302" s="290" t="inlineStr">
        <is>
          <t>Gasoline</t>
        </is>
      </c>
      <c r="E1302" s="306" t="inlineStr">
        <is>
          <t>-</t>
        </is>
      </c>
      <c r="F1302" s="307" t="n">
        <v>400000</v>
      </c>
      <c r="G1302" s="289" t="inlineStr">
        <is>
          <t>IDR</t>
        </is>
      </c>
      <c r="H1302" s="293" t="n">
        <v>1</v>
      </c>
      <c r="I1302" s="306" t="n"/>
      <c r="J1302" s="306" t="n"/>
      <c r="K1302" s="306" t="n"/>
      <c r="L1302" s="307">
        <f>$F1302*$H1302</f>
        <v/>
      </c>
      <c r="M1302" s="306" t="n"/>
      <c r="N1302" s="306" t="n"/>
      <c r="O1302" s="306" t="n"/>
      <c r="P1302" s="306" t="n"/>
      <c r="Q1302" s="306" t="n"/>
    </row>
    <row r="1303" ht="18.75" customHeight="1">
      <c r="B1303" s="288" t="n">
        <v>45437</v>
      </c>
      <c r="C1303" s="289" t="n">
        <v>681</v>
      </c>
      <c r="D1303" s="290" t="inlineStr">
        <is>
          <t>Gasoline</t>
        </is>
      </c>
      <c r="E1303" s="306" t="inlineStr">
        <is>
          <t>-</t>
        </is>
      </c>
      <c r="F1303" s="307" t="n">
        <v>400000</v>
      </c>
      <c r="G1303" s="289" t="inlineStr">
        <is>
          <t>IDR</t>
        </is>
      </c>
      <c r="H1303" s="293" t="n">
        <v>1</v>
      </c>
      <c r="I1303" s="306" t="n"/>
      <c r="J1303" s="306" t="n"/>
      <c r="K1303" s="306" t="n"/>
      <c r="L1303" s="307">
        <f>$F1303*$H1303</f>
        <v/>
      </c>
      <c r="M1303" s="306" t="n"/>
      <c r="N1303" s="306" t="n"/>
      <c r="O1303" s="306" t="n"/>
      <c r="P1303" s="306" t="n"/>
      <c r="Q1303" s="306" t="n"/>
    </row>
    <row r="1304" ht="18.75" customHeight="1">
      <c r="B1304" s="288" t="n">
        <v>45437</v>
      </c>
      <c r="C1304" s="289" t="n">
        <v>682</v>
      </c>
      <c r="D1304" s="290" t="inlineStr">
        <is>
          <t>Airplane Ticket CGK-PLM (2 Person)</t>
        </is>
      </c>
      <c r="E1304" s="306" t="inlineStr">
        <is>
          <t>-</t>
        </is>
      </c>
      <c r="F1304" s="307" t="n">
        <v>1418800</v>
      </c>
      <c r="G1304" s="289" t="inlineStr">
        <is>
          <t>IDR</t>
        </is>
      </c>
      <c r="H1304" s="293" t="n">
        <v>1</v>
      </c>
      <c r="I1304" s="306" t="n"/>
      <c r="J1304" s="306" t="n"/>
      <c r="K1304" s="306" t="n"/>
      <c r="L1304" s="307">
        <f>$F1304*$H1304</f>
        <v/>
      </c>
      <c r="M1304" s="306" t="n"/>
      <c r="N1304" s="306" t="n"/>
      <c r="O1304" s="306" t="n"/>
      <c r="P1304" s="306" t="n"/>
      <c r="Q1304" s="306" t="n"/>
    </row>
    <row r="1305" ht="18.75" customHeight="1">
      <c r="B1305" s="288" t="n">
        <v>45437</v>
      </c>
      <c r="C1305" s="289" t="n">
        <v>683</v>
      </c>
      <c r="D1305" s="290" t="inlineStr">
        <is>
          <t>Taxi Pondok Cabe-CGK</t>
        </is>
      </c>
      <c r="E1305" s="306" t="inlineStr">
        <is>
          <t>-</t>
        </is>
      </c>
      <c r="F1305" s="307" t="n">
        <v>166000</v>
      </c>
      <c r="G1305" s="289" t="inlineStr">
        <is>
          <t>IDR</t>
        </is>
      </c>
      <c r="H1305" s="293" t="n">
        <v>1</v>
      </c>
      <c r="I1305" s="306" t="n"/>
      <c r="J1305" s="306" t="n"/>
      <c r="K1305" s="306" t="n"/>
      <c r="L1305" s="307">
        <f>$F1305*$H1305</f>
        <v/>
      </c>
      <c r="M1305" s="306" t="n"/>
      <c r="N1305" s="306" t="n"/>
      <c r="O1305" s="306" t="n"/>
      <c r="P1305" s="306" t="n"/>
      <c r="Q1305" s="306" t="n"/>
    </row>
    <row r="1306" ht="18.75" customHeight="1">
      <c r="B1306" s="288" t="n">
        <v>45437</v>
      </c>
      <c r="C1306" s="289" t="n">
        <v>684</v>
      </c>
      <c r="D1306" s="290" t="inlineStr">
        <is>
          <t>Toll (Pondok Cabe-CGK)</t>
        </is>
      </c>
      <c r="E1306" s="306" t="inlineStr">
        <is>
          <t>-</t>
        </is>
      </c>
      <c r="F1306" s="307" t="n">
        <v>60000</v>
      </c>
      <c r="G1306" s="289" t="inlineStr">
        <is>
          <t>IDR</t>
        </is>
      </c>
      <c r="H1306" s="293" t="n">
        <v>1</v>
      </c>
      <c r="I1306" s="306" t="n"/>
      <c r="J1306" s="306" t="n"/>
      <c r="K1306" s="306" t="n"/>
      <c r="L1306" s="307">
        <f>$F1306*$H1306</f>
        <v/>
      </c>
      <c r="M1306" s="306" t="n"/>
      <c r="N1306" s="306" t="n"/>
      <c r="O1306" s="306" t="n"/>
      <c r="P1306" s="306" t="n"/>
      <c r="Q1306" s="306" t="n"/>
    </row>
    <row r="1307" ht="18.75" customHeight="1">
      <c r="B1307" s="288" t="n">
        <v>45437</v>
      </c>
      <c r="C1307" s="289" t="n">
        <v>685</v>
      </c>
      <c r="D1307" s="290" t="inlineStr">
        <is>
          <t>Gasoline</t>
        </is>
      </c>
      <c r="E1307" s="306" t="inlineStr">
        <is>
          <t>-</t>
        </is>
      </c>
      <c r="F1307" s="307" t="n">
        <v>400000</v>
      </c>
      <c r="G1307" s="289" t="inlineStr">
        <is>
          <t>IDR</t>
        </is>
      </c>
      <c r="H1307" s="293" t="n">
        <v>1</v>
      </c>
      <c r="I1307" s="306" t="n"/>
      <c r="J1307" s="306" t="n"/>
      <c r="K1307" s="306" t="n"/>
      <c r="L1307" s="307">
        <f>$F1307*$H1307</f>
        <v/>
      </c>
      <c r="M1307" s="306" t="n"/>
      <c r="N1307" s="306" t="n"/>
      <c r="O1307" s="306" t="n"/>
      <c r="P1307" s="306" t="n"/>
      <c r="Q1307" s="306" t="n"/>
    </row>
    <row r="1308" ht="18.75" customHeight="1">
      <c r="B1308" s="288" t="n">
        <v>45437</v>
      </c>
      <c r="C1308" s="289" t="n">
        <v>686</v>
      </c>
      <c r="D1308" s="290" t="inlineStr">
        <is>
          <t>Airplane Ticket CGK-PLM (2 Person)</t>
        </is>
      </c>
      <c r="E1308" s="306" t="inlineStr">
        <is>
          <t>-</t>
        </is>
      </c>
      <c r="F1308" s="307" t="n">
        <v>1418800</v>
      </c>
      <c r="G1308" s="289" t="inlineStr">
        <is>
          <t>IDR</t>
        </is>
      </c>
      <c r="H1308" s="293" t="n">
        <v>1</v>
      </c>
      <c r="I1308" s="306" t="n"/>
      <c r="J1308" s="306" t="n"/>
      <c r="K1308" s="306" t="n"/>
      <c r="L1308" s="307">
        <f>$F1308*$H1308</f>
        <v/>
      </c>
      <c r="M1308" s="306" t="n"/>
      <c r="N1308" s="306" t="n"/>
      <c r="O1308" s="306" t="n"/>
      <c r="P1308" s="306" t="n"/>
      <c r="Q1308" s="306" t="n"/>
    </row>
    <row r="1309" ht="18.75" customHeight="1">
      <c r="B1309" s="288" t="n">
        <v>45437</v>
      </c>
      <c r="C1309" s="289" t="n">
        <v>687</v>
      </c>
      <c r="D1309" s="290" t="inlineStr">
        <is>
          <t>Taxi Pondok Cabe-CGK</t>
        </is>
      </c>
      <c r="E1309" s="306" t="inlineStr">
        <is>
          <t>-</t>
        </is>
      </c>
      <c r="F1309" s="307" t="n">
        <v>166000</v>
      </c>
      <c r="G1309" s="289" t="inlineStr">
        <is>
          <t>IDR</t>
        </is>
      </c>
      <c r="H1309" s="293" t="n">
        <v>1</v>
      </c>
      <c r="I1309" s="306" t="n"/>
      <c r="J1309" s="306" t="n"/>
      <c r="K1309" s="306" t="n"/>
      <c r="L1309" s="307">
        <f>$F1309*$H1309</f>
        <v/>
      </c>
      <c r="M1309" s="306" t="n"/>
      <c r="N1309" s="306" t="n"/>
      <c r="O1309" s="306" t="n"/>
      <c r="P1309" s="306" t="n"/>
      <c r="Q1309" s="306" t="n"/>
    </row>
    <row r="1310" ht="18.75" customHeight="1">
      <c r="B1310" s="288" t="n">
        <v>45437</v>
      </c>
      <c r="C1310" s="289" t="n">
        <v>688</v>
      </c>
      <c r="D1310" s="290" t="inlineStr">
        <is>
          <t>Toll (Pondok Cabe-CGK)</t>
        </is>
      </c>
      <c r="E1310" s="306" t="inlineStr">
        <is>
          <t>-</t>
        </is>
      </c>
      <c r="F1310" s="307" t="n">
        <v>60000</v>
      </c>
      <c r="G1310" s="289" t="inlineStr">
        <is>
          <t>IDR</t>
        </is>
      </c>
      <c r="H1310" s="293" t="n">
        <v>1</v>
      </c>
      <c r="I1310" s="306" t="n"/>
      <c r="J1310" s="306" t="n"/>
      <c r="K1310" s="306" t="n"/>
      <c r="L1310" s="307">
        <f>$F1310*$H1310</f>
        <v/>
      </c>
      <c r="M1310" s="306" t="n"/>
      <c r="N1310" s="306" t="n"/>
      <c r="O1310" s="306" t="n"/>
      <c r="P1310" s="306" t="n"/>
      <c r="Q1310" s="306" t="n"/>
    </row>
    <row r="1311" ht="18.75" customHeight="1">
      <c r="B1311" s="288" t="n">
        <v>45437</v>
      </c>
      <c r="C1311" s="289" t="n">
        <v>689</v>
      </c>
      <c r="D1311" s="290" t="inlineStr">
        <is>
          <t>Gasoline</t>
        </is>
      </c>
      <c r="E1311" s="306" t="inlineStr">
        <is>
          <t>-</t>
        </is>
      </c>
      <c r="F1311" s="307" t="n">
        <v>400000</v>
      </c>
      <c r="G1311" s="289" t="inlineStr">
        <is>
          <t>IDR</t>
        </is>
      </c>
      <c r="H1311" s="293" t="n">
        <v>1</v>
      </c>
      <c r="I1311" s="306" t="n"/>
      <c r="J1311" s="306" t="n"/>
      <c r="K1311" s="306" t="n"/>
      <c r="L1311" s="307">
        <f>$F1311*$H1311</f>
        <v/>
      </c>
      <c r="M1311" s="306" t="n"/>
      <c r="N1311" s="306" t="n"/>
      <c r="O1311" s="306" t="n"/>
      <c r="P1311" s="306" t="n"/>
      <c r="Q1311" s="306" t="n"/>
    </row>
    <row r="1312" ht="18.75" customHeight="1">
      <c r="B1312" s="288" t="n">
        <v>45437</v>
      </c>
      <c r="C1312" s="289" t="n">
        <v>690</v>
      </c>
      <c r="D1312" s="290" t="inlineStr">
        <is>
          <t>Airplane Ticket CGK-PLM (2 Person)</t>
        </is>
      </c>
      <c r="E1312" s="306" t="inlineStr">
        <is>
          <t>-</t>
        </is>
      </c>
      <c r="F1312" s="307" t="n">
        <v>1418800</v>
      </c>
      <c r="G1312" s="289" t="inlineStr">
        <is>
          <t>IDR</t>
        </is>
      </c>
      <c r="H1312" s="293" t="n">
        <v>1</v>
      </c>
      <c r="I1312" s="306" t="n"/>
      <c r="J1312" s="306" t="n"/>
      <c r="K1312" s="306" t="n"/>
      <c r="L1312" s="307">
        <f>$F1312*$H1312</f>
        <v/>
      </c>
      <c r="M1312" s="306" t="n"/>
      <c r="N1312" s="306" t="n"/>
      <c r="O1312" s="306" t="n"/>
      <c r="P1312" s="306" t="n"/>
      <c r="Q1312" s="306" t="n"/>
    </row>
    <row r="1313" ht="18.75" customHeight="1">
      <c r="B1313" s="288" t="n">
        <v>45437</v>
      </c>
      <c r="C1313" s="289" t="n">
        <v>691</v>
      </c>
      <c r="D1313" s="290" t="inlineStr">
        <is>
          <t>Taxi Pondok Cabe-CGK</t>
        </is>
      </c>
      <c r="E1313" s="306" t="inlineStr">
        <is>
          <t>-</t>
        </is>
      </c>
      <c r="F1313" s="307" t="n">
        <v>166000</v>
      </c>
      <c r="G1313" s="289" t="inlineStr">
        <is>
          <t>IDR</t>
        </is>
      </c>
      <c r="H1313" s="293" t="n">
        <v>1</v>
      </c>
      <c r="I1313" s="306" t="n"/>
      <c r="J1313" s="306" t="n"/>
      <c r="K1313" s="306" t="n"/>
      <c r="L1313" s="307">
        <f>$F1313*$H1313</f>
        <v/>
      </c>
      <c r="M1313" s="306" t="n"/>
      <c r="N1313" s="306" t="n"/>
      <c r="O1313" s="306" t="n"/>
      <c r="P1313" s="306" t="n"/>
      <c r="Q1313" s="306" t="n"/>
    </row>
    <row r="1314" ht="18.75" customHeight="1">
      <c r="B1314" s="288" t="n">
        <v>45437</v>
      </c>
      <c r="C1314" s="289" t="n">
        <v>692</v>
      </c>
      <c r="D1314" s="290" t="inlineStr">
        <is>
          <t>Toll (Pondok Cabe-CGK)</t>
        </is>
      </c>
      <c r="E1314" s="306" t="inlineStr">
        <is>
          <t>-</t>
        </is>
      </c>
      <c r="F1314" s="307" t="n">
        <v>60000</v>
      </c>
      <c r="G1314" s="289" t="inlineStr">
        <is>
          <t>IDR</t>
        </is>
      </c>
      <c r="H1314" s="293" t="n">
        <v>1</v>
      </c>
      <c r="I1314" s="306" t="n"/>
      <c r="J1314" s="306" t="n"/>
      <c r="K1314" s="306" t="n"/>
      <c r="L1314" s="307">
        <f>$F1314*$H1314</f>
        <v/>
      </c>
      <c r="M1314" s="306" t="n"/>
      <c r="N1314" s="306" t="n"/>
      <c r="O1314" s="306" t="n"/>
      <c r="P1314" s="306" t="n"/>
      <c r="Q1314" s="306" t="n"/>
    </row>
    <row r="1315" ht="18.75" customHeight="1">
      <c r="B1315" s="288" t="n">
        <v>45442</v>
      </c>
      <c r="C1315" s="289" t="n">
        <v>693</v>
      </c>
      <c r="D1315" s="290" t="inlineStr">
        <is>
          <t>Taxi CGK-Pondok Cabe (inc Toll+Parking)</t>
        </is>
      </c>
      <c r="E1315" s="306" t="inlineStr">
        <is>
          <t>-</t>
        </is>
      </c>
      <c r="F1315" s="307" t="n">
        <v>300000</v>
      </c>
      <c r="G1315" s="289" t="inlineStr">
        <is>
          <t>IDR</t>
        </is>
      </c>
      <c r="H1315" s="293" t="n">
        <v>1</v>
      </c>
      <c r="I1315" s="306" t="n"/>
      <c r="J1315" s="306" t="n"/>
      <c r="K1315" s="306" t="n"/>
      <c r="L1315" s="307">
        <f>$F1315*$H1315</f>
        <v/>
      </c>
      <c r="M1315" s="306" t="n"/>
      <c r="N1315" s="306" t="n"/>
      <c r="O1315" s="306" t="n"/>
      <c r="P1315" s="306" t="n"/>
      <c r="Q1315" s="306" t="n"/>
    </row>
    <row r="1316" ht="18.75" customHeight="1">
      <c r="B1316" s="288" t="n">
        <v>45442</v>
      </c>
      <c r="C1316" s="289" t="n">
        <v>694</v>
      </c>
      <c r="D1316" s="290" t="inlineStr">
        <is>
          <t>Airplane Ticket PLM-CGK (2 Person)</t>
        </is>
      </c>
      <c r="E1316" s="306" t="inlineStr">
        <is>
          <t>-</t>
        </is>
      </c>
      <c r="F1316" s="307" t="n">
        <v>1326410</v>
      </c>
      <c r="G1316" s="289" t="inlineStr">
        <is>
          <t>IDR</t>
        </is>
      </c>
      <c r="H1316" s="293" t="n">
        <v>1</v>
      </c>
      <c r="I1316" s="306" t="n"/>
      <c r="J1316" s="306" t="n"/>
      <c r="K1316" s="306" t="n"/>
      <c r="L1316" s="307">
        <f>$F1316*$H1316</f>
        <v/>
      </c>
      <c r="M1316" s="306" t="n"/>
      <c r="N1316" s="306" t="n"/>
      <c r="O1316" s="306" t="n"/>
      <c r="P1316" s="306" t="n"/>
      <c r="Q1316" s="306" t="n"/>
    </row>
    <row r="1317" ht="18.75" customHeight="1">
      <c r="B1317" s="288" t="n">
        <v>45442</v>
      </c>
      <c r="C1317" s="289" t="n">
        <v>695</v>
      </c>
      <c r="D1317" s="290" t="inlineStr">
        <is>
          <t>Taxi CGK-Pondok Cabe (inc Toll+Parking)</t>
        </is>
      </c>
      <c r="E1317" s="306" t="inlineStr">
        <is>
          <t>-</t>
        </is>
      </c>
      <c r="F1317" s="307" t="n">
        <v>300000</v>
      </c>
      <c r="G1317" s="289" t="inlineStr">
        <is>
          <t>IDR</t>
        </is>
      </c>
      <c r="H1317" s="293" t="n">
        <v>1</v>
      </c>
      <c r="I1317" s="306" t="n"/>
      <c r="J1317" s="306" t="n"/>
      <c r="K1317" s="306" t="n"/>
      <c r="L1317" s="307">
        <f>$F1317*$H1317</f>
        <v/>
      </c>
      <c r="M1317" s="306" t="n"/>
      <c r="N1317" s="306" t="n"/>
      <c r="O1317" s="306" t="n"/>
      <c r="P1317" s="306" t="n"/>
      <c r="Q1317" s="306" t="n"/>
    </row>
    <row r="1318" ht="18.75" customHeight="1">
      <c r="B1318" s="288" t="n">
        <v>45442</v>
      </c>
      <c r="C1318" s="289" t="n">
        <v>696</v>
      </c>
      <c r="D1318" s="290" t="inlineStr">
        <is>
          <t>Airplane Ticket PLM-CGK (2 Person)</t>
        </is>
      </c>
      <c r="E1318" s="306" t="inlineStr">
        <is>
          <t>-</t>
        </is>
      </c>
      <c r="F1318" s="307" t="n">
        <v>1326410</v>
      </c>
      <c r="G1318" s="289" t="inlineStr">
        <is>
          <t>IDR</t>
        </is>
      </c>
      <c r="H1318" s="293" t="n">
        <v>1</v>
      </c>
      <c r="I1318" s="306" t="n"/>
      <c r="J1318" s="306" t="n"/>
      <c r="K1318" s="306" t="n"/>
      <c r="L1318" s="307">
        <f>$F1318*$H1318</f>
        <v/>
      </c>
      <c r="M1318" s="306" t="n"/>
      <c r="N1318" s="306" t="n"/>
      <c r="O1318" s="306" t="n"/>
      <c r="P1318" s="306" t="n"/>
      <c r="Q1318" s="306" t="n"/>
    </row>
    <row r="1319" ht="18.75" customHeight="1">
      <c r="B1319" s="288" t="n">
        <v>45442</v>
      </c>
      <c r="C1319" s="289" t="n">
        <v>697</v>
      </c>
      <c r="D1319" s="290" t="inlineStr">
        <is>
          <t>Taxi CGK-Pondok Cabe (inc Toll+Parking)</t>
        </is>
      </c>
      <c r="E1319" s="306" t="inlineStr">
        <is>
          <t>-</t>
        </is>
      </c>
      <c r="F1319" s="307" t="n">
        <v>300000</v>
      </c>
      <c r="G1319" s="289" t="inlineStr">
        <is>
          <t>IDR</t>
        </is>
      </c>
      <c r="H1319" s="293" t="n">
        <v>1</v>
      </c>
      <c r="I1319" s="306" t="n"/>
      <c r="J1319" s="306" t="n"/>
      <c r="K1319" s="306" t="n"/>
      <c r="L1319" s="307">
        <f>$F1319*$H1319</f>
        <v/>
      </c>
      <c r="M1319" s="306" t="n"/>
      <c r="N1319" s="306" t="n"/>
      <c r="O1319" s="306" t="n"/>
      <c r="P1319" s="306" t="n"/>
      <c r="Q1319" s="306" t="n"/>
    </row>
    <row r="1320" ht="18.75" customHeight="1">
      <c r="B1320" s="288" t="n">
        <v>45442</v>
      </c>
      <c r="C1320" s="289" t="n">
        <v>698</v>
      </c>
      <c r="D1320" s="290" t="inlineStr">
        <is>
          <t>Airplane Ticket PLM-CGK (2 Person)</t>
        </is>
      </c>
      <c r="E1320" s="306" t="inlineStr">
        <is>
          <t>-</t>
        </is>
      </c>
      <c r="F1320" s="307" t="n">
        <v>1326410</v>
      </c>
      <c r="G1320" s="289" t="inlineStr">
        <is>
          <t>IDR</t>
        </is>
      </c>
      <c r="H1320" s="293" t="n">
        <v>1</v>
      </c>
      <c r="I1320" s="306" t="n"/>
      <c r="J1320" s="306" t="n"/>
      <c r="K1320" s="306" t="n"/>
      <c r="L1320" s="307">
        <f>$F1320*$H1320</f>
        <v/>
      </c>
      <c r="M1320" s="306" t="n"/>
      <c r="N1320" s="306" t="n"/>
      <c r="O1320" s="306" t="n"/>
      <c r="P1320" s="306" t="n"/>
      <c r="Q1320" s="306" t="n"/>
    </row>
    <row r="1321" ht="18.75" customHeight="1">
      <c r="B1321" s="288" t="n">
        <v>45442</v>
      </c>
      <c r="C1321" s="289" t="n">
        <v>699</v>
      </c>
      <c r="D1321" s="290" t="inlineStr">
        <is>
          <t>Taxi CGK-Pondok Cabe (inc Toll+Parking)</t>
        </is>
      </c>
      <c r="E1321" s="306" t="inlineStr">
        <is>
          <t>-</t>
        </is>
      </c>
      <c r="F1321" s="307" t="n">
        <v>300000</v>
      </c>
      <c r="G1321" s="289" t="inlineStr">
        <is>
          <t>IDR</t>
        </is>
      </c>
      <c r="H1321" s="293" t="n">
        <v>1</v>
      </c>
      <c r="I1321" s="306" t="n"/>
      <c r="J1321" s="306" t="n"/>
      <c r="K1321" s="306" t="n"/>
      <c r="L1321" s="307">
        <f>$F1321*$H1321</f>
        <v/>
      </c>
      <c r="M1321" s="306" t="n"/>
      <c r="N1321" s="306" t="n"/>
      <c r="O1321" s="306" t="n"/>
      <c r="P1321" s="306" t="n"/>
      <c r="Q1321" s="306" t="n"/>
    </row>
    <row r="1322" ht="18.75" customHeight="1">
      <c r="B1322" s="288" t="n">
        <v>45442</v>
      </c>
      <c r="C1322" s="289" t="n">
        <v>700</v>
      </c>
      <c r="D1322" s="290" t="inlineStr">
        <is>
          <t>Airplane Ticket PLM-CGK (2 Person)</t>
        </is>
      </c>
      <c r="E1322" s="306" t="inlineStr">
        <is>
          <t>-</t>
        </is>
      </c>
      <c r="F1322" s="307" t="n">
        <v>1326410</v>
      </c>
      <c r="G1322" s="289" t="inlineStr">
        <is>
          <t>IDR</t>
        </is>
      </c>
      <c r="H1322" s="293" t="n">
        <v>1</v>
      </c>
      <c r="I1322" s="306" t="n"/>
      <c r="J1322" s="306" t="n"/>
      <c r="K1322" s="306" t="n"/>
      <c r="L1322" s="307">
        <f>$F1322*$H1322</f>
        <v/>
      </c>
      <c r="M1322" s="306" t="n"/>
      <c r="N1322" s="306" t="n"/>
      <c r="O1322" s="306" t="n"/>
      <c r="P1322" s="306" t="n"/>
      <c r="Q1322" s="306" t="n"/>
    </row>
    <row r="1323">
      <c r="B1323" s="310" t="inlineStr">
        <is>
          <t>Expense#18</t>
        </is>
      </c>
      <c r="C1323" s="311" t="inlineStr">
        <is>
          <t>:</t>
        </is>
      </c>
      <c r="D1323" s="310" t="inlineStr">
        <is>
          <t>Non Trip - BOSIET Training - DS</t>
        </is>
      </c>
      <c r="E1323" s="311" t="n"/>
      <c r="F1323" s="311" t="n"/>
      <c r="G1323" s="311" t="n"/>
      <c r="H1323" s="311" t="n"/>
      <c r="I1323" s="311" t="n"/>
      <c r="J1323" s="311" t="n"/>
      <c r="K1323" s="311" t="n"/>
      <c r="L1323" s="311" t="n"/>
      <c r="M1323" s="311" t="n"/>
      <c r="N1323" s="311" t="n"/>
      <c r="O1323" s="311" t="n"/>
      <c r="P1323" s="311" t="n"/>
      <c r="Q1323" s="311" t="n"/>
    </row>
    <row r="1324">
      <c r="B1324" s="312" t="n"/>
      <c r="C1324" s="312" t="n"/>
      <c r="D1324" s="285" t="inlineStr">
        <is>
          <t>Biaya Operasi Lain-lain</t>
        </is>
      </c>
      <c r="E1324" s="312" t="n"/>
      <c r="F1324" s="312" t="n"/>
      <c r="G1324" s="312" t="n"/>
      <c r="H1324" s="312" t="n"/>
      <c r="I1324" s="312" t="n"/>
      <c r="J1324" s="312" t="n"/>
      <c r="K1324" s="312" t="n"/>
      <c r="L1324" s="312" t="n"/>
      <c r="M1324" s="312" t="n"/>
      <c r="N1324" s="312" t="n"/>
      <c r="O1324" s="312" t="n"/>
      <c r="P1324" s="312" t="n"/>
      <c r="Q1324" s="312" t="n"/>
    </row>
    <row r="1325" ht="34.5" customHeight="1">
      <c r="B1325" s="288" t="n">
        <v>45448</v>
      </c>
      <c r="C1325" s="289" t="n">
        <v>701</v>
      </c>
      <c r="D1325" s="290" t="inlineStr">
        <is>
          <t>Personal Car from Home to PT. LTJ (converted) DAY-1</t>
        </is>
      </c>
      <c r="E1325" s="306" t="inlineStr">
        <is>
          <t>-</t>
        </is>
      </c>
      <c r="F1325" s="307" t="n">
        <v>233000</v>
      </c>
      <c r="G1325" s="289" t="inlineStr">
        <is>
          <t>IDR</t>
        </is>
      </c>
      <c r="H1325" s="293" t="n">
        <v>1</v>
      </c>
      <c r="I1325" s="306" t="n"/>
      <c r="J1325" s="306" t="n"/>
      <c r="K1325" s="306" t="n"/>
      <c r="L1325" s="307">
        <f>$F1325*$H1325</f>
        <v/>
      </c>
      <c r="M1325" s="306" t="n"/>
      <c r="N1325" s="306" t="n"/>
      <c r="O1325" s="306" t="n"/>
      <c r="P1325" s="306" t="n"/>
      <c r="Q1325" s="306" t="n"/>
    </row>
    <row r="1326" ht="34.5" customHeight="1">
      <c r="B1326" s="288" t="n">
        <v>45448</v>
      </c>
      <c r="C1326" s="289" t="n">
        <v>702</v>
      </c>
      <c r="D1326" s="290" t="inlineStr">
        <is>
          <t>Personal Car from Home to PT. LTJ (converted) DAY-1</t>
        </is>
      </c>
      <c r="E1326" s="306" t="inlineStr">
        <is>
          <t>-</t>
        </is>
      </c>
      <c r="F1326" s="307" t="n">
        <v>233000</v>
      </c>
      <c r="G1326" s="289" t="inlineStr">
        <is>
          <t>IDR</t>
        </is>
      </c>
      <c r="H1326" s="293" t="n">
        <v>1</v>
      </c>
      <c r="I1326" s="306" t="n"/>
      <c r="J1326" s="306" t="n"/>
      <c r="K1326" s="306" t="n"/>
      <c r="L1326" s="307">
        <f>$F1326*$H1326</f>
        <v/>
      </c>
      <c r="M1326" s="306" t="n"/>
      <c r="N1326" s="306" t="n"/>
      <c r="O1326" s="306" t="n"/>
      <c r="P1326" s="306" t="n"/>
      <c r="Q1326" s="306" t="n"/>
    </row>
    <row r="1327" ht="34.5" customHeight="1">
      <c r="B1327" s="288" t="n">
        <v>45448</v>
      </c>
      <c r="C1327" s="289" t="n">
        <v>703</v>
      </c>
      <c r="D1327" s="290" t="inlineStr">
        <is>
          <t>Personal Car from Home to PT. LTJ (converted) DAY-1</t>
        </is>
      </c>
      <c r="E1327" s="306" t="inlineStr">
        <is>
          <t>-</t>
        </is>
      </c>
      <c r="F1327" s="307" t="n">
        <v>233000</v>
      </c>
      <c r="G1327" s="289" t="inlineStr">
        <is>
          <t>IDR</t>
        </is>
      </c>
      <c r="H1327" s="293" t="n">
        <v>1</v>
      </c>
      <c r="I1327" s="306" t="n"/>
      <c r="J1327" s="306" t="n"/>
      <c r="K1327" s="306" t="n"/>
      <c r="L1327" s="307">
        <f>$F1327*$H1327</f>
        <v/>
      </c>
      <c r="M1327" s="306" t="n"/>
      <c r="N1327" s="306" t="n"/>
      <c r="O1327" s="306" t="n"/>
      <c r="P1327" s="306" t="n"/>
      <c r="Q1327" s="306" t="n"/>
    </row>
    <row r="1328" ht="34.5" customHeight="1">
      <c r="B1328" s="288" t="n">
        <v>45448</v>
      </c>
      <c r="C1328" s="289" t="n">
        <v>704</v>
      </c>
      <c r="D1328" s="290" t="inlineStr">
        <is>
          <t>Personal Car from Home to PT. LTJ (converted) DAY-1</t>
        </is>
      </c>
      <c r="E1328" s="306" t="inlineStr">
        <is>
          <t>-</t>
        </is>
      </c>
      <c r="F1328" s="307" t="n">
        <v>233000</v>
      </c>
      <c r="G1328" s="289" t="inlineStr">
        <is>
          <t>IDR</t>
        </is>
      </c>
      <c r="H1328" s="293" t="n">
        <v>1</v>
      </c>
      <c r="I1328" s="306" t="n"/>
      <c r="J1328" s="306" t="n"/>
      <c r="K1328" s="306" t="n"/>
      <c r="L1328" s="307">
        <f>$F1328*$H1328</f>
        <v/>
      </c>
      <c r="M1328" s="306" t="n"/>
      <c r="N1328" s="306" t="n"/>
      <c r="O1328" s="306" t="n"/>
      <c r="P1328" s="306" t="n"/>
      <c r="Q1328" s="306" t="n"/>
    </row>
    <row r="1329">
      <c r="B1329" s="312" t="n"/>
      <c r="C1329" s="312" t="n"/>
      <c r="D1329" s="285" t="inlineStr">
        <is>
          <t>Training</t>
        </is>
      </c>
      <c r="E1329" s="312" t="n"/>
      <c r="F1329" s="312" t="n"/>
      <c r="G1329" s="312" t="n"/>
      <c r="H1329" s="312" t="n"/>
      <c r="I1329" s="312" t="n"/>
      <c r="J1329" s="312" t="n"/>
      <c r="K1329" s="312" t="n"/>
      <c r="L1329" s="312" t="n"/>
      <c r="M1329" s="312" t="n"/>
      <c r="N1329" s="312" t="n"/>
      <c r="O1329" s="312" t="n"/>
      <c r="P1329" s="312" t="n"/>
      <c r="Q1329" s="312" t="n"/>
    </row>
    <row r="1330" ht="18.75" customHeight="1">
      <c r="B1330" s="288" t="n">
        <v>45450</v>
      </c>
      <c r="C1330" s="289" t="n">
        <v>705</v>
      </c>
      <c r="D1330" s="290" t="inlineStr">
        <is>
          <t>BOSIET 5 - 7 June 2024</t>
        </is>
      </c>
      <c r="E1330" s="306" t="inlineStr">
        <is>
          <t>-</t>
        </is>
      </c>
      <c r="F1330" s="307" t="n">
        <v>9693878</v>
      </c>
      <c r="G1330" s="289" t="inlineStr">
        <is>
          <t>IDR</t>
        </is>
      </c>
      <c r="H1330" s="293" t="n">
        <v>1</v>
      </c>
      <c r="I1330" s="306" t="n"/>
      <c r="J1330" s="306" t="n"/>
      <c r="K1330" s="306" t="n"/>
      <c r="L1330" s="307">
        <f>$F1330*$H1330</f>
        <v/>
      </c>
      <c r="M1330" s="306" t="n"/>
      <c r="N1330" s="306" t="n"/>
      <c r="O1330" s="306" t="n"/>
      <c r="P1330" s="306" t="n"/>
      <c r="Q1330" s="306" t="n"/>
    </row>
    <row r="1331" ht="18.75" customHeight="1">
      <c r="B1331" s="288" t="n">
        <v>45450</v>
      </c>
      <c r="C1331" s="289" t="n">
        <v>706</v>
      </c>
      <c r="D1331" s="290" t="inlineStr">
        <is>
          <t>BOSIET 5 - 7 June 2024</t>
        </is>
      </c>
      <c r="E1331" s="306" t="inlineStr">
        <is>
          <t>-</t>
        </is>
      </c>
      <c r="F1331" s="307" t="n">
        <v>9693878</v>
      </c>
      <c r="G1331" s="289" t="inlineStr">
        <is>
          <t>IDR</t>
        </is>
      </c>
      <c r="H1331" s="293" t="n">
        <v>1</v>
      </c>
      <c r="I1331" s="306" t="n"/>
      <c r="J1331" s="306" t="n"/>
      <c r="K1331" s="306" t="n"/>
      <c r="L1331" s="307">
        <f>$F1331*$H1331</f>
        <v/>
      </c>
      <c r="M1331" s="306" t="n"/>
      <c r="N1331" s="306" t="n"/>
      <c r="O1331" s="306" t="n"/>
      <c r="P1331" s="306" t="n"/>
      <c r="Q1331" s="306" t="n"/>
    </row>
    <row r="1332" ht="18.75" customHeight="1">
      <c r="B1332" s="288" t="n">
        <v>45450</v>
      </c>
      <c r="C1332" s="289" t="n">
        <v>707</v>
      </c>
      <c r="D1332" s="290" t="inlineStr">
        <is>
          <t>BOSIET 5 - 7 June 2024</t>
        </is>
      </c>
      <c r="E1332" s="306" t="inlineStr">
        <is>
          <t>-</t>
        </is>
      </c>
      <c r="F1332" s="307" t="n">
        <v>9693878</v>
      </c>
      <c r="G1332" s="289" t="inlineStr">
        <is>
          <t>IDR</t>
        </is>
      </c>
      <c r="H1332" s="293" t="n">
        <v>1</v>
      </c>
      <c r="I1332" s="306" t="n"/>
      <c r="J1332" s="306" t="n"/>
      <c r="K1332" s="306" t="n"/>
      <c r="L1332" s="307">
        <f>$F1332*$H1332</f>
        <v/>
      </c>
      <c r="M1332" s="306" t="n"/>
      <c r="N1332" s="306" t="n"/>
      <c r="O1332" s="306" t="n"/>
      <c r="P1332" s="306" t="n"/>
      <c r="Q1332" s="306" t="n"/>
    </row>
    <row r="1333" ht="18.75" customHeight="1">
      <c r="B1333" s="288" t="n">
        <v>45450</v>
      </c>
      <c r="C1333" s="289" t="n">
        <v>708</v>
      </c>
      <c r="D1333" s="290" t="inlineStr">
        <is>
          <t>BOSIET 5 - 7 June 2024</t>
        </is>
      </c>
      <c r="E1333" s="306" t="inlineStr">
        <is>
          <t>-</t>
        </is>
      </c>
      <c r="F1333" s="307" t="n">
        <v>9693878</v>
      </c>
      <c r="G1333" s="289" t="inlineStr">
        <is>
          <t>IDR</t>
        </is>
      </c>
      <c r="H1333" s="293" t="n">
        <v>1</v>
      </c>
      <c r="I1333" s="306" t="n"/>
      <c r="J1333" s="306" t="n"/>
      <c r="K1333" s="306" t="n"/>
      <c r="L1333" s="307">
        <f>$F1333*$H1333</f>
        <v/>
      </c>
      <c r="M1333" s="306" t="n"/>
      <c r="N1333" s="306" t="n"/>
      <c r="O1333" s="306" t="n"/>
      <c r="P1333" s="306" t="n"/>
      <c r="Q1333" s="306" t="n"/>
    </row>
    <row r="1334">
      <c r="B1334" s="312" t="n"/>
      <c r="C1334" s="312" t="n"/>
      <c r="D1334" s="285" t="inlineStr">
        <is>
          <t>Transportation</t>
        </is>
      </c>
      <c r="E1334" s="312" t="n"/>
      <c r="F1334" s="312" t="n"/>
      <c r="G1334" s="312" t="n"/>
      <c r="H1334" s="312" t="n"/>
      <c r="I1334" s="312" t="n"/>
      <c r="J1334" s="312" t="n"/>
      <c r="K1334" s="312" t="n"/>
      <c r="L1334" s="312" t="n"/>
      <c r="M1334" s="312" t="n"/>
      <c r="N1334" s="312" t="n"/>
      <c r="O1334" s="312" t="n"/>
      <c r="P1334" s="312" t="n"/>
      <c r="Q1334" s="312" t="n"/>
    </row>
    <row r="1335" ht="18.75" customHeight="1">
      <c r="B1335" s="288" t="n">
        <v>45449</v>
      </c>
      <c r="C1335" s="289" t="n">
        <v>709</v>
      </c>
      <c r="D1335" s="290" t="inlineStr">
        <is>
          <t>Transport DAY - 2 BOSIET</t>
        </is>
      </c>
      <c r="E1335" s="306" t="inlineStr">
        <is>
          <t>-</t>
        </is>
      </c>
      <c r="F1335" s="307" t="n">
        <v>73000</v>
      </c>
      <c r="G1335" s="289" t="inlineStr">
        <is>
          <t>IDR</t>
        </is>
      </c>
      <c r="H1335" s="293" t="n">
        <v>1</v>
      </c>
      <c r="I1335" s="306" t="n"/>
      <c r="J1335" s="306" t="n"/>
      <c r="K1335" s="306" t="n"/>
      <c r="L1335" s="307">
        <f>$F1335*$H1335</f>
        <v/>
      </c>
      <c r="M1335" s="306" t="n"/>
      <c r="N1335" s="306" t="n"/>
      <c r="O1335" s="306" t="n"/>
      <c r="P1335" s="306" t="n"/>
      <c r="Q1335" s="306" t="n"/>
    </row>
    <row r="1336" ht="18.75" customHeight="1">
      <c r="B1336" s="288" t="n">
        <v>45449</v>
      </c>
      <c r="C1336" s="289" t="n">
        <v>710</v>
      </c>
      <c r="D1336" s="290" t="inlineStr">
        <is>
          <t>Transport DAY - 2 BOSIET</t>
        </is>
      </c>
      <c r="E1336" s="306" t="inlineStr">
        <is>
          <t>-</t>
        </is>
      </c>
      <c r="F1336" s="307" t="n">
        <v>73000</v>
      </c>
      <c r="G1336" s="289" t="inlineStr">
        <is>
          <t>IDR</t>
        </is>
      </c>
      <c r="H1336" s="293" t="n">
        <v>1</v>
      </c>
      <c r="I1336" s="306" t="n"/>
      <c r="J1336" s="306" t="n"/>
      <c r="K1336" s="306" t="n"/>
      <c r="L1336" s="307">
        <f>$F1336*$H1336</f>
        <v/>
      </c>
      <c r="M1336" s="306" t="n"/>
      <c r="N1336" s="306" t="n"/>
      <c r="O1336" s="306" t="n"/>
      <c r="P1336" s="306" t="n"/>
      <c r="Q1336" s="306" t="n"/>
    </row>
    <row r="1337" ht="18.75" customHeight="1">
      <c r="B1337" s="288" t="n">
        <v>45449</v>
      </c>
      <c r="C1337" s="289" t="n">
        <v>711</v>
      </c>
      <c r="D1337" s="290" t="inlineStr">
        <is>
          <t>Transport DAY - 2 BOSIET</t>
        </is>
      </c>
      <c r="E1337" s="306" t="inlineStr">
        <is>
          <t>-</t>
        </is>
      </c>
      <c r="F1337" s="307" t="n">
        <v>73000</v>
      </c>
      <c r="G1337" s="289" t="inlineStr">
        <is>
          <t>IDR</t>
        </is>
      </c>
      <c r="H1337" s="293" t="n">
        <v>1</v>
      </c>
      <c r="I1337" s="306" t="n"/>
      <c r="J1337" s="306" t="n"/>
      <c r="K1337" s="306" t="n"/>
      <c r="L1337" s="307">
        <f>$F1337*$H1337</f>
        <v/>
      </c>
      <c r="M1337" s="306" t="n"/>
      <c r="N1337" s="306" t="n"/>
      <c r="O1337" s="306" t="n"/>
      <c r="P1337" s="306" t="n"/>
      <c r="Q1337" s="306" t="n"/>
    </row>
    <row r="1338" ht="18.75" customHeight="1">
      <c r="B1338" s="288" t="n">
        <v>45449</v>
      </c>
      <c r="C1338" s="289" t="n">
        <v>712</v>
      </c>
      <c r="D1338" s="290" t="inlineStr">
        <is>
          <t>Transport DAY - 2 BOSIET</t>
        </is>
      </c>
      <c r="E1338" s="306" t="inlineStr">
        <is>
          <t>-</t>
        </is>
      </c>
      <c r="F1338" s="307" t="n">
        <v>73000</v>
      </c>
      <c r="G1338" s="289" t="inlineStr">
        <is>
          <t>IDR</t>
        </is>
      </c>
      <c r="H1338" s="293" t="n">
        <v>1</v>
      </c>
      <c r="I1338" s="306" t="n"/>
      <c r="J1338" s="306" t="n"/>
      <c r="K1338" s="306" t="n"/>
      <c r="L1338" s="307">
        <f>$F1338*$H1338</f>
        <v/>
      </c>
      <c r="M1338" s="306" t="n"/>
      <c r="N1338" s="306" t="n"/>
      <c r="O1338" s="306" t="n"/>
      <c r="P1338" s="306" t="n"/>
      <c r="Q1338" s="306" t="n"/>
    </row>
    <row r="1339" ht="18.75" customHeight="1">
      <c r="B1339" s="288" t="n">
        <v>45450</v>
      </c>
      <c r="C1339" s="289" t="n">
        <v>713</v>
      </c>
      <c r="D1339" s="290" t="inlineStr">
        <is>
          <t>Transport DAY - 3 BOSIET</t>
        </is>
      </c>
      <c r="E1339" s="306" t="inlineStr">
        <is>
          <t>-</t>
        </is>
      </c>
      <c r="F1339" s="307" t="n">
        <v>59000</v>
      </c>
      <c r="G1339" s="289" t="inlineStr">
        <is>
          <t>IDR</t>
        </is>
      </c>
      <c r="H1339" s="293" t="n">
        <v>1</v>
      </c>
      <c r="I1339" s="306" t="n"/>
      <c r="J1339" s="306" t="n"/>
      <c r="K1339" s="306" t="n"/>
      <c r="L1339" s="307">
        <f>$F1339*$H1339</f>
        <v/>
      </c>
      <c r="M1339" s="306" t="n"/>
      <c r="N1339" s="306" t="n"/>
      <c r="O1339" s="306" t="n"/>
      <c r="P1339" s="306" t="n"/>
      <c r="Q1339" s="306" t="n"/>
    </row>
    <row r="1340" ht="18.75" customHeight="1">
      <c r="B1340" s="288" t="n">
        <v>45450</v>
      </c>
      <c r="C1340" s="289" t="n">
        <v>714</v>
      </c>
      <c r="D1340" s="290" t="inlineStr">
        <is>
          <t>Transport DAY - 3 BOSIET</t>
        </is>
      </c>
      <c r="E1340" s="306" t="inlineStr">
        <is>
          <t>-</t>
        </is>
      </c>
      <c r="F1340" s="307" t="n">
        <v>59000</v>
      </c>
      <c r="G1340" s="289" t="inlineStr">
        <is>
          <t>IDR</t>
        </is>
      </c>
      <c r="H1340" s="293" t="n">
        <v>1</v>
      </c>
      <c r="I1340" s="306" t="n"/>
      <c r="J1340" s="306" t="n"/>
      <c r="K1340" s="306" t="n"/>
      <c r="L1340" s="307">
        <f>$F1340*$H1340</f>
        <v/>
      </c>
      <c r="M1340" s="306" t="n"/>
      <c r="N1340" s="306" t="n"/>
      <c r="O1340" s="306" t="n"/>
      <c r="P1340" s="306" t="n"/>
      <c r="Q1340" s="306" t="n"/>
    </row>
    <row r="1341" ht="18.75" customHeight="1">
      <c r="B1341" s="288" t="n">
        <v>45450</v>
      </c>
      <c r="C1341" s="289" t="n">
        <v>715</v>
      </c>
      <c r="D1341" s="290" t="inlineStr">
        <is>
          <t>Transport DAY - 3 BOSIET</t>
        </is>
      </c>
      <c r="E1341" s="306" t="inlineStr">
        <is>
          <t>-</t>
        </is>
      </c>
      <c r="F1341" s="307" t="n">
        <v>59000</v>
      </c>
      <c r="G1341" s="289" t="inlineStr">
        <is>
          <t>IDR</t>
        </is>
      </c>
      <c r="H1341" s="293" t="n">
        <v>1</v>
      </c>
      <c r="I1341" s="306" t="n"/>
      <c r="J1341" s="306" t="n"/>
      <c r="K1341" s="306" t="n"/>
      <c r="L1341" s="307">
        <f>$F1341*$H1341</f>
        <v/>
      </c>
      <c r="M1341" s="306" t="n"/>
      <c r="N1341" s="306" t="n"/>
      <c r="O1341" s="306" t="n"/>
      <c r="P1341" s="306" t="n"/>
      <c r="Q1341" s="306" t="n"/>
    </row>
    <row r="1342" ht="18.75" customHeight="1">
      <c r="B1342" s="288" t="n">
        <v>45450</v>
      </c>
      <c r="C1342" s="289" t="n">
        <v>716</v>
      </c>
      <c r="D1342" s="290" t="inlineStr">
        <is>
          <t>Transport DAY - 3 BOSIET</t>
        </is>
      </c>
      <c r="E1342" s="306" t="inlineStr">
        <is>
          <t>-</t>
        </is>
      </c>
      <c r="F1342" s="307" t="n">
        <v>59000</v>
      </c>
      <c r="G1342" s="289" t="inlineStr">
        <is>
          <t>IDR</t>
        </is>
      </c>
      <c r="H1342" s="293" t="n">
        <v>1</v>
      </c>
      <c r="I1342" s="306" t="n"/>
      <c r="J1342" s="306" t="n"/>
      <c r="K1342" s="306" t="n"/>
      <c r="L1342" s="307">
        <f>$F1342*$H1342</f>
        <v/>
      </c>
      <c r="M1342" s="306" t="n"/>
      <c r="N1342" s="306" t="n"/>
      <c r="O1342" s="306" t="n"/>
      <c r="P1342" s="306" t="n"/>
      <c r="Q1342" s="306" t="n"/>
    </row>
    <row r="1343">
      <c r="B1343" s="310" t="inlineStr">
        <is>
          <t>Expense#19</t>
        </is>
      </c>
      <c r="C1343" s="311" t="inlineStr">
        <is>
          <t>:</t>
        </is>
      </c>
      <c r="D1343" s="310" t="inlineStr">
        <is>
          <t>ALFA JRK-163 (Pending job) - TMA</t>
        </is>
      </c>
      <c r="E1343" s="311" t="n"/>
      <c r="F1343" s="311" t="n"/>
      <c r="G1343" s="311" t="n"/>
      <c r="H1343" s="311" t="n"/>
      <c r="I1343" s="311" t="n"/>
      <c r="J1343" s="311" t="n"/>
      <c r="K1343" s="311" t="n"/>
      <c r="L1343" s="311" t="n"/>
      <c r="M1343" s="311" t="n"/>
      <c r="N1343" s="311" t="n"/>
      <c r="O1343" s="311" t="n"/>
      <c r="P1343" s="311" t="n"/>
      <c r="Q1343" s="311" t="n"/>
    </row>
    <row r="1344">
      <c r="B1344" s="312" t="n"/>
      <c r="C1344" s="312" t="n"/>
      <c r="D1344" s="285" t="inlineStr">
        <is>
          <t>Accommodation</t>
        </is>
      </c>
      <c r="E1344" s="312" t="n"/>
      <c r="F1344" s="312" t="n"/>
      <c r="G1344" s="312" t="n"/>
      <c r="H1344" s="312" t="n"/>
      <c r="I1344" s="312" t="n"/>
      <c r="J1344" s="312" t="n"/>
      <c r="K1344" s="312" t="n"/>
      <c r="L1344" s="312" t="n"/>
      <c r="M1344" s="312" t="n"/>
      <c r="N1344" s="312" t="n"/>
      <c r="O1344" s="312" t="n"/>
      <c r="P1344" s="312" t="n"/>
      <c r="Q1344" s="312" t="n"/>
    </row>
    <row r="1345" ht="18.75" customHeight="1">
      <c r="B1345" s="288" t="n">
        <v>45428</v>
      </c>
      <c r="C1345" s="289" t="n">
        <v>717</v>
      </c>
      <c r="D1345" s="290" t="inlineStr">
        <is>
          <t>Hotel 16 June - 19 June (3 days)</t>
        </is>
      </c>
      <c r="E1345" s="306" t="inlineStr">
        <is>
          <t>-</t>
        </is>
      </c>
      <c r="F1345" s="307" t="n">
        <v>720000</v>
      </c>
      <c r="G1345" s="289" t="inlineStr">
        <is>
          <t>IDR</t>
        </is>
      </c>
      <c r="H1345" s="293" t="n">
        <v>1</v>
      </c>
      <c r="I1345" s="306" t="n"/>
      <c r="J1345" s="306" t="n"/>
      <c r="K1345" s="306" t="n"/>
      <c r="L1345" s="307">
        <f>$F1345*$H1345</f>
        <v/>
      </c>
      <c r="M1345" s="306" t="n"/>
      <c r="N1345" s="306" t="n"/>
      <c r="O1345" s="306" t="n"/>
      <c r="P1345" s="306" t="n"/>
      <c r="Q1345" s="306" t="n"/>
    </row>
    <row r="1346" ht="18.75" customHeight="1">
      <c r="B1346" s="288" t="n">
        <v>45428</v>
      </c>
      <c r="C1346" s="289" t="n">
        <v>718</v>
      </c>
      <c r="D1346" s="290" t="inlineStr">
        <is>
          <t>Hotel 16 June - 19 June (3 days)</t>
        </is>
      </c>
      <c r="E1346" s="306" t="inlineStr">
        <is>
          <t>-</t>
        </is>
      </c>
      <c r="F1346" s="307" t="n">
        <v>720000</v>
      </c>
      <c r="G1346" s="289" t="inlineStr">
        <is>
          <t>IDR</t>
        </is>
      </c>
      <c r="H1346" s="293" t="n">
        <v>1</v>
      </c>
      <c r="I1346" s="306" t="n"/>
      <c r="J1346" s="306" t="n"/>
      <c r="K1346" s="306" t="n"/>
      <c r="L1346" s="307">
        <f>$F1346*$H1346</f>
        <v/>
      </c>
      <c r="M1346" s="306" t="n"/>
      <c r="N1346" s="306" t="n"/>
      <c r="O1346" s="306" t="n"/>
      <c r="P1346" s="306" t="n"/>
      <c r="Q1346" s="306" t="n"/>
    </row>
    <row r="1347" ht="18.75" customHeight="1">
      <c r="B1347" s="288" t="n">
        <v>45428</v>
      </c>
      <c r="C1347" s="289" t="n">
        <v>719</v>
      </c>
      <c r="D1347" s="290" t="inlineStr">
        <is>
          <t>Hotel 16 June - 19 June (3 days)</t>
        </is>
      </c>
      <c r="E1347" s="306" t="inlineStr">
        <is>
          <t>-</t>
        </is>
      </c>
      <c r="F1347" s="307" t="n">
        <v>720000</v>
      </c>
      <c r="G1347" s="289" t="inlineStr">
        <is>
          <t>IDR</t>
        </is>
      </c>
      <c r="H1347" s="293" t="n">
        <v>1</v>
      </c>
      <c r="I1347" s="306" t="n"/>
      <c r="J1347" s="306" t="n"/>
      <c r="K1347" s="306" t="n"/>
      <c r="L1347" s="307">
        <f>$F1347*$H1347</f>
        <v/>
      </c>
      <c r="M1347" s="306" t="n"/>
      <c r="N1347" s="306" t="n"/>
      <c r="O1347" s="306" t="n"/>
      <c r="P1347" s="306" t="n"/>
      <c r="Q1347" s="306" t="n"/>
    </row>
    <row r="1348" ht="18.75" customHeight="1">
      <c r="B1348" s="288" t="n">
        <v>45428</v>
      </c>
      <c r="C1348" s="289" t="n">
        <v>720</v>
      </c>
      <c r="D1348" s="290" t="inlineStr">
        <is>
          <t>Hotel 16 June - 19 June (3 days)</t>
        </is>
      </c>
      <c r="E1348" s="306" t="inlineStr">
        <is>
          <t>-</t>
        </is>
      </c>
      <c r="F1348" s="307" t="n">
        <v>720000</v>
      </c>
      <c r="G1348" s="289" t="inlineStr">
        <is>
          <t>IDR</t>
        </is>
      </c>
      <c r="H1348" s="293" t="n">
        <v>1</v>
      </c>
      <c r="I1348" s="306" t="n"/>
      <c r="J1348" s="306" t="n"/>
      <c r="K1348" s="306" t="n"/>
      <c r="L1348" s="307">
        <f>$F1348*$H1348</f>
        <v/>
      </c>
      <c r="M1348" s="306" t="n"/>
      <c r="N1348" s="306" t="n"/>
      <c r="O1348" s="306" t="n"/>
      <c r="P1348" s="306" t="n"/>
      <c r="Q1348" s="306" t="n"/>
    </row>
    <row r="1349">
      <c r="B1349" s="312" t="n"/>
      <c r="C1349" s="312" t="n"/>
      <c r="D1349" s="285" t="inlineStr">
        <is>
          <t>Allowance</t>
        </is>
      </c>
      <c r="E1349" s="312" t="n"/>
      <c r="F1349" s="312" t="n"/>
      <c r="G1349" s="312" t="n"/>
      <c r="H1349" s="312" t="n"/>
      <c r="I1349" s="312" t="n"/>
      <c r="J1349" s="312" t="n"/>
      <c r="K1349" s="312" t="n"/>
      <c r="L1349" s="312" t="n"/>
      <c r="M1349" s="312" t="n"/>
      <c r="N1349" s="312" t="n"/>
      <c r="O1349" s="312" t="n"/>
      <c r="P1349" s="312" t="n"/>
      <c r="Q1349" s="312" t="n"/>
    </row>
    <row r="1350" ht="18.75" customHeight="1">
      <c r="B1350" s="288" t="n">
        <v>45428</v>
      </c>
      <c r="C1350" s="289" t="n">
        <v>721</v>
      </c>
      <c r="D1350" s="290" t="inlineStr">
        <is>
          <t>Tunjangan Lapangan for 4 days</t>
        </is>
      </c>
      <c r="E1350" s="306" t="inlineStr">
        <is>
          <t>-</t>
        </is>
      </c>
      <c r="F1350" s="307" t="n">
        <v>400</v>
      </c>
      <c r="G1350" s="289" t="inlineStr">
        <is>
          <t>USD</t>
        </is>
      </c>
      <c r="H1350" s="293" t="n">
        <v>16378</v>
      </c>
      <c r="I1350" s="306" t="n"/>
      <c r="J1350" s="306" t="n"/>
      <c r="K1350" s="306" t="n"/>
      <c r="L1350" s="307">
        <f>$F1350*$H1350</f>
        <v/>
      </c>
      <c r="M1350" s="306" t="n"/>
      <c r="N1350" s="306" t="n"/>
      <c r="O1350" s="306" t="n"/>
      <c r="P1350" s="306" t="n"/>
      <c r="Q1350" s="306" t="n"/>
    </row>
    <row r="1351" ht="18.75" customHeight="1">
      <c r="B1351" s="288" t="n">
        <v>45428</v>
      </c>
      <c r="C1351" s="289" t="n">
        <v>722</v>
      </c>
      <c r="D1351" s="290" t="inlineStr">
        <is>
          <t>Tunjangan Lapangan for 4 days</t>
        </is>
      </c>
      <c r="E1351" s="306" t="inlineStr">
        <is>
          <t>-</t>
        </is>
      </c>
      <c r="F1351" s="307" t="n">
        <v>400</v>
      </c>
      <c r="G1351" s="289" t="inlineStr">
        <is>
          <t>USD</t>
        </is>
      </c>
      <c r="H1351" s="293" t="n">
        <v>16378</v>
      </c>
      <c r="I1351" s="306" t="n"/>
      <c r="J1351" s="306" t="n"/>
      <c r="K1351" s="306" t="n"/>
      <c r="L1351" s="307">
        <f>$F1351*$H1351</f>
        <v/>
      </c>
      <c r="M1351" s="306" t="n"/>
      <c r="N1351" s="306" t="n"/>
      <c r="O1351" s="306" t="n"/>
      <c r="P1351" s="306" t="n"/>
      <c r="Q1351" s="306" t="n"/>
    </row>
    <row r="1352" ht="18.75" customHeight="1">
      <c r="B1352" s="288" t="n">
        <v>45428</v>
      </c>
      <c r="C1352" s="289" t="n">
        <v>723</v>
      </c>
      <c r="D1352" s="290" t="inlineStr">
        <is>
          <t>Tunjangan Lapangan for 4 days</t>
        </is>
      </c>
      <c r="E1352" s="306" t="inlineStr">
        <is>
          <t>-</t>
        </is>
      </c>
      <c r="F1352" s="307" t="n">
        <v>400</v>
      </c>
      <c r="G1352" s="289" t="inlineStr">
        <is>
          <t>USD</t>
        </is>
      </c>
      <c r="H1352" s="293" t="n">
        <v>16378</v>
      </c>
      <c r="I1352" s="306" t="n"/>
      <c r="J1352" s="306" t="n"/>
      <c r="K1352" s="306" t="n"/>
      <c r="L1352" s="307">
        <f>$F1352*$H1352</f>
        <v/>
      </c>
      <c r="M1352" s="306" t="n"/>
      <c r="N1352" s="306" t="n"/>
      <c r="O1352" s="306" t="n"/>
      <c r="P1352" s="306" t="n"/>
      <c r="Q1352" s="306" t="n"/>
    </row>
    <row r="1353" ht="18.75" customHeight="1">
      <c r="B1353" s="288" t="n">
        <v>45428</v>
      </c>
      <c r="C1353" s="289" t="n">
        <v>724</v>
      </c>
      <c r="D1353" s="290" t="inlineStr">
        <is>
          <t>Tunjangan Lapangan for 4 days</t>
        </is>
      </c>
      <c r="E1353" s="306" t="inlineStr">
        <is>
          <t>-</t>
        </is>
      </c>
      <c r="F1353" s="307" t="n">
        <v>400</v>
      </c>
      <c r="G1353" s="289" t="inlineStr">
        <is>
          <t>USD</t>
        </is>
      </c>
      <c r="H1353" s="293" t="n">
        <v>16378</v>
      </c>
      <c r="I1353" s="306" t="n"/>
      <c r="J1353" s="306" t="n"/>
      <c r="K1353" s="306" t="n"/>
      <c r="L1353" s="307">
        <f>$F1353*$H1353</f>
        <v/>
      </c>
      <c r="M1353" s="306" t="n"/>
      <c r="N1353" s="306" t="n"/>
      <c r="O1353" s="306" t="n"/>
      <c r="P1353" s="306" t="n"/>
      <c r="Q1353" s="306" t="n"/>
    </row>
    <row r="1354">
      <c r="B1354" s="312" t="n"/>
      <c r="C1354" s="312" t="n"/>
      <c r="D1354" s="285" t="inlineStr">
        <is>
          <t>Biaya Operasi Lain-lain</t>
        </is>
      </c>
      <c r="E1354" s="312" t="n"/>
      <c r="F1354" s="312" t="n"/>
      <c r="G1354" s="312" t="n"/>
      <c r="H1354" s="312" t="n"/>
      <c r="I1354" s="312" t="n"/>
      <c r="J1354" s="312" t="n"/>
      <c r="K1354" s="312" t="n"/>
      <c r="L1354" s="312" t="n"/>
      <c r="M1354" s="312" t="n"/>
      <c r="N1354" s="312" t="n"/>
      <c r="O1354" s="312" t="n"/>
      <c r="P1354" s="312" t="n"/>
      <c r="Q1354" s="312" t="n"/>
    </row>
    <row r="1355" ht="18.75" customHeight="1">
      <c r="B1355" s="288" t="n">
        <v>45428</v>
      </c>
      <c r="C1355" s="289" t="n">
        <v>725</v>
      </c>
      <c r="D1355" s="290" t="inlineStr">
        <is>
          <t>Rent Car 4 Days</t>
        </is>
      </c>
      <c r="E1355" s="306" t="inlineStr">
        <is>
          <t>-</t>
        </is>
      </c>
      <c r="F1355" s="307" t="n">
        <v>2000000</v>
      </c>
      <c r="G1355" s="289" t="inlineStr">
        <is>
          <t>IDR</t>
        </is>
      </c>
      <c r="H1355" s="293" t="n">
        <v>1</v>
      </c>
      <c r="I1355" s="306" t="n"/>
      <c r="J1355" s="306" t="n"/>
      <c r="K1355" s="306" t="n"/>
      <c r="L1355" s="307">
        <f>$F1355*$H1355</f>
        <v/>
      </c>
      <c r="M1355" s="306" t="n"/>
      <c r="N1355" s="306" t="n"/>
      <c r="O1355" s="306" t="n"/>
      <c r="P1355" s="306" t="n"/>
      <c r="Q1355" s="306" t="n"/>
    </row>
    <row r="1356" ht="18.75" customHeight="1">
      <c r="B1356" s="288" t="n">
        <v>45428</v>
      </c>
      <c r="C1356" s="289" t="n">
        <v>726</v>
      </c>
      <c r="D1356" s="290" t="inlineStr">
        <is>
          <t>Rent Car 4 Days</t>
        </is>
      </c>
      <c r="E1356" s="306" t="inlineStr">
        <is>
          <t>-</t>
        </is>
      </c>
      <c r="F1356" s="307" t="n">
        <v>2000000</v>
      </c>
      <c r="G1356" s="289" t="inlineStr">
        <is>
          <t>IDR</t>
        </is>
      </c>
      <c r="H1356" s="293" t="n">
        <v>1</v>
      </c>
      <c r="I1356" s="306" t="n"/>
      <c r="J1356" s="306" t="n"/>
      <c r="K1356" s="306" t="n"/>
      <c r="L1356" s="307">
        <f>$F1356*$H1356</f>
        <v/>
      </c>
      <c r="M1356" s="306" t="n"/>
      <c r="N1356" s="306" t="n"/>
      <c r="O1356" s="306" t="n"/>
      <c r="P1356" s="306" t="n"/>
      <c r="Q1356" s="306" t="n"/>
    </row>
    <row r="1357" ht="18.75" customHeight="1">
      <c r="B1357" s="288" t="n">
        <v>45428</v>
      </c>
      <c r="C1357" s="289" t="n">
        <v>727</v>
      </c>
      <c r="D1357" s="290" t="inlineStr">
        <is>
          <t>Rent Car 4 Days</t>
        </is>
      </c>
      <c r="E1357" s="306" t="inlineStr">
        <is>
          <t>-</t>
        </is>
      </c>
      <c r="F1357" s="307" t="n">
        <v>2000000</v>
      </c>
      <c r="G1357" s="289" t="inlineStr">
        <is>
          <t>IDR</t>
        </is>
      </c>
      <c r="H1357" s="293" t="n">
        <v>1</v>
      </c>
      <c r="I1357" s="306" t="n"/>
      <c r="J1357" s="306" t="n"/>
      <c r="K1357" s="306" t="n"/>
      <c r="L1357" s="307">
        <f>$F1357*$H1357</f>
        <v/>
      </c>
      <c r="M1357" s="306" t="n"/>
      <c r="N1357" s="306" t="n"/>
      <c r="O1357" s="306" t="n"/>
      <c r="P1357" s="306" t="n"/>
      <c r="Q1357" s="306" t="n"/>
    </row>
    <row r="1358" ht="18.75" customHeight="1">
      <c r="B1358" s="288" t="n">
        <v>45428</v>
      </c>
      <c r="C1358" s="289" t="n">
        <v>728</v>
      </c>
      <c r="D1358" s="290" t="inlineStr">
        <is>
          <t>Rent Car 4 Days</t>
        </is>
      </c>
      <c r="E1358" s="306" t="inlineStr">
        <is>
          <t>-</t>
        </is>
      </c>
      <c r="F1358" s="307" t="n">
        <v>2000000</v>
      </c>
      <c r="G1358" s="289" t="inlineStr">
        <is>
          <t>IDR</t>
        </is>
      </c>
      <c r="H1358" s="293" t="n">
        <v>1</v>
      </c>
      <c r="I1358" s="306" t="n"/>
      <c r="J1358" s="306" t="n"/>
      <c r="K1358" s="306" t="n"/>
      <c r="L1358" s="307">
        <f>$F1358*$H1358</f>
        <v/>
      </c>
      <c r="M1358" s="306" t="n"/>
      <c r="N1358" s="306" t="n"/>
      <c r="O1358" s="306" t="n"/>
      <c r="P1358" s="306" t="n"/>
      <c r="Q1358" s="306" t="n"/>
    </row>
    <row r="1359">
      <c r="B1359" s="312" t="n"/>
      <c r="C1359" s="312" t="n"/>
      <c r="D1359" s="285" t="inlineStr">
        <is>
          <t>Elektronik &amp; Gadget</t>
        </is>
      </c>
      <c r="E1359" s="312" t="n"/>
      <c r="F1359" s="312" t="n"/>
      <c r="G1359" s="312" t="n"/>
      <c r="H1359" s="312" t="n"/>
      <c r="I1359" s="312" t="n"/>
      <c r="J1359" s="312" t="n"/>
      <c r="K1359" s="312" t="n"/>
      <c r="L1359" s="312" t="n"/>
      <c r="M1359" s="312" t="n"/>
      <c r="N1359" s="312" t="n"/>
      <c r="O1359" s="312" t="n"/>
      <c r="P1359" s="312" t="n"/>
      <c r="Q1359" s="312" t="n"/>
    </row>
    <row r="1360" ht="18.75" customHeight="1">
      <c r="B1360" s="288" t="n">
        <v>45428</v>
      </c>
      <c r="C1360" s="289" t="n">
        <v>729</v>
      </c>
      <c r="D1360" s="290" t="inlineStr">
        <is>
          <t>Uneed Power Station</t>
        </is>
      </c>
      <c r="E1360" s="306" t="inlineStr">
        <is>
          <t>-</t>
        </is>
      </c>
      <c r="F1360" s="307" t="n">
        <v>2371000</v>
      </c>
      <c r="G1360" s="289" t="inlineStr">
        <is>
          <t>IDR</t>
        </is>
      </c>
      <c r="H1360" s="293" t="n">
        <v>1</v>
      </c>
      <c r="I1360" s="306" t="n"/>
      <c r="J1360" s="306" t="n"/>
      <c r="K1360" s="306" t="n"/>
      <c r="L1360" s="306" t="n"/>
      <c r="M1360" s="306" t="n"/>
      <c r="N1360" s="307">
        <f>$F1360*$H1360</f>
        <v/>
      </c>
      <c r="O1360" s="306" t="n"/>
      <c r="P1360" s="306" t="n"/>
      <c r="Q1360" s="306" t="n"/>
    </row>
    <row r="1361" ht="18.75" customHeight="1">
      <c r="B1361" s="288" t="n">
        <v>45428</v>
      </c>
      <c r="C1361" s="289" t="n">
        <v>730</v>
      </c>
      <c r="D1361" s="290" t="inlineStr">
        <is>
          <t>Uneed Power Station</t>
        </is>
      </c>
      <c r="E1361" s="306" t="inlineStr">
        <is>
          <t>-</t>
        </is>
      </c>
      <c r="F1361" s="307" t="n">
        <v>2371000</v>
      </c>
      <c r="G1361" s="289" t="inlineStr">
        <is>
          <t>IDR</t>
        </is>
      </c>
      <c r="H1361" s="293" t="n">
        <v>1</v>
      </c>
      <c r="I1361" s="306" t="n"/>
      <c r="J1361" s="306" t="n"/>
      <c r="K1361" s="306" t="n"/>
      <c r="L1361" s="306" t="n"/>
      <c r="M1361" s="306" t="n"/>
      <c r="N1361" s="307">
        <f>$F1361*$H1361</f>
        <v/>
      </c>
      <c r="O1361" s="306" t="n"/>
      <c r="P1361" s="306" t="n"/>
      <c r="Q1361" s="306" t="n"/>
    </row>
    <row r="1362" ht="18.75" customHeight="1">
      <c r="B1362" s="288" t="n">
        <v>45428</v>
      </c>
      <c r="C1362" s="289" t="n">
        <v>731</v>
      </c>
      <c r="D1362" s="290" t="inlineStr">
        <is>
          <t>Uneed Power Station</t>
        </is>
      </c>
      <c r="E1362" s="306" t="inlineStr">
        <is>
          <t>-</t>
        </is>
      </c>
      <c r="F1362" s="307" t="n">
        <v>2371000</v>
      </c>
      <c r="G1362" s="289" t="inlineStr">
        <is>
          <t>IDR</t>
        </is>
      </c>
      <c r="H1362" s="293" t="n">
        <v>1</v>
      </c>
      <c r="I1362" s="306" t="n"/>
      <c r="J1362" s="306" t="n"/>
      <c r="K1362" s="306" t="n"/>
      <c r="L1362" s="306" t="n"/>
      <c r="M1362" s="306" t="n"/>
      <c r="N1362" s="307">
        <f>$F1362*$H1362</f>
        <v/>
      </c>
      <c r="O1362" s="306" t="n"/>
      <c r="P1362" s="306" t="n"/>
      <c r="Q1362" s="306" t="n"/>
    </row>
    <row r="1363" ht="18.75" customHeight="1">
      <c r="B1363" s="288" t="n">
        <v>45428</v>
      </c>
      <c r="C1363" s="289" t="n">
        <v>732</v>
      </c>
      <c r="D1363" s="290" t="inlineStr">
        <is>
          <t>Uneed Power Station</t>
        </is>
      </c>
      <c r="E1363" s="306" t="inlineStr">
        <is>
          <t>-</t>
        </is>
      </c>
      <c r="F1363" s="307" t="n">
        <v>2371000</v>
      </c>
      <c r="G1363" s="289" t="inlineStr">
        <is>
          <t>IDR</t>
        </is>
      </c>
      <c r="H1363" s="293" t="n">
        <v>1</v>
      </c>
      <c r="I1363" s="306" t="n"/>
      <c r="J1363" s="306" t="n"/>
      <c r="K1363" s="306" t="n"/>
      <c r="L1363" s="306" t="n"/>
      <c r="M1363" s="306" t="n"/>
      <c r="N1363" s="307">
        <f>$F1363*$H1363</f>
        <v/>
      </c>
      <c r="O1363" s="306" t="n"/>
      <c r="P1363" s="306" t="n"/>
      <c r="Q1363" s="306" t="n"/>
    </row>
    <row r="1364">
      <c r="B1364" s="312" t="n"/>
      <c r="C1364" s="312" t="n"/>
      <c r="D1364" s="285" t="inlineStr">
        <is>
          <t>Laundry</t>
        </is>
      </c>
      <c r="E1364" s="312" t="n"/>
      <c r="F1364" s="312" t="n"/>
      <c r="G1364" s="312" t="n"/>
      <c r="H1364" s="312" t="n"/>
      <c r="I1364" s="312" t="n"/>
      <c r="J1364" s="312" t="n"/>
      <c r="K1364" s="312" t="n"/>
      <c r="L1364" s="312" t="n"/>
      <c r="M1364" s="312" t="n"/>
      <c r="N1364" s="312" t="n"/>
      <c r="O1364" s="312" t="n"/>
      <c r="P1364" s="312" t="n"/>
      <c r="Q1364" s="312" t="n"/>
    </row>
    <row r="1365" ht="18.75" customHeight="1">
      <c r="B1365" s="288" t="n">
        <v>45428</v>
      </c>
      <c r="C1365" s="289" t="n">
        <v>733</v>
      </c>
      <c r="D1365" s="290" t="inlineStr">
        <is>
          <t>Laundry 4 days 1 Persons @ 50K IDR/day</t>
        </is>
      </c>
      <c r="E1365" s="306" t="inlineStr">
        <is>
          <t>-</t>
        </is>
      </c>
      <c r="F1365" s="307" t="n">
        <v>200000</v>
      </c>
      <c r="G1365" s="289" t="inlineStr">
        <is>
          <t>IDR</t>
        </is>
      </c>
      <c r="H1365" s="293" t="n">
        <v>1</v>
      </c>
      <c r="I1365" s="306" t="n"/>
      <c r="J1365" s="306" t="n"/>
      <c r="K1365" s="306" t="n"/>
      <c r="L1365" s="307">
        <f>$F1365*$H1365</f>
        <v/>
      </c>
      <c r="M1365" s="306" t="n"/>
      <c r="N1365" s="306" t="n"/>
      <c r="O1365" s="306" t="n"/>
      <c r="P1365" s="306" t="n"/>
      <c r="Q1365" s="306" t="n"/>
    </row>
    <row r="1366" ht="18.75" customHeight="1">
      <c r="B1366" s="288" t="n">
        <v>45428</v>
      </c>
      <c r="C1366" s="289" t="n">
        <v>734</v>
      </c>
      <c r="D1366" s="290" t="inlineStr">
        <is>
          <t>Laundry 4 days 1 Persons @ 50K IDR/day</t>
        </is>
      </c>
      <c r="E1366" s="306" t="inlineStr">
        <is>
          <t>-</t>
        </is>
      </c>
      <c r="F1366" s="307" t="n">
        <v>200000</v>
      </c>
      <c r="G1366" s="289" t="inlineStr">
        <is>
          <t>IDR</t>
        </is>
      </c>
      <c r="H1366" s="293" t="n">
        <v>1</v>
      </c>
      <c r="I1366" s="306" t="n"/>
      <c r="J1366" s="306" t="n"/>
      <c r="K1366" s="306" t="n"/>
      <c r="L1366" s="307">
        <f>$F1366*$H1366</f>
        <v/>
      </c>
      <c r="M1366" s="306" t="n"/>
      <c r="N1366" s="306" t="n"/>
      <c r="O1366" s="306" t="n"/>
      <c r="P1366" s="306" t="n"/>
      <c r="Q1366" s="306" t="n"/>
    </row>
    <row r="1367" ht="18.75" customHeight="1">
      <c r="B1367" s="288" t="n">
        <v>45428</v>
      </c>
      <c r="C1367" s="289" t="n">
        <v>735</v>
      </c>
      <c r="D1367" s="290" t="inlineStr">
        <is>
          <t>Laundry 4 days 1 Persons @ 50K IDR/day</t>
        </is>
      </c>
      <c r="E1367" s="306" t="inlineStr">
        <is>
          <t>-</t>
        </is>
      </c>
      <c r="F1367" s="307" t="n">
        <v>200000</v>
      </c>
      <c r="G1367" s="289" t="inlineStr">
        <is>
          <t>IDR</t>
        </is>
      </c>
      <c r="H1367" s="293" t="n">
        <v>1</v>
      </c>
      <c r="I1367" s="306" t="n"/>
      <c r="J1367" s="306" t="n"/>
      <c r="K1367" s="306" t="n"/>
      <c r="L1367" s="307">
        <f>$F1367*$H1367</f>
        <v/>
      </c>
      <c r="M1367" s="306" t="n"/>
      <c r="N1367" s="306" t="n"/>
      <c r="O1367" s="306" t="n"/>
      <c r="P1367" s="306" t="n"/>
      <c r="Q1367" s="306" t="n"/>
    </row>
    <row r="1368" ht="18.75" customHeight="1">
      <c r="B1368" s="288" t="n">
        <v>45428</v>
      </c>
      <c r="C1368" s="289" t="n">
        <v>736</v>
      </c>
      <c r="D1368" s="290" t="inlineStr">
        <is>
          <t>Laundry 4 days 1 Persons @ 50K IDR/day</t>
        </is>
      </c>
      <c r="E1368" s="306" t="inlineStr">
        <is>
          <t>-</t>
        </is>
      </c>
      <c r="F1368" s="307" t="n">
        <v>200000</v>
      </c>
      <c r="G1368" s="289" t="inlineStr">
        <is>
          <t>IDR</t>
        </is>
      </c>
      <c r="H1368" s="293" t="n">
        <v>1</v>
      </c>
      <c r="I1368" s="306" t="n"/>
      <c r="J1368" s="306" t="n"/>
      <c r="K1368" s="306" t="n"/>
      <c r="L1368" s="307">
        <f>$F1368*$H1368</f>
        <v/>
      </c>
      <c r="M1368" s="306" t="n"/>
      <c r="N1368" s="306" t="n"/>
      <c r="O1368" s="306" t="n"/>
      <c r="P1368" s="306" t="n"/>
      <c r="Q1368" s="306" t="n"/>
    </row>
    <row r="1369">
      <c r="B1369" s="312" t="n"/>
      <c r="C1369" s="312" t="n"/>
      <c r="D1369" s="285" t="inlineStr">
        <is>
          <t>Meal</t>
        </is>
      </c>
      <c r="E1369" s="312" t="n"/>
      <c r="F1369" s="312" t="n"/>
      <c r="G1369" s="312" t="n"/>
      <c r="H1369" s="312" t="n"/>
      <c r="I1369" s="312" t="n"/>
      <c r="J1369" s="312" t="n"/>
      <c r="K1369" s="312" t="n"/>
      <c r="L1369" s="312" t="n"/>
      <c r="M1369" s="312" t="n"/>
      <c r="N1369" s="312" t="n"/>
      <c r="O1369" s="312" t="n"/>
      <c r="P1369" s="312" t="n"/>
      <c r="Q1369" s="312" t="n"/>
    </row>
    <row r="1370" ht="18.75" customHeight="1">
      <c r="B1370" s="288" t="n">
        <v>45428</v>
      </c>
      <c r="C1370" s="289" t="n">
        <v>737</v>
      </c>
      <c r="D1370" s="290" t="inlineStr">
        <is>
          <t>Meals 4 days 1 Persons @ 150K IDR/day</t>
        </is>
      </c>
      <c r="E1370" s="306" t="inlineStr">
        <is>
          <t>-</t>
        </is>
      </c>
      <c r="F1370" s="307" t="n">
        <v>600000</v>
      </c>
      <c r="G1370" s="289" t="inlineStr">
        <is>
          <t>IDR</t>
        </is>
      </c>
      <c r="H1370" s="293" t="n">
        <v>1</v>
      </c>
      <c r="I1370" s="306" t="n"/>
      <c r="J1370" s="306" t="n"/>
      <c r="K1370" s="306" t="n"/>
      <c r="L1370" s="307">
        <f>$F1370*$H1370</f>
        <v/>
      </c>
      <c r="M1370" s="306" t="n"/>
      <c r="N1370" s="306" t="n"/>
      <c r="O1370" s="306" t="n"/>
      <c r="P1370" s="306" t="n"/>
      <c r="Q1370" s="306" t="n"/>
    </row>
    <row r="1371" ht="18.75" customHeight="1">
      <c r="B1371" s="288" t="n">
        <v>45428</v>
      </c>
      <c r="C1371" s="289" t="n">
        <v>738</v>
      </c>
      <c r="D1371" s="290" t="inlineStr">
        <is>
          <t>Meals 4 days 1 Persons @ 150K IDR/day</t>
        </is>
      </c>
      <c r="E1371" s="306" t="inlineStr">
        <is>
          <t>-</t>
        </is>
      </c>
      <c r="F1371" s="307" t="n">
        <v>600000</v>
      </c>
      <c r="G1371" s="289" t="inlineStr">
        <is>
          <t>IDR</t>
        </is>
      </c>
      <c r="H1371" s="293" t="n">
        <v>1</v>
      </c>
      <c r="I1371" s="306" t="n"/>
      <c r="J1371" s="306" t="n"/>
      <c r="K1371" s="306" t="n"/>
      <c r="L1371" s="307">
        <f>$F1371*$H1371</f>
        <v/>
      </c>
      <c r="M1371" s="306" t="n"/>
      <c r="N1371" s="306" t="n"/>
      <c r="O1371" s="306" t="n"/>
      <c r="P1371" s="306" t="n"/>
      <c r="Q1371" s="306" t="n"/>
    </row>
    <row r="1372" ht="18.75" customHeight="1">
      <c r="B1372" s="288" t="n">
        <v>45428</v>
      </c>
      <c r="C1372" s="289" t="n">
        <v>739</v>
      </c>
      <c r="D1372" s="290" t="inlineStr">
        <is>
          <t>Meals 4 days 1 Persons @ 150K IDR/day</t>
        </is>
      </c>
      <c r="E1372" s="306" t="inlineStr">
        <is>
          <t>-</t>
        </is>
      </c>
      <c r="F1372" s="307" t="n">
        <v>600000</v>
      </c>
      <c r="G1372" s="289" t="inlineStr">
        <is>
          <t>IDR</t>
        </is>
      </c>
      <c r="H1372" s="293" t="n">
        <v>1</v>
      </c>
      <c r="I1372" s="306" t="n"/>
      <c r="J1372" s="306" t="n"/>
      <c r="K1372" s="306" t="n"/>
      <c r="L1372" s="307">
        <f>$F1372*$H1372</f>
        <v/>
      </c>
      <c r="M1372" s="306" t="n"/>
      <c r="N1372" s="306" t="n"/>
      <c r="O1372" s="306" t="n"/>
      <c r="P1372" s="306" t="n"/>
      <c r="Q1372" s="306" t="n"/>
    </row>
    <row r="1373" ht="18.75" customHeight="1">
      <c r="B1373" s="288" t="n">
        <v>45428</v>
      </c>
      <c r="C1373" s="289" t="n">
        <v>740</v>
      </c>
      <c r="D1373" s="290" t="inlineStr">
        <is>
          <t>Meals 4 days 1 Persons @ 150K IDR/day</t>
        </is>
      </c>
      <c r="E1373" s="306" t="inlineStr">
        <is>
          <t>-</t>
        </is>
      </c>
      <c r="F1373" s="307" t="n">
        <v>600000</v>
      </c>
      <c r="G1373" s="289" t="inlineStr">
        <is>
          <t>IDR</t>
        </is>
      </c>
      <c r="H1373" s="293" t="n">
        <v>1</v>
      </c>
      <c r="I1373" s="306" t="n"/>
      <c r="J1373" s="306" t="n"/>
      <c r="K1373" s="306" t="n"/>
      <c r="L1373" s="307">
        <f>$F1373*$H1373</f>
        <v/>
      </c>
      <c r="M1373" s="306" t="n"/>
      <c r="N1373" s="306" t="n"/>
      <c r="O1373" s="306" t="n"/>
      <c r="P1373" s="306" t="n"/>
      <c r="Q1373" s="306" t="n"/>
    </row>
    <row r="1374">
      <c r="B1374" s="312" t="n"/>
      <c r="C1374" s="312" t="n"/>
      <c r="D1374" s="285" t="inlineStr">
        <is>
          <t>Transportation</t>
        </is>
      </c>
      <c r="E1374" s="312" t="n"/>
      <c r="F1374" s="312" t="n"/>
      <c r="G1374" s="312" t="n"/>
      <c r="H1374" s="312" t="n"/>
      <c r="I1374" s="312" t="n"/>
      <c r="J1374" s="312" t="n"/>
      <c r="K1374" s="312" t="n"/>
      <c r="L1374" s="312" t="n"/>
      <c r="M1374" s="312" t="n"/>
      <c r="N1374" s="312" t="n"/>
      <c r="O1374" s="312" t="n"/>
      <c r="P1374" s="312" t="n"/>
      <c r="Q1374" s="312" t="n"/>
    </row>
    <row r="1375" ht="18.75" customHeight="1">
      <c r="B1375" s="288" t="n">
        <v>45428</v>
      </c>
      <c r="C1375" s="289" t="n">
        <v>741</v>
      </c>
      <c r="D1375" s="290" t="inlineStr">
        <is>
          <t>Airplane Ticket CGK-PLM</t>
        </is>
      </c>
      <c r="E1375" s="306" t="inlineStr">
        <is>
          <t>-</t>
        </is>
      </c>
      <c r="F1375" s="307" t="n">
        <v>995500</v>
      </c>
      <c r="G1375" s="289" t="inlineStr">
        <is>
          <t>IDR</t>
        </is>
      </c>
      <c r="H1375" s="293" t="n">
        <v>1</v>
      </c>
      <c r="I1375" s="306" t="n"/>
      <c r="J1375" s="306" t="n"/>
      <c r="K1375" s="306" t="n"/>
      <c r="L1375" s="307">
        <f>$F1375*$H1375</f>
        <v/>
      </c>
      <c r="M1375" s="306" t="n"/>
      <c r="N1375" s="306" t="n"/>
      <c r="O1375" s="306" t="n"/>
      <c r="P1375" s="306" t="n"/>
      <c r="Q1375" s="306" t="n"/>
    </row>
    <row r="1376" ht="18.75" customHeight="1">
      <c r="B1376" s="288" t="n">
        <v>45428</v>
      </c>
      <c r="C1376" s="289" t="n">
        <v>742</v>
      </c>
      <c r="D1376" s="290" t="inlineStr">
        <is>
          <t>Taxi Pondok Cabe-CGK</t>
        </is>
      </c>
      <c r="E1376" s="306" t="inlineStr">
        <is>
          <t>-</t>
        </is>
      </c>
      <c r="F1376" s="307" t="n">
        <v>273500</v>
      </c>
      <c r="G1376" s="289" t="inlineStr">
        <is>
          <t>IDR</t>
        </is>
      </c>
      <c r="H1376" s="293" t="n">
        <v>1</v>
      </c>
      <c r="I1376" s="306" t="n"/>
      <c r="J1376" s="306" t="n"/>
      <c r="K1376" s="306" t="n"/>
      <c r="L1376" s="307">
        <f>$F1376*$H1376</f>
        <v/>
      </c>
      <c r="M1376" s="306" t="n"/>
      <c r="N1376" s="306" t="n"/>
      <c r="O1376" s="306" t="n"/>
      <c r="P1376" s="306" t="n"/>
      <c r="Q1376" s="306" t="n"/>
    </row>
    <row r="1377" ht="18.75" customHeight="1">
      <c r="B1377" s="288" t="n">
        <v>45428</v>
      </c>
      <c r="C1377" s="289" t="n">
        <v>743</v>
      </c>
      <c r="D1377" s="290" t="inlineStr">
        <is>
          <t>Toll Prabumulih (PP)</t>
        </is>
      </c>
      <c r="E1377" s="306" t="inlineStr">
        <is>
          <t>-</t>
        </is>
      </c>
      <c r="F1377" s="307" t="n">
        <v>224000</v>
      </c>
      <c r="G1377" s="289" t="inlineStr">
        <is>
          <t>IDR</t>
        </is>
      </c>
      <c r="H1377" s="293" t="n">
        <v>1</v>
      </c>
      <c r="I1377" s="306" t="n"/>
      <c r="J1377" s="306" t="n"/>
      <c r="K1377" s="306" t="n"/>
      <c r="L1377" s="307">
        <f>$F1377*$H1377</f>
        <v/>
      </c>
      <c r="M1377" s="306" t="n"/>
      <c r="N1377" s="306" t="n"/>
      <c r="O1377" s="306" t="n"/>
      <c r="P1377" s="306" t="n"/>
      <c r="Q1377" s="306" t="n"/>
    </row>
    <row r="1378" ht="18.75" customHeight="1">
      <c r="B1378" s="288" t="n">
        <v>45428</v>
      </c>
      <c r="C1378" s="289" t="n">
        <v>744</v>
      </c>
      <c r="D1378" s="290" t="inlineStr">
        <is>
          <t>Gasoline</t>
        </is>
      </c>
      <c r="E1378" s="306" t="inlineStr">
        <is>
          <t>-</t>
        </is>
      </c>
      <c r="F1378" s="307" t="n">
        <v>330000</v>
      </c>
      <c r="G1378" s="289" t="inlineStr">
        <is>
          <t>IDR</t>
        </is>
      </c>
      <c r="H1378" s="293" t="n">
        <v>1</v>
      </c>
      <c r="I1378" s="306" t="n"/>
      <c r="J1378" s="306" t="n"/>
      <c r="K1378" s="306" t="n"/>
      <c r="L1378" s="307">
        <f>$F1378*$H1378</f>
        <v/>
      </c>
      <c r="M1378" s="306" t="n"/>
      <c r="N1378" s="306" t="n"/>
      <c r="O1378" s="306" t="n"/>
      <c r="P1378" s="306" t="n"/>
      <c r="Q1378" s="306" t="n"/>
    </row>
    <row r="1379" ht="18.75" customHeight="1">
      <c r="B1379" s="288" t="n">
        <v>45428</v>
      </c>
      <c r="C1379" s="289" t="n">
        <v>745</v>
      </c>
      <c r="D1379" s="290" t="inlineStr">
        <is>
          <t>Taxi HLP-Pondok Cabe (inc Toll+Parking)</t>
        </is>
      </c>
      <c r="E1379" s="306" t="inlineStr">
        <is>
          <t>-</t>
        </is>
      </c>
      <c r="F1379" s="307" t="n">
        <v>270000</v>
      </c>
      <c r="G1379" s="289" t="inlineStr">
        <is>
          <t>IDR</t>
        </is>
      </c>
      <c r="H1379" s="293" t="n">
        <v>1</v>
      </c>
      <c r="I1379" s="306" t="n"/>
      <c r="J1379" s="306" t="n"/>
      <c r="K1379" s="306" t="n"/>
      <c r="L1379" s="307">
        <f>$F1379*$H1379</f>
        <v/>
      </c>
      <c r="M1379" s="306" t="n"/>
      <c r="N1379" s="306" t="n"/>
      <c r="O1379" s="306" t="n"/>
      <c r="P1379" s="306" t="n"/>
      <c r="Q1379" s="306" t="n"/>
    </row>
    <row r="1380" ht="18.75" customHeight="1">
      <c r="B1380" s="288" t="n">
        <v>45428</v>
      </c>
      <c r="C1380" s="289" t="n">
        <v>746</v>
      </c>
      <c r="D1380" s="290" t="inlineStr">
        <is>
          <t>Airplane Ticket PLM-HLP</t>
        </is>
      </c>
      <c r="E1380" s="306" t="inlineStr">
        <is>
          <t>-</t>
        </is>
      </c>
      <c r="F1380" s="307" t="n">
        <v>1004000</v>
      </c>
      <c r="G1380" s="289" t="inlineStr">
        <is>
          <t>IDR</t>
        </is>
      </c>
      <c r="H1380" s="293" t="n">
        <v>1</v>
      </c>
      <c r="I1380" s="306" t="n"/>
      <c r="J1380" s="306" t="n"/>
      <c r="K1380" s="306" t="n"/>
      <c r="L1380" s="307">
        <f>$F1380*$H1380</f>
        <v/>
      </c>
      <c r="M1380" s="306" t="n"/>
      <c r="N1380" s="306" t="n"/>
      <c r="O1380" s="306" t="n"/>
      <c r="P1380" s="306" t="n"/>
      <c r="Q1380" s="306" t="n"/>
    </row>
    <row r="1381" ht="18.75" customHeight="1">
      <c r="B1381" s="288" t="n">
        <v>45428</v>
      </c>
      <c r="C1381" s="289" t="n">
        <v>747</v>
      </c>
      <c r="D1381" s="290" t="inlineStr">
        <is>
          <t>Gasoline</t>
        </is>
      </c>
      <c r="E1381" s="306" t="inlineStr">
        <is>
          <t>-</t>
        </is>
      </c>
      <c r="F1381" s="307" t="n">
        <v>330000</v>
      </c>
      <c r="G1381" s="289" t="inlineStr">
        <is>
          <t>IDR</t>
        </is>
      </c>
      <c r="H1381" s="293" t="n">
        <v>1</v>
      </c>
      <c r="I1381" s="306" t="n"/>
      <c r="J1381" s="306" t="n"/>
      <c r="K1381" s="306" t="n"/>
      <c r="L1381" s="307">
        <f>$F1381*$H1381</f>
        <v/>
      </c>
      <c r="M1381" s="306" t="n"/>
      <c r="N1381" s="306" t="n"/>
      <c r="O1381" s="306" t="n"/>
      <c r="P1381" s="306" t="n"/>
      <c r="Q1381" s="306" t="n"/>
    </row>
    <row r="1382" ht="18.75" customHeight="1">
      <c r="B1382" s="288" t="n">
        <v>45428</v>
      </c>
      <c r="C1382" s="289" t="n">
        <v>748</v>
      </c>
      <c r="D1382" s="290" t="inlineStr">
        <is>
          <t>Airplane Ticket CGK-PLM</t>
        </is>
      </c>
      <c r="E1382" s="306" t="inlineStr">
        <is>
          <t>-</t>
        </is>
      </c>
      <c r="F1382" s="307" t="n">
        <v>995500</v>
      </c>
      <c r="G1382" s="289" t="inlineStr">
        <is>
          <t>IDR</t>
        </is>
      </c>
      <c r="H1382" s="293" t="n">
        <v>1</v>
      </c>
      <c r="I1382" s="306" t="n"/>
      <c r="J1382" s="306" t="n"/>
      <c r="K1382" s="306" t="n"/>
      <c r="L1382" s="307">
        <f>$F1382*$H1382</f>
        <v/>
      </c>
      <c r="M1382" s="306" t="n"/>
      <c r="N1382" s="306" t="n"/>
      <c r="O1382" s="306" t="n"/>
      <c r="P1382" s="306" t="n"/>
      <c r="Q1382" s="306" t="n"/>
    </row>
    <row r="1383" ht="18.75" customHeight="1">
      <c r="B1383" s="288" t="n">
        <v>45428</v>
      </c>
      <c r="C1383" s="289" t="n">
        <v>749</v>
      </c>
      <c r="D1383" s="290" t="inlineStr">
        <is>
          <t>Taxi Pondok Cabe-CGK</t>
        </is>
      </c>
      <c r="E1383" s="306" t="inlineStr">
        <is>
          <t>-</t>
        </is>
      </c>
      <c r="F1383" s="307" t="n">
        <v>273500</v>
      </c>
      <c r="G1383" s="289" t="inlineStr">
        <is>
          <t>IDR</t>
        </is>
      </c>
      <c r="H1383" s="293" t="n">
        <v>1</v>
      </c>
      <c r="I1383" s="306" t="n"/>
      <c r="J1383" s="306" t="n"/>
      <c r="K1383" s="306" t="n"/>
      <c r="L1383" s="307">
        <f>$F1383*$H1383</f>
        <v/>
      </c>
      <c r="M1383" s="306" t="n"/>
      <c r="N1383" s="306" t="n"/>
      <c r="O1383" s="306" t="n"/>
      <c r="P1383" s="306" t="n"/>
      <c r="Q1383" s="306" t="n"/>
    </row>
    <row r="1384" ht="18.75" customHeight="1">
      <c r="B1384" s="288" t="n">
        <v>45428</v>
      </c>
      <c r="C1384" s="289" t="n">
        <v>750</v>
      </c>
      <c r="D1384" s="290" t="inlineStr">
        <is>
          <t>Toll Prabumulih (PP)</t>
        </is>
      </c>
      <c r="E1384" s="306" t="inlineStr">
        <is>
          <t>-</t>
        </is>
      </c>
      <c r="F1384" s="307" t="n">
        <v>224000</v>
      </c>
      <c r="G1384" s="289" t="inlineStr">
        <is>
          <t>IDR</t>
        </is>
      </c>
      <c r="H1384" s="293" t="n">
        <v>1</v>
      </c>
      <c r="I1384" s="306" t="n"/>
      <c r="J1384" s="306" t="n"/>
      <c r="K1384" s="306" t="n"/>
      <c r="L1384" s="307">
        <f>$F1384*$H1384</f>
        <v/>
      </c>
      <c r="M1384" s="306" t="n"/>
      <c r="N1384" s="306" t="n"/>
      <c r="O1384" s="306" t="n"/>
      <c r="P1384" s="306" t="n"/>
      <c r="Q1384" s="306" t="n"/>
    </row>
    <row r="1385" ht="18.75" customHeight="1">
      <c r="B1385" s="288" t="n">
        <v>45428</v>
      </c>
      <c r="C1385" s="289" t="n">
        <v>751</v>
      </c>
      <c r="D1385" s="290" t="inlineStr">
        <is>
          <t>Taxi HLP-Pondok Cabe (inc Toll+Parking)</t>
        </is>
      </c>
      <c r="E1385" s="306" t="inlineStr">
        <is>
          <t>-</t>
        </is>
      </c>
      <c r="F1385" s="307" t="n">
        <v>270000</v>
      </c>
      <c r="G1385" s="289" t="inlineStr">
        <is>
          <t>IDR</t>
        </is>
      </c>
      <c r="H1385" s="293" t="n">
        <v>1</v>
      </c>
      <c r="I1385" s="306" t="n"/>
      <c r="J1385" s="306" t="n"/>
      <c r="K1385" s="306" t="n"/>
      <c r="L1385" s="307">
        <f>$F1385*$H1385</f>
        <v/>
      </c>
      <c r="M1385" s="306" t="n"/>
      <c r="N1385" s="306" t="n"/>
      <c r="O1385" s="306" t="n"/>
      <c r="P1385" s="306" t="n"/>
      <c r="Q1385" s="306" t="n"/>
    </row>
    <row r="1386" ht="18.75" customHeight="1">
      <c r="B1386" s="288" t="n">
        <v>45428</v>
      </c>
      <c r="C1386" s="289" t="n">
        <v>752</v>
      </c>
      <c r="D1386" s="290" t="inlineStr">
        <is>
          <t>Airplane Ticket PLM-HLP</t>
        </is>
      </c>
      <c r="E1386" s="306" t="inlineStr">
        <is>
          <t>-</t>
        </is>
      </c>
      <c r="F1386" s="307" t="n">
        <v>1004000</v>
      </c>
      <c r="G1386" s="289" t="inlineStr">
        <is>
          <t>IDR</t>
        </is>
      </c>
      <c r="H1386" s="293" t="n">
        <v>1</v>
      </c>
      <c r="I1386" s="306" t="n"/>
      <c r="J1386" s="306" t="n"/>
      <c r="K1386" s="306" t="n"/>
      <c r="L1386" s="307">
        <f>$F1386*$H1386</f>
        <v/>
      </c>
      <c r="M1386" s="306" t="n"/>
      <c r="N1386" s="306" t="n"/>
      <c r="O1386" s="306" t="n"/>
      <c r="P1386" s="306" t="n"/>
      <c r="Q1386" s="306" t="n"/>
    </row>
    <row r="1387" ht="18.75" customHeight="1">
      <c r="B1387" s="288" t="n">
        <v>45428</v>
      </c>
      <c r="C1387" s="289" t="n">
        <v>753</v>
      </c>
      <c r="D1387" s="290" t="inlineStr">
        <is>
          <t>Gasoline</t>
        </is>
      </c>
      <c r="E1387" s="306" t="inlineStr">
        <is>
          <t>-</t>
        </is>
      </c>
      <c r="F1387" s="307" t="n">
        <v>330000</v>
      </c>
      <c r="G1387" s="289" t="inlineStr">
        <is>
          <t>IDR</t>
        </is>
      </c>
      <c r="H1387" s="293" t="n">
        <v>1</v>
      </c>
      <c r="I1387" s="306" t="n"/>
      <c r="J1387" s="306" t="n"/>
      <c r="K1387" s="306" t="n"/>
      <c r="L1387" s="307">
        <f>$F1387*$H1387</f>
        <v/>
      </c>
      <c r="M1387" s="306" t="n"/>
      <c r="N1387" s="306" t="n"/>
      <c r="O1387" s="306" t="n"/>
      <c r="P1387" s="306" t="n"/>
      <c r="Q1387" s="306" t="n"/>
    </row>
    <row r="1388" ht="18.75" customHeight="1">
      <c r="B1388" s="288" t="n">
        <v>45428</v>
      </c>
      <c r="C1388" s="289" t="n">
        <v>754</v>
      </c>
      <c r="D1388" s="290" t="inlineStr">
        <is>
          <t>Airplane Ticket CGK-PLM</t>
        </is>
      </c>
      <c r="E1388" s="306" t="inlineStr">
        <is>
          <t>-</t>
        </is>
      </c>
      <c r="F1388" s="307" t="n">
        <v>995500</v>
      </c>
      <c r="G1388" s="289" t="inlineStr">
        <is>
          <t>IDR</t>
        </is>
      </c>
      <c r="H1388" s="293" t="n">
        <v>1</v>
      </c>
      <c r="I1388" s="306" t="n"/>
      <c r="J1388" s="306" t="n"/>
      <c r="K1388" s="306" t="n"/>
      <c r="L1388" s="307">
        <f>$F1388*$H1388</f>
        <v/>
      </c>
      <c r="M1388" s="306" t="n"/>
      <c r="N1388" s="306" t="n"/>
      <c r="O1388" s="306" t="n"/>
      <c r="P1388" s="306" t="n"/>
      <c r="Q1388" s="306" t="n"/>
    </row>
    <row r="1389" ht="18.75" customHeight="1">
      <c r="B1389" s="288" t="n">
        <v>45428</v>
      </c>
      <c r="C1389" s="289" t="n">
        <v>755</v>
      </c>
      <c r="D1389" s="290" t="inlineStr">
        <is>
          <t>Taxi Pondok Cabe-CGK</t>
        </is>
      </c>
      <c r="E1389" s="306" t="inlineStr">
        <is>
          <t>-</t>
        </is>
      </c>
      <c r="F1389" s="307" t="n">
        <v>273500</v>
      </c>
      <c r="G1389" s="289" t="inlineStr">
        <is>
          <t>IDR</t>
        </is>
      </c>
      <c r="H1389" s="293" t="n">
        <v>1</v>
      </c>
      <c r="I1389" s="306" t="n"/>
      <c r="J1389" s="306" t="n"/>
      <c r="K1389" s="306" t="n"/>
      <c r="L1389" s="307">
        <f>$F1389*$H1389</f>
        <v/>
      </c>
      <c r="M1389" s="306" t="n"/>
      <c r="N1389" s="306" t="n"/>
      <c r="O1389" s="306" t="n"/>
      <c r="P1389" s="306" t="n"/>
      <c r="Q1389" s="306" t="n"/>
    </row>
    <row r="1390" ht="18.75" customHeight="1">
      <c r="B1390" s="288" t="n">
        <v>45428</v>
      </c>
      <c r="C1390" s="289" t="n">
        <v>756</v>
      </c>
      <c r="D1390" s="290" t="inlineStr">
        <is>
          <t>Toll Prabumulih (PP)</t>
        </is>
      </c>
      <c r="E1390" s="306" t="inlineStr">
        <is>
          <t>-</t>
        </is>
      </c>
      <c r="F1390" s="307" t="n">
        <v>224000</v>
      </c>
      <c r="G1390" s="289" t="inlineStr">
        <is>
          <t>IDR</t>
        </is>
      </c>
      <c r="H1390" s="293" t="n">
        <v>1</v>
      </c>
      <c r="I1390" s="306" t="n"/>
      <c r="J1390" s="306" t="n"/>
      <c r="K1390" s="306" t="n"/>
      <c r="L1390" s="307">
        <f>$F1390*$H1390</f>
        <v/>
      </c>
      <c r="M1390" s="306" t="n"/>
      <c r="N1390" s="306" t="n"/>
      <c r="O1390" s="306" t="n"/>
      <c r="P1390" s="306" t="n"/>
      <c r="Q1390" s="306" t="n"/>
    </row>
    <row r="1391" ht="18.75" customHeight="1">
      <c r="B1391" s="288" t="n">
        <v>45428</v>
      </c>
      <c r="C1391" s="289" t="n">
        <v>757</v>
      </c>
      <c r="D1391" s="290" t="inlineStr">
        <is>
          <t>Taxi HLP-Pondok Cabe (inc Toll+Parking)</t>
        </is>
      </c>
      <c r="E1391" s="306" t="inlineStr">
        <is>
          <t>-</t>
        </is>
      </c>
      <c r="F1391" s="307" t="n">
        <v>270000</v>
      </c>
      <c r="G1391" s="289" t="inlineStr">
        <is>
          <t>IDR</t>
        </is>
      </c>
      <c r="H1391" s="293" t="n">
        <v>1</v>
      </c>
      <c r="I1391" s="306" t="n"/>
      <c r="J1391" s="306" t="n"/>
      <c r="K1391" s="306" t="n"/>
      <c r="L1391" s="307">
        <f>$F1391*$H1391</f>
        <v/>
      </c>
      <c r="M1391" s="306" t="n"/>
      <c r="N1391" s="306" t="n"/>
      <c r="O1391" s="306" t="n"/>
      <c r="P1391" s="306" t="n"/>
      <c r="Q1391" s="306" t="n"/>
    </row>
    <row r="1392" ht="18.75" customHeight="1">
      <c r="B1392" s="288" t="n">
        <v>45428</v>
      </c>
      <c r="C1392" s="289" t="n">
        <v>758</v>
      </c>
      <c r="D1392" s="290" t="inlineStr">
        <is>
          <t>Airplane Ticket PLM-HLP</t>
        </is>
      </c>
      <c r="E1392" s="306" t="inlineStr">
        <is>
          <t>-</t>
        </is>
      </c>
      <c r="F1392" s="307" t="n">
        <v>1004000</v>
      </c>
      <c r="G1392" s="289" t="inlineStr">
        <is>
          <t>IDR</t>
        </is>
      </c>
      <c r="H1392" s="293" t="n">
        <v>1</v>
      </c>
      <c r="I1392" s="306" t="n"/>
      <c r="J1392" s="306" t="n"/>
      <c r="K1392" s="306" t="n"/>
      <c r="L1392" s="307">
        <f>$F1392*$H1392</f>
        <v/>
      </c>
      <c r="M1392" s="306" t="n"/>
      <c r="N1392" s="306" t="n"/>
      <c r="O1392" s="306" t="n"/>
      <c r="P1392" s="306" t="n"/>
      <c r="Q1392" s="306" t="n"/>
    </row>
    <row r="1393" ht="18.75" customHeight="1">
      <c r="B1393" s="288" t="n">
        <v>45428</v>
      </c>
      <c r="C1393" s="289" t="n">
        <v>759</v>
      </c>
      <c r="D1393" s="290" t="inlineStr">
        <is>
          <t>Gasoline</t>
        </is>
      </c>
      <c r="E1393" s="306" t="inlineStr">
        <is>
          <t>-</t>
        </is>
      </c>
      <c r="F1393" s="307" t="n">
        <v>330000</v>
      </c>
      <c r="G1393" s="289" t="inlineStr">
        <is>
          <t>IDR</t>
        </is>
      </c>
      <c r="H1393" s="293" t="n">
        <v>1</v>
      </c>
      <c r="I1393" s="306" t="n"/>
      <c r="J1393" s="306" t="n"/>
      <c r="K1393" s="306" t="n"/>
      <c r="L1393" s="307">
        <f>$F1393*$H1393</f>
        <v/>
      </c>
      <c r="M1393" s="306" t="n"/>
      <c r="N1393" s="306" t="n"/>
      <c r="O1393" s="306" t="n"/>
      <c r="P1393" s="306" t="n"/>
      <c r="Q1393" s="306" t="n"/>
    </row>
    <row r="1394" ht="18.75" customHeight="1">
      <c r="B1394" s="288" t="n">
        <v>45428</v>
      </c>
      <c r="C1394" s="289" t="n">
        <v>760</v>
      </c>
      <c r="D1394" s="290" t="inlineStr">
        <is>
          <t>Airplane Ticket CGK-PLM</t>
        </is>
      </c>
      <c r="E1394" s="306" t="inlineStr">
        <is>
          <t>-</t>
        </is>
      </c>
      <c r="F1394" s="307" t="n">
        <v>995500</v>
      </c>
      <c r="G1394" s="289" t="inlineStr">
        <is>
          <t>IDR</t>
        </is>
      </c>
      <c r="H1394" s="293" t="n">
        <v>1</v>
      </c>
      <c r="I1394" s="306" t="n"/>
      <c r="J1394" s="306" t="n"/>
      <c r="K1394" s="306" t="n"/>
      <c r="L1394" s="307">
        <f>$F1394*$H1394</f>
        <v/>
      </c>
      <c r="M1394" s="306" t="n"/>
      <c r="N1394" s="306" t="n"/>
      <c r="O1394" s="306" t="n"/>
      <c r="P1394" s="306" t="n"/>
      <c r="Q1394" s="306" t="n"/>
    </row>
    <row r="1395" ht="18.75" customHeight="1">
      <c r="B1395" s="288" t="n">
        <v>45428</v>
      </c>
      <c r="C1395" s="289" t="n">
        <v>761</v>
      </c>
      <c r="D1395" s="290" t="inlineStr">
        <is>
          <t>Taxi Pondok Cabe-CGK</t>
        </is>
      </c>
      <c r="E1395" s="306" t="inlineStr">
        <is>
          <t>-</t>
        </is>
      </c>
      <c r="F1395" s="307" t="n">
        <v>273500</v>
      </c>
      <c r="G1395" s="289" t="inlineStr">
        <is>
          <t>IDR</t>
        </is>
      </c>
      <c r="H1395" s="293" t="n">
        <v>1</v>
      </c>
      <c r="I1395" s="306" t="n"/>
      <c r="J1395" s="306" t="n"/>
      <c r="K1395" s="306" t="n"/>
      <c r="L1395" s="307">
        <f>$F1395*$H1395</f>
        <v/>
      </c>
      <c r="M1395" s="306" t="n"/>
      <c r="N1395" s="306" t="n"/>
      <c r="O1395" s="306" t="n"/>
      <c r="P1395" s="306" t="n"/>
      <c r="Q1395" s="306" t="n"/>
    </row>
    <row r="1396" ht="18.75" customHeight="1">
      <c r="B1396" s="288" t="n">
        <v>45428</v>
      </c>
      <c r="C1396" s="289" t="n">
        <v>762</v>
      </c>
      <c r="D1396" s="290" t="inlineStr">
        <is>
          <t>Toll Prabumulih (PP)</t>
        </is>
      </c>
      <c r="E1396" s="306" t="inlineStr">
        <is>
          <t>-</t>
        </is>
      </c>
      <c r="F1396" s="307" t="n">
        <v>224000</v>
      </c>
      <c r="G1396" s="289" t="inlineStr">
        <is>
          <t>IDR</t>
        </is>
      </c>
      <c r="H1396" s="293" t="n">
        <v>1</v>
      </c>
      <c r="I1396" s="306" t="n"/>
      <c r="J1396" s="306" t="n"/>
      <c r="K1396" s="306" t="n"/>
      <c r="L1396" s="307">
        <f>$F1396*$H1396</f>
        <v/>
      </c>
      <c r="M1396" s="306" t="n"/>
      <c r="N1396" s="306" t="n"/>
      <c r="O1396" s="306" t="n"/>
      <c r="P1396" s="306" t="n"/>
      <c r="Q1396" s="306" t="n"/>
    </row>
    <row r="1397" ht="18.75" customHeight="1">
      <c r="B1397" s="288" t="n">
        <v>45428</v>
      </c>
      <c r="C1397" s="289" t="n">
        <v>763</v>
      </c>
      <c r="D1397" s="290" t="inlineStr">
        <is>
          <t>Taxi HLP-Pondok Cabe (inc Toll+Parking)</t>
        </is>
      </c>
      <c r="E1397" s="306" t="inlineStr">
        <is>
          <t>-</t>
        </is>
      </c>
      <c r="F1397" s="307" t="n">
        <v>270000</v>
      </c>
      <c r="G1397" s="289" t="inlineStr">
        <is>
          <t>IDR</t>
        </is>
      </c>
      <c r="H1397" s="293" t="n">
        <v>1</v>
      </c>
      <c r="I1397" s="306" t="n"/>
      <c r="J1397" s="306" t="n"/>
      <c r="K1397" s="306" t="n"/>
      <c r="L1397" s="307">
        <f>$F1397*$H1397</f>
        <v/>
      </c>
      <c r="M1397" s="306" t="n"/>
      <c r="N1397" s="306" t="n"/>
      <c r="O1397" s="306" t="n"/>
      <c r="P1397" s="306" t="n"/>
      <c r="Q1397" s="306" t="n"/>
    </row>
    <row r="1398" ht="18.75" customHeight="1">
      <c r="B1398" s="288" t="n">
        <v>45428</v>
      </c>
      <c r="C1398" s="289" t="n">
        <v>764</v>
      </c>
      <c r="D1398" s="290" t="inlineStr">
        <is>
          <t>Airplane Ticket PLM-HLP</t>
        </is>
      </c>
      <c r="E1398" s="306" t="inlineStr">
        <is>
          <t>-</t>
        </is>
      </c>
      <c r="F1398" s="307" t="n">
        <v>1004000</v>
      </c>
      <c r="G1398" s="289" t="inlineStr">
        <is>
          <t>IDR</t>
        </is>
      </c>
      <c r="H1398" s="293" t="n">
        <v>1</v>
      </c>
      <c r="I1398" s="306" t="n"/>
      <c r="J1398" s="306" t="n"/>
      <c r="K1398" s="306" t="n"/>
      <c r="L1398" s="307">
        <f>$F1398*$H1398</f>
        <v/>
      </c>
      <c r="M1398" s="306" t="n"/>
      <c r="N1398" s="306" t="n"/>
      <c r="O1398" s="306" t="n"/>
      <c r="P1398" s="306" t="n"/>
      <c r="Q1398" s="306" t="n"/>
    </row>
    <row r="1399">
      <c r="B1399" s="310" t="inlineStr">
        <is>
          <t>Expense#20</t>
        </is>
      </c>
      <c r="C1399" s="311" t="inlineStr">
        <is>
          <t>:</t>
        </is>
      </c>
      <c r="D1399" s="310" t="inlineStr">
        <is>
          <t>Preparation TIS Petroleum - TMA</t>
        </is>
      </c>
      <c r="E1399" s="311" t="n"/>
      <c r="F1399" s="311" t="n"/>
      <c r="G1399" s="311" t="n"/>
      <c r="H1399" s="311" t="n"/>
      <c r="I1399" s="311" t="n"/>
      <c r="J1399" s="311" t="n"/>
      <c r="K1399" s="311" t="n"/>
      <c r="L1399" s="311" t="n"/>
      <c r="M1399" s="311" t="n"/>
      <c r="N1399" s="311" t="n"/>
      <c r="O1399" s="311" t="n"/>
      <c r="P1399" s="311" t="n"/>
      <c r="Q1399" s="311" t="n"/>
    </row>
    <row r="1400">
      <c r="B1400" s="312" t="n"/>
      <c r="C1400" s="312" t="n"/>
      <c r="D1400" s="285" t="inlineStr">
        <is>
          <t>Sparepart</t>
        </is>
      </c>
      <c r="E1400" s="312" t="n"/>
      <c r="F1400" s="312" t="n"/>
      <c r="G1400" s="312" t="n"/>
      <c r="H1400" s="312" t="n"/>
      <c r="I1400" s="312" t="n"/>
      <c r="J1400" s="312" t="n"/>
      <c r="K1400" s="312" t="n"/>
      <c r="L1400" s="312" t="n"/>
      <c r="M1400" s="312" t="n"/>
      <c r="N1400" s="312" t="n"/>
      <c r="O1400" s="312" t="n"/>
      <c r="P1400" s="312" t="n"/>
      <c r="Q1400" s="312" t="n"/>
    </row>
    <row r="1401" ht="18.75" customHeight="1">
      <c r="B1401" s="288" t="n">
        <v>45483</v>
      </c>
      <c r="C1401" s="289" t="n">
        <v>765</v>
      </c>
      <c r="D1401" s="290" t="inlineStr">
        <is>
          <t>Pin Punch</t>
        </is>
      </c>
      <c r="E1401" s="306" t="inlineStr">
        <is>
          <t>-</t>
        </is>
      </c>
      <c r="F1401" s="307" t="n">
        <v>381960</v>
      </c>
      <c r="G1401" s="289" t="inlineStr">
        <is>
          <t>IDR</t>
        </is>
      </c>
      <c r="H1401" s="293" t="n">
        <v>1</v>
      </c>
      <c r="I1401" s="306" t="n"/>
      <c r="J1401" s="306" t="n"/>
      <c r="K1401" s="306" t="n"/>
      <c r="L1401" s="306" t="n"/>
      <c r="M1401" s="306" t="n"/>
      <c r="N1401" s="307">
        <f>$F1401*$H1401</f>
        <v/>
      </c>
      <c r="O1401" s="306" t="n"/>
      <c r="P1401" s="306" t="n"/>
      <c r="Q1401" s="306" t="n"/>
    </row>
    <row r="1402" ht="18.75" customHeight="1">
      <c r="B1402" s="288" t="n">
        <v>45483</v>
      </c>
      <c r="C1402" s="289" t="n">
        <v>766</v>
      </c>
      <c r="D1402" s="290" t="inlineStr">
        <is>
          <t>Hardcase Custom</t>
        </is>
      </c>
      <c r="E1402" s="306" t="inlineStr">
        <is>
          <t>-</t>
        </is>
      </c>
      <c r="F1402" s="307" t="n">
        <v>3595000</v>
      </c>
      <c r="G1402" s="289" t="inlineStr">
        <is>
          <t>IDR</t>
        </is>
      </c>
      <c r="H1402" s="293" t="n">
        <v>1</v>
      </c>
      <c r="I1402" s="306" t="n"/>
      <c r="J1402" s="306" t="n"/>
      <c r="K1402" s="306" t="n"/>
      <c r="L1402" s="306" t="n"/>
      <c r="M1402" s="306" t="n"/>
      <c r="N1402" s="307">
        <f>$F1402*$H1402</f>
        <v/>
      </c>
      <c r="O1402" s="306" t="n"/>
      <c r="P1402" s="306" t="n"/>
      <c r="Q1402" s="306" t="n"/>
    </row>
    <row r="1403" ht="18.75" customHeight="1">
      <c r="B1403" s="288" t="n">
        <v>45483</v>
      </c>
      <c r="C1403" s="289" t="n">
        <v>767</v>
      </c>
      <c r="D1403" s="290" t="inlineStr">
        <is>
          <t>Pin Punch</t>
        </is>
      </c>
      <c r="E1403" s="306" t="inlineStr">
        <is>
          <t>-</t>
        </is>
      </c>
      <c r="F1403" s="307" t="n">
        <v>381960</v>
      </c>
      <c r="G1403" s="289" t="inlineStr">
        <is>
          <t>IDR</t>
        </is>
      </c>
      <c r="H1403" s="293" t="n">
        <v>1</v>
      </c>
      <c r="I1403" s="306" t="n"/>
      <c r="J1403" s="306" t="n"/>
      <c r="K1403" s="306" t="n"/>
      <c r="L1403" s="306" t="n"/>
      <c r="M1403" s="306" t="n"/>
      <c r="N1403" s="307">
        <f>$F1403*$H1403</f>
        <v/>
      </c>
      <c r="O1403" s="306" t="n"/>
      <c r="P1403" s="306" t="n"/>
      <c r="Q1403" s="306" t="n"/>
    </row>
    <row r="1404" ht="18.75" customHeight="1">
      <c r="B1404" s="288" t="n">
        <v>45483</v>
      </c>
      <c r="C1404" s="289" t="n">
        <v>768</v>
      </c>
      <c r="D1404" s="290" t="inlineStr">
        <is>
          <t>Hardcase Custom</t>
        </is>
      </c>
      <c r="E1404" s="306" t="inlineStr">
        <is>
          <t>-</t>
        </is>
      </c>
      <c r="F1404" s="307" t="n">
        <v>3595000</v>
      </c>
      <c r="G1404" s="289" t="inlineStr">
        <is>
          <t>IDR</t>
        </is>
      </c>
      <c r="H1404" s="293" t="n">
        <v>1</v>
      </c>
      <c r="I1404" s="306" t="n"/>
      <c r="J1404" s="306" t="n"/>
      <c r="K1404" s="306" t="n"/>
      <c r="L1404" s="306" t="n"/>
      <c r="M1404" s="306" t="n"/>
      <c r="N1404" s="307">
        <f>$F1404*$H1404</f>
        <v/>
      </c>
      <c r="O1404" s="306" t="n"/>
      <c r="P1404" s="306" t="n"/>
      <c r="Q1404" s="306" t="n"/>
    </row>
    <row r="1405" ht="18.75" customHeight="1">
      <c r="B1405" s="288" t="n">
        <v>45483</v>
      </c>
      <c r="C1405" s="289" t="n">
        <v>769</v>
      </c>
      <c r="D1405" s="290" t="inlineStr">
        <is>
          <t>Pin Punch</t>
        </is>
      </c>
      <c r="E1405" s="306" t="inlineStr">
        <is>
          <t>-</t>
        </is>
      </c>
      <c r="F1405" s="307" t="n">
        <v>381960</v>
      </c>
      <c r="G1405" s="289" t="inlineStr">
        <is>
          <t>IDR</t>
        </is>
      </c>
      <c r="H1405" s="293" t="n">
        <v>1</v>
      </c>
      <c r="I1405" s="306" t="n"/>
      <c r="J1405" s="306" t="n"/>
      <c r="K1405" s="306" t="n"/>
      <c r="L1405" s="306" t="n"/>
      <c r="M1405" s="306" t="n"/>
      <c r="N1405" s="307">
        <f>$F1405*$H1405</f>
        <v/>
      </c>
      <c r="O1405" s="306" t="n"/>
      <c r="P1405" s="306" t="n"/>
      <c r="Q1405" s="306" t="n"/>
    </row>
    <row r="1406" ht="18.75" customHeight="1">
      <c r="B1406" s="288" t="n">
        <v>45483</v>
      </c>
      <c r="C1406" s="289" t="n">
        <v>770</v>
      </c>
      <c r="D1406" s="290" t="inlineStr">
        <is>
          <t>Hardcase Custom</t>
        </is>
      </c>
      <c r="E1406" s="306" t="inlineStr">
        <is>
          <t>-</t>
        </is>
      </c>
      <c r="F1406" s="307" t="n">
        <v>3595000</v>
      </c>
      <c r="G1406" s="289" t="inlineStr">
        <is>
          <t>IDR</t>
        </is>
      </c>
      <c r="H1406" s="293" t="n">
        <v>1</v>
      </c>
      <c r="I1406" s="306" t="n"/>
      <c r="J1406" s="306" t="n"/>
      <c r="K1406" s="306" t="n"/>
      <c r="L1406" s="306" t="n"/>
      <c r="M1406" s="306" t="n"/>
      <c r="N1406" s="307">
        <f>$F1406*$H1406</f>
        <v/>
      </c>
      <c r="O1406" s="306" t="n"/>
      <c r="P1406" s="306" t="n"/>
      <c r="Q1406" s="306" t="n"/>
    </row>
    <row r="1407" ht="18.75" customHeight="1">
      <c r="B1407" s="288" t="n">
        <v>45483</v>
      </c>
      <c r="C1407" s="289" t="n">
        <v>771</v>
      </c>
      <c r="D1407" s="290" t="inlineStr">
        <is>
          <t>Pin Punch</t>
        </is>
      </c>
      <c r="E1407" s="306" t="inlineStr">
        <is>
          <t>-</t>
        </is>
      </c>
      <c r="F1407" s="307" t="n">
        <v>381960</v>
      </c>
      <c r="G1407" s="289" t="inlineStr">
        <is>
          <t>IDR</t>
        </is>
      </c>
      <c r="H1407" s="293" t="n">
        <v>1</v>
      </c>
      <c r="I1407" s="306" t="n"/>
      <c r="J1407" s="306" t="n"/>
      <c r="K1407" s="306" t="n"/>
      <c r="L1407" s="306" t="n"/>
      <c r="M1407" s="306" t="n"/>
      <c r="N1407" s="307">
        <f>$F1407*$H1407</f>
        <v/>
      </c>
      <c r="O1407" s="306" t="n"/>
      <c r="P1407" s="306" t="n"/>
      <c r="Q1407" s="306" t="n"/>
    </row>
    <row r="1408" ht="18.75" customHeight="1">
      <c r="B1408" s="288" t="n">
        <v>45483</v>
      </c>
      <c r="C1408" s="289" t="n">
        <v>772</v>
      </c>
      <c r="D1408" s="290" t="inlineStr">
        <is>
          <t>Hardcase Custom</t>
        </is>
      </c>
      <c r="E1408" s="306" t="inlineStr">
        <is>
          <t>-</t>
        </is>
      </c>
      <c r="F1408" s="307" t="n">
        <v>3595000</v>
      </c>
      <c r="G1408" s="289" t="inlineStr">
        <is>
          <t>IDR</t>
        </is>
      </c>
      <c r="H1408" s="293" t="n">
        <v>1</v>
      </c>
      <c r="I1408" s="306" t="n"/>
      <c r="J1408" s="306" t="n"/>
      <c r="K1408" s="306" t="n"/>
      <c r="L1408" s="306" t="n"/>
      <c r="M1408" s="306" t="n"/>
      <c r="N1408" s="307">
        <f>$F1408*$H1408</f>
        <v/>
      </c>
      <c r="O1408" s="306" t="n"/>
      <c r="P1408" s="306" t="n"/>
      <c r="Q1408" s="306" t="n"/>
    </row>
    <row r="1409">
      <c r="B1409" s="312" t="n"/>
      <c r="C1409" s="312" t="n"/>
      <c r="D1409" s="285" t="inlineStr">
        <is>
          <t>Transportation</t>
        </is>
      </c>
      <c r="E1409" s="312" t="n"/>
      <c r="F1409" s="312" t="n"/>
      <c r="G1409" s="312" t="n"/>
      <c r="H1409" s="312" t="n"/>
      <c r="I1409" s="312" t="n"/>
      <c r="J1409" s="312" t="n"/>
      <c r="K1409" s="312" t="n"/>
      <c r="L1409" s="312" t="n"/>
      <c r="M1409" s="312" t="n"/>
      <c r="N1409" s="312" t="n"/>
      <c r="O1409" s="312" t="n"/>
      <c r="P1409" s="312" t="n"/>
      <c r="Q1409" s="312" t="n"/>
    </row>
    <row r="1410" ht="18.75" customHeight="1">
      <c r="B1410" s="288" t="n">
        <v>45478</v>
      </c>
      <c r="C1410" s="289" t="n">
        <v>773</v>
      </c>
      <c r="D1410" s="290" t="inlineStr">
        <is>
          <t>Lalamove Gowell-Bogor-Gowell</t>
        </is>
      </c>
      <c r="E1410" s="306" t="inlineStr">
        <is>
          <t>-</t>
        </is>
      </c>
      <c r="F1410" s="307" t="n">
        <v>594804</v>
      </c>
      <c r="G1410" s="289" t="inlineStr">
        <is>
          <t>IDR</t>
        </is>
      </c>
      <c r="H1410" s="293" t="n">
        <v>1</v>
      </c>
      <c r="I1410" s="306" t="n"/>
      <c r="J1410" s="306" t="n"/>
      <c r="K1410" s="306" t="n"/>
      <c r="L1410" s="307">
        <f>$F1410*$H1410</f>
        <v/>
      </c>
      <c r="M1410" s="306" t="n"/>
      <c r="N1410" s="306" t="n"/>
      <c r="O1410" s="306" t="n"/>
      <c r="P1410" s="306" t="n"/>
      <c r="Q1410" s="306" t="n"/>
    </row>
    <row r="1411" ht="18.75" customHeight="1">
      <c r="B1411" s="288" t="n">
        <v>45478</v>
      </c>
      <c r="C1411" s="289" t="n">
        <v>774</v>
      </c>
      <c r="D1411" s="290" t="inlineStr">
        <is>
          <t>Lalamove Gowell-Bogor-Gowell</t>
        </is>
      </c>
      <c r="E1411" s="306" t="inlineStr">
        <is>
          <t>-</t>
        </is>
      </c>
      <c r="F1411" s="307" t="n">
        <v>594804</v>
      </c>
      <c r="G1411" s="289" t="inlineStr">
        <is>
          <t>IDR</t>
        </is>
      </c>
      <c r="H1411" s="293" t="n">
        <v>1</v>
      </c>
      <c r="I1411" s="306" t="n"/>
      <c r="J1411" s="306" t="n"/>
      <c r="K1411" s="306" t="n"/>
      <c r="L1411" s="307">
        <f>$F1411*$H1411</f>
        <v/>
      </c>
      <c r="M1411" s="306" t="n"/>
      <c r="N1411" s="306" t="n"/>
      <c r="O1411" s="306" t="n"/>
      <c r="P1411" s="306" t="n"/>
      <c r="Q1411" s="306" t="n"/>
    </row>
    <row r="1412" ht="18.75" customHeight="1">
      <c r="B1412" s="288" t="n">
        <v>45478</v>
      </c>
      <c r="C1412" s="289" t="n">
        <v>775</v>
      </c>
      <c r="D1412" s="290" t="inlineStr">
        <is>
          <t>Lalamove Gowell-Bogor-Gowell</t>
        </is>
      </c>
      <c r="E1412" s="306" t="inlineStr">
        <is>
          <t>-</t>
        </is>
      </c>
      <c r="F1412" s="307" t="n">
        <v>594804</v>
      </c>
      <c r="G1412" s="289" t="inlineStr">
        <is>
          <t>IDR</t>
        </is>
      </c>
      <c r="H1412" s="293" t="n">
        <v>1</v>
      </c>
      <c r="I1412" s="306" t="n"/>
      <c r="J1412" s="306" t="n"/>
      <c r="K1412" s="306" t="n"/>
      <c r="L1412" s="307">
        <f>$F1412*$H1412</f>
        <v/>
      </c>
      <c r="M1412" s="306" t="n"/>
      <c r="N1412" s="306" t="n"/>
      <c r="O1412" s="306" t="n"/>
      <c r="P1412" s="306" t="n"/>
      <c r="Q1412" s="306" t="n"/>
    </row>
    <row r="1413" ht="18.75" customHeight="1">
      <c r="B1413" s="288" t="n">
        <v>45478</v>
      </c>
      <c r="C1413" s="289" t="n">
        <v>776</v>
      </c>
      <c r="D1413" s="290" t="inlineStr">
        <is>
          <t>Lalamove Gowell-Bogor-Gowell</t>
        </is>
      </c>
      <c r="E1413" s="306" t="inlineStr">
        <is>
          <t>-</t>
        </is>
      </c>
      <c r="F1413" s="307" t="n">
        <v>594804</v>
      </c>
      <c r="G1413" s="289" t="inlineStr">
        <is>
          <t>IDR</t>
        </is>
      </c>
      <c r="H1413" s="293" t="n">
        <v>1</v>
      </c>
      <c r="I1413" s="306" t="n"/>
      <c r="J1413" s="306" t="n"/>
      <c r="K1413" s="306" t="n"/>
      <c r="L1413" s="307">
        <f>$F1413*$H1413</f>
        <v/>
      </c>
      <c r="M1413" s="306" t="n"/>
      <c r="N1413" s="306" t="n"/>
      <c r="O1413" s="306" t="n"/>
      <c r="P1413" s="306" t="n"/>
      <c r="Q1413" s="306" t="n"/>
    </row>
    <row r="1414">
      <c r="B1414" s="310" t="inlineStr">
        <is>
          <t>Expense#21</t>
        </is>
      </c>
      <c r="C1414" s="311" t="inlineStr">
        <is>
          <t>:</t>
        </is>
      </c>
      <c r="D1414" s="310" t="inlineStr">
        <is>
          <t>Delivery Tools Sonoecho (KL) - TMA</t>
        </is>
      </c>
      <c r="E1414" s="311" t="n"/>
      <c r="F1414" s="311" t="n"/>
      <c r="G1414" s="311" t="n"/>
      <c r="H1414" s="311" t="n"/>
      <c r="I1414" s="311" t="n"/>
      <c r="J1414" s="311" t="n"/>
      <c r="K1414" s="311" t="n"/>
      <c r="L1414" s="311" t="n"/>
      <c r="M1414" s="311" t="n"/>
      <c r="N1414" s="311" t="n"/>
      <c r="O1414" s="311" t="n"/>
      <c r="P1414" s="311" t="n"/>
      <c r="Q1414" s="311" t="n"/>
    </row>
    <row r="1415">
      <c r="B1415" s="312" t="n"/>
      <c r="C1415" s="312" t="n"/>
      <c r="D1415" s="285" t="inlineStr">
        <is>
          <t>Accommodation</t>
        </is>
      </c>
      <c r="E1415" s="312" t="n"/>
      <c r="F1415" s="312" t="n"/>
      <c r="G1415" s="312" t="n"/>
      <c r="H1415" s="312" t="n"/>
      <c r="I1415" s="312" t="n"/>
      <c r="J1415" s="312" t="n"/>
      <c r="K1415" s="312" t="n"/>
      <c r="L1415" s="312" t="n"/>
      <c r="M1415" s="312" t="n"/>
      <c r="N1415" s="312" t="n"/>
      <c r="O1415" s="312" t="n"/>
      <c r="P1415" s="312" t="n"/>
      <c r="Q1415" s="312" t="n"/>
    </row>
    <row r="1416" ht="18.75" customHeight="1">
      <c r="B1416" s="288" t="n">
        <v>45481</v>
      </c>
      <c r="C1416" s="289" t="n">
        <v>777</v>
      </c>
      <c r="D1416" s="290" t="inlineStr">
        <is>
          <t>Hotel</t>
        </is>
      </c>
      <c r="E1416" s="306" t="inlineStr">
        <is>
          <t>-</t>
        </is>
      </c>
      <c r="F1416" s="307" t="n">
        <v>344305</v>
      </c>
      <c r="G1416" s="289" t="inlineStr">
        <is>
          <t>IDR</t>
        </is>
      </c>
      <c r="H1416" s="293" t="n">
        <v>1</v>
      </c>
      <c r="I1416" s="306" t="n"/>
      <c r="J1416" s="306" t="n"/>
      <c r="K1416" s="306" t="n"/>
      <c r="L1416" s="307">
        <f>$F1416*$H1416</f>
        <v/>
      </c>
      <c r="M1416" s="306" t="n"/>
      <c r="N1416" s="306" t="n"/>
      <c r="O1416" s="306" t="n"/>
      <c r="P1416" s="306" t="n"/>
      <c r="Q1416" s="306" t="n"/>
    </row>
    <row r="1417" ht="18.75" customHeight="1">
      <c r="B1417" s="288" t="n">
        <v>45481</v>
      </c>
      <c r="C1417" s="289" t="n">
        <v>778</v>
      </c>
      <c r="D1417" s="290" t="inlineStr">
        <is>
          <t>Hotel Tax Foreigner</t>
        </is>
      </c>
      <c r="E1417" s="306" t="inlineStr">
        <is>
          <t>-</t>
        </is>
      </c>
      <c r="F1417" s="307" t="n">
        <v>10</v>
      </c>
      <c r="G1417" s="289" t="inlineStr">
        <is>
          <t>MYR</t>
        </is>
      </c>
      <c r="H1417" s="293" t="n">
        <v>3462</v>
      </c>
      <c r="I1417" s="306" t="n"/>
      <c r="J1417" s="306" t="n"/>
      <c r="K1417" s="306" t="n"/>
      <c r="L1417" s="307">
        <f>$F1417*$H1417</f>
        <v/>
      </c>
      <c r="M1417" s="306" t="n"/>
      <c r="N1417" s="306" t="n"/>
      <c r="O1417" s="306" t="n"/>
      <c r="P1417" s="306" t="n"/>
      <c r="Q1417" s="306" t="n"/>
    </row>
    <row r="1418" ht="18.75" customHeight="1">
      <c r="B1418" s="288" t="n">
        <v>45481</v>
      </c>
      <c r="C1418" s="289" t="n">
        <v>779</v>
      </c>
      <c r="D1418" s="290" t="inlineStr">
        <is>
          <t>Hotel</t>
        </is>
      </c>
      <c r="E1418" s="306" t="inlineStr">
        <is>
          <t>-</t>
        </is>
      </c>
      <c r="F1418" s="307" t="n">
        <v>344305</v>
      </c>
      <c r="G1418" s="289" t="inlineStr">
        <is>
          <t>IDR</t>
        </is>
      </c>
      <c r="H1418" s="293" t="n">
        <v>1</v>
      </c>
      <c r="I1418" s="306" t="n"/>
      <c r="J1418" s="306" t="n"/>
      <c r="K1418" s="306" t="n"/>
      <c r="L1418" s="307">
        <f>$F1418*$H1418</f>
        <v/>
      </c>
      <c r="M1418" s="306" t="n"/>
      <c r="N1418" s="306" t="n"/>
      <c r="O1418" s="306" t="n"/>
      <c r="P1418" s="306" t="n"/>
      <c r="Q1418" s="306" t="n"/>
    </row>
    <row r="1419" ht="18.75" customHeight="1">
      <c r="B1419" s="288" t="n">
        <v>45481</v>
      </c>
      <c r="C1419" s="289" t="n">
        <v>780</v>
      </c>
      <c r="D1419" s="290" t="inlineStr">
        <is>
          <t>Hotel Tax Foreigner</t>
        </is>
      </c>
      <c r="E1419" s="306" t="inlineStr">
        <is>
          <t>-</t>
        </is>
      </c>
      <c r="F1419" s="307" t="n">
        <v>10</v>
      </c>
      <c r="G1419" s="289" t="inlineStr">
        <is>
          <t>MYR</t>
        </is>
      </c>
      <c r="H1419" s="293" t="n">
        <v>3462</v>
      </c>
      <c r="I1419" s="306" t="n"/>
      <c r="J1419" s="306" t="n"/>
      <c r="K1419" s="306" t="n"/>
      <c r="L1419" s="307">
        <f>$F1419*$H1419</f>
        <v/>
      </c>
      <c r="M1419" s="306" t="n"/>
      <c r="N1419" s="306" t="n"/>
      <c r="O1419" s="306" t="n"/>
      <c r="P1419" s="306" t="n"/>
      <c r="Q1419" s="306" t="n"/>
    </row>
    <row r="1420" ht="18.75" customHeight="1">
      <c r="B1420" s="288" t="n">
        <v>45481</v>
      </c>
      <c r="C1420" s="289" t="n">
        <v>781</v>
      </c>
      <c r="D1420" s="290" t="inlineStr">
        <is>
          <t>Hotel</t>
        </is>
      </c>
      <c r="E1420" s="306" t="inlineStr">
        <is>
          <t>-</t>
        </is>
      </c>
      <c r="F1420" s="307" t="n">
        <v>344305</v>
      </c>
      <c r="G1420" s="289" t="inlineStr">
        <is>
          <t>IDR</t>
        </is>
      </c>
      <c r="H1420" s="293" t="n">
        <v>1</v>
      </c>
      <c r="I1420" s="306" t="n"/>
      <c r="J1420" s="306" t="n"/>
      <c r="K1420" s="306" t="n"/>
      <c r="L1420" s="307">
        <f>$F1420*$H1420</f>
        <v/>
      </c>
      <c r="M1420" s="306" t="n"/>
      <c r="N1420" s="306" t="n"/>
      <c r="O1420" s="306" t="n"/>
      <c r="P1420" s="306" t="n"/>
      <c r="Q1420" s="306" t="n"/>
    </row>
    <row r="1421" ht="18.75" customHeight="1">
      <c r="B1421" s="288" t="n">
        <v>45481</v>
      </c>
      <c r="C1421" s="289" t="n">
        <v>782</v>
      </c>
      <c r="D1421" s="290" t="inlineStr">
        <is>
          <t>Hotel Tax Foreigner</t>
        </is>
      </c>
      <c r="E1421" s="306" t="inlineStr">
        <is>
          <t>-</t>
        </is>
      </c>
      <c r="F1421" s="307" t="n">
        <v>10</v>
      </c>
      <c r="G1421" s="289" t="inlineStr">
        <is>
          <t>MYR</t>
        </is>
      </c>
      <c r="H1421" s="293" t="n">
        <v>3462</v>
      </c>
      <c r="I1421" s="306" t="n"/>
      <c r="J1421" s="306" t="n"/>
      <c r="K1421" s="306" t="n"/>
      <c r="L1421" s="307">
        <f>$F1421*$H1421</f>
        <v/>
      </c>
      <c r="M1421" s="306" t="n"/>
      <c r="N1421" s="306" t="n"/>
      <c r="O1421" s="306" t="n"/>
      <c r="P1421" s="306" t="n"/>
      <c r="Q1421" s="306" t="n"/>
    </row>
    <row r="1422" ht="18.75" customHeight="1">
      <c r="B1422" s="288" t="n">
        <v>45481</v>
      </c>
      <c r="C1422" s="289" t="n">
        <v>783</v>
      </c>
      <c r="D1422" s="290" t="inlineStr">
        <is>
          <t>Hotel</t>
        </is>
      </c>
      <c r="E1422" s="306" t="inlineStr">
        <is>
          <t>-</t>
        </is>
      </c>
      <c r="F1422" s="307" t="n">
        <v>344305</v>
      </c>
      <c r="G1422" s="289" t="inlineStr">
        <is>
          <t>IDR</t>
        </is>
      </c>
      <c r="H1422" s="293" t="n">
        <v>1</v>
      </c>
      <c r="I1422" s="306" t="n"/>
      <c r="J1422" s="306" t="n"/>
      <c r="K1422" s="306" t="n"/>
      <c r="L1422" s="307">
        <f>$F1422*$H1422</f>
        <v/>
      </c>
      <c r="M1422" s="306" t="n"/>
      <c r="N1422" s="306" t="n"/>
      <c r="O1422" s="306" t="n"/>
      <c r="P1422" s="306" t="n"/>
      <c r="Q1422" s="306" t="n"/>
    </row>
    <row r="1423" ht="18.75" customHeight="1">
      <c r="B1423" s="288" t="n">
        <v>45481</v>
      </c>
      <c r="C1423" s="289" t="n">
        <v>784</v>
      </c>
      <c r="D1423" s="290" t="inlineStr">
        <is>
          <t>Hotel Tax Foreigner</t>
        </is>
      </c>
      <c r="E1423" s="306" t="inlineStr">
        <is>
          <t>-</t>
        </is>
      </c>
      <c r="F1423" s="307" t="n">
        <v>10</v>
      </c>
      <c r="G1423" s="289" t="inlineStr">
        <is>
          <t>MYR</t>
        </is>
      </c>
      <c r="H1423" s="293" t="n">
        <v>3462</v>
      </c>
      <c r="I1423" s="306" t="n"/>
      <c r="J1423" s="306" t="n"/>
      <c r="K1423" s="306" t="n"/>
      <c r="L1423" s="307">
        <f>$F1423*$H1423</f>
        <v/>
      </c>
      <c r="M1423" s="306" t="n"/>
      <c r="N1423" s="306" t="n"/>
      <c r="O1423" s="306" t="n"/>
      <c r="P1423" s="306" t="n"/>
      <c r="Q1423" s="306" t="n"/>
    </row>
    <row r="1424">
      <c r="B1424" s="312" t="n"/>
      <c r="C1424" s="312" t="n"/>
      <c r="D1424" s="285" t="inlineStr">
        <is>
          <t>Elektronik &amp; Gadget</t>
        </is>
      </c>
      <c r="E1424" s="312" t="n"/>
      <c r="F1424" s="312" t="n"/>
      <c r="G1424" s="312" t="n"/>
      <c r="H1424" s="312" t="n"/>
      <c r="I1424" s="312" t="n"/>
      <c r="J1424" s="312" t="n"/>
      <c r="K1424" s="312" t="n"/>
      <c r="L1424" s="312" t="n"/>
      <c r="M1424" s="312" t="n"/>
      <c r="N1424" s="312" t="n"/>
      <c r="O1424" s="312" t="n"/>
      <c r="P1424" s="312" t="n"/>
      <c r="Q1424" s="312" t="n"/>
    </row>
    <row r="1425" ht="18.75" customHeight="1">
      <c r="B1425" s="288" t="n">
        <v>45483</v>
      </c>
      <c r="C1425" s="289" t="n">
        <v>785</v>
      </c>
      <c r="D1425" s="290" t="inlineStr">
        <is>
          <t>Asus Slate 13 (tablet asus)</t>
        </is>
      </c>
      <c r="E1425" s="306" t="inlineStr">
        <is>
          <t>-</t>
        </is>
      </c>
      <c r="F1425" s="307" t="n">
        <v>9778400</v>
      </c>
      <c r="G1425" s="289" t="inlineStr">
        <is>
          <t>IDR</t>
        </is>
      </c>
      <c r="H1425" s="293" t="n">
        <v>1</v>
      </c>
      <c r="I1425" s="306" t="n"/>
      <c r="J1425" s="306" t="n"/>
      <c r="K1425" s="306" t="n"/>
      <c r="L1425" s="306" t="n"/>
      <c r="M1425" s="306" t="n"/>
      <c r="N1425" s="307">
        <f>$F1425*$H1425</f>
        <v/>
      </c>
      <c r="O1425" s="306" t="n"/>
      <c r="P1425" s="306" t="n"/>
      <c r="Q1425" s="306" t="n"/>
    </row>
    <row r="1426" ht="18.75" customHeight="1">
      <c r="B1426" s="288" t="n">
        <v>45483</v>
      </c>
      <c r="C1426" s="289" t="n">
        <v>786</v>
      </c>
      <c r="D1426" s="290" t="inlineStr">
        <is>
          <t>OTG Type C</t>
        </is>
      </c>
      <c r="E1426" s="306" t="inlineStr">
        <is>
          <t>-</t>
        </is>
      </c>
      <c r="F1426" s="307" t="n">
        <v>163100</v>
      </c>
      <c r="G1426" s="289" t="inlineStr">
        <is>
          <t>IDR</t>
        </is>
      </c>
      <c r="H1426" s="293" t="n">
        <v>1</v>
      </c>
      <c r="I1426" s="306" t="n"/>
      <c r="J1426" s="306" t="n"/>
      <c r="K1426" s="306" t="n"/>
      <c r="L1426" s="306" t="n"/>
      <c r="M1426" s="306" t="n"/>
      <c r="N1426" s="307">
        <f>$F1426*$H1426</f>
        <v/>
      </c>
      <c r="O1426" s="306" t="n"/>
      <c r="P1426" s="306" t="n"/>
      <c r="Q1426" s="306" t="n"/>
    </row>
    <row r="1427" ht="18.75" customHeight="1">
      <c r="B1427" s="288" t="n">
        <v>45483</v>
      </c>
      <c r="C1427" s="289" t="n">
        <v>787</v>
      </c>
      <c r="D1427" s="290" t="inlineStr">
        <is>
          <t>OTG Type C</t>
        </is>
      </c>
      <c r="E1427" s="306" t="inlineStr">
        <is>
          <t>-</t>
        </is>
      </c>
      <c r="F1427" s="307" t="n">
        <v>163100</v>
      </c>
      <c r="G1427" s="289" t="inlineStr">
        <is>
          <t>IDR</t>
        </is>
      </c>
      <c r="H1427" s="293" t="n">
        <v>1</v>
      </c>
      <c r="I1427" s="306" t="n"/>
      <c r="J1427" s="306" t="n"/>
      <c r="K1427" s="306" t="n"/>
      <c r="L1427" s="306" t="n"/>
      <c r="M1427" s="306" t="n"/>
      <c r="N1427" s="307">
        <f>$F1427*$H1427</f>
        <v/>
      </c>
      <c r="O1427" s="306" t="n"/>
      <c r="P1427" s="306" t="n"/>
      <c r="Q1427" s="306" t="n"/>
    </row>
    <row r="1428" ht="18.75" customHeight="1">
      <c r="B1428" s="288" t="n">
        <v>45483</v>
      </c>
      <c r="C1428" s="289" t="n">
        <v>788</v>
      </c>
      <c r="D1428" s="290" t="inlineStr">
        <is>
          <t>Asus Slate 13 (tablet asus)</t>
        </is>
      </c>
      <c r="E1428" s="306" t="inlineStr">
        <is>
          <t>-</t>
        </is>
      </c>
      <c r="F1428" s="307" t="n">
        <v>9778400</v>
      </c>
      <c r="G1428" s="289" t="inlineStr">
        <is>
          <t>IDR</t>
        </is>
      </c>
      <c r="H1428" s="293" t="n">
        <v>1</v>
      </c>
      <c r="I1428" s="306" t="n"/>
      <c r="J1428" s="306" t="n"/>
      <c r="K1428" s="306" t="n"/>
      <c r="L1428" s="306" t="n"/>
      <c r="M1428" s="306" t="n"/>
      <c r="N1428" s="307">
        <f>$F1428*$H1428</f>
        <v/>
      </c>
      <c r="O1428" s="306" t="n"/>
      <c r="P1428" s="306" t="n"/>
      <c r="Q1428" s="306" t="n"/>
    </row>
    <row r="1429" ht="18.75" customHeight="1">
      <c r="B1429" s="288" t="n">
        <v>45483</v>
      </c>
      <c r="C1429" s="289" t="n">
        <v>789</v>
      </c>
      <c r="D1429" s="290" t="inlineStr">
        <is>
          <t>OTG Type C</t>
        </is>
      </c>
      <c r="E1429" s="306" t="inlineStr">
        <is>
          <t>-</t>
        </is>
      </c>
      <c r="F1429" s="307" t="n">
        <v>163100</v>
      </c>
      <c r="G1429" s="289" t="inlineStr">
        <is>
          <t>IDR</t>
        </is>
      </c>
      <c r="H1429" s="293" t="n">
        <v>1</v>
      </c>
      <c r="I1429" s="306" t="n"/>
      <c r="J1429" s="306" t="n"/>
      <c r="K1429" s="306" t="n"/>
      <c r="L1429" s="306" t="n"/>
      <c r="M1429" s="306" t="n"/>
      <c r="N1429" s="307">
        <f>$F1429*$H1429</f>
        <v/>
      </c>
      <c r="O1429" s="306" t="n"/>
      <c r="P1429" s="306" t="n"/>
      <c r="Q1429" s="306" t="n"/>
    </row>
    <row r="1430" ht="18.75" customHeight="1">
      <c r="B1430" s="288" t="n">
        <v>45483</v>
      </c>
      <c r="C1430" s="289" t="n">
        <v>790</v>
      </c>
      <c r="D1430" s="290" t="inlineStr">
        <is>
          <t>Asus Slate 13 (tablet asus)</t>
        </is>
      </c>
      <c r="E1430" s="306" t="inlineStr">
        <is>
          <t>-</t>
        </is>
      </c>
      <c r="F1430" s="307" t="n">
        <v>9778400</v>
      </c>
      <c r="G1430" s="289" t="inlineStr">
        <is>
          <t>IDR</t>
        </is>
      </c>
      <c r="H1430" s="293" t="n">
        <v>1</v>
      </c>
      <c r="I1430" s="306" t="n"/>
      <c r="J1430" s="306" t="n"/>
      <c r="K1430" s="306" t="n"/>
      <c r="L1430" s="306" t="n"/>
      <c r="M1430" s="306" t="n"/>
      <c r="N1430" s="307">
        <f>$F1430*$H1430</f>
        <v/>
      </c>
      <c r="O1430" s="306" t="n"/>
      <c r="P1430" s="306" t="n"/>
      <c r="Q1430" s="306" t="n"/>
    </row>
    <row r="1431" ht="18.75" customHeight="1">
      <c r="B1431" s="288" t="n">
        <v>45483</v>
      </c>
      <c r="C1431" s="289" t="n">
        <v>791</v>
      </c>
      <c r="D1431" s="290" t="inlineStr">
        <is>
          <t>OTG Type C</t>
        </is>
      </c>
      <c r="E1431" s="306" t="inlineStr">
        <is>
          <t>-</t>
        </is>
      </c>
      <c r="F1431" s="307" t="n">
        <v>163100</v>
      </c>
      <c r="G1431" s="289" t="inlineStr">
        <is>
          <t>IDR</t>
        </is>
      </c>
      <c r="H1431" s="293" t="n">
        <v>1</v>
      </c>
      <c r="I1431" s="306" t="n"/>
      <c r="J1431" s="306" t="n"/>
      <c r="K1431" s="306" t="n"/>
      <c r="L1431" s="306" t="n"/>
      <c r="M1431" s="306" t="n"/>
      <c r="N1431" s="307">
        <f>$F1431*$H1431</f>
        <v/>
      </c>
      <c r="O1431" s="306" t="n"/>
      <c r="P1431" s="306" t="n"/>
      <c r="Q1431" s="306" t="n"/>
    </row>
    <row r="1432" ht="18.75" customHeight="1">
      <c r="B1432" s="288" t="n">
        <v>45483</v>
      </c>
      <c r="C1432" s="289" t="n">
        <v>792</v>
      </c>
      <c r="D1432" s="290" t="inlineStr">
        <is>
          <t>Asus Slate 13 (tablet asus)</t>
        </is>
      </c>
      <c r="E1432" s="306" t="inlineStr">
        <is>
          <t>-</t>
        </is>
      </c>
      <c r="F1432" s="307" t="n">
        <v>9778400</v>
      </c>
      <c r="G1432" s="289" t="inlineStr">
        <is>
          <t>IDR</t>
        </is>
      </c>
      <c r="H1432" s="293" t="n">
        <v>1</v>
      </c>
      <c r="I1432" s="306" t="n"/>
      <c r="J1432" s="306" t="n"/>
      <c r="K1432" s="306" t="n"/>
      <c r="L1432" s="306" t="n"/>
      <c r="M1432" s="306" t="n"/>
      <c r="N1432" s="307">
        <f>$F1432*$H1432</f>
        <v/>
      </c>
      <c r="O1432" s="306" t="n"/>
      <c r="P1432" s="306" t="n"/>
      <c r="Q1432" s="306" t="n"/>
    </row>
    <row r="1433">
      <c r="B1433" s="312" t="n"/>
      <c r="C1433" s="312" t="n"/>
      <c r="D1433" s="285" t="inlineStr">
        <is>
          <t>Transportation</t>
        </is>
      </c>
      <c r="E1433" s="312" t="n"/>
      <c r="F1433" s="312" t="n"/>
      <c r="G1433" s="312" t="n"/>
      <c r="H1433" s="312" t="n"/>
      <c r="I1433" s="312" t="n"/>
      <c r="J1433" s="312" t="n"/>
      <c r="K1433" s="312" t="n"/>
      <c r="L1433" s="312" t="n"/>
      <c r="M1433" s="312" t="n"/>
      <c r="N1433" s="312" t="n"/>
      <c r="O1433" s="312" t="n"/>
      <c r="P1433" s="312" t="n"/>
      <c r="Q1433" s="312" t="n"/>
    </row>
    <row r="1434" ht="18.75" customHeight="1">
      <c r="B1434" s="288" t="n">
        <v>45481</v>
      </c>
      <c r="C1434" s="289" t="n">
        <v>793</v>
      </c>
      <c r="D1434" s="290" t="inlineStr">
        <is>
          <t>Airplane Ticket CGK-KLIA</t>
        </is>
      </c>
      <c r="E1434" s="306" t="inlineStr">
        <is>
          <t>-</t>
        </is>
      </c>
      <c r="F1434" s="307" t="n">
        <v>4912100</v>
      </c>
      <c r="G1434" s="289" t="inlineStr">
        <is>
          <t>IDR</t>
        </is>
      </c>
      <c r="H1434" s="293" t="n">
        <v>1</v>
      </c>
      <c r="I1434" s="306" t="n"/>
      <c r="J1434" s="306" t="n"/>
      <c r="K1434" s="306" t="n"/>
      <c r="L1434" s="307">
        <f>$F1434*$H1434</f>
        <v/>
      </c>
      <c r="M1434" s="306" t="n"/>
      <c r="N1434" s="306" t="n"/>
      <c r="O1434" s="306" t="n"/>
      <c r="P1434" s="306" t="n"/>
      <c r="Q1434" s="306" t="n"/>
    </row>
    <row r="1435" ht="18.75" customHeight="1">
      <c r="B1435" s="288" t="n">
        <v>45481</v>
      </c>
      <c r="C1435" s="289" t="n">
        <v>794</v>
      </c>
      <c r="D1435" s="290" t="inlineStr">
        <is>
          <t>Taxi Home - CGK</t>
        </is>
      </c>
      <c r="E1435" s="306" t="inlineStr">
        <is>
          <t>-</t>
        </is>
      </c>
      <c r="F1435" s="307" t="n">
        <v>250000</v>
      </c>
      <c r="G1435" s="289" t="inlineStr">
        <is>
          <t>IDR</t>
        </is>
      </c>
      <c r="H1435" s="293" t="n">
        <v>1</v>
      </c>
      <c r="I1435" s="306" t="n"/>
      <c r="J1435" s="306" t="n"/>
      <c r="K1435" s="306" t="n"/>
      <c r="L1435" s="307">
        <f>$F1435*$H1435</f>
        <v/>
      </c>
      <c r="M1435" s="306" t="n"/>
      <c r="N1435" s="306" t="n"/>
      <c r="O1435" s="306" t="n"/>
      <c r="P1435" s="306" t="n"/>
      <c r="Q1435" s="306" t="n"/>
    </row>
    <row r="1436" ht="18.75" customHeight="1">
      <c r="B1436" s="288" t="n">
        <v>45481</v>
      </c>
      <c r="C1436" s="289" t="n">
        <v>795</v>
      </c>
      <c r="D1436" s="290" t="inlineStr">
        <is>
          <t>Taxi KLIA - Hotel</t>
        </is>
      </c>
      <c r="E1436" s="306" t="inlineStr">
        <is>
          <t>-</t>
        </is>
      </c>
      <c r="F1436" s="307" t="n">
        <v>72</v>
      </c>
      <c r="G1436" s="289" t="inlineStr">
        <is>
          <t>MYR</t>
        </is>
      </c>
      <c r="H1436" s="293" t="n">
        <v>3462</v>
      </c>
      <c r="I1436" s="306" t="n"/>
      <c r="J1436" s="306" t="n"/>
      <c r="K1436" s="306" t="n"/>
      <c r="L1436" s="307">
        <f>$F1436*$H1436</f>
        <v/>
      </c>
      <c r="M1436" s="306" t="n"/>
      <c r="N1436" s="306" t="n"/>
      <c r="O1436" s="306" t="n"/>
      <c r="P1436" s="306" t="n"/>
      <c r="Q1436" s="306" t="n"/>
    </row>
    <row r="1437" ht="18.75" customHeight="1">
      <c r="B1437" s="288" t="n">
        <v>45481</v>
      </c>
      <c r="C1437" s="289" t="n">
        <v>796</v>
      </c>
      <c r="D1437" s="290" t="inlineStr">
        <is>
          <t>Airplane Ticket CGK-KLIA</t>
        </is>
      </c>
      <c r="E1437" s="306" t="inlineStr">
        <is>
          <t>-</t>
        </is>
      </c>
      <c r="F1437" s="307" t="n">
        <v>4912100</v>
      </c>
      <c r="G1437" s="289" t="inlineStr">
        <is>
          <t>IDR</t>
        </is>
      </c>
      <c r="H1437" s="293" t="n">
        <v>1</v>
      </c>
      <c r="I1437" s="306" t="n"/>
      <c r="J1437" s="306" t="n"/>
      <c r="K1437" s="306" t="n"/>
      <c r="L1437" s="307">
        <f>$F1437*$H1437</f>
        <v/>
      </c>
      <c r="M1437" s="306" t="n"/>
      <c r="N1437" s="306" t="n"/>
      <c r="O1437" s="306" t="n"/>
      <c r="P1437" s="306" t="n"/>
      <c r="Q1437" s="306" t="n"/>
    </row>
    <row r="1438" ht="18.75" customHeight="1">
      <c r="B1438" s="288" t="n">
        <v>45481</v>
      </c>
      <c r="C1438" s="289" t="n">
        <v>797</v>
      </c>
      <c r="D1438" s="290" t="inlineStr">
        <is>
          <t>Taxi Home - CGK</t>
        </is>
      </c>
      <c r="E1438" s="306" t="inlineStr">
        <is>
          <t>-</t>
        </is>
      </c>
      <c r="F1438" s="307" t="n">
        <v>250000</v>
      </c>
      <c r="G1438" s="289" t="inlineStr">
        <is>
          <t>IDR</t>
        </is>
      </c>
      <c r="H1438" s="293" t="n">
        <v>1</v>
      </c>
      <c r="I1438" s="306" t="n"/>
      <c r="J1438" s="306" t="n"/>
      <c r="K1438" s="306" t="n"/>
      <c r="L1438" s="307">
        <f>$F1438*$H1438</f>
        <v/>
      </c>
      <c r="M1438" s="306" t="n"/>
      <c r="N1438" s="306" t="n"/>
      <c r="O1438" s="306" t="n"/>
      <c r="P1438" s="306" t="n"/>
      <c r="Q1438" s="306" t="n"/>
    </row>
    <row r="1439" ht="18.75" customHeight="1">
      <c r="B1439" s="288" t="n">
        <v>45481</v>
      </c>
      <c r="C1439" s="289" t="n">
        <v>798</v>
      </c>
      <c r="D1439" s="290" t="inlineStr">
        <is>
          <t>Taxi KLIA - Hotel</t>
        </is>
      </c>
      <c r="E1439" s="306" t="inlineStr">
        <is>
          <t>-</t>
        </is>
      </c>
      <c r="F1439" s="307" t="n">
        <v>72</v>
      </c>
      <c r="G1439" s="289" t="inlineStr">
        <is>
          <t>MYR</t>
        </is>
      </c>
      <c r="H1439" s="293" t="n">
        <v>3462</v>
      </c>
      <c r="I1439" s="306" t="n"/>
      <c r="J1439" s="306" t="n"/>
      <c r="K1439" s="306" t="n"/>
      <c r="L1439" s="307">
        <f>$F1439*$H1439</f>
        <v/>
      </c>
      <c r="M1439" s="306" t="n"/>
      <c r="N1439" s="306" t="n"/>
      <c r="O1439" s="306" t="n"/>
      <c r="P1439" s="306" t="n"/>
      <c r="Q1439" s="306" t="n"/>
    </row>
    <row r="1440" ht="18.75" customHeight="1">
      <c r="B1440" s="288" t="n">
        <v>45481</v>
      </c>
      <c r="C1440" s="289" t="n">
        <v>799</v>
      </c>
      <c r="D1440" s="290" t="inlineStr">
        <is>
          <t>Airplane Ticket CGK-KLIA</t>
        </is>
      </c>
      <c r="E1440" s="306" t="inlineStr">
        <is>
          <t>-</t>
        </is>
      </c>
      <c r="F1440" s="307" t="n">
        <v>4912100</v>
      </c>
      <c r="G1440" s="289" t="inlineStr">
        <is>
          <t>IDR</t>
        </is>
      </c>
      <c r="H1440" s="293" t="n">
        <v>1</v>
      </c>
      <c r="I1440" s="306" t="n"/>
      <c r="J1440" s="306" t="n"/>
      <c r="K1440" s="306" t="n"/>
      <c r="L1440" s="307">
        <f>$F1440*$H1440</f>
        <v/>
      </c>
      <c r="M1440" s="306" t="n"/>
      <c r="N1440" s="306" t="n"/>
      <c r="O1440" s="306" t="n"/>
      <c r="P1440" s="306" t="n"/>
      <c r="Q1440" s="306" t="n"/>
    </row>
    <row r="1441" ht="18.75" customHeight="1">
      <c r="B1441" s="288" t="n">
        <v>45481</v>
      </c>
      <c r="C1441" s="289" t="n">
        <v>800</v>
      </c>
      <c r="D1441" s="290" t="inlineStr">
        <is>
          <t>Taxi Home - CGK</t>
        </is>
      </c>
      <c r="E1441" s="306" t="inlineStr">
        <is>
          <t>-</t>
        </is>
      </c>
      <c r="F1441" s="307" t="n">
        <v>250000</v>
      </c>
      <c r="G1441" s="289" t="inlineStr">
        <is>
          <t>IDR</t>
        </is>
      </c>
      <c r="H1441" s="293" t="n">
        <v>1</v>
      </c>
      <c r="I1441" s="306" t="n"/>
      <c r="J1441" s="306" t="n"/>
      <c r="K1441" s="306" t="n"/>
      <c r="L1441" s="307">
        <f>$F1441*$H1441</f>
        <v/>
      </c>
      <c r="M1441" s="306" t="n"/>
      <c r="N1441" s="306" t="n"/>
      <c r="O1441" s="306" t="n"/>
      <c r="P1441" s="306" t="n"/>
      <c r="Q1441" s="306" t="n"/>
    </row>
    <row r="1442" ht="18.75" customHeight="1">
      <c r="B1442" s="288" t="n">
        <v>45481</v>
      </c>
      <c r="C1442" s="289" t="n">
        <v>801</v>
      </c>
      <c r="D1442" s="290" t="inlineStr">
        <is>
          <t>Taxi KLIA - Hotel</t>
        </is>
      </c>
      <c r="E1442" s="306" t="inlineStr">
        <is>
          <t>-</t>
        </is>
      </c>
      <c r="F1442" s="307" t="n">
        <v>72</v>
      </c>
      <c r="G1442" s="289" t="inlineStr">
        <is>
          <t>MYR</t>
        </is>
      </c>
      <c r="H1442" s="293" t="n">
        <v>3462</v>
      </c>
      <c r="I1442" s="306" t="n"/>
      <c r="J1442" s="306" t="n"/>
      <c r="K1442" s="306" t="n"/>
      <c r="L1442" s="307">
        <f>$F1442*$H1442</f>
        <v/>
      </c>
      <c r="M1442" s="306" t="n"/>
      <c r="N1442" s="306" t="n"/>
      <c r="O1442" s="306" t="n"/>
      <c r="P1442" s="306" t="n"/>
      <c r="Q1442" s="306" t="n"/>
    </row>
    <row r="1443" ht="18.75" customHeight="1">
      <c r="B1443" s="288" t="n">
        <v>45481</v>
      </c>
      <c r="C1443" s="289" t="n">
        <v>802</v>
      </c>
      <c r="D1443" s="290" t="inlineStr">
        <is>
          <t>Airplane Ticket CGK-KLIA</t>
        </is>
      </c>
      <c r="E1443" s="306" t="inlineStr">
        <is>
          <t>-</t>
        </is>
      </c>
      <c r="F1443" s="307" t="n">
        <v>4912100</v>
      </c>
      <c r="G1443" s="289" t="inlineStr">
        <is>
          <t>IDR</t>
        </is>
      </c>
      <c r="H1443" s="293" t="n">
        <v>1</v>
      </c>
      <c r="I1443" s="306" t="n"/>
      <c r="J1443" s="306" t="n"/>
      <c r="K1443" s="306" t="n"/>
      <c r="L1443" s="307">
        <f>$F1443*$H1443</f>
        <v/>
      </c>
      <c r="M1443" s="306" t="n"/>
      <c r="N1443" s="306" t="n"/>
      <c r="O1443" s="306" t="n"/>
      <c r="P1443" s="306" t="n"/>
      <c r="Q1443" s="306" t="n"/>
    </row>
    <row r="1444" ht="18.75" customHeight="1">
      <c r="B1444" s="288" t="n">
        <v>45481</v>
      </c>
      <c r="C1444" s="289" t="n">
        <v>803</v>
      </c>
      <c r="D1444" s="290" t="inlineStr">
        <is>
          <t>Taxi Home - CGK</t>
        </is>
      </c>
      <c r="E1444" s="306" t="inlineStr">
        <is>
          <t>-</t>
        </is>
      </c>
      <c r="F1444" s="307" t="n">
        <v>250000</v>
      </c>
      <c r="G1444" s="289" t="inlineStr">
        <is>
          <t>IDR</t>
        </is>
      </c>
      <c r="H1444" s="293" t="n">
        <v>1</v>
      </c>
      <c r="I1444" s="306" t="n"/>
      <c r="J1444" s="306" t="n"/>
      <c r="K1444" s="306" t="n"/>
      <c r="L1444" s="307">
        <f>$F1444*$H1444</f>
        <v/>
      </c>
      <c r="M1444" s="306" t="n"/>
      <c r="N1444" s="306" t="n"/>
      <c r="O1444" s="306" t="n"/>
      <c r="P1444" s="306" t="n"/>
      <c r="Q1444" s="306" t="n"/>
    </row>
    <row r="1445" ht="18.75" customHeight="1">
      <c r="B1445" s="288" t="n">
        <v>45481</v>
      </c>
      <c r="C1445" s="289" t="n">
        <v>804</v>
      </c>
      <c r="D1445" s="290" t="inlineStr">
        <is>
          <t>Taxi KLIA - Hotel</t>
        </is>
      </c>
      <c r="E1445" s="306" t="inlineStr">
        <is>
          <t>-</t>
        </is>
      </c>
      <c r="F1445" s="307" t="n">
        <v>72</v>
      </c>
      <c r="G1445" s="289" t="inlineStr">
        <is>
          <t>MYR</t>
        </is>
      </c>
      <c r="H1445" s="293" t="n">
        <v>3462</v>
      </c>
      <c r="I1445" s="306" t="n"/>
      <c r="J1445" s="306" t="n"/>
      <c r="K1445" s="306" t="n"/>
      <c r="L1445" s="307">
        <f>$F1445*$H1445</f>
        <v/>
      </c>
      <c r="M1445" s="306" t="n"/>
      <c r="N1445" s="306" t="n"/>
      <c r="O1445" s="306" t="n"/>
      <c r="P1445" s="306" t="n"/>
      <c r="Q1445" s="306" t="n"/>
    </row>
    <row r="1446" ht="18.75" customHeight="1">
      <c r="B1446" s="288" t="n">
        <v>45482</v>
      </c>
      <c r="C1446" s="289" t="n">
        <v>805</v>
      </c>
      <c r="D1446" s="290" t="inlineStr">
        <is>
          <t>Taxi Hyperseal - Hotel</t>
        </is>
      </c>
      <c r="E1446" s="306" t="inlineStr">
        <is>
          <t>-</t>
        </is>
      </c>
      <c r="F1446" s="307" t="n">
        <v>8</v>
      </c>
      <c r="G1446" s="289" t="inlineStr">
        <is>
          <t>MYR</t>
        </is>
      </c>
      <c r="H1446" s="293" t="n">
        <v>3462</v>
      </c>
      <c r="I1446" s="306" t="n"/>
      <c r="J1446" s="306" t="n"/>
      <c r="K1446" s="306" t="n"/>
      <c r="L1446" s="307">
        <f>$F1446*$H1446</f>
        <v/>
      </c>
      <c r="M1446" s="306" t="n"/>
      <c r="N1446" s="306" t="n"/>
      <c r="O1446" s="306" t="n"/>
      <c r="P1446" s="306" t="n"/>
      <c r="Q1446" s="306" t="n"/>
    </row>
    <row r="1447" ht="18.75" customHeight="1">
      <c r="B1447" s="288" t="n">
        <v>45482</v>
      </c>
      <c r="C1447" s="289" t="n">
        <v>806</v>
      </c>
      <c r="D1447" s="290" t="inlineStr">
        <is>
          <t>Taxi Hotel - KLIA</t>
        </is>
      </c>
      <c r="E1447" s="306" t="inlineStr">
        <is>
          <t>-</t>
        </is>
      </c>
      <c r="F1447" s="307" t="n">
        <v>82.03</v>
      </c>
      <c r="G1447" s="289" t="inlineStr">
        <is>
          <t>MYR</t>
        </is>
      </c>
      <c r="H1447" s="293" t="n">
        <v>3462</v>
      </c>
      <c r="I1447" s="306" t="n"/>
      <c r="J1447" s="306" t="n"/>
      <c r="K1447" s="306" t="n"/>
      <c r="L1447" s="307">
        <f>$F1447*$H1447</f>
        <v/>
      </c>
      <c r="M1447" s="306" t="n"/>
      <c r="N1447" s="306" t="n"/>
      <c r="O1447" s="306" t="n"/>
      <c r="P1447" s="306" t="n"/>
      <c r="Q1447" s="306" t="n"/>
    </row>
    <row r="1448" ht="18.75" customHeight="1">
      <c r="B1448" s="288" t="n">
        <v>45482</v>
      </c>
      <c r="C1448" s="289" t="n">
        <v>807</v>
      </c>
      <c r="D1448" s="290" t="inlineStr">
        <is>
          <t>Taxi CGK - Home</t>
        </is>
      </c>
      <c r="E1448" s="306" t="inlineStr">
        <is>
          <t>-</t>
        </is>
      </c>
      <c r="F1448" s="307" t="n">
        <v>259120</v>
      </c>
      <c r="G1448" s="289" t="inlineStr">
        <is>
          <t>IDR</t>
        </is>
      </c>
      <c r="H1448" s="293" t="n">
        <v>1</v>
      </c>
      <c r="I1448" s="306" t="n"/>
      <c r="J1448" s="306" t="n"/>
      <c r="K1448" s="306" t="n"/>
      <c r="L1448" s="307">
        <f>$F1448*$H1448</f>
        <v/>
      </c>
      <c r="M1448" s="306" t="n"/>
      <c r="N1448" s="306" t="n"/>
      <c r="O1448" s="306" t="n"/>
      <c r="P1448" s="306" t="n"/>
      <c r="Q1448" s="306" t="n"/>
    </row>
    <row r="1449" ht="18.75" customHeight="1">
      <c r="B1449" s="288" t="n">
        <v>45482</v>
      </c>
      <c r="C1449" s="289" t="n">
        <v>808</v>
      </c>
      <c r="D1449" s="290" t="inlineStr">
        <is>
          <t>Taxi Hyperseal - Hotel</t>
        </is>
      </c>
      <c r="E1449" s="306" t="inlineStr">
        <is>
          <t>-</t>
        </is>
      </c>
      <c r="F1449" s="307" t="n">
        <v>8</v>
      </c>
      <c r="G1449" s="289" t="inlineStr">
        <is>
          <t>MYR</t>
        </is>
      </c>
      <c r="H1449" s="293" t="n">
        <v>3462</v>
      </c>
      <c r="I1449" s="306" t="n"/>
      <c r="J1449" s="306" t="n"/>
      <c r="K1449" s="306" t="n"/>
      <c r="L1449" s="307">
        <f>$F1449*$H1449</f>
        <v/>
      </c>
      <c r="M1449" s="306" t="n"/>
      <c r="N1449" s="306" t="n"/>
      <c r="O1449" s="306" t="n"/>
      <c r="P1449" s="306" t="n"/>
      <c r="Q1449" s="306" t="n"/>
    </row>
    <row r="1450" ht="18.75" customHeight="1">
      <c r="B1450" s="288" t="n">
        <v>45482</v>
      </c>
      <c r="C1450" s="289" t="n">
        <v>809</v>
      </c>
      <c r="D1450" s="290" t="inlineStr">
        <is>
          <t>Taxi Hotel - KLIA</t>
        </is>
      </c>
      <c r="E1450" s="306" t="inlineStr">
        <is>
          <t>-</t>
        </is>
      </c>
      <c r="F1450" s="307" t="n">
        <v>82.03</v>
      </c>
      <c r="G1450" s="289" t="inlineStr">
        <is>
          <t>MYR</t>
        </is>
      </c>
      <c r="H1450" s="293" t="n">
        <v>3462</v>
      </c>
      <c r="I1450" s="306" t="n"/>
      <c r="J1450" s="306" t="n"/>
      <c r="K1450" s="306" t="n"/>
      <c r="L1450" s="307">
        <f>$F1450*$H1450</f>
        <v/>
      </c>
      <c r="M1450" s="306" t="n"/>
      <c r="N1450" s="306" t="n"/>
      <c r="O1450" s="306" t="n"/>
      <c r="P1450" s="306" t="n"/>
      <c r="Q1450" s="306" t="n"/>
    </row>
    <row r="1451" ht="18.75" customHeight="1">
      <c r="B1451" s="288" t="n">
        <v>45482</v>
      </c>
      <c r="C1451" s="289" t="n">
        <v>810</v>
      </c>
      <c r="D1451" s="290" t="inlineStr">
        <is>
          <t>Taxi CGK - Home</t>
        </is>
      </c>
      <c r="E1451" s="306" t="inlineStr">
        <is>
          <t>-</t>
        </is>
      </c>
      <c r="F1451" s="307" t="n">
        <v>259120</v>
      </c>
      <c r="G1451" s="289" t="inlineStr">
        <is>
          <t>IDR</t>
        </is>
      </c>
      <c r="H1451" s="293" t="n">
        <v>1</v>
      </c>
      <c r="I1451" s="306" t="n"/>
      <c r="J1451" s="306" t="n"/>
      <c r="K1451" s="306" t="n"/>
      <c r="L1451" s="307">
        <f>$F1451*$H1451</f>
        <v/>
      </c>
      <c r="M1451" s="306" t="n"/>
      <c r="N1451" s="306" t="n"/>
      <c r="O1451" s="306" t="n"/>
      <c r="P1451" s="306" t="n"/>
      <c r="Q1451" s="306" t="n"/>
    </row>
    <row r="1452" ht="18.75" customHeight="1">
      <c r="B1452" s="288" t="n">
        <v>45482</v>
      </c>
      <c r="C1452" s="289" t="n">
        <v>811</v>
      </c>
      <c r="D1452" s="290" t="inlineStr">
        <is>
          <t>Taxi Hyperseal - Hotel</t>
        </is>
      </c>
      <c r="E1452" s="306" t="inlineStr">
        <is>
          <t>-</t>
        </is>
      </c>
      <c r="F1452" s="307" t="n">
        <v>8</v>
      </c>
      <c r="G1452" s="289" t="inlineStr">
        <is>
          <t>MYR</t>
        </is>
      </c>
      <c r="H1452" s="293" t="n">
        <v>3462</v>
      </c>
      <c r="I1452" s="306" t="n"/>
      <c r="J1452" s="306" t="n"/>
      <c r="K1452" s="306" t="n"/>
      <c r="L1452" s="307">
        <f>$F1452*$H1452</f>
        <v/>
      </c>
      <c r="M1452" s="306" t="n"/>
      <c r="N1452" s="306" t="n"/>
      <c r="O1452" s="306" t="n"/>
      <c r="P1452" s="306" t="n"/>
      <c r="Q1452" s="306" t="n"/>
    </row>
    <row r="1453" ht="18.75" customHeight="1">
      <c r="B1453" s="288" t="n">
        <v>45482</v>
      </c>
      <c r="C1453" s="289" t="n">
        <v>812</v>
      </c>
      <c r="D1453" s="290" t="inlineStr">
        <is>
          <t>Taxi Hotel - KLIA</t>
        </is>
      </c>
      <c r="E1453" s="306" t="inlineStr">
        <is>
          <t>-</t>
        </is>
      </c>
      <c r="F1453" s="307" t="n">
        <v>82.03</v>
      </c>
      <c r="G1453" s="289" t="inlineStr">
        <is>
          <t>MYR</t>
        </is>
      </c>
      <c r="H1453" s="293" t="n">
        <v>3462</v>
      </c>
      <c r="I1453" s="306" t="n"/>
      <c r="J1453" s="306" t="n"/>
      <c r="K1453" s="306" t="n"/>
      <c r="L1453" s="307">
        <f>$F1453*$H1453</f>
        <v/>
      </c>
      <c r="M1453" s="306" t="n"/>
      <c r="N1453" s="306" t="n"/>
      <c r="O1453" s="306" t="n"/>
      <c r="P1453" s="306" t="n"/>
      <c r="Q1453" s="306" t="n"/>
    </row>
    <row r="1454" ht="18.75" customHeight="1">
      <c r="B1454" s="288" t="n">
        <v>45482</v>
      </c>
      <c r="C1454" s="289" t="n">
        <v>813</v>
      </c>
      <c r="D1454" s="290" t="inlineStr">
        <is>
          <t>Taxi CGK - Home</t>
        </is>
      </c>
      <c r="E1454" s="306" t="inlineStr">
        <is>
          <t>-</t>
        </is>
      </c>
      <c r="F1454" s="307" t="n">
        <v>259120</v>
      </c>
      <c r="G1454" s="289" t="inlineStr">
        <is>
          <t>IDR</t>
        </is>
      </c>
      <c r="H1454" s="293" t="n">
        <v>1</v>
      </c>
      <c r="I1454" s="306" t="n"/>
      <c r="J1454" s="306" t="n"/>
      <c r="K1454" s="306" t="n"/>
      <c r="L1454" s="307">
        <f>$F1454*$H1454</f>
        <v/>
      </c>
      <c r="M1454" s="306" t="n"/>
      <c r="N1454" s="306" t="n"/>
      <c r="O1454" s="306" t="n"/>
      <c r="P1454" s="306" t="n"/>
      <c r="Q1454" s="306" t="n"/>
    </row>
    <row r="1455" ht="18.75" customHeight="1">
      <c r="B1455" s="288" t="n">
        <v>45482</v>
      </c>
      <c r="C1455" s="289" t="n">
        <v>814</v>
      </c>
      <c r="D1455" s="290" t="inlineStr">
        <is>
          <t>Taxi Hyperseal - Hotel</t>
        </is>
      </c>
      <c r="E1455" s="306" t="inlineStr">
        <is>
          <t>-</t>
        </is>
      </c>
      <c r="F1455" s="307" t="n">
        <v>8</v>
      </c>
      <c r="G1455" s="289" t="inlineStr">
        <is>
          <t>MYR</t>
        </is>
      </c>
      <c r="H1455" s="293" t="n">
        <v>3462</v>
      </c>
      <c r="I1455" s="306" t="n"/>
      <c r="J1455" s="306" t="n"/>
      <c r="K1455" s="306" t="n"/>
      <c r="L1455" s="307">
        <f>$F1455*$H1455</f>
        <v/>
      </c>
      <c r="M1455" s="306" t="n"/>
      <c r="N1455" s="306" t="n"/>
      <c r="O1455" s="306" t="n"/>
      <c r="P1455" s="306" t="n"/>
      <c r="Q1455" s="306" t="n"/>
    </row>
    <row r="1456" ht="18.75" customHeight="1">
      <c r="B1456" s="288" t="n">
        <v>45482</v>
      </c>
      <c r="C1456" s="289" t="n">
        <v>815</v>
      </c>
      <c r="D1456" s="290" t="inlineStr">
        <is>
          <t>Taxi Hotel - KLIA</t>
        </is>
      </c>
      <c r="E1456" s="306" t="inlineStr">
        <is>
          <t>-</t>
        </is>
      </c>
      <c r="F1456" s="307" t="n">
        <v>82.03</v>
      </c>
      <c r="G1456" s="289" t="inlineStr">
        <is>
          <t>MYR</t>
        </is>
      </c>
      <c r="H1456" s="293" t="n">
        <v>3462</v>
      </c>
      <c r="I1456" s="306" t="n"/>
      <c r="J1456" s="306" t="n"/>
      <c r="K1456" s="306" t="n"/>
      <c r="L1456" s="307">
        <f>$F1456*$H1456</f>
        <v/>
      </c>
      <c r="M1456" s="306" t="n"/>
      <c r="N1456" s="306" t="n"/>
      <c r="O1456" s="306" t="n"/>
      <c r="P1456" s="306" t="n"/>
      <c r="Q1456" s="306" t="n"/>
    </row>
    <row r="1457" ht="18.75" customHeight="1">
      <c r="B1457" s="288" t="n">
        <v>45482</v>
      </c>
      <c r="C1457" s="289" t="n">
        <v>816</v>
      </c>
      <c r="D1457" s="290" t="inlineStr">
        <is>
          <t>Taxi CGK - Home</t>
        </is>
      </c>
      <c r="E1457" s="306" t="inlineStr">
        <is>
          <t>-</t>
        </is>
      </c>
      <c r="F1457" s="307" t="n">
        <v>259120</v>
      </c>
      <c r="G1457" s="289" t="inlineStr">
        <is>
          <t>IDR</t>
        </is>
      </c>
      <c r="H1457" s="293" t="n">
        <v>1</v>
      </c>
      <c r="I1457" s="306" t="n"/>
      <c r="J1457" s="306" t="n"/>
      <c r="K1457" s="306" t="n"/>
      <c r="L1457" s="307">
        <f>$F1457*$H1457</f>
        <v/>
      </c>
      <c r="M1457" s="306" t="n"/>
      <c r="N1457" s="306" t="n"/>
      <c r="O1457" s="306" t="n"/>
      <c r="P1457" s="306" t="n"/>
      <c r="Q1457" s="306" t="n"/>
    </row>
    <row r="1458">
      <c r="B1458" s="310" t="inlineStr">
        <is>
          <t>Expense#22</t>
        </is>
      </c>
      <c r="C1458" s="311" t="inlineStr">
        <is>
          <t>:</t>
        </is>
      </c>
      <c r="D1458" s="310" t="inlineStr">
        <is>
          <t>Non project ( MCU ulang )_ IBR</t>
        </is>
      </c>
      <c r="E1458" s="311" t="n"/>
      <c r="F1458" s="311" t="n"/>
      <c r="G1458" s="311" t="n"/>
      <c r="H1458" s="311" t="n"/>
      <c r="I1458" s="311" t="n"/>
      <c r="J1458" s="311" t="n"/>
      <c r="K1458" s="311" t="n"/>
      <c r="L1458" s="311" t="n"/>
      <c r="M1458" s="311" t="n"/>
      <c r="N1458" s="311" t="n"/>
      <c r="O1458" s="311" t="n"/>
      <c r="P1458" s="311" t="n"/>
      <c r="Q1458" s="311" t="n"/>
    </row>
    <row r="1459">
      <c r="B1459" s="312" t="n"/>
      <c r="C1459" s="312" t="n"/>
      <c r="D1459" s="285" t="inlineStr">
        <is>
          <t>Medical</t>
        </is>
      </c>
      <c r="E1459" s="312" t="n"/>
      <c r="F1459" s="312" t="n"/>
      <c r="G1459" s="312" t="n"/>
      <c r="H1459" s="312" t="n"/>
      <c r="I1459" s="312" t="n"/>
      <c r="J1459" s="312" t="n"/>
      <c r="K1459" s="312" t="n"/>
      <c r="L1459" s="312" t="n"/>
      <c r="M1459" s="312" t="n"/>
      <c r="N1459" s="312" t="n"/>
      <c r="O1459" s="312" t="n"/>
      <c r="P1459" s="312" t="n"/>
      <c r="Q1459" s="312" t="n"/>
    </row>
    <row r="1460" ht="18.75" customHeight="1">
      <c r="B1460" s="288" t="n">
        <v>45446</v>
      </c>
      <c r="C1460" s="289" t="n">
        <v>817</v>
      </c>
      <c r="D1460" s="290" t="inlineStr">
        <is>
          <t>Konsultasi Spesialis Penyakit Dalam</t>
        </is>
      </c>
      <c r="E1460" s="306" t="inlineStr">
        <is>
          <t>-</t>
        </is>
      </c>
      <c r="F1460" s="307" t="n">
        <v>206000</v>
      </c>
      <c r="G1460" s="289" t="inlineStr">
        <is>
          <t>IDR</t>
        </is>
      </c>
      <c r="H1460" s="293" t="n">
        <v>1</v>
      </c>
      <c r="I1460" s="306" t="n"/>
      <c r="J1460" s="306" t="n"/>
      <c r="K1460" s="306" t="n"/>
      <c r="L1460" s="306" t="n"/>
      <c r="M1460" s="306" t="n"/>
      <c r="N1460" s="306" t="n"/>
      <c r="O1460" s="306" t="n"/>
      <c r="P1460" s="307">
        <f>$F1460*$H1460</f>
        <v/>
      </c>
      <c r="Q1460" s="306" t="n"/>
    </row>
    <row r="1461" ht="18.75" customHeight="1">
      <c r="B1461" s="288" t="n">
        <v>45446</v>
      </c>
      <c r="C1461" s="289" t="n">
        <v>818</v>
      </c>
      <c r="D1461" s="290" t="inlineStr">
        <is>
          <t>Unit Labolatorium</t>
        </is>
      </c>
      <c r="E1461" s="306" t="inlineStr">
        <is>
          <t>-</t>
        </is>
      </c>
      <c r="F1461" s="307" t="n">
        <v>1474000</v>
      </c>
      <c r="G1461" s="289" t="inlineStr">
        <is>
          <t>IDR</t>
        </is>
      </c>
      <c r="H1461" s="293" t="n">
        <v>1</v>
      </c>
      <c r="I1461" s="306" t="n"/>
      <c r="J1461" s="306" t="n"/>
      <c r="K1461" s="306" t="n"/>
      <c r="L1461" s="306" t="n"/>
      <c r="M1461" s="306" t="n"/>
      <c r="N1461" s="306" t="n"/>
      <c r="O1461" s="306" t="n"/>
      <c r="P1461" s="307">
        <f>$F1461*$H1461</f>
        <v/>
      </c>
      <c r="Q1461" s="306" t="n"/>
    </row>
    <row r="1462" ht="18.75" customHeight="1">
      <c r="B1462" s="288" t="n">
        <v>45446</v>
      </c>
      <c r="C1462" s="289" t="n">
        <v>819</v>
      </c>
      <c r="D1462" s="290" t="inlineStr">
        <is>
          <t>Unit Labolatorium</t>
        </is>
      </c>
      <c r="E1462" s="306" t="inlineStr">
        <is>
          <t>-</t>
        </is>
      </c>
      <c r="F1462" s="307" t="n">
        <v>1474000</v>
      </c>
      <c r="G1462" s="289" t="inlineStr">
        <is>
          <t>IDR</t>
        </is>
      </c>
      <c r="H1462" s="293" t="n">
        <v>1</v>
      </c>
      <c r="I1462" s="306" t="n"/>
      <c r="J1462" s="306" t="n"/>
      <c r="K1462" s="306" t="n"/>
      <c r="L1462" s="306" t="n"/>
      <c r="M1462" s="306" t="n"/>
      <c r="N1462" s="306" t="n"/>
      <c r="O1462" s="306" t="n"/>
      <c r="P1462" s="307">
        <f>$F1462*$H1462</f>
        <v/>
      </c>
      <c r="Q1462" s="306" t="n"/>
    </row>
    <row r="1463" ht="18.75" customHeight="1">
      <c r="B1463" s="288" t="n">
        <v>45446</v>
      </c>
      <c r="C1463" s="289" t="n">
        <v>820</v>
      </c>
      <c r="D1463" s="290" t="inlineStr">
        <is>
          <t>Konsultasi Spesialis Penyakit Dalam</t>
        </is>
      </c>
      <c r="E1463" s="306" t="inlineStr">
        <is>
          <t>-</t>
        </is>
      </c>
      <c r="F1463" s="307" t="n">
        <v>206000</v>
      </c>
      <c r="G1463" s="289" t="inlineStr">
        <is>
          <t>IDR</t>
        </is>
      </c>
      <c r="H1463" s="293" t="n">
        <v>1</v>
      </c>
      <c r="I1463" s="306" t="n"/>
      <c r="J1463" s="306" t="n"/>
      <c r="K1463" s="306" t="n"/>
      <c r="L1463" s="306" t="n"/>
      <c r="M1463" s="306" t="n"/>
      <c r="N1463" s="306" t="n"/>
      <c r="O1463" s="306" t="n"/>
      <c r="P1463" s="307">
        <f>$F1463*$H1463</f>
        <v/>
      </c>
      <c r="Q1463" s="306" t="n"/>
    </row>
    <row r="1464" ht="18.75" customHeight="1">
      <c r="B1464" s="288" t="n">
        <v>45446</v>
      </c>
      <c r="C1464" s="289" t="n">
        <v>821</v>
      </c>
      <c r="D1464" s="290" t="inlineStr">
        <is>
          <t>Unit Labolatorium</t>
        </is>
      </c>
      <c r="E1464" s="306" t="inlineStr">
        <is>
          <t>-</t>
        </is>
      </c>
      <c r="F1464" s="307" t="n">
        <v>1474000</v>
      </c>
      <c r="G1464" s="289" t="inlineStr">
        <is>
          <t>IDR</t>
        </is>
      </c>
      <c r="H1464" s="293" t="n">
        <v>1</v>
      </c>
      <c r="I1464" s="306" t="n"/>
      <c r="J1464" s="306" t="n"/>
      <c r="K1464" s="306" t="n"/>
      <c r="L1464" s="306" t="n"/>
      <c r="M1464" s="306" t="n"/>
      <c r="N1464" s="306" t="n"/>
      <c r="O1464" s="306" t="n"/>
      <c r="P1464" s="307">
        <f>$F1464*$H1464</f>
        <v/>
      </c>
      <c r="Q1464" s="306" t="n"/>
    </row>
    <row r="1465" ht="18.75" customHeight="1">
      <c r="B1465" s="288" t="n">
        <v>45446</v>
      </c>
      <c r="C1465" s="289" t="n">
        <v>822</v>
      </c>
      <c r="D1465" s="290" t="inlineStr">
        <is>
          <t>Konsultasi Spesialis Penyakit Dalam</t>
        </is>
      </c>
      <c r="E1465" s="306" t="inlineStr">
        <is>
          <t>-</t>
        </is>
      </c>
      <c r="F1465" s="307" t="n">
        <v>206000</v>
      </c>
      <c r="G1465" s="289" t="inlineStr">
        <is>
          <t>IDR</t>
        </is>
      </c>
      <c r="H1465" s="293" t="n">
        <v>1</v>
      </c>
      <c r="I1465" s="306" t="n"/>
      <c r="J1465" s="306" t="n"/>
      <c r="K1465" s="306" t="n"/>
      <c r="L1465" s="306" t="n"/>
      <c r="M1465" s="306" t="n"/>
      <c r="N1465" s="306" t="n"/>
      <c r="O1465" s="306" t="n"/>
      <c r="P1465" s="307">
        <f>$F1465*$H1465</f>
        <v/>
      </c>
      <c r="Q1465" s="306" t="n"/>
    </row>
    <row r="1466" ht="18.75" customHeight="1">
      <c r="B1466" s="288" t="n">
        <v>45446</v>
      </c>
      <c r="C1466" s="289" t="n">
        <v>823</v>
      </c>
      <c r="D1466" s="290" t="inlineStr">
        <is>
          <t>Unit Labolatorium</t>
        </is>
      </c>
      <c r="E1466" s="306" t="inlineStr">
        <is>
          <t>-</t>
        </is>
      </c>
      <c r="F1466" s="307" t="n">
        <v>1474000</v>
      </c>
      <c r="G1466" s="289" t="inlineStr">
        <is>
          <t>IDR</t>
        </is>
      </c>
      <c r="H1466" s="293" t="n">
        <v>1</v>
      </c>
      <c r="I1466" s="306" t="n"/>
      <c r="J1466" s="306" t="n"/>
      <c r="K1466" s="306" t="n"/>
      <c r="L1466" s="306" t="n"/>
      <c r="M1466" s="306" t="n"/>
      <c r="N1466" s="306" t="n"/>
      <c r="O1466" s="306" t="n"/>
      <c r="P1466" s="307">
        <f>$F1466*$H1466</f>
        <v/>
      </c>
      <c r="Q1466" s="306" t="n"/>
    </row>
    <row r="1467" ht="18.75" customHeight="1">
      <c r="B1467" s="288" t="n">
        <v>45446</v>
      </c>
      <c r="C1467" s="289" t="n">
        <v>824</v>
      </c>
      <c r="D1467" s="290" t="inlineStr">
        <is>
          <t>Konsultasi Spesialis Penyakit Dalam</t>
        </is>
      </c>
      <c r="E1467" s="306" t="inlineStr">
        <is>
          <t>-</t>
        </is>
      </c>
      <c r="F1467" s="307" t="n">
        <v>206000</v>
      </c>
      <c r="G1467" s="289" t="inlineStr">
        <is>
          <t>IDR</t>
        </is>
      </c>
      <c r="H1467" s="293" t="n">
        <v>1</v>
      </c>
      <c r="I1467" s="306" t="n"/>
      <c r="J1467" s="306" t="n"/>
      <c r="K1467" s="306" t="n"/>
      <c r="L1467" s="306" t="n"/>
      <c r="M1467" s="306" t="n"/>
      <c r="N1467" s="306" t="n"/>
      <c r="O1467" s="306" t="n"/>
      <c r="P1467" s="307">
        <f>$F1467*$H1467</f>
        <v/>
      </c>
      <c r="Q1467" s="306" t="n"/>
    </row>
    <row r="1468" ht="18.75" customHeight="1">
      <c r="B1468" s="288" t="n">
        <v>45453</v>
      </c>
      <c r="C1468" s="289" t="n">
        <v>825</v>
      </c>
      <c r="D1468" s="290" t="inlineStr">
        <is>
          <t>Konsultasi Spesialis Penyakit Dalam</t>
        </is>
      </c>
      <c r="E1468" s="306" t="inlineStr">
        <is>
          <t>-</t>
        </is>
      </c>
      <c r="F1468" s="307" t="n">
        <v>206000</v>
      </c>
      <c r="G1468" s="289" t="inlineStr">
        <is>
          <t>IDR</t>
        </is>
      </c>
      <c r="H1468" s="293" t="n">
        <v>1</v>
      </c>
      <c r="I1468" s="306" t="n"/>
      <c r="J1468" s="306" t="n"/>
      <c r="K1468" s="306" t="n"/>
      <c r="L1468" s="306" t="n"/>
      <c r="M1468" s="306" t="n"/>
      <c r="N1468" s="306" t="n"/>
      <c r="O1468" s="306" t="n"/>
      <c r="P1468" s="307">
        <f>$F1468*$H1468</f>
        <v/>
      </c>
      <c r="Q1468" s="306" t="n"/>
    </row>
    <row r="1469" ht="18.75" customHeight="1">
      <c r="B1469" s="288" t="n">
        <v>45453</v>
      </c>
      <c r="C1469" s="289" t="n">
        <v>826</v>
      </c>
      <c r="D1469" s="290" t="inlineStr">
        <is>
          <t>Farmasi</t>
        </is>
      </c>
      <c r="E1469" s="306" t="inlineStr">
        <is>
          <t>-</t>
        </is>
      </c>
      <c r="F1469" s="307" t="n">
        <v>109000</v>
      </c>
      <c r="G1469" s="289" t="inlineStr">
        <is>
          <t>IDR</t>
        </is>
      </c>
      <c r="H1469" s="293" t="n">
        <v>1</v>
      </c>
      <c r="I1469" s="306" t="n"/>
      <c r="J1469" s="306" t="n"/>
      <c r="K1469" s="306" t="n"/>
      <c r="L1469" s="306" t="n"/>
      <c r="M1469" s="306" t="n"/>
      <c r="N1469" s="306" t="n"/>
      <c r="O1469" s="306" t="n"/>
      <c r="P1469" s="307">
        <f>$F1469*$H1469</f>
        <v/>
      </c>
      <c r="Q1469" s="306" t="n"/>
    </row>
    <row r="1470" ht="18.75" customHeight="1">
      <c r="B1470" s="288" t="n">
        <v>45453</v>
      </c>
      <c r="C1470" s="289" t="n">
        <v>827</v>
      </c>
      <c r="D1470" s="290" t="inlineStr">
        <is>
          <t>Farmasi</t>
        </is>
      </c>
      <c r="E1470" s="306" t="inlineStr">
        <is>
          <t>-</t>
        </is>
      </c>
      <c r="F1470" s="307" t="n">
        <v>109000</v>
      </c>
      <c r="G1470" s="289" t="inlineStr">
        <is>
          <t>IDR</t>
        </is>
      </c>
      <c r="H1470" s="293" t="n">
        <v>1</v>
      </c>
      <c r="I1470" s="306" t="n"/>
      <c r="J1470" s="306" t="n"/>
      <c r="K1470" s="306" t="n"/>
      <c r="L1470" s="306" t="n"/>
      <c r="M1470" s="306" t="n"/>
      <c r="N1470" s="306" t="n"/>
      <c r="O1470" s="306" t="n"/>
      <c r="P1470" s="307">
        <f>$F1470*$H1470</f>
        <v/>
      </c>
      <c r="Q1470" s="306" t="n"/>
    </row>
    <row r="1471" ht="18.75" customHeight="1">
      <c r="B1471" s="288" t="n">
        <v>45453</v>
      </c>
      <c r="C1471" s="289" t="n">
        <v>828</v>
      </c>
      <c r="D1471" s="290" t="inlineStr">
        <is>
          <t>Konsultasi Spesialis Penyakit Dalam</t>
        </is>
      </c>
      <c r="E1471" s="306" t="inlineStr">
        <is>
          <t>-</t>
        </is>
      </c>
      <c r="F1471" s="307" t="n">
        <v>206000</v>
      </c>
      <c r="G1471" s="289" t="inlineStr">
        <is>
          <t>IDR</t>
        </is>
      </c>
      <c r="H1471" s="293" t="n">
        <v>1</v>
      </c>
      <c r="I1471" s="306" t="n"/>
      <c r="J1471" s="306" t="n"/>
      <c r="K1471" s="306" t="n"/>
      <c r="L1471" s="306" t="n"/>
      <c r="M1471" s="306" t="n"/>
      <c r="N1471" s="306" t="n"/>
      <c r="O1471" s="306" t="n"/>
      <c r="P1471" s="307">
        <f>$F1471*$H1471</f>
        <v/>
      </c>
      <c r="Q1471" s="306" t="n"/>
    </row>
    <row r="1472" ht="18.75" customHeight="1">
      <c r="B1472" s="288" t="n">
        <v>45453</v>
      </c>
      <c r="C1472" s="289" t="n">
        <v>829</v>
      </c>
      <c r="D1472" s="290" t="inlineStr">
        <is>
          <t>Farmasi</t>
        </is>
      </c>
      <c r="E1472" s="306" t="inlineStr">
        <is>
          <t>-</t>
        </is>
      </c>
      <c r="F1472" s="307" t="n">
        <v>109000</v>
      </c>
      <c r="G1472" s="289" t="inlineStr">
        <is>
          <t>IDR</t>
        </is>
      </c>
      <c r="H1472" s="293" t="n">
        <v>1</v>
      </c>
      <c r="I1472" s="306" t="n"/>
      <c r="J1472" s="306" t="n"/>
      <c r="K1472" s="306" t="n"/>
      <c r="L1472" s="306" t="n"/>
      <c r="M1472" s="306" t="n"/>
      <c r="N1472" s="306" t="n"/>
      <c r="O1472" s="306" t="n"/>
      <c r="P1472" s="307">
        <f>$F1472*$H1472</f>
        <v/>
      </c>
      <c r="Q1472" s="306" t="n"/>
    </row>
    <row r="1473" ht="18.75" customHeight="1">
      <c r="B1473" s="288" t="n">
        <v>45453</v>
      </c>
      <c r="C1473" s="289" t="n">
        <v>830</v>
      </c>
      <c r="D1473" s="290" t="inlineStr">
        <is>
          <t>Konsultasi Spesialis Penyakit Dalam</t>
        </is>
      </c>
      <c r="E1473" s="306" t="inlineStr">
        <is>
          <t>-</t>
        </is>
      </c>
      <c r="F1473" s="307" t="n">
        <v>206000</v>
      </c>
      <c r="G1473" s="289" t="inlineStr">
        <is>
          <t>IDR</t>
        </is>
      </c>
      <c r="H1473" s="293" t="n">
        <v>1</v>
      </c>
      <c r="I1473" s="306" t="n"/>
      <c r="J1473" s="306" t="n"/>
      <c r="K1473" s="306" t="n"/>
      <c r="L1473" s="306" t="n"/>
      <c r="M1473" s="306" t="n"/>
      <c r="N1473" s="306" t="n"/>
      <c r="O1473" s="306" t="n"/>
      <c r="P1473" s="307">
        <f>$F1473*$H1473</f>
        <v/>
      </c>
      <c r="Q1473" s="306" t="n"/>
    </row>
    <row r="1474" ht="18.75" customHeight="1">
      <c r="B1474" s="288" t="n">
        <v>45453</v>
      </c>
      <c r="C1474" s="289" t="n">
        <v>831</v>
      </c>
      <c r="D1474" s="290" t="inlineStr">
        <is>
          <t>Farmasi</t>
        </is>
      </c>
      <c r="E1474" s="306" t="inlineStr">
        <is>
          <t>-</t>
        </is>
      </c>
      <c r="F1474" s="307" t="n">
        <v>109000</v>
      </c>
      <c r="G1474" s="289" t="inlineStr">
        <is>
          <t>IDR</t>
        </is>
      </c>
      <c r="H1474" s="293" t="n">
        <v>1</v>
      </c>
      <c r="I1474" s="306" t="n"/>
      <c r="J1474" s="306" t="n"/>
      <c r="K1474" s="306" t="n"/>
      <c r="L1474" s="306" t="n"/>
      <c r="M1474" s="306" t="n"/>
      <c r="N1474" s="306" t="n"/>
      <c r="O1474" s="306" t="n"/>
      <c r="P1474" s="307">
        <f>$F1474*$H1474</f>
        <v/>
      </c>
      <c r="Q1474" s="306" t="n"/>
    </row>
    <row r="1475" ht="18.75" customHeight="1">
      <c r="B1475" s="288" t="n">
        <v>45453</v>
      </c>
      <c r="C1475" s="289" t="n">
        <v>832</v>
      </c>
      <c r="D1475" s="290" t="inlineStr">
        <is>
          <t>Konsultasi Spesialis Penyakit Dalam</t>
        </is>
      </c>
      <c r="E1475" s="306" t="inlineStr">
        <is>
          <t>-</t>
        </is>
      </c>
      <c r="F1475" s="307" t="n">
        <v>206000</v>
      </c>
      <c r="G1475" s="289" t="inlineStr">
        <is>
          <t>IDR</t>
        </is>
      </c>
      <c r="H1475" s="293" t="n">
        <v>1</v>
      </c>
      <c r="I1475" s="306" t="n"/>
      <c r="J1475" s="306" t="n"/>
      <c r="K1475" s="306" t="n"/>
      <c r="L1475" s="306" t="n"/>
      <c r="M1475" s="306" t="n"/>
      <c r="N1475" s="306" t="n"/>
      <c r="O1475" s="306" t="n"/>
      <c r="P1475" s="307">
        <f>$F1475*$H1475</f>
        <v/>
      </c>
      <c r="Q1475" s="306" t="n"/>
    </row>
    <row r="1476">
      <c r="B1476" s="310" t="inlineStr">
        <is>
          <t>Expense#23</t>
        </is>
      </c>
      <c r="C1476" s="311" t="inlineStr">
        <is>
          <t>:</t>
        </is>
      </c>
      <c r="D1476" s="310" t="inlineStr">
        <is>
          <t>ALFA job - JRK-163 (Job)_undr Sijak_ DS</t>
        </is>
      </c>
      <c r="E1476" s="311" t="n"/>
      <c r="F1476" s="311" t="n"/>
      <c r="G1476" s="311" t="n"/>
      <c r="H1476" s="311" t="n"/>
      <c r="I1476" s="311" t="n"/>
      <c r="J1476" s="311" t="n"/>
      <c r="K1476" s="311" t="n"/>
      <c r="L1476" s="311" t="n"/>
      <c r="M1476" s="311" t="n"/>
      <c r="N1476" s="311" t="n"/>
      <c r="O1476" s="311" t="n"/>
      <c r="P1476" s="311" t="n"/>
      <c r="Q1476" s="311" t="n"/>
    </row>
    <row r="1477">
      <c r="B1477" s="312" t="n"/>
      <c r="C1477" s="312" t="n"/>
      <c r="D1477" s="285" t="inlineStr">
        <is>
          <t>Accommodation</t>
        </is>
      </c>
      <c r="E1477" s="312" t="n"/>
      <c r="F1477" s="312" t="n"/>
      <c r="G1477" s="312" t="n"/>
      <c r="H1477" s="312" t="n"/>
      <c r="I1477" s="312" t="n"/>
      <c r="J1477" s="312" t="n"/>
      <c r="K1477" s="312" t="n"/>
      <c r="L1477" s="312" t="n"/>
      <c r="M1477" s="312" t="n"/>
      <c r="N1477" s="312" t="n"/>
      <c r="O1477" s="312" t="n"/>
      <c r="P1477" s="312" t="n"/>
      <c r="Q1477" s="312" t="n"/>
    </row>
    <row r="1478" ht="18.75" customHeight="1">
      <c r="B1478" s="288" t="n">
        <v>45500</v>
      </c>
      <c r="C1478" s="289" t="n">
        <v>833</v>
      </c>
      <c r="D1478" s="290" t="inlineStr">
        <is>
          <t>Lodge 21-27 Jul 2024 (3 rooms)</t>
        </is>
      </c>
      <c r="E1478" s="306" t="inlineStr">
        <is>
          <t>-</t>
        </is>
      </c>
      <c r="F1478" s="307" t="n">
        <v>2160000</v>
      </c>
      <c r="G1478" s="289" t="inlineStr">
        <is>
          <t>IDR</t>
        </is>
      </c>
      <c r="H1478" s="293" t="n">
        <v>1</v>
      </c>
      <c r="I1478" s="306" t="n"/>
      <c r="J1478" s="306" t="n"/>
      <c r="K1478" s="306" t="n"/>
      <c r="L1478" s="307">
        <f>$F1478*$H1478</f>
        <v/>
      </c>
      <c r="M1478" s="306" t="n"/>
      <c r="N1478" s="306" t="n"/>
      <c r="O1478" s="306" t="n"/>
      <c r="P1478" s="306" t="n"/>
      <c r="Q1478" s="306" t="n"/>
    </row>
    <row r="1479" ht="18.75" customHeight="1">
      <c r="B1479" s="288" t="n">
        <v>45500</v>
      </c>
      <c r="C1479" s="289" t="n">
        <v>834</v>
      </c>
      <c r="D1479" s="290" t="inlineStr">
        <is>
          <t>Lodge 21-27 Jul 2024 (3 rooms)</t>
        </is>
      </c>
      <c r="E1479" s="306" t="inlineStr">
        <is>
          <t>-</t>
        </is>
      </c>
      <c r="F1479" s="307" t="n">
        <v>2160000</v>
      </c>
      <c r="G1479" s="289" t="inlineStr">
        <is>
          <t>IDR</t>
        </is>
      </c>
      <c r="H1479" s="293" t="n">
        <v>1</v>
      </c>
      <c r="I1479" s="306" t="n"/>
      <c r="J1479" s="306" t="n"/>
      <c r="K1479" s="306" t="n"/>
      <c r="L1479" s="307">
        <f>$F1479*$H1479</f>
        <v/>
      </c>
      <c r="M1479" s="306" t="n"/>
      <c r="N1479" s="306" t="n"/>
      <c r="O1479" s="306" t="n"/>
      <c r="P1479" s="306" t="n"/>
      <c r="Q1479" s="306" t="n"/>
    </row>
    <row r="1480" ht="18.75" customHeight="1">
      <c r="B1480" s="288" t="n">
        <v>45500</v>
      </c>
      <c r="C1480" s="289" t="n">
        <v>835</v>
      </c>
      <c r="D1480" s="290" t="inlineStr">
        <is>
          <t>Lodge 21-27 Jul 2024 (3 rooms)</t>
        </is>
      </c>
      <c r="E1480" s="306" t="inlineStr">
        <is>
          <t>-</t>
        </is>
      </c>
      <c r="F1480" s="307" t="n">
        <v>2160000</v>
      </c>
      <c r="G1480" s="289" t="inlineStr">
        <is>
          <t>IDR</t>
        </is>
      </c>
      <c r="H1480" s="293" t="n">
        <v>1</v>
      </c>
      <c r="I1480" s="306" t="n"/>
      <c r="J1480" s="306" t="n"/>
      <c r="K1480" s="306" t="n"/>
      <c r="L1480" s="307">
        <f>$F1480*$H1480</f>
        <v/>
      </c>
      <c r="M1480" s="306" t="n"/>
      <c r="N1480" s="306" t="n"/>
      <c r="O1480" s="306" t="n"/>
      <c r="P1480" s="306" t="n"/>
      <c r="Q1480" s="306" t="n"/>
    </row>
    <row r="1481" ht="18.75" customHeight="1">
      <c r="B1481" s="288" t="n">
        <v>45500</v>
      </c>
      <c r="C1481" s="289" t="n">
        <v>836</v>
      </c>
      <c r="D1481" s="290" t="inlineStr">
        <is>
          <t>Lodge 21-27 Jul 2024 (3 rooms)</t>
        </is>
      </c>
      <c r="E1481" s="306" t="inlineStr">
        <is>
          <t>-</t>
        </is>
      </c>
      <c r="F1481" s="307" t="n">
        <v>2160000</v>
      </c>
      <c r="G1481" s="289" t="inlineStr">
        <is>
          <t>IDR</t>
        </is>
      </c>
      <c r="H1481" s="293" t="n">
        <v>1</v>
      </c>
      <c r="I1481" s="306" t="n"/>
      <c r="J1481" s="306" t="n"/>
      <c r="K1481" s="306" t="n"/>
      <c r="L1481" s="307">
        <f>$F1481*$H1481</f>
        <v/>
      </c>
      <c r="M1481" s="306" t="n"/>
      <c r="N1481" s="306" t="n"/>
      <c r="O1481" s="306" t="n"/>
      <c r="P1481" s="306" t="n"/>
      <c r="Q1481" s="306" t="n"/>
    </row>
    <row r="1482">
      <c r="B1482" s="312" t="n"/>
      <c r="C1482" s="312" t="n"/>
      <c r="D1482" s="285" t="inlineStr">
        <is>
          <t>Allowance</t>
        </is>
      </c>
      <c r="E1482" s="312" t="n"/>
      <c r="F1482" s="312" t="n"/>
      <c r="G1482" s="312" t="n"/>
      <c r="H1482" s="312" t="n"/>
      <c r="I1482" s="312" t="n"/>
      <c r="J1482" s="312" t="n"/>
      <c r="K1482" s="312" t="n"/>
      <c r="L1482" s="312" t="n"/>
      <c r="M1482" s="312" t="n"/>
      <c r="N1482" s="312" t="n"/>
      <c r="O1482" s="312" t="n"/>
      <c r="P1482" s="312" t="n"/>
      <c r="Q1482" s="312" t="n"/>
    </row>
    <row r="1483" ht="34.5" customHeight="1">
      <c r="B1483" s="288" t="n">
        <v>45500</v>
      </c>
      <c r="C1483" s="289" t="n">
        <v>837</v>
      </c>
      <c r="D1483" s="290" t="inlineStr">
        <is>
          <t>Tunajngan Lapangan JRK-163 (21-27 Juli 2024). 1US$=16.200</t>
        </is>
      </c>
      <c r="E1483" s="306" t="inlineStr">
        <is>
          <t>-</t>
        </is>
      </c>
      <c r="F1483" s="307" t="n">
        <v>700</v>
      </c>
      <c r="G1483" s="289" t="inlineStr">
        <is>
          <t>IDR</t>
        </is>
      </c>
      <c r="H1483" s="293" t="n">
        <v>16200</v>
      </c>
      <c r="I1483" s="306" t="n"/>
      <c r="J1483" s="306" t="n"/>
      <c r="K1483" s="306" t="n"/>
      <c r="L1483" s="307">
        <f>$F1483*$H1483</f>
        <v/>
      </c>
      <c r="M1483" s="306" t="n"/>
      <c r="N1483" s="306" t="n"/>
      <c r="O1483" s="306" t="n"/>
      <c r="P1483" s="306" t="n"/>
      <c r="Q1483" s="306" t="n"/>
    </row>
    <row r="1484" ht="34.5" customHeight="1">
      <c r="B1484" s="288" t="n">
        <v>45500</v>
      </c>
      <c r="C1484" s="289" t="n">
        <v>838</v>
      </c>
      <c r="D1484" s="290" t="inlineStr">
        <is>
          <t>Tunajngan Lapangan JRK-163 (21-27 Juli 2024). 1US$=16.200</t>
        </is>
      </c>
      <c r="E1484" s="306" t="inlineStr">
        <is>
          <t>-</t>
        </is>
      </c>
      <c r="F1484" s="307" t="n">
        <v>700</v>
      </c>
      <c r="G1484" s="289" t="inlineStr">
        <is>
          <t>IDR</t>
        </is>
      </c>
      <c r="H1484" s="293" t="n">
        <v>16200</v>
      </c>
      <c r="I1484" s="306" t="n"/>
      <c r="J1484" s="306" t="n"/>
      <c r="K1484" s="306" t="n"/>
      <c r="L1484" s="307">
        <f>$F1484*$H1484</f>
        <v/>
      </c>
      <c r="M1484" s="306" t="n"/>
      <c r="N1484" s="306" t="n"/>
      <c r="O1484" s="306" t="n"/>
      <c r="P1484" s="306" t="n"/>
      <c r="Q1484" s="306" t="n"/>
    </row>
    <row r="1485" ht="34.5" customHeight="1">
      <c r="B1485" s="288" t="n">
        <v>45500</v>
      </c>
      <c r="C1485" s="289" t="n">
        <v>839</v>
      </c>
      <c r="D1485" s="290" t="inlineStr">
        <is>
          <t>Tunajngan Lapangan JRK-163 (21-27 Juli 2024). 1US$=16.200</t>
        </is>
      </c>
      <c r="E1485" s="306" t="inlineStr">
        <is>
          <t>-</t>
        </is>
      </c>
      <c r="F1485" s="307" t="n">
        <v>700</v>
      </c>
      <c r="G1485" s="289" t="inlineStr">
        <is>
          <t>IDR</t>
        </is>
      </c>
      <c r="H1485" s="293" t="n">
        <v>16200</v>
      </c>
      <c r="I1485" s="306" t="n"/>
      <c r="J1485" s="306" t="n"/>
      <c r="K1485" s="306" t="n"/>
      <c r="L1485" s="307">
        <f>$F1485*$H1485</f>
        <v/>
      </c>
      <c r="M1485" s="306" t="n"/>
      <c r="N1485" s="306" t="n"/>
      <c r="O1485" s="306" t="n"/>
      <c r="P1485" s="306" t="n"/>
      <c r="Q1485" s="306" t="n"/>
    </row>
    <row r="1486" ht="34.5" customHeight="1">
      <c r="B1486" s="288" t="n">
        <v>45500</v>
      </c>
      <c r="C1486" s="289" t="n">
        <v>840</v>
      </c>
      <c r="D1486" s="290" t="inlineStr">
        <is>
          <t>Tunajngan Lapangan JRK-163 (21-27 Juli 2024). 1US$=16.200</t>
        </is>
      </c>
      <c r="E1486" s="306" t="inlineStr">
        <is>
          <t>-</t>
        </is>
      </c>
      <c r="F1486" s="307" t="n">
        <v>700</v>
      </c>
      <c r="G1486" s="289" t="inlineStr">
        <is>
          <t>IDR</t>
        </is>
      </c>
      <c r="H1486" s="293" t="n">
        <v>16200</v>
      </c>
      <c r="I1486" s="306" t="n"/>
      <c r="J1486" s="306" t="n"/>
      <c r="K1486" s="306" t="n"/>
      <c r="L1486" s="307">
        <f>$F1486*$H1486</f>
        <v/>
      </c>
      <c r="M1486" s="306" t="n"/>
      <c r="N1486" s="306" t="n"/>
      <c r="O1486" s="306" t="n"/>
      <c r="P1486" s="306" t="n"/>
      <c r="Q1486" s="306" t="n"/>
    </row>
    <row r="1487">
      <c r="B1487" s="312" t="n"/>
      <c r="C1487" s="312" t="n"/>
      <c r="D1487" s="285" t="inlineStr">
        <is>
          <t>Biaya Operasi Lain-lain</t>
        </is>
      </c>
      <c r="E1487" s="312" t="n"/>
      <c r="F1487" s="312" t="n"/>
      <c r="G1487" s="312" t="n"/>
      <c r="H1487" s="312" t="n"/>
      <c r="I1487" s="312" t="n"/>
      <c r="J1487" s="312" t="n"/>
      <c r="K1487" s="312" t="n"/>
      <c r="L1487" s="312" t="n"/>
      <c r="M1487" s="312" t="n"/>
      <c r="N1487" s="312" t="n"/>
      <c r="O1487" s="312" t="n"/>
      <c r="P1487" s="312" t="n"/>
      <c r="Q1487" s="312" t="n"/>
    </row>
    <row r="1488" ht="18.75" customHeight="1">
      <c r="B1488" s="288" t="n">
        <v>45494</v>
      </c>
      <c r="C1488" s="289" t="n">
        <v>841</v>
      </c>
      <c r="D1488" s="290" t="inlineStr">
        <is>
          <t>Jakarta - Palembang</t>
        </is>
      </c>
      <c r="E1488" s="306" t="inlineStr">
        <is>
          <t>-</t>
        </is>
      </c>
      <c r="F1488" s="307" t="n">
        <v>985367</v>
      </c>
      <c r="G1488" s="289" t="inlineStr">
        <is>
          <t>IDR</t>
        </is>
      </c>
      <c r="H1488" s="293" t="n">
        <v>1</v>
      </c>
      <c r="I1488" s="306" t="n"/>
      <c r="J1488" s="306" t="n"/>
      <c r="K1488" s="306" t="n"/>
      <c r="L1488" s="307">
        <f>$F1488*$H1488</f>
        <v/>
      </c>
      <c r="M1488" s="306" t="n"/>
      <c r="N1488" s="306" t="n"/>
      <c r="O1488" s="306" t="n"/>
      <c r="P1488" s="306" t="n"/>
      <c r="Q1488" s="306" t="n"/>
    </row>
    <row r="1489" ht="18.75" customHeight="1">
      <c r="B1489" s="288" t="n">
        <v>45494</v>
      </c>
      <c r="C1489" s="289" t="n">
        <v>842</v>
      </c>
      <c r="D1489" s="290" t="inlineStr">
        <is>
          <t>Jakarta - Palembang</t>
        </is>
      </c>
      <c r="E1489" s="306" t="inlineStr">
        <is>
          <t>-</t>
        </is>
      </c>
      <c r="F1489" s="307" t="n">
        <v>400000</v>
      </c>
      <c r="G1489" s="289" t="inlineStr">
        <is>
          <t>IDR</t>
        </is>
      </c>
      <c r="H1489" s="293" t="n">
        <v>1</v>
      </c>
      <c r="I1489" s="306" t="n"/>
      <c r="J1489" s="306" t="n"/>
      <c r="K1489" s="306" t="n"/>
      <c r="L1489" s="307">
        <f>$F1489*$H1489</f>
        <v/>
      </c>
      <c r="M1489" s="306" t="n"/>
      <c r="N1489" s="306" t="n"/>
      <c r="O1489" s="306" t="n"/>
      <c r="P1489" s="306" t="n"/>
      <c r="Q1489" s="306" t="n"/>
    </row>
    <row r="1490" ht="18.75" customHeight="1">
      <c r="B1490" s="288" t="n">
        <v>45494</v>
      </c>
      <c r="C1490" s="289" t="n">
        <v>843</v>
      </c>
      <c r="D1490" s="290" t="inlineStr">
        <is>
          <t>Jakarta - Palembang</t>
        </is>
      </c>
      <c r="E1490" s="306" t="inlineStr">
        <is>
          <t>-</t>
        </is>
      </c>
      <c r="F1490" s="307" t="n">
        <v>985367</v>
      </c>
      <c r="G1490" s="289" t="inlineStr">
        <is>
          <t>IDR</t>
        </is>
      </c>
      <c r="H1490" s="293" t="n">
        <v>1</v>
      </c>
      <c r="I1490" s="306" t="n"/>
      <c r="J1490" s="306" t="n"/>
      <c r="K1490" s="306" t="n"/>
      <c r="L1490" s="307">
        <f>$F1490*$H1490</f>
        <v/>
      </c>
      <c r="M1490" s="306" t="n"/>
      <c r="N1490" s="306" t="n"/>
      <c r="O1490" s="306" t="n"/>
      <c r="P1490" s="306" t="n"/>
      <c r="Q1490" s="306" t="n"/>
    </row>
    <row r="1491" ht="18.75" customHeight="1">
      <c r="B1491" s="288" t="n">
        <v>45494</v>
      </c>
      <c r="C1491" s="289" t="n">
        <v>844</v>
      </c>
      <c r="D1491" s="290" t="inlineStr">
        <is>
          <t>Jakarta - Palembang</t>
        </is>
      </c>
      <c r="E1491" s="306" t="inlineStr">
        <is>
          <t>-</t>
        </is>
      </c>
      <c r="F1491" s="307" t="n">
        <v>400000</v>
      </c>
      <c r="G1491" s="289" t="inlineStr">
        <is>
          <t>IDR</t>
        </is>
      </c>
      <c r="H1491" s="293" t="n">
        <v>1</v>
      </c>
      <c r="I1491" s="306" t="n"/>
      <c r="J1491" s="306" t="n"/>
      <c r="K1491" s="306" t="n"/>
      <c r="L1491" s="307">
        <f>$F1491*$H1491</f>
        <v/>
      </c>
      <c r="M1491" s="306" t="n"/>
      <c r="N1491" s="306" t="n"/>
      <c r="O1491" s="306" t="n"/>
      <c r="P1491" s="306" t="n"/>
      <c r="Q1491" s="306" t="n"/>
    </row>
    <row r="1492" ht="18.75" customHeight="1">
      <c r="B1492" s="288" t="n">
        <v>45494</v>
      </c>
      <c r="C1492" s="289" t="n">
        <v>845</v>
      </c>
      <c r="D1492" s="290" t="inlineStr">
        <is>
          <t>Jakarta - Palembang</t>
        </is>
      </c>
      <c r="E1492" s="306" t="inlineStr">
        <is>
          <t>-</t>
        </is>
      </c>
      <c r="F1492" s="307" t="n">
        <v>985367</v>
      </c>
      <c r="G1492" s="289" t="inlineStr">
        <is>
          <t>IDR</t>
        </is>
      </c>
      <c r="H1492" s="293" t="n">
        <v>1</v>
      </c>
      <c r="I1492" s="306" t="n"/>
      <c r="J1492" s="306" t="n"/>
      <c r="K1492" s="306" t="n"/>
      <c r="L1492" s="307">
        <f>$F1492*$H1492</f>
        <v/>
      </c>
      <c r="M1492" s="306" t="n"/>
      <c r="N1492" s="306" t="n"/>
      <c r="O1492" s="306" t="n"/>
      <c r="P1492" s="306" t="n"/>
      <c r="Q1492" s="306" t="n"/>
    </row>
    <row r="1493" ht="18.75" customHeight="1">
      <c r="B1493" s="288" t="n">
        <v>45494</v>
      </c>
      <c r="C1493" s="289" t="n">
        <v>846</v>
      </c>
      <c r="D1493" s="290" t="inlineStr">
        <is>
          <t>Jakarta - Palembang</t>
        </is>
      </c>
      <c r="E1493" s="306" t="inlineStr">
        <is>
          <t>-</t>
        </is>
      </c>
      <c r="F1493" s="307" t="n">
        <v>400000</v>
      </c>
      <c r="G1493" s="289" t="inlineStr">
        <is>
          <t>IDR</t>
        </is>
      </c>
      <c r="H1493" s="293" t="n">
        <v>1</v>
      </c>
      <c r="I1493" s="306" t="n"/>
      <c r="J1493" s="306" t="n"/>
      <c r="K1493" s="306" t="n"/>
      <c r="L1493" s="307">
        <f>$F1493*$H1493</f>
        <v/>
      </c>
      <c r="M1493" s="306" t="n"/>
      <c r="N1493" s="306" t="n"/>
      <c r="O1493" s="306" t="n"/>
      <c r="P1493" s="306" t="n"/>
      <c r="Q1493" s="306" t="n"/>
    </row>
    <row r="1494" ht="18.75" customHeight="1">
      <c r="B1494" s="288" t="n">
        <v>45494</v>
      </c>
      <c r="C1494" s="289" t="n">
        <v>847</v>
      </c>
      <c r="D1494" s="290" t="inlineStr">
        <is>
          <t>Jakarta - Palembang</t>
        </is>
      </c>
      <c r="E1494" s="306" t="inlineStr">
        <is>
          <t>-</t>
        </is>
      </c>
      <c r="F1494" s="307" t="n">
        <v>985367</v>
      </c>
      <c r="G1494" s="289" t="inlineStr">
        <is>
          <t>IDR</t>
        </is>
      </c>
      <c r="H1494" s="293" t="n">
        <v>1</v>
      </c>
      <c r="I1494" s="306" t="n"/>
      <c r="J1494" s="306" t="n"/>
      <c r="K1494" s="306" t="n"/>
      <c r="L1494" s="307">
        <f>$F1494*$H1494</f>
        <v/>
      </c>
      <c r="M1494" s="306" t="n"/>
      <c r="N1494" s="306" t="n"/>
      <c r="O1494" s="306" t="n"/>
      <c r="P1494" s="306" t="n"/>
      <c r="Q1494" s="306" t="n"/>
    </row>
    <row r="1495" ht="18.75" customHeight="1">
      <c r="B1495" s="288" t="n">
        <v>45494</v>
      </c>
      <c r="C1495" s="289" t="n">
        <v>848</v>
      </c>
      <c r="D1495" s="290" t="inlineStr">
        <is>
          <t>Jakarta - Palembang</t>
        </is>
      </c>
      <c r="E1495" s="306" t="inlineStr">
        <is>
          <t>-</t>
        </is>
      </c>
      <c r="F1495" s="307" t="n">
        <v>400000</v>
      </c>
      <c r="G1495" s="289" t="inlineStr">
        <is>
          <t>IDR</t>
        </is>
      </c>
      <c r="H1495" s="293" t="n">
        <v>1</v>
      </c>
      <c r="I1495" s="306" t="n"/>
      <c r="J1495" s="306" t="n"/>
      <c r="K1495" s="306" t="n"/>
      <c r="L1495" s="307">
        <f>$F1495*$H1495</f>
        <v/>
      </c>
      <c r="M1495" s="306" t="n"/>
      <c r="N1495" s="306" t="n"/>
      <c r="O1495" s="306" t="n"/>
      <c r="P1495" s="306" t="n"/>
      <c r="Q1495" s="306" t="n"/>
    </row>
    <row r="1496">
      <c r="B1496" s="312" t="n"/>
      <c r="C1496" s="312" t="n"/>
      <c r="D1496" s="285" t="inlineStr">
        <is>
          <t>Hand Tools</t>
        </is>
      </c>
      <c r="E1496" s="312" t="n"/>
      <c r="F1496" s="312" t="n"/>
      <c r="G1496" s="312" t="n"/>
      <c r="H1496" s="312" t="n"/>
      <c r="I1496" s="312" t="n"/>
      <c r="J1496" s="312" t="n"/>
      <c r="K1496" s="312" t="n"/>
      <c r="L1496" s="312" t="n"/>
      <c r="M1496" s="312" t="n"/>
      <c r="N1496" s="312" t="n"/>
      <c r="O1496" s="312" t="n"/>
      <c r="P1496" s="312" t="n"/>
      <c r="Q1496" s="312" t="n"/>
    </row>
    <row r="1497" ht="18.75" customHeight="1">
      <c r="B1497" s="288" t="n">
        <v>45495</v>
      </c>
      <c r="C1497" s="289" t="n">
        <v>849</v>
      </c>
      <c r="D1497" s="290" t="inlineStr">
        <is>
          <t>Rags - Gloves</t>
        </is>
      </c>
      <c r="E1497" s="306" t="inlineStr">
        <is>
          <t>-</t>
        </is>
      </c>
      <c r="F1497" s="307" t="n">
        <v>70000</v>
      </c>
      <c r="G1497" s="289" t="inlineStr">
        <is>
          <t>IDR</t>
        </is>
      </c>
      <c r="H1497" s="293" t="n">
        <v>1</v>
      </c>
      <c r="I1497" s="306" t="n"/>
      <c r="J1497" s="306" t="n"/>
      <c r="K1497" s="306" t="n"/>
      <c r="L1497" s="306" t="n"/>
      <c r="M1497" s="306" t="n"/>
      <c r="N1497" s="307">
        <f>$F1497*$H1497</f>
        <v/>
      </c>
      <c r="O1497" s="306" t="n"/>
      <c r="P1497" s="306" t="n"/>
      <c r="Q1497" s="306" t="n"/>
    </row>
    <row r="1498" ht="18.75" customHeight="1">
      <c r="B1498" s="288" t="n">
        <v>45495</v>
      </c>
      <c r="C1498" s="289" t="n">
        <v>850</v>
      </c>
      <c r="D1498" s="290" t="inlineStr">
        <is>
          <t>Rags - Gloves</t>
        </is>
      </c>
      <c r="E1498" s="306" t="inlineStr">
        <is>
          <t>-</t>
        </is>
      </c>
      <c r="F1498" s="307" t="n">
        <v>70000</v>
      </c>
      <c r="G1498" s="289" t="inlineStr">
        <is>
          <t>IDR</t>
        </is>
      </c>
      <c r="H1498" s="293" t="n">
        <v>1</v>
      </c>
      <c r="I1498" s="306" t="n"/>
      <c r="J1498" s="306" t="n"/>
      <c r="K1498" s="306" t="n"/>
      <c r="L1498" s="306" t="n"/>
      <c r="M1498" s="306" t="n"/>
      <c r="N1498" s="307">
        <f>$F1498*$H1498</f>
        <v/>
      </c>
      <c r="O1498" s="306" t="n"/>
      <c r="P1498" s="306" t="n"/>
      <c r="Q1498" s="306" t="n"/>
    </row>
    <row r="1499" ht="18.75" customHeight="1">
      <c r="B1499" s="288" t="n">
        <v>45495</v>
      </c>
      <c r="C1499" s="289" t="n">
        <v>851</v>
      </c>
      <c r="D1499" s="290" t="inlineStr">
        <is>
          <t>Rags - Gloves</t>
        </is>
      </c>
      <c r="E1499" s="306" t="inlineStr">
        <is>
          <t>-</t>
        </is>
      </c>
      <c r="F1499" s="307" t="n">
        <v>70000</v>
      </c>
      <c r="G1499" s="289" t="inlineStr">
        <is>
          <t>IDR</t>
        </is>
      </c>
      <c r="H1499" s="293" t="n">
        <v>1</v>
      </c>
      <c r="I1499" s="306" t="n"/>
      <c r="J1499" s="306" t="n"/>
      <c r="K1499" s="306" t="n"/>
      <c r="L1499" s="306" t="n"/>
      <c r="M1499" s="306" t="n"/>
      <c r="N1499" s="307">
        <f>$F1499*$H1499</f>
        <v/>
      </c>
      <c r="O1499" s="306" t="n"/>
      <c r="P1499" s="306" t="n"/>
      <c r="Q1499" s="306" t="n"/>
    </row>
    <row r="1500" ht="18.75" customHeight="1">
      <c r="B1500" s="288" t="n">
        <v>45495</v>
      </c>
      <c r="C1500" s="289" t="n">
        <v>852</v>
      </c>
      <c r="D1500" s="290" t="inlineStr">
        <is>
          <t>Rags - Gloves</t>
        </is>
      </c>
      <c r="E1500" s="306" t="inlineStr">
        <is>
          <t>-</t>
        </is>
      </c>
      <c r="F1500" s="307" t="n">
        <v>70000</v>
      </c>
      <c r="G1500" s="289" t="inlineStr">
        <is>
          <t>IDR</t>
        </is>
      </c>
      <c r="H1500" s="293" t="n">
        <v>1</v>
      </c>
      <c r="I1500" s="306" t="n"/>
      <c r="J1500" s="306" t="n"/>
      <c r="K1500" s="306" t="n"/>
      <c r="L1500" s="306" t="n"/>
      <c r="M1500" s="306" t="n"/>
      <c r="N1500" s="307">
        <f>$F1500*$H1500</f>
        <v/>
      </c>
      <c r="O1500" s="306" t="n"/>
      <c r="P1500" s="306" t="n"/>
      <c r="Q1500" s="306" t="n"/>
    </row>
    <row r="1501">
      <c r="B1501" s="312" t="n"/>
      <c r="C1501" s="312" t="n"/>
      <c r="D1501" s="285" t="inlineStr">
        <is>
          <t>Laundry</t>
        </is>
      </c>
      <c r="E1501" s="312" t="n"/>
      <c r="F1501" s="312" t="n"/>
      <c r="G1501" s="312" t="n"/>
      <c r="H1501" s="312" t="n"/>
      <c r="I1501" s="312" t="n"/>
      <c r="J1501" s="312" t="n"/>
      <c r="K1501" s="312" t="n"/>
      <c r="L1501" s="312" t="n"/>
      <c r="M1501" s="312" t="n"/>
      <c r="N1501" s="312" t="n"/>
      <c r="O1501" s="312" t="n"/>
      <c r="P1501" s="312" t="n"/>
      <c r="Q1501" s="312" t="n"/>
    </row>
    <row r="1502" ht="18.75" customHeight="1">
      <c r="B1502" s="288" t="n">
        <v>45500</v>
      </c>
      <c r="C1502" s="289" t="n">
        <v>853</v>
      </c>
      <c r="D1502" s="290" t="inlineStr">
        <is>
          <t>Laundry (21 - 27 Juli 2024)</t>
        </is>
      </c>
      <c r="E1502" s="306" t="inlineStr">
        <is>
          <t>-</t>
        </is>
      </c>
      <c r="F1502" s="307" t="n">
        <v>350000</v>
      </c>
      <c r="G1502" s="289" t="inlineStr">
        <is>
          <t>IDR</t>
        </is>
      </c>
      <c r="H1502" s="293" t="n">
        <v>1</v>
      </c>
      <c r="I1502" s="306" t="n"/>
      <c r="J1502" s="306" t="n"/>
      <c r="K1502" s="306" t="n"/>
      <c r="L1502" s="307">
        <f>$F1502*$H1502</f>
        <v/>
      </c>
      <c r="M1502" s="306" t="n"/>
      <c r="N1502" s="306" t="n"/>
      <c r="O1502" s="306" t="n"/>
      <c r="P1502" s="306" t="n"/>
      <c r="Q1502" s="306" t="n"/>
    </row>
    <row r="1503" ht="18.75" customHeight="1">
      <c r="B1503" s="288" t="n">
        <v>45500</v>
      </c>
      <c r="C1503" s="289" t="n">
        <v>854</v>
      </c>
      <c r="D1503" s="290" t="inlineStr">
        <is>
          <t>Laundry (21 - 27 Juli 2024)</t>
        </is>
      </c>
      <c r="E1503" s="306" t="inlineStr">
        <is>
          <t>-</t>
        </is>
      </c>
      <c r="F1503" s="307" t="n">
        <v>350000</v>
      </c>
      <c r="G1503" s="289" t="inlineStr">
        <is>
          <t>IDR</t>
        </is>
      </c>
      <c r="H1503" s="293" t="n">
        <v>1</v>
      </c>
      <c r="I1503" s="306" t="n"/>
      <c r="J1503" s="306" t="n"/>
      <c r="K1503" s="306" t="n"/>
      <c r="L1503" s="307">
        <f>$F1503*$H1503</f>
        <v/>
      </c>
      <c r="M1503" s="306" t="n"/>
      <c r="N1503" s="306" t="n"/>
      <c r="O1503" s="306" t="n"/>
      <c r="P1503" s="306" t="n"/>
      <c r="Q1503" s="306" t="n"/>
    </row>
    <row r="1504" ht="18.75" customHeight="1">
      <c r="B1504" s="288" t="n">
        <v>45500</v>
      </c>
      <c r="C1504" s="289" t="n">
        <v>855</v>
      </c>
      <c r="D1504" s="290" t="inlineStr">
        <is>
          <t>Laundry (21 - 27 Juli 2024)</t>
        </is>
      </c>
      <c r="E1504" s="306" t="inlineStr">
        <is>
          <t>-</t>
        </is>
      </c>
      <c r="F1504" s="307" t="n">
        <v>350000</v>
      </c>
      <c r="G1504" s="289" t="inlineStr">
        <is>
          <t>IDR</t>
        </is>
      </c>
      <c r="H1504" s="293" t="n">
        <v>1</v>
      </c>
      <c r="I1504" s="306" t="n"/>
      <c r="J1504" s="306" t="n"/>
      <c r="K1504" s="306" t="n"/>
      <c r="L1504" s="307">
        <f>$F1504*$H1504</f>
        <v/>
      </c>
      <c r="M1504" s="306" t="n"/>
      <c r="N1504" s="306" t="n"/>
      <c r="O1504" s="306" t="n"/>
      <c r="P1504" s="306" t="n"/>
      <c r="Q1504" s="306" t="n"/>
    </row>
    <row r="1505" ht="18.75" customHeight="1">
      <c r="B1505" s="288" t="n">
        <v>45500</v>
      </c>
      <c r="C1505" s="289" t="n">
        <v>856</v>
      </c>
      <c r="D1505" s="290" t="inlineStr">
        <is>
          <t>Laundry (21 - 27 Juli 2024)</t>
        </is>
      </c>
      <c r="E1505" s="306" t="inlineStr">
        <is>
          <t>-</t>
        </is>
      </c>
      <c r="F1505" s="307" t="n">
        <v>350000</v>
      </c>
      <c r="G1505" s="289" t="inlineStr">
        <is>
          <t>IDR</t>
        </is>
      </c>
      <c r="H1505" s="293" t="n">
        <v>1</v>
      </c>
      <c r="I1505" s="306" t="n"/>
      <c r="J1505" s="306" t="n"/>
      <c r="K1505" s="306" t="n"/>
      <c r="L1505" s="307">
        <f>$F1505*$H1505</f>
        <v/>
      </c>
      <c r="M1505" s="306" t="n"/>
      <c r="N1505" s="306" t="n"/>
      <c r="O1505" s="306" t="n"/>
      <c r="P1505" s="306" t="n"/>
      <c r="Q1505" s="306" t="n"/>
    </row>
    <row r="1506">
      <c r="B1506" s="312" t="n"/>
      <c r="C1506" s="312" t="n"/>
      <c r="D1506" s="285" t="inlineStr">
        <is>
          <t>Meal</t>
        </is>
      </c>
      <c r="E1506" s="312" t="n"/>
      <c r="F1506" s="312" t="n"/>
      <c r="G1506" s="312" t="n"/>
      <c r="H1506" s="312" t="n"/>
      <c r="I1506" s="312" t="n"/>
      <c r="J1506" s="312" t="n"/>
      <c r="K1506" s="312" t="n"/>
      <c r="L1506" s="312" t="n"/>
      <c r="M1506" s="312" t="n"/>
      <c r="N1506" s="312" t="n"/>
      <c r="O1506" s="312" t="n"/>
      <c r="P1506" s="312" t="n"/>
      <c r="Q1506" s="312" t="n"/>
    </row>
    <row r="1507" ht="18.75" customHeight="1">
      <c r="B1507" s="288" t="n">
        <v>45500</v>
      </c>
      <c r="C1507" s="289" t="n">
        <v>857</v>
      </c>
      <c r="D1507" s="290" t="inlineStr">
        <is>
          <t>Uang Makan (21 - 27 Juli 2024)</t>
        </is>
      </c>
      <c r="E1507" s="306" t="inlineStr">
        <is>
          <t>-</t>
        </is>
      </c>
      <c r="F1507" s="307" t="n">
        <v>1050000</v>
      </c>
      <c r="G1507" s="289" t="inlineStr">
        <is>
          <t>IDR</t>
        </is>
      </c>
      <c r="H1507" s="293" t="n">
        <v>1</v>
      </c>
      <c r="I1507" s="306" t="n"/>
      <c r="J1507" s="306" t="n"/>
      <c r="K1507" s="306" t="n"/>
      <c r="L1507" s="307">
        <f>$F1507*$H1507</f>
        <v/>
      </c>
      <c r="M1507" s="306" t="n"/>
      <c r="N1507" s="306" t="n"/>
      <c r="O1507" s="306" t="n"/>
      <c r="P1507" s="306" t="n"/>
      <c r="Q1507" s="306" t="n"/>
    </row>
    <row r="1508" ht="18.75" customHeight="1">
      <c r="B1508" s="288" t="n">
        <v>45500</v>
      </c>
      <c r="C1508" s="289" t="n">
        <v>858</v>
      </c>
      <c r="D1508" s="290" t="inlineStr">
        <is>
          <t>Uang Makan (21 - 27 Juli 2024)</t>
        </is>
      </c>
      <c r="E1508" s="306" t="inlineStr">
        <is>
          <t>-</t>
        </is>
      </c>
      <c r="F1508" s="307" t="n">
        <v>1050000</v>
      </c>
      <c r="G1508" s="289" t="inlineStr">
        <is>
          <t>IDR</t>
        </is>
      </c>
      <c r="H1508" s="293" t="n">
        <v>1</v>
      </c>
      <c r="I1508" s="306" t="n"/>
      <c r="J1508" s="306" t="n"/>
      <c r="K1508" s="306" t="n"/>
      <c r="L1508" s="307">
        <f>$F1508*$H1508</f>
        <v/>
      </c>
      <c r="M1508" s="306" t="n"/>
      <c r="N1508" s="306" t="n"/>
      <c r="O1508" s="306" t="n"/>
      <c r="P1508" s="306" t="n"/>
      <c r="Q1508" s="306" t="n"/>
    </row>
    <row r="1509" ht="18.75" customHeight="1">
      <c r="B1509" s="288" t="n">
        <v>45500</v>
      </c>
      <c r="C1509" s="289" t="n">
        <v>859</v>
      </c>
      <c r="D1509" s="290" t="inlineStr">
        <is>
          <t>Uang Makan (21 - 27 Juli 2024)</t>
        </is>
      </c>
      <c r="E1509" s="306" t="inlineStr">
        <is>
          <t>-</t>
        </is>
      </c>
      <c r="F1509" s="307" t="n">
        <v>1050000</v>
      </c>
      <c r="G1509" s="289" t="inlineStr">
        <is>
          <t>IDR</t>
        </is>
      </c>
      <c r="H1509" s="293" t="n">
        <v>1</v>
      </c>
      <c r="I1509" s="306" t="n"/>
      <c r="J1509" s="306" t="n"/>
      <c r="K1509" s="306" t="n"/>
      <c r="L1509" s="307">
        <f>$F1509*$H1509</f>
        <v/>
      </c>
      <c r="M1509" s="306" t="n"/>
      <c r="N1509" s="306" t="n"/>
      <c r="O1509" s="306" t="n"/>
      <c r="P1509" s="306" t="n"/>
      <c r="Q1509" s="306" t="n"/>
    </row>
    <row r="1510" ht="18.75" customHeight="1">
      <c r="B1510" s="288" t="n">
        <v>45500</v>
      </c>
      <c r="C1510" s="289" t="n">
        <v>860</v>
      </c>
      <c r="D1510" s="290" t="inlineStr">
        <is>
          <t>Uang Makan (21 - 27 Juli 2024)</t>
        </is>
      </c>
      <c r="E1510" s="306" t="inlineStr">
        <is>
          <t>-</t>
        </is>
      </c>
      <c r="F1510" s="307" t="n">
        <v>1050000</v>
      </c>
      <c r="G1510" s="289" t="inlineStr">
        <is>
          <t>IDR</t>
        </is>
      </c>
      <c r="H1510" s="293" t="n">
        <v>1</v>
      </c>
      <c r="I1510" s="306" t="n"/>
      <c r="J1510" s="306" t="n"/>
      <c r="K1510" s="306" t="n"/>
      <c r="L1510" s="307">
        <f>$F1510*$H1510</f>
        <v/>
      </c>
      <c r="M1510" s="306" t="n"/>
      <c r="N1510" s="306" t="n"/>
      <c r="O1510" s="306" t="n"/>
      <c r="P1510" s="306" t="n"/>
      <c r="Q1510" s="306" t="n"/>
    </row>
    <row r="1511">
      <c r="B1511" s="312" t="n"/>
      <c r="C1511" s="312" t="n"/>
      <c r="D1511" s="285" t="inlineStr">
        <is>
          <t>Sparepart</t>
        </is>
      </c>
      <c r="E1511" s="312" t="n"/>
      <c r="F1511" s="312" t="n"/>
      <c r="G1511" s="312" t="n"/>
      <c r="H1511" s="312" t="n"/>
      <c r="I1511" s="312" t="n"/>
      <c r="J1511" s="312" t="n"/>
      <c r="K1511" s="312" t="n"/>
      <c r="L1511" s="312" t="n"/>
      <c r="M1511" s="312" t="n"/>
      <c r="N1511" s="312" t="n"/>
      <c r="O1511" s="312" t="n"/>
      <c r="P1511" s="312" t="n"/>
      <c r="Q1511" s="312" t="n"/>
    </row>
    <row r="1512" ht="18.75" customHeight="1">
      <c r="B1512" s="288" t="n">
        <v>45498</v>
      </c>
      <c r="C1512" s="289" t="n">
        <v>861</v>
      </c>
      <c r="D1512" s="290" t="inlineStr">
        <is>
          <t>Snacks</t>
        </is>
      </c>
      <c r="E1512" s="306" t="inlineStr">
        <is>
          <t>-</t>
        </is>
      </c>
      <c r="F1512" s="307" t="n">
        <v>195000</v>
      </c>
      <c r="G1512" s="289" t="inlineStr">
        <is>
          <t>IDR</t>
        </is>
      </c>
      <c r="H1512" s="293" t="n">
        <v>1</v>
      </c>
      <c r="I1512" s="306" t="n"/>
      <c r="J1512" s="306" t="n"/>
      <c r="K1512" s="306" t="n"/>
      <c r="L1512" s="306" t="n"/>
      <c r="M1512" s="306" t="n"/>
      <c r="N1512" s="307">
        <f>$F1512*$H1512</f>
        <v/>
      </c>
      <c r="O1512" s="306" t="n"/>
      <c r="P1512" s="306" t="n"/>
      <c r="Q1512" s="306" t="n"/>
    </row>
    <row r="1513" ht="18.75" customHeight="1">
      <c r="B1513" s="288" t="n">
        <v>45498</v>
      </c>
      <c r="C1513" s="289" t="n">
        <v>862</v>
      </c>
      <c r="D1513" s="290" t="inlineStr">
        <is>
          <t>Battery for DTR (Spare)</t>
        </is>
      </c>
      <c r="E1513" s="306" t="inlineStr">
        <is>
          <t>-</t>
        </is>
      </c>
      <c r="F1513" s="307" t="n">
        <v>38900</v>
      </c>
      <c r="G1513" s="289" t="inlineStr">
        <is>
          <t>IDR</t>
        </is>
      </c>
      <c r="H1513" s="293" t="n">
        <v>1</v>
      </c>
      <c r="I1513" s="306" t="n"/>
      <c r="J1513" s="306" t="n"/>
      <c r="K1513" s="306" t="n"/>
      <c r="L1513" s="306" t="n"/>
      <c r="M1513" s="306" t="n"/>
      <c r="N1513" s="307">
        <f>$F1513*$H1513</f>
        <v/>
      </c>
      <c r="O1513" s="306" t="n"/>
      <c r="P1513" s="306" t="n"/>
      <c r="Q1513" s="306" t="n"/>
    </row>
    <row r="1514" ht="18.75" customHeight="1">
      <c r="B1514" s="288" t="n">
        <v>45498</v>
      </c>
      <c r="C1514" s="289" t="n">
        <v>863</v>
      </c>
      <c r="D1514" s="290" t="inlineStr">
        <is>
          <t>Snacks</t>
        </is>
      </c>
      <c r="E1514" s="306" t="inlineStr">
        <is>
          <t>-</t>
        </is>
      </c>
      <c r="F1514" s="307" t="n">
        <v>195000</v>
      </c>
      <c r="G1514" s="289" t="inlineStr">
        <is>
          <t>IDR</t>
        </is>
      </c>
      <c r="H1514" s="293" t="n">
        <v>1</v>
      </c>
      <c r="I1514" s="306" t="n"/>
      <c r="J1514" s="306" t="n"/>
      <c r="K1514" s="306" t="n"/>
      <c r="L1514" s="306" t="n"/>
      <c r="M1514" s="306" t="n"/>
      <c r="N1514" s="307">
        <f>$F1514*$H1514</f>
        <v/>
      </c>
      <c r="O1514" s="306" t="n"/>
      <c r="P1514" s="306" t="n"/>
      <c r="Q1514" s="306" t="n"/>
    </row>
    <row r="1515" ht="18.75" customHeight="1">
      <c r="B1515" s="288" t="n">
        <v>45498</v>
      </c>
      <c r="C1515" s="289" t="n">
        <v>864</v>
      </c>
      <c r="D1515" s="290" t="inlineStr">
        <is>
          <t>Battery for DTR (Spare)</t>
        </is>
      </c>
      <c r="E1515" s="306" t="inlineStr">
        <is>
          <t>-</t>
        </is>
      </c>
      <c r="F1515" s="307" t="n">
        <v>38900</v>
      </c>
      <c r="G1515" s="289" t="inlineStr">
        <is>
          <t>IDR</t>
        </is>
      </c>
      <c r="H1515" s="293" t="n">
        <v>1</v>
      </c>
      <c r="I1515" s="306" t="n"/>
      <c r="J1515" s="306" t="n"/>
      <c r="K1515" s="306" t="n"/>
      <c r="L1515" s="306" t="n"/>
      <c r="M1515" s="306" t="n"/>
      <c r="N1515" s="307">
        <f>$F1515*$H1515</f>
        <v/>
      </c>
      <c r="O1515" s="306" t="n"/>
      <c r="P1515" s="306" t="n"/>
      <c r="Q1515" s="306" t="n"/>
    </row>
    <row r="1516" ht="18.75" customHeight="1">
      <c r="B1516" s="288" t="n">
        <v>45498</v>
      </c>
      <c r="C1516" s="289" t="n">
        <v>865</v>
      </c>
      <c r="D1516" s="290" t="inlineStr">
        <is>
          <t>Snacks</t>
        </is>
      </c>
      <c r="E1516" s="306" t="inlineStr">
        <is>
          <t>-</t>
        </is>
      </c>
      <c r="F1516" s="307" t="n">
        <v>195000</v>
      </c>
      <c r="G1516" s="289" t="inlineStr">
        <is>
          <t>IDR</t>
        </is>
      </c>
      <c r="H1516" s="293" t="n">
        <v>1</v>
      </c>
      <c r="I1516" s="306" t="n"/>
      <c r="J1516" s="306" t="n"/>
      <c r="K1516" s="306" t="n"/>
      <c r="L1516" s="306" t="n"/>
      <c r="M1516" s="306" t="n"/>
      <c r="N1516" s="307">
        <f>$F1516*$H1516</f>
        <v/>
      </c>
      <c r="O1516" s="306" t="n"/>
      <c r="P1516" s="306" t="n"/>
      <c r="Q1516" s="306" t="n"/>
    </row>
    <row r="1517" ht="18.75" customHeight="1">
      <c r="B1517" s="288" t="n">
        <v>45498</v>
      </c>
      <c r="C1517" s="289" t="n">
        <v>866</v>
      </c>
      <c r="D1517" s="290" t="inlineStr">
        <is>
          <t>Battery for DTR (Spare)</t>
        </is>
      </c>
      <c r="E1517" s="306" t="inlineStr">
        <is>
          <t>-</t>
        </is>
      </c>
      <c r="F1517" s="307" t="n">
        <v>38900</v>
      </c>
      <c r="G1517" s="289" t="inlineStr">
        <is>
          <t>IDR</t>
        </is>
      </c>
      <c r="H1517" s="293" t="n">
        <v>1</v>
      </c>
      <c r="I1517" s="306" t="n"/>
      <c r="J1517" s="306" t="n"/>
      <c r="K1517" s="306" t="n"/>
      <c r="L1517" s="306" t="n"/>
      <c r="M1517" s="306" t="n"/>
      <c r="N1517" s="307">
        <f>$F1517*$H1517</f>
        <v/>
      </c>
      <c r="O1517" s="306" t="n"/>
      <c r="P1517" s="306" t="n"/>
      <c r="Q1517" s="306" t="n"/>
    </row>
    <row r="1518" ht="18.75" customHeight="1">
      <c r="B1518" s="288" t="n">
        <v>45498</v>
      </c>
      <c r="C1518" s="289" t="n">
        <v>867</v>
      </c>
      <c r="D1518" s="290" t="inlineStr">
        <is>
          <t>Snacks</t>
        </is>
      </c>
      <c r="E1518" s="306" t="inlineStr">
        <is>
          <t>-</t>
        </is>
      </c>
      <c r="F1518" s="307" t="n">
        <v>195000</v>
      </c>
      <c r="G1518" s="289" t="inlineStr">
        <is>
          <t>IDR</t>
        </is>
      </c>
      <c r="H1518" s="293" t="n">
        <v>1</v>
      </c>
      <c r="I1518" s="306" t="n"/>
      <c r="J1518" s="306" t="n"/>
      <c r="K1518" s="306" t="n"/>
      <c r="L1518" s="306" t="n"/>
      <c r="M1518" s="306" t="n"/>
      <c r="N1518" s="307">
        <f>$F1518*$H1518</f>
        <v/>
      </c>
      <c r="O1518" s="306" t="n"/>
      <c r="P1518" s="306" t="n"/>
      <c r="Q1518" s="306" t="n"/>
    </row>
    <row r="1519" ht="18.75" customHeight="1">
      <c r="B1519" s="288" t="n">
        <v>45498</v>
      </c>
      <c r="C1519" s="289" t="n">
        <v>868</v>
      </c>
      <c r="D1519" s="290" t="inlineStr">
        <is>
          <t>Battery for DTR (Spare)</t>
        </is>
      </c>
      <c r="E1519" s="306" t="inlineStr">
        <is>
          <t>-</t>
        </is>
      </c>
      <c r="F1519" s="307" t="n">
        <v>38900</v>
      </c>
      <c r="G1519" s="289" t="inlineStr">
        <is>
          <t>IDR</t>
        </is>
      </c>
      <c r="H1519" s="293" t="n">
        <v>1</v>
      </c>
      <c r="I1519" s="306" t="n"/>
      <c r="J1519" s="306" t="n"/>
      <c r="K1519" s="306" t="n"/>
      <c r="L1519" s="306" t="n"/>
      <c r="M1519" s="306" t="n"/>
      <c r="N1519" s="307">
        <f>$F1519*$H1519</f>
        <v/>
      </c>
      <c r="O1519" s="306" t="n"/>
      <c r="P1519" s="306" t="n"/>
      <c r="Q1519" s="306" t="n"/>
    </row>
    <row r="1520">
      <c r="B1520" s="312" t="n"/>
      <c r="C1520" s="312" t="n"/>
      <c r="D1520" s="285" t="inlineStr">
        <is>
          <t>Transportation</t>
        </is>
      </c>
      <c r="E1520" s="312" t="n"/>
      <c r="F1520" s="312" t="n"/>
      <c r="G1520" s="312" t="n"/>
      <c r="H1520" s="312" t="n"/>
      <c r="I1520" s="312" t="n"/>
      <c r="J1520" s="312" t="n"/>
      <c r="K1520" s="312" t="n"/>
      <c r="L1520" s="312" t="n"/>
      <c r="M1520" s="312" t="n"/>
      <c r="N1520" s="312" t="n"/>
      <c r="O1520" s="312" t="n"/>
      <c r="P1520" s="312" t="n"/>
      <c r="Q1520" s="312" t="n"/>
    </row>
    <row r="1521" ht="18.75" customHeight="1">
      <c r="B1521" s="288" t="n">
        <v>45494</v>
      </c>
      <c r="C1521" s="289" t="n">
        <v>869</v>
      </c>
      <c r="D1521" s="290" t="inlineStr">
        <is>
          <t>Taxi + Tol to Airport Jakarta</t>
        </is>
      </c>
      <c r="E1521" s="306" t="inlineStr">
        <is>
          <t>-</t>
        </is>
      </c>
      <c r="F1521" s="307" t="n">
        <v>225520</v>
      </c>
      <c r="G1521" s="289" t="inlineStr">
        <is>
          <t>IDR</t>
        </is>
      </c>
      <c r="H1521" s="293" t="n">
        <v>1</v>
      </c>
      <c r="I1521" s="306" t="n"/>
      <c r="J1521" s="306" t="n"/>
      <c r="K1521" s="306" t="n"/>
      <c r="L1521" s="307">
        <f>$F1521*$H1521</f>
        <v/>
      </c>
      <c r="M1521" s="306" t="n"/>
      <c r="N1521" s="306" t="n"/>
      <c r="O1521" s="306" t="n"/>
      <c r="P1521" s="306" t="n"/>
      <c r="Q1521" s="306" t="n"/>
    </row>
    <row r="1522" ht="18.75" customHeight="1">
      <c r="B1522" s="288" t="n">
        <v>45494</v>
      </c>
      <c r="C1522" s="289" t="n">
        <v>870</v>
      </c>
      <c r="D1522" s="290" t="inlineStr">
        <is>
          <t>fuel + tol PLM-Prabu</t>
        </is>
      </c>
      <c r="E1522" s="306" t="inlineStr">
        <is>
          <t>-</t>
        </is>
      </c>
      <c r="F1522" s="307" t="n">
        <v>292060</v>
      </c>
      <c r="G1522" s="289" t="inlineStr">
        <is>
          <t>IDR</t>
        </is>
      </c>
      <c r="H1522" s="293" t="n">
        <v>1</v>
      </c>
      <c r="I1522" s="306" t="n"/>
      <c r="J1522" s="306" t="n"/>
      <c r="K1522" s="306" t="n"/>
      <c r="L1522" s="307">
        <f>$F1522*$H1522</f>
        <v/>
      </c>
      <c r="M1522" s="306" t="n"/>
      <c r="N1522" s="306" t="n"/>
      <c r="O1522" s="306" t="n"/>
      <c r="P1522" s="306" t="n"/>
      <c r="Q1522" s="306" t="n"/>
    </row>
    <row r="1523" ht="18.75" customHeight="1">
      <c r="B1523" s="288" t="n">
        <v>45494</v>
      </c>
      <c r="C1523" s="289" t="n">
        <v>871</v>
      </c>
      <c r="D1523" s="290" t="inlineStr">
        <is>
          <t>Taxi + Tol to Airport Jakarta</t>
        </is>
      </c>
      <c r="E1523" s="306" t="inlineStr">
        <is>
          <t>-</t>
        </is>
      </c>
      <c r="F1523" s="307" t="n">
        <v>225520</v>
      </c>
      <c r="G1523" s="289" t="inlineStr">
        <is>
          <t>IDR</t>
        </is>
      </c>
      <c r="H1523" s="293" t="n">
        <v>1</v>
      </c>
      <c r="I1523" s="306" t="n"/>
      <c r="J1523" s="306" t="n"/>
      <c r="K1523" s="306" t="n"/>
      <c r="L1523" s="307">
        <f>$F1523*$H1523</f>
        <v/>
      </c>
      <c r="M1523" s="306" t="n"/>
      <c r="N1523" s="306" t="n"/>
      <c r="O1523" s="306" t="n"/>
      <c r="P1523" s="306" t="n"/>
      <c r="Q1523" s="306" t="n"/>
    </row>
    <row r="1524" ht="18.75" customHeight="1">
      <c r="B1524" s="288" t="n">
        <v>45494</v>
      </c>
      <c r="C1524" s="289" t="n">
        <v>872</v>
      </c>
      <c r="D1524" s="290" t="inlineStr">
        <is>
          <t>fuel + tol PLM-Prabu</t>
        </is>
      </c>
      <c r="E1524" s="306" t="inlineStr">
        <is>
          <t>-</t>
        </is>
      </c>
      <c r="F1524" s="307" t="n">
        <v>292060</v>
      </c>
      <c r="G1524" s="289" t="inlineStr">
        <is>
          <t>IDR</t>
        </is>
      </c>
      <c r="H1524" s="293" t="n">
        <v>1</v>
      </c>
      <c r="I1524" s="306" t="n"/>
      <c r="J1524" s="306" t="n"/>
      <c r="K1524" s="306" t="n"/>
      <c r="L1524" s="307">
        <f>$F1524*$H1524</f>
        <v/>
      </c>
      <c r="M1524" s="306" t="n"/>
      <c r="N1524" s="306" t="n"/>
      <c r="O1524" s="306" t="n"/>
      <c r="P1524" s="306" t="n"/>
      <c r="Q1524" s="306" t="n"/>
    </row>
    <row r="1525" ht="18.75" customHeight="1">
      <c r="B1525" s="288" t="n">
        <v>45494</v>
      </c>
      <c r="C1525" s="289" t="n">
        <v>873</v>
      </c>
      <c r="D1525" s="290" t="inlineStr">
        <is>
          <t>Taxi + Tol to Airport Jakarta</t>
        </is>
      </c>
      <c r="E1525" s="306" t="inlineStr">
        <is>
          <t>-</t>
        </is>
      </c>
      <c r="F1525" s="307" t="n">
        <v>225520</v>
      </c>
      <c r="G1525" s="289" t="inlineStr">
        <is>
          <t>IDR</t>
        </is>
      </c>
      <c r="H1525" s="293" t="n">
        <v>1</v>
      </c>
      <c r="I1525" s="306" t="n"/>
      <c r="J1525" s="306" t="n"/>
      <c r="K1525" s="306" t="n"/>
      <c r="L1525" s="307">
        <f>$F1525*$H1525</f>
        <v/>
      </c>
      <c r="M1525" s="306" t="n"/>
      <c r="N1525" s="306" t="n"/>
      <c r="O1525" s="306" t="n"/>
      <c r="P1525" s="306" t="n"/>
      <c r="Q1525" s="306" t="n"/>
    </row>
    <row r="1526" ht="18.75" customHeight="1">
      <c r="B1526" s="288" t="n">
        <v>45494</v>
      </c>
      <c r="C1526" s="289" t="n">
        <v>874</v>
      </c>
      <c r="D1526" s="290" t="inlineStr">
        <is>
          <t>fuel + tol PLM-Prabu</t>
        </is>
      </c>
      <c r="E1526" s="306" t="inlineStr">
        <is>
          <t>-</t>
        </is>
      </c>
      <c r="F1526" s="307" t="n">
        <v>292060</v>
      </c>
      <c r="G1526" s="289" t="inlineStr">
        <is>
          <t>IDR</t>
        </is>
      </c>
      <c r="H1526" s="293" t="n">
        <v>1</v>
      </c>
      <c r="I1526" s="306" t="n"/>
      <c r="J1526" s="306" t="n"/>
      <c r="K1526" s="306" t="n"/>
      <c r="L1526" s="307">
        <f>$F1526*$H1526</f>
        <v/>
      </c>
      <c r="M1526" s="306" t="n"/>
      <c r="N1526" s="306" t="n"/>
      <c r="O1526" s="306" t="n"/>
      <c r="P1526" s="306" t="n"/>
      <c r="Q1526" s="306" t="n"/>
    </row>
    <row r="1527" ht="18.75" customHeight="1">
      <c r="B1527" s="288" t="n">
        <v>45494</v>
      </c>
      <c r="C1527" s="289" t="n">
        <v>875</v>
      </c>
      <c r="D1527" s="290" t="inlineStr">
        <is>
          <t>Taxi + Tol to Airport Jakarta</t>
        </is>
      </c>
      <c r="E1527" s="306" t="inlineStr">
        <is>
          <t>-</t>
        </is>
      </c>
      <c r="F1527" s="307" t="n">
        <v>225520</v>
      </c>
      <c r="G1527" s="289" t="inlineStr">
        <is>
          <t>IDR</t>
        </is>
      </c>
      <c r="H1527" s="293" t="n">
        <v>1</v>
      </c>
      <c r="I1527" s="306" t="n"/>
      <c r="J1527" s="306" t="n"/>
      <c r="K1527" s="306" t="n"/>
      <c r="L1527" s="307">
        <f>$F1527*$H1527</f>
        <v/>
      </c>
      <c r="M1527" s="306" t="n"/>
      <c r="N1527" s="306" t="n"/>
      <c r="O1527" s="306" t="n"/>
      <c r="P1527" s="306" t="n"/>
      <c r="Q1527" s="306" t="n"/>
    </row>
    <row r="1528" ht="18.75" customHeight="1">
      <c r="B1528" s="288" t="n">
        <v>45494</v>
      </c>
      <c r="C1528" s="289" t="n">
        <v>876</v>
      </c>
      <c r="D1528" s="290" t="inlineStr">
        <is>
          <t>fuel + tol PLM-Prabu</t>
        </is>
      </c>
      <c r="E1528" s="306" t="inlineStr">
        <is>
          <t>-</t>
        </is>
      </c>
      <c r="F1528" s="307" t="n">
        <v>292060</v>
      </c>
      <c r="G1528" s="289" t="inlineStr">
        <is>
          <t>IDR</t>
        </is>
      </c>
      <c r="H1528" s="293" t="n">
        <v>1</v>
      </c>
      <c r="I1528" s="306" t="n"/>
      <c r="J1528" s="306" t="n"/>
      <c r="K1528" s="306" t="n"/>
      <c r="L1528" s="307">
        <f>$F1528*$H1528</f>
        <v/>
      </c>
      <c r="M1528" s="306" t="n"/>
      <c r="N1528" s="306" t="n"/>
      <c r="O1528" s="306" t="n"/>
      <c r="P1528" s="306" t="n"/>
      <c r="Q1528" s="306" t="n"/>
    </row>
    <row r="1529" ht="18.75" customHeight="1">
      <c r="B1529" s="288" t="n">
        <v>45497</v>
      </c>
      <c r="C1529" s="289" t="n">
        <v>877</v>
      </c>
      <c r="D1529" s="290" t="inlineStr">
        <is>
          <t>fuel</t>
        </is>
      </c>
      <c r="E1529" s="306" t="inlineStr">
        <is>
          <t>-</t>
        </is>
      </c>
      <c r="F1529" s="307" t="n">
        <v>190430</v>
      </c>
      <c r="G1529" s="289" t="inlineStr">
        <is>
          <t>IDR</t>
        </is>
      </c>
      <c r="H1529" s="293" t="n">
        <v>1</v>
      </c>
      <c r="I1529" s="306" t="n"/>
      <c r="J1529" s="306" t="n"/>
      <c r="K1529" s="306" t="n"/>
      <c r="L1529" s="307">
        <f>$F1529*$H1529</f>
        <v/>
      </c>
      <c r="M1529" s="306" t="n"/>
      <c r="N1529" s="306" t="n"/>
      <c r="O1529" s="306" t="n"/>
      <c r="P1529" s="306" t="n"/>
      <c r="Q1529" s="306" t="n"/>
    </row>
    <row r="1530" ht="18.75" customHeight="1">
      <c r="B1530" s="288" t="n">
        <v>45497</v>
      </c>
      <c r="C1530" s="289" t="n">
        <v>878</v>
      </c>
      <c r="D1530" s="290" t="inlineStr">
        <is>
          <t>fuel</t>
        </is>
      </c>
      <c r="E1530" s="306" t="inlineStr">
        <is>
          <t>-</t>
        </is>
      </c>
      <c r="F1530" s="307" t="n">
        <v>190430</v>
      </c>
      <c r="G1530" s="289" t="inlineStr">
        <is>
          <t>IDR</t>
        </is>
      </c>
      <c r="H1530" s="293" t="n">
        <v>1</v>
      </c>
      <c r="I1530" s="306" t="n"/>
      <c r="J1530" s="306" t="n"/>
      <c r="K1530" s="306" t="n"/>
      <c r="L1530" s="307">
        <f>$F1530*$H1530</f>
        <v/>
      </c>
      <c r="M1530" s="306" t="n"/>
      <c r="N1530" s="306" t="n"/>
      <c r="O1530" s="306" t="n"/>
      <c r="P1530" s="306" t="n"/>
      <c r="Q1530" s="306" t="n"/>
    </row>
    <row r="1531" ht="18.75" customHeight="1">
      <c r="B1531" s="288" t="n">
        <v>45497</v>
      </c>
      <c r="C1531" s="289" t="n">
        <v>879</v>
      </c>
      <c r="D1531" s="290" t="inlineStr">
        <is>
          <t>fuel</t>
        </is>
      </c>
      <c r="E1531" s="306" t="inlineStr">
        <is>
          <t>-</t>
        </is>
      </c>
      <c r="F1531" s="307" t="n">
        <v>190430</v>
      </c>
      <c r="G1531" s="289" t="inlineStr">
        <is>
          <t>IDR</t>
        </is>
      </c>
      <c r="H1531" s="293" t="n">
        <v>1</v>
      </c>
      <c r="I1531" s="306" t="n"/>
      <c r="J1531" s="306" t="n"/>
      <c r="K1531" s="306" t="n"/>
      <c r="L1531" s="307">
        <f>$F1531*$H1531</f>
        <v/>
      </c>
      <c r="M1531" s="306" t="n"/>
      <c r="N1531" s="306" t="n"/>
      <c r="O1531" s="306" t="n"/>
      <c r="P1531" s="306" t="n"/>
      <c r="Q1531" s="306" t="n"/>
    </row>
    <row r="1532" ht="18.75" customHeight="1">
      <c r="B1532" s="288" t="n">
        <v>45497</v>
      </c>
      <c r="C1532" s="289" t="n">
        <v>880</v>
      </c>
      <c r="D1532" s="290" t="inlineStr">
        <is>
          <t>fuel</t>
        </is>
      </c>
      <c r="E1532" s="306" t="inlineStr">
        <is>
          <t>-</t>
        </is>
      </c>
      <c r="F1532" s="307" t="n">
        <v>190430</v>
      </c>
      <c r="G1532" s="289" t="inlineStr">
        <is>
          <t>IDR</t>
        </is>
      </c>
      <c r="H1532" s="293" t="n">
        <v>1</v>
      </c>
      <c r="I1532" s="306" t="n"/>
      <c r="J1532" s="306" t="n"/>
      <c r="K1532" s="306" t="n"/>
      <c r="L1532" s="307">
        <f>$F1532*$H1532</f>
        <v/>
      </c>
      <c r="M1532" s="306" t="n"/>
      <c r="N1532" s="306" t="n"/>
      <c r="O1532" s="306" t="n"/>
      <c r="P1532" s="306" t="n"/>
      <c r="Q1532" s="306" t="n"/>
    </row>
    <row r="1533" ht="18.75" customHeight="1">
      <c r="B1533" s="288" t="n">
        <v>45500</v>
      </c>
      <c r="C1533" s="289" t="n">
        <v>881</v>
      </c>
      <c r="D1533" s="290" t="inlineStr">
        <is>
          <t>Palembang - Jakarta + Extra Bagage</t>
        </is>
      </c>
      <c r="E1533" s="306" t="inlineStr">
        <is>
          <t>-</t>
        </is>
      </c>
      <c r="F1533" s="307" t="n">
        <v>1175717</v>
      </c>
      <c r="G1533" s="289" t="inlineStr">
        <is>
          <t>IDR</t>
        </is>
      </c>
      <c r="H1533" s="293" t="n">
        <v>1</v>
      </c>
      <c r="I1533" s="306" t="n"/>
      <c r="J1533" s="306" t="n"/>
      <c r="K1533" s="306" t="n"/>
      <c r="L1533" s="307">
        <f>$F1533*$H1533</f>
        <v/>
      </c>
      <c r="M1533" s="306" t="n"/>
      <c r="N1533" s="306" t="n"/>
      <c r="O1533" s="306" t="n"/>
      <c r="P1533" s="306" t="n"/>
      <c r="Q1533" s="306" t="n"/>
    </row>
    <row r="1534" ht="18.75" customHeight="1">
      <c r="B1534" s="288" t="n">
        <v>45500</v>
      </c>
      <c r="C1534" s="289" t="n">
        <v>882</v>
      </c>
      <c r="D1534" s="290" t="inlineStr">
        <is>
          <t>Tol Prabu - PLM + Fuel</t>
        </is>
      </c>
      <c r="E1534" s="306" t="inlineStr">
        <is>
          <t>-</t>
        </is>
      </c>
      <c r="F1534" s="307" t="n">
        <v>262000</v>
      </c>
      <c r="G1534" s="289" t="inlineStr">
        <is>
          <t>IDR</t>
        </is>
      </c>
      <c r="H1534" s="293" t="n">
        <v>1</v>
      </c>
      <c r="I1534" s="306" t="n"/>
      <c r="J1534" s="306" t="n"/>
      <c r="K1534" s="306" t="n"/>
      <c r="L1534" s="307">
        <f>$F1534*$H1534</f>
        <v/>
      </c>
      <c r="M1534" s="306" t="n"/>
      <c r="N1534" s="306" t="n"/>
      <c r="O1534" s="306" t="n"/>
      <c r="P1534" s="306" t="n"/>
      <c r="Q1534" s="306" t="n"/>
    </row>
    <row r="1535" ht="18.75" customHeight="1">
      <c r="B1535" s="288" t="n">
        <v>45500</v>
      </c>
      <c r="C1535" s="289" t="n">
        <v>883</v>
      </c>
      <c r="D1535" s="290" t="inlineStr">
        <is>
          <t>Tol + Taxi From Airport Jakarta</t>
        </is>
      </c>
      <c r="E1535" s="306" t="inlineStr">
        <is>
          <t>-</t>
        </is>
      </c>
      <c r="F1535" s="307" t="n">
        <v>235000</v>
      </c>
      <c r="G1535" s="289" t="inlineStr">
        <is>
          <t>IDR</t>
        </is>
      </c>
      <c r="H1535" s="293" t="n">
        <v>1</v>
      </c>
      <c r="I1535" s="306" t="n"/>
      <c r="J1535" s="306" t="n"/>
      <c r="K1535" s="306" t="n"/>
      <c r="L1535" s="307">
        <f>$F1535*$H1535</f>
        <v/>
      </c>
      <c r="M1535" s="306" t="n"/>
      <c r="N1535" s="306" t="n"/>
      <c r="O1535" s="306" t="n"/>
      <c r="P1535" s="306" t="n"/>
      <c r="Q1535" s="306" t="n"/>
    </row>
    <row r="1536" ht="18.75" customHeight="1">
      <c r="B1536" s="288" t="n">
        <v>45500</v>
      </c>
      <c r="C1536" s="289" t="n">
        <v>884</v>
      </c>
      <c r="D1536" s="290" t="inlineStr">
        <is>
          <t>Car rental 21 - 27 Jul 2024</t>
        </is>
      </c>
      <c r="E1536" s="306" t="inlineStr">
        <is>
          <t>-</t>
        </is>
      </c>
      <c r="F1536" s="307" t="n">
        <v>3500000</v>
      </c>
      <c r="G1536" s="289" t="inlineStr">
        <is>
          <t>IDR</t>
        </is>
      </c>
      <c r="H1536" s="293" t="n">
        <v>1</v>
      </c>
      <c r="I1536" s="306" t="n"/>
      <c r="J1536" s="306" t="n"/>
      <c r="K1536" s="306" t="n"/>
      <c r="L1536" s="307">
        <f>$F1536*$H1536</f>
        <v/>
      </c>
      <c r="M1536" s="306" t="n"/>
      <c r="N1536" s="306" t="n"/>
      <c r="O1536" s="306" t="n"/>
      <c r="P1536" s="306" t="n"/>
      <c r="Q1536" s="306" t="n"/>
    </row>
    <row r="1537" ht="18.75" customHeight="1">
      <c r="B1537" s="288" t="n">
        <v>45500</v>
      </c>
      <c r="C1537" s="289" t="n">
        <v>885</v>
      </c>
      <c r="D1537" s="290" t="inlineStr">
        <is>
          <t>Palembang - Jakarta + Extra Bagage</t>
        </is>
      </c>
      <c r="E1537" s="306" t="inlineStr">
        <is>
          <t>-</t>
        </is>
      </c>
      <c r="F1537" s="307" t="n">
        <v>1175717</v>
      </c>
      <c r="G1537" s="289" t="inlineStr">
        <is>
          <t>IDR</t>
        </is>
      </c>
      <c r="H1537" s="293" t="n">
        <v>1</v>
      </c>
      <c r="I1537" s="306" t="n"/>
      <c r="J1537" s="306" t="n"/>
      <c r="K1537" s="306" t="n"/>
      <c r="L1537" s="307">
        <f>$F1537*$H1537</f>
        <v/>
      </c>
      <c r="M1537" s="306" t="n"/>
      <c r="N1537" s="306" t="n"/>
      <c r="O1537" s="306" t="n"/>
      <c r="P1537" s="306" t="n"/>
      <c r="Q1537" s="306" t="n"/>
    </row>
    <row r="1538" ht="18.75" customHeight="1">
      <c r="B1538" s="288" t="n">
        <v>45500</v>
      </c>
      <c r="C1538" s="289" t="n">
        <v>886</v>
      </c>
      <c r="D1538" s="290" t="inlineStr">
        <is>
          <t>Tol Prabu - PLM + Fuel</t>
        </is>
      </c>
      <c r="E1538" s="306" t="inlineStr">
        <is>
          <t>-</t>
        </is>
      </c>
      <c r="F1538" s="307" t="n">
        <v>262000</v>
      </c>
      <c r="G1538" s="289" t="inlineStr">
        <is>
          <t>IDR</t>
        </is>
      </c>
      <c r="H1538" s="293" t="n">
        <v>1</v>
      </c>
      <c r="I1538" s="306" t="n"/>
      <c r="J1538" s="306" t="n"/>
      <c r="K1538" s="306" t="n"/>
      <c r="L1538" s="307">
        <f>$F1538*$H1538</f>
        <v/>
      </c>
      <c r="M1538" s="306" t="n"/>
      <c r="N1538" s="306" t="n"/>
      <c r="O1538" s="306" t="n"/>
      <c r="P1538" s="306" t="n"/>
      <c r="Q1538" s="306" t="n"/>
    </row>
    <row r="1539" ht="18.75" customHeight="1">
      <c r="B1539" s="288" t="n">
        <v>45500</v>
      </c>
      <c r="C1539" s="289" t="n">
        <v>887</v>
      </c>
      <c r="D1539" s="290" t="inlineStr">
        <is>
          <t>Tol + Taxi From Airport Jakarta</t>
        </is>
      </c>
      <c r="E1539" s="306" t="inlineStr">
        <is>
          <t>-</t>
        </is>
      </c>
      <c r="F1539" s="307" t="n">
        <v>235000</v>
      </c>
      <c r="G1539" s="289" t="inlineStr">
        <is>
          <t>IDR</t>
        </is>
      </c>
      <c r="H1539" s="293" t="n">
        <v>1</v>
      </c>
      <c r="I1539" s="306" t="n"/>
      <c r="J1539" s="306" t="n"/>
      <c r="K1539" s="306" t="n"/>
      <c r="L1539" s="307">
        <f>$F1539*$H1539</f>
        <v/>
      </c>
      <c r="M1539" s="306" t="n"/>
      <c r="N1539" s="306" t="n"/>
      <c r="O1539" s="306" t="n"/>
      <c r="P1539" s="306" t="n"/>
      <c r="Q1539" s="306" t="n"/>
    </row>
    <row r="1540" ht="18.75" customHeight="1">
      <c r="B1540" s="288" t="n">
        <v>45500</v>
      </c>
      <c r="C1540" s="289" t="n">
        <v>888</v>
      </c>
      <c r="D1540" s="290" t="inlineStr">
        <is>
          <t>Car rental 21 - 27 Jul 2024</t>
        </is>
      </c>
      <c r="E1540" s="306" t="inlineStr">
        <is>
          <t>-</t>
        </is>
      </c>
      <c r="F1540" s="307" t="n">
        <v>3500000</v>
      </c>
      <c r="G1540" s="289" t="inlineStr">
        <is>
          <t>IDR</t>
        </is>
      </c>
      <c r="H1540" s="293" t="n">
        <v>1</v>
      </c>
      <c r="I1540" s="306" t="n"/>
      <c r="J1540" s="306" t="n"/>
      <c r="K1540" s="306" t="n"/>
      <c r="L1540" s="307">
        <f>$F1540*$H1540</f>
        <v/>
      </c>
      <c r="M1540" s="306" t="n"/>
      <c r="N1540" s="306" t="n"/>
      <c r="O1540" s="306" t="n"/>
      <c r="P1540" s="306" t="n"/>
      <c r="Q1540" s="306" t="n"/>
    </row>
    <row r="1541" ht="18.75" customHeight="1">
      <c r="B1541" s="288" t="n">
        <v>45500</v>
      </c>
      <c r="C1541" s="289" t="n">
        <v>889</v>
      </c>
      <c r="D1541" s="290" t="inlineStr">
        <is>
          <t>Palembang - Jakarta + Extra Bagage</t>
        </is>
      </c>
      <c r="E1541" s="306" t="inlineStr">
        <is>
          <t>-</t>
        </is>
      </c>
      <c r="F1541" s="307" t="n">
        <v>1175717</v>
      </c>
      <c r="G1541" s="289" t="inlineStr">
        <is>
          <t>IDR</t>
        </is>
      </c>
      <c r="H1541" s="293" t="n">
        <v>1</v>
      </c>
      <c r="I1541" s="306" t="n"/>
      <c r="J1541" s="306" t="n"/>
      <c r="K1541" s="306" t="n"/>
      <c r="L1541" s="307">
        <f>$F1541*$H1541</f>
        <v/>
      </c>
      <c r="M1541" s="306" t="n"/>
      <c r="N1541" s="306" t="n"/>
      <c r="O1541" s="306" t="n"/>
      <c r="P1541" s="306" t="n"/>
      <c r="Q1541" s="306" t="n"/>
    </row>
    <row r="1542" ht="18.75" customHeight="1">
      <c r="B1542" s="288" t="n">
        <v>45500</v>
      </c>
      <c r="C1542" s="289" t="n">
        <v>890</v>
      </c>
      <c r="D1542" s="290" t="inlineStr">
        <is>
          <t>Tol Prabu - PLM + Fuel</t>
        </is>
      </c>
      <c r="E1542" s="306" t="inlineStr">
        <is>
          <t>-</t>
        </is>
      </c>
      <c r="F1542" s="307" t="n">
        <v>262000</v>
      </c>
      <c r="G1542" s="289" t="inlineStr">
        <is>
          <t>IDR</t>
        </is>
      </c>
      <c r="H1542" s="293" t="n">
        <v>1</v>
      </c>
      <c r="I1542" s="306" t="n"/>
      <c r="J1542" s="306" t="n"/>
      <c r="K1542" s="306" t="n"/>
      <c r="L1542" s="307">
        <f>$F1542*$H1542</f>
        <v/>
      </c>
      <c r="M1542" s="306" t="n"/>
      <c r="N1542" s="306" t="n"/>
      <c r="O1542" s="306" t="n"/>
      <c r="P1542" s="306" t="n"/>
      <c r="Q1542" s="306" t="n"/>
    </row>
    <row r="1543" ht="18.75" customHeight="1">
      <c r="B1543" s="288" t="n">
        <v>45500</v>
      </c>
      <c r="C1543" s="289" t="n">
        <v>891</v>
      </c>
      <c r="D1543" s="290" t="inlineStr">
        <is>
          <t>Tol + Taxi From Airport Jakarta</t>
        </is>
      </c>
      <c r="E1543" s="306" t="inlineStr">
        <is>
          <t>-</t>
        </is>
      </c>
      <c r="F1543" s="307" t="n">
        <v>235000</v>
      </c>
      <c r="G1543" s="289" t="inlineStr">
        <is>
          <t>IDR</t>
        </is>
      </c>
      <c r="H1543" s="293" t="n">
        <v>1</v>
      </c>
      <c r="I1543" s="306" t="n"/>
      <c r="J1543" s="306" t="n"/>
      <c r="K1543" s="306" t="n"/>
      <c r="L1543" s="307">
        <f>$F1543*$H1543</f>
        <v/>
      </c>
      <c r="M1543" s="306" t="n"/>
      <c r="N1543" s="306" t="n"/>
      <c r="O1543" s="306" t="n"/>
      <c r="P1543" s="306" t="n"/>
      <c r="Q1543" s="306" t="n"/>
    </row>
    <row r="1544" ht="18.75" customHeight="1">
      <c r="B1544" s="288" t="n">
        <v>45500</v>
      </c>
      <c r="C1544" s="289" t="n">
        <v>892</v>
      </c>
      <c r="D1544" s="290" t="inlineStr">
        <is>
          <t>Car rental 21 - 27 Jul 2024</t>
        </is>
      </c>
      <c r="E1544" s="306" t="inlineStr">
        <is>
          <t>-</t>
        </is>
      </c>
      <c r="F1544" s="307" t="n">
        <v>3500000</v>
      </c>
      <c r="G1544" s="289" t="inlineStr">
        <is>
          <t>IDR</t>
        </is>
      </c>
      <c r="H1544" s="293" t="n">
        <v>1</v>
      </c>
      <c r="I1544" s="306" t="n"/>
      <c r="J1544" s="306" t="n"/>
      <c r="K1544" s="306" t="n"/>
      <c r="L1544" s="307">
        <f>$F1544*$H1544</f>
        <v/>
      </c>
      <c r="M1544" s="306" t="n"/>
      <c r="N1544" s="306" t="n"/>
      <c r="O1544" s="306" t="n"/>
      <c r="P1544" s="306" t="n"/>
      <c r="Q1544" s="306" t="n"/>
    </row>
    <row r="1545" ht="18.75" customHeight="1">
      <c r="B1545" s="288" t="n">
        <v>45500</v>
      </c>
      <c r="C1545" s="289" t="n">
        <v>893</v>
      </c>
      <c r="D1545" s="290" t="inlineStr">
        <is>
          <t>Palembang - Jakarta + Extra Bagage</t>
        </is>
      </c>
      <c r="E1545" s="306" t="inlineStr">
        <is>
          <t>-</t>
        </is>
      </c>
      <c r="F1545" s="307" t="n">
        <v>1175717</v>
      </c>
      <c r="G1545" s="289" t="inlineStr">
        <is>
          <t>IDR</t>
        </is>
      </c>
      <c r="H1545" s="293" t="n">
        <v>1</v>
      </c>
      <c r="I1545" s="306" t="n"/>
      <c r="J1545" s="306" t="n"/>
      <c r="K1545" s="306" t="n"/>
      <c r="L1545" s="307">
        <f>$F1545*$H1545</f>
        <v/>
      </c>
      <c r="M1545" s="306" t="n"/>
      <c r="N1545" s="306" t="n"/>
      <c r="O1545" s="306" t="n"/>
      <c r="P1545" s="306" t="n"/>
      <c r="Q1545" s="306" t="n"/>
    </row>
    <row r="1546" ht="18.75" customHeight="1">
      <c r="B1546" s="288" t="n">
        <v>45500</v>
      </c>
      <c r="C1546" s="289" t="n">
        <v>894</v>
      </c>
      <c r="D1546" s="290" t="inlineStr">
        <is>
          <t>Tol Prabu - PLM + Fuel</t>
        </is>
      </c>
      <c r="E1546" s="306" t="inlineStr">
        <is>
          <t>-</t>
        </is>
      </c>
      <c r="F1546" s="307" t="n">
        <v>262000</v>
      </c>
      <c r="G1546" s="289" t="inlineStr">
        <is>
          <t>IDR</t>
        </is>
      </c>
      <c r="H1546" s="293" t="n">
        <v>1</v>
      </c>
      <c r="I1546" s="306" t="n"/>
      <c r="J1546" s="306" t="n"/>
      <c r="K1546" s="306" t="n"/>
      <c r="L1546" s="307">
        <f>$F1546*$H1546</f>
        <v/>
      </c>
      <c r="M1546" s="306" t="n"/>
      <c r="N1546" s="306" t="n"/>
      <c r="O1546" s="306" t="n"/>
      <c r="P1546" s="306" t="n"/>
      <c r="Q1546" s="306" t="n"/>
    </row>
    <row r="1547" ht="18.75" customHeight="1">
      <c r="B1547" s="288" t="n">
        <v>45500</v>
      </c>
      <c r="C1547" s="289" t="n">
        <v>895</v>
      </c>
      <c r="D1547" s="290" t="inlineStr">
        <is>
          <t>Tol + Taxi From Airport Jakarta</t>
        </is>
      </c>
      <c r="E1547" s="306" t="inlineStr">
        <is>
          <t>-</t>
        </is>
      </c>
      <c r="F1547" s="307" t="n">
        <v>235000</v>
      </c>
      <c r="G1547" s="289" t="inlineStr">
        <is>
          <t>IDR</t>
        </is>
      </c>
      <c r="H1547" s="293" t="n">
        <v>1</v>
      </c>
      <c r="I1547" s="306" t="n"/>
      <c r="J1547" s="306" t="n"/>
      <c r="K1547" s="306" t="n"/>
      <c r="L1547" s="307">
        <f>$F1547*$H1547</f>
        <v/>
      </c>
      <c r="M1547" s="306" t="n"/>
      <c r="N1547" s="306" t="n"/>
      <c r="O1547" s="306" t="n"/>
      <c r="P1547" s="306" t="n"/>
      <c r="Q1547" s="306" t="n"/>
    </row>
    <row r="1548" ht="18.75" customHeight="1">
      <c r="B1548" s="288" t="n">
        <v>45500</v>
      </c>
      <c r="C1548" s="289" t="n">
        <v>896</v>
      </c>
      <c r="D1548" s="290" t="inlineStr">
        <is>
          <t>Car rental 21 - 27 Jul 2024</t>
        </is>
      </c>
      <c r="E1548" s="306" t="inlineStr">
        <is>
          <t>-</t>
        </is>
      </c>
      <c r="F1548" s="307" t="n">
        <v>3500000</v>
      </c>
      <c r="G1548" s="289" t="inlineStr">
        <is>
          <t>IDR</t>
        </is>
      </c>
      <c r="H1548" s="293" t="n">
        <v>1</v>
      </c>
      <c r="I1548" s="306" t="n"/>
      <c r="J1548" s="306" t="n"/>
      <c r="K1548" s="306" t="n"/>
      <c r="L1548" s="307">
        <f>$F1548*$H1548</f>
        <v/>
      </c>
      <c r="M1548" s="306" t="n"/>
      <c r="N1548" s="306" t="n"/>
      <c r="O1548" s="306" t="n"/>
      <c r="P1548" s="306" t="n"/>
      <c r="Q1548" s="306" t="n"/>
    </row>
    <row r="1549">
      <c r="B1549" s="310" t="inlineStr">
        <is>
          <t>Expense#24</t>
        </is>
      </c>
      <c r="C1549" s="311" t="inlineStr">
        <is>
          <t>:</t>
        </is>
      </c>
      <c r="D1549" s="310" t="inlineStr">
        <is>
          <t>ALFA JOB - JRK 163 (training 2nd_ IBR)</t>
        </is>
      </c>
      <c r="E1549" s="311" t="n"/>
      <c r="F1549" s="311" t="n"/>
      <c r="G1549" s="311" t="n"/>
      <c r="H1549" s="311" t="n"/>
      <c r="I1549" s="311" t="n"/>
      <c r="J1549" s="311" t="n"/>
      <c r="K1549" s="311" t="n"/>
      <c r="L1549" s="311" t="n"/>
      <c r="M1549" s="311" t="n"/>
      <c r="N1549" s="311" t="n"/>
      <c r="O1549" s="311" t="n"/>
      <c r="P1549" s="311" t="n"/>
      <c r="Q1549" s="311" t="n"/>
    </row>
    <row r="1550">
      <c r="B1550" s="312" t="n"/>
      <c r="C1550" s="312" t="n"/>
      <c r="D1550" s="285" t="inlineStr">
        <is>
          <t>Allowance</t>
        </is>
      </c>
      <c r="E1550" s="312" t="n"/>
      <c r="F1550" s="312" t="n"/>
      <c r="G1550" s="312" t="n"/>
      <c r="H1550" s="312" t="n"/>
      <c r="I1550" s="312" t="n"/>
      <c r="J1550" s="312" t="n"/>
      <c r="K1550" s="312" t="n"/>
      <c r="L1550" s="312" t="n"/>
      <c r="M1550" s="312" t="n"/>
      <c r="N1550" s="312" t="n"/>
      <c r="O1550" s="312" t="n"/>
      <c r="P1550" s="312" t="n"/>
      <c r="Q1550" s="312" t="n"/>
    </row>
    <row r="1551" ht="34.5" customHeight="1">
      <c r="B1551" s="288" t="n">
        <v>45463</v>
      </c>
      <c r="C1551" s="289" t="n">
        <v>897</v>
      </c>
      <c r="D1551" s="290" t="inlineStr">
        <is>
          <t>Tunjangan LapanganJRK-163 (16 - 19 Juni 2024) pending job</t>
        </is>
      </c>
      <c r="E1551" s="306" t="inlineStr">
        <is>
          <t>-</t>
        </is>
      </c>
      <c r="F1551" s="307" t="n">
        <v>100</v>
      </c>
      <c r="G1551" s="289" t="inlineStr">
        <is>
          <t>$</t>
        </is>
      </c>
      <c r="H1551" s="293" t="n">
        <v>16300</v>
      </c>
      <c r="I1551" s="306" t="n"/>
      <c r="J1551" s="306" t="n"/>
      <c r="K1551" s="306" t="n"/>
      <c r="L1551" s="307">
        <f>$F1551*$H1551</f>
        <v/>
      </c>
      <c r="M1551" s="306" t="n"/>
      <c r="N1551" s="306" t="n"/>
      <c r="O1551" s="306" t="n"/>
      <c r="P1551" s="306" t="n"/>
      <c r="Q1551" s="306" t="n"/>
    </row>
    <row r="1552" ht="34.5" customHeight="1">
      <c r="B1552" s="288" t="n">
        <v>45463</v>
      </c>
      <c r="C1552" s="289" t="n">
        <v>898</v>
      </c>
      <c r="D1552" s="290" t="inlineStr">
        <is>
          <t>Tunjangan LapanganJRK-163 (16 - 19 Juni 2024) pending job</t>
        </is>
      </c>
      <c r="E1552" s="306" t="inlineStr">
        <is>
          <t>-</t>
        </is>
      </c>
      <c r="F1552" s="307" t="n">
        <v>100</v>
      </c>
      <c r="G1552" s="289" t="inlineStr">
        <is>
          <t>$</t>
        </is>
      </c>
      <c r="H1552" s="293" t="n">
        <v>16300</v>
      </c>
      <c r="I1552" s="306" t="n"/>
      <c r="J1552" s="306" t="n"/>
      <c r="K1552" s="306" t="n"/>
      <c r="L1552" s="307">
        <f>$F1552*$H1552</f>
        <v/>
      </c>
      <c r="M1552" s="306" t="n"/>
      <c r="N1552" s="306" t="n"/>
      <c r="O1552" s="306" t="n"/>
      <c r="P1552" s="306" t="n"/>
      <c r="Q1552" s="306" t="n"/>
    </row>
    <row r="1553" ht="34.5" customHeight="1">
      <c r="B1553" s="288" t="n">
        <v>45463</v>
      </c>
      <c r="C1553" s="289" t="n">
        <v>899</v>
      </c>
      <c r="D1553" s="290" t="inlineStr">
        <is>
          <t>Tunjangan LapanganJRK-163 (16 - 19 Juni 2024) pending job</t>
        </is>
      </c>
      <c r="E1553" s="306" t="inlineStr">
        <is>
          <t>-</t>
        </is>
      </c>
      <c r="F1553" s="307" t="n">
        <v>100</v>
      </c>
      <c r="G1553" s="289" t="inlineStr">
        <is>
          <t>$</t>
        </is>
      </c>
      <c r="H1553" s="293" t="n">
        <v>16300</v>
      </c>
      <c r="I1553" s="306" t="n"/>
      <c r="J1553" s="306" t="n"/>
      <c r="K1553" s="306" t="n"/>
      <c r="L1553" s="307">
        <f>$F1553*$H1553</f>
        <v/>
      </c>
      <c r="M1553" s="306" t="n"/>
      <c r="N1553" s="306" t="n"/>
      <c r="O1553" s="306" t="n"/>
      <c r="P1553" s="306" t="n"/>
      <c r="Q1553" s="306" t="n"/>
    </row>
    <row r="1554" ht="34.5" customHeight="1">
      <c r="B1554" s="288" t="n">
        <v>45463</v>
      </c>
      <c r="C1554" s="289" t="n">
        <v>900</v>
      </c>
      <c r="D1554" s="290" t="inlineStr">
        <is>
          <t>Tunjangan LapanganJRK-163 (16 - 19 Juni 2024) pending job</t>
        </is>
      </c>
      <c r="E1554" s="306" t="inlineStr">
        <is>
          <t>-</t>
        </is>
      </c>
      <c r="F1554" s="307" t="n">
        <v>100</v>
      </c>
      <c r="G1554" s="289" t="inlineStr">
        <is>
          <t>$</t>
        </is>
      </c>
      <c r="H1554" s="293" t="n">
        <v>16300</v>
      </c>
      <c r="I1554" s="306" t="n"/>
      <c r="J1554" s="306" t="n"/>
      <c r="K1554" s="306" t="n"/>
      <c r="L1554" s="307">
        <f>$F1554*$H1554</f>
        <v/>
      </c>
      <c r="M1554" s="306" t="n"/>
      <c r="N1554" s="306" t="n"/>
      <c r="O1554" s="306" t="n"/>
      <c r="P1554" s="306" t="n"/>
      <c r="Q1554" s="306" t="n"/>
    </row>
    <row r="1555" ht="18.75" customHeight="1">
      <c r="B1555" s="288" t="n">
        <v>45501</v>
      </c>
      <c r="C1555" s="289" t="n">
        <v>901</v>
      </c>
      <c r="D1555" s="290" t="inlineStr">
        <is>
          <t>Tunjangan Lapangan JRK-163 (21 - 27 Juli 2024)</t>
        </is>
      </c>
      <c r="E1555" s="306" t="inlineStr">
        <is>
          <t>-</t>
        </is>
      </c>
      <c r="F1555" s="307" t="n">
        <v>175</v>
      </c>
      <c r="G1555" s="289" t="inlineStr">
        <is>
          <t>$</t>
        </is>
      </c>
      <c r="H1555" s="293" t="n">
        <v>16300</v>
      </c>
      <c r="I1555" s="306" t="n"/>
      <c r="J1555" s="306" t="n"/>
      <c r="K1555" s="306" t="n"/>
      <c r="L1555" s="307">
        <f>$F1555*$H1555</f>
        <v/>
      </c>
      <c r="M1555" s="306" t="n"/>
      <c r="N1555" s="306" t="n"/>
      <c r="O1555" s="306" t="n"/>
      <c r="P1555" s="306" t="n"/>
      <c r="Q1555" s="306" t="n"/>
    </row>
    <row r="1556" ht="18.75" customHeight="1">
      <c r="B1556" s="288" t="n">
        <v>45501</v>
      </c>
      <c r="C1556" s="289" t="n">
        <v>902</v>
      </c>
      <c r="D1556" s="290" t="inlineStr">
        <is>
          <t>Tunjangan Lapangan JRK-163 (21 - 27 Juli 2024)</t>
        </is>
      </c>
      <c r="E1556" s="306" t="inlineStr">
        <is>
          <t>-</t>
        </is>
      </c>
      <c r="F1556" s="307" t="n">
        <v>175</v>
      </c>
      <c r="G1556" s="289" t="inlineStr">
        <is>
          <t>$</t>
        </is>
      </c>
      <c r="H1556" s="293" t="n">
        <v>16300</v>
      </c>
      <c r="I1556" s="306" t="n"/>
      <c r="J1556" s="306" t="n"/>
      <c r="K1556" s="306" t="n"/>
      <c r="L1556" s="307">
        <f>$F1556*$H1556</f>
        <v/>
      </c>
      <c r="M1556" s="306" t="n"/>
      <c r="N1556" s="306" t="n"/>
      <c r="O1556" s="306" t="n"/>
      <c r="P1556" s="306" t="n"/>
      <c r="Q1556" s="306" t="n"/>
    </row>
    <row r="1557" ht="18.75" customHeight="1">
      <c r="B1557" s="288" t="n">
        <v>45501</v>
      </c>
      <c r="C1557" s="289" t="n">
        <v>903</v>
      </c>
      <c r="D1557" s="290" t="inlineStr">
        <is>
          <t>Tunjangan Lapangan JRK-163 (21 - 27 Juli 2024)</t>
        </is>
      </c>
      <c r="E1557" s="306" t="inlineStr">
        <is>
          <t>-</t>
        </is>
      </c>
      <c r="F1557" s="307" t="n">
        <v>175</v>
      </c>
      <c r="G1557" s="289" t="inlineStr">
        <is>
          <t>$</t>
        </is>
      </c>
      <c r="H1557" s="293" t="n">
        <v>16300</v>
      </c>
      <c r="I1557" s="306" t="n"/>
      <c r="J1557" s="306" t="n"/>
      <c r="K1557" s="306" t="n"/>
      <c r="L1557" s="307">
        <f>$F1557*$H1557</f>
        <v/>
      </c>
      <c r="M1557" s="306" t="n"/>
      <c r="N1557" s="306" t="n"/>
      <c r="O1557" s="306" t="n"/>
      <c r="P1557" s="306" t="n"/>
      <c r="Q1557" s="306" t="n"/>
    </row>
    <row r="1558" ht="18.75" customHeight="1">
      <c r="B1558" s="288" t="n">
        <v>45501</v>
      </c>
      <c r="C1558" s="289" t="n">
        <v>904</v>
      </c>
      <c r="D1558" s="290" t="inlineStr">
        <is>
          <t>Tunjangan Lapangan JRK-163 (21 - 27 Juli 2024)</t>
        </is>
      </c>
      <c r="E1558" s="306" t="inlineStr">
        <is>
          <t>-</t>
        </is>
      </c>
      <c r="F1558" s="307" t="n">
        <v>175</v>
      </c>
      <c r="G1558" s="289" t="inlineStr">
        <is>
          <t>$</t>
        </is>
      </c>
      <c r="H1558" s="293" t="n">
        <v>16300</v>
      </c>
      <c r="I1558" s="306" t="n"/>
      <c r="J1558" s="306" t="n"/>
      <c r="K1558" s="306" t="n"/>
      <c r="L1558" s="307">
        <f>$F1558*$H1558</f>
        <v/>
      </c>
      <c r="M1558" s="306" t="n"/>
      <c r="N1558" s="306" t="n"/>
      <c r="O1558" s="306" t="n"/>
      <c r="P1558" s="306" t="n"/>
      <c r="Q1558" s="306" t="n"/>
    </row>
    <row r="1559">
      <c r="B1559" s="312" t="n"/>
      <c r="C1559" s="312" t="n"/>
      <c r="D1559" s="285" t="inlineStr">
        <is>
          <t>Laundry</t>
        </is>
      </c>
      <c r="E1559" s="312" t="n"/>
      <c r="F1559" s="312" t="n"/>
      <c r="G1559" s="312" t="n"/>
      <c r="H1559" s="312" t="n"/>
      <c r="I1559" s="312" t="n"/>
      <c r="J1559" s="312" t="n"/>
      <c r="K1559" s="312" t="n"/>
      <c r="L1559" s="312" t="n"/>
      <c r="M1559" s="312" t="n"/>
      <c r="N1559" s="312" t="n"/>
      <c r="O1559" s="312" t="n"/>
      <c r="P1559" s="312" t="n"/>
      <c r="Q1559" s="312" t="n"/>
    </row>
    <row r="1560" ht="34.5" customHeight="1">
      <c r="B1560" s="288" t="n">
        <v>45463</v>
      </c>
      <c r="C1560" s="289" t="n">
        <v>905</v>
      </c>
      <c r="D1560" s="290" t="inlineStr">
        <is>
          <t>Laundry (16 - 19 June 2024) pending job /Job Postponed</t>
        </is>
      </c>
      <c r="E1560" s="306" t="inlineStr">
        <is>
          <t>-</t>
        </is>
      </c>
      <c r="F1560" s="307" t="n">
        <v>200000</v>
      </c>
      <c r="G1560" s="289" t="inlineStr">
        <is>
          <t>IDR</t>
        </is>
      </c>
      <c r="H1560" s="293" t="n">
        <v>1</v>
      </c>
      <c r="I1560" s="306" t="n"/>
      <c r="J1560" s="306" t="n"/>
      <c r="K1560" s="306" t="n"/>
      <c r="L1560" s="307">
        <f>$F1560*$H1560</f>
        <v/>
      </c>
      <c r="M1560" s="306" t="n"/>
      <c r="N1560" s="306" t="n"/>
      <c r="O1560" s="306" t="n"/>
      <c r="P1560" s="306" t="n"/>
      <c r="Q1560" s="306" t="n"/>
    </row>
    <row r="1561" ht="34.5" customHeight="1">
      <c r="B1561" s="288" t="n">
        <v>45463</v>
      </c>
      <c r="C1561" s="289" t="n">
        <v>906</v>
      </c>
      <c r="D1561" s="290" t="inlineStr">
        <is>
          <t>Laundry (16 - 19 June 2024) pending job /Job Postponed</t>
        </is>
      </c>
      <c r="E1561" s="306" t="inlineStr">
        <is>
          <t>-</t>
        </is>
      </c>
      <c r="F1561" s="307" t="n">
        <v>200000</v>
      </c>
      <c r="G1561" s="289" t="inlineStr">
        <is>
          <t>IDR</t>
        </is>
      </c>
      <c r="H1561" s="293" t="n">
        <v>1</v>
      </c>
      <c r="I1561" s="306" t="n"/>
      <c r="J1561" s="306" t="n"/>
      <c r="K1561" s="306" t="n"/>
      <c r="L1561" s="307">
        <f>$F1561*$H1561</f>
        <v/>
      </c>
      <c r="M1561" s="306" t="n"/>
      <c r="N1561" s="306" t="n"/>
      <c r="O1561" s="306" t="n"/>
      <c r="P1561" s="306" t="n"/>
      <c r="Q1561" s="306" t="n"/>
    </row>
    <row r="1562" ht="34.5" customHeight="1">
      <c r="B1562" s="288" t="n">
        <v>45463</v>
      </c>
      <c r="C1562" s="289" t="n">
        <v>907</v>
      </c>
      <c r="D1562" s="290" t="inlineStr">
        <is>
          <t>Laundry (16 - 19 June 2024) pending job /Job Postponed</t>
        </is>
      </c>
      <c r="E1562" s="306" t="inlineStr">
        <is>
          <t>-</t>
        </is>
      </c>
      <c r="F1562" s="307" t="n">
        <v>200000</v>
      </c>
      <c r="G1562" s="289" t="inlineStr">
        <is>
          <t>IDR</t>
        </is>
      </c>
      <c r="H1562" s="293" t="n">
        <v>1</v>
      </c>
      <c r="I1562" s="306" t="n"/>
      <c r="J1562" s="306" t="n"/>
      <c r="K1562" s="306" t="n"/>
      <c r="L1562" s="307">
        <f>$F1562*$H1562</f>
        <v/>
      </c>
      <c r="M1562" s="306" t="n"/>
      <c r="N1562" s="306" t="n"/>
      <c r="O1562" s="306" t="n"/>
      <c r="P1562" s="306" t="n"/>
      <c r="Q1562" s="306" t="n"/>
    </row>
    <row r="1563" ht="34.5" customHeight="1">
      <c r="B1563" s="288" t="n">
        <v>45463</v>
      </c>
      <c r="C1563" s="289" t="n">
        <v>908</v>
      </c>
      <c r="D1563" s="290" t="inlineStr">
        <is>
          <t>Laundry (16 - 19 June 2024) pending job /Job Postponed</t>
        </is>
      </c>
      <c r="E1563" s="306" t="inlineStr">
        <is>
          <t>-</t>
        </is>
      </c>
      <c r="F1563" s="307" t="n">
        <v>200000</v>
      </c>
      <c r="G1563" s="289" t="inlineStr">
        <is>
          <t>IDR</t>
        </is>
      </c>
      <c r="H1563" s="293" t="n">
        <v>1</v>
      </c>
      <c r="I1563" s="306" t="n"/>
      <c r="J1563" s="306" t="n"/>
      <c r="K1563" s="306" t="n"/>
      <c r="L1563" s="307">
        <f>$F1563*$H1563</f>
        <v/>
      </c>
      <c r="M1563" s="306" t="n"/>
      <c r="N1563" s="306" t="n"/>
      <c r="O1563" s="306" t="n"/>
      <c r="P1563" s="306" t="n"/>
      <c r="Q1563" s="306" t="n"/>
    </row>
    <row r="1564" ht="18.75" customHeight="1">
      <c r="B1564" s="288" t="n">
        <v>45501</v>
      </c>
      <c r="C1564" s="289" t="n">
        <v>909</v>
      </c>
      <c r="D1564" s="290" t="inlineStr">
        <is>
          <t>Laundry (21 - 27 Juli 2024)</t>
        </is>
      </c>
      <c r="E1564" s="306" t="inlineStr">
        <is>
          <t>-</t>
        </is>
      </c>
      <c r="F1564" s="307" t="n">
        <v>350000</v>
      </c>
      <c r="G1564" s="289" t="inlineStr">
        <is>
          <t>IDR</t>
        </is>
      </c>
      <c r="H1564" s="293" t="n">
        <v>1</v>
      </c>
      <c r="I1564" s="306" t="n"/>
      <c r="J1564" s="306" t="n"/>
      <c r="K1564" s="306" t="n"/>
      <c r="L1564" s="307">
        <f>$F1564*$H1564</f>
        <v/>
      </c>
      <c r="M1564" s="306" t="n"/>
      <c r="N1564" s="306" t="n"/>
      <c r="O1564" s="306" t="n"/>
      <c r="P1564" s="306" t="n"/>
      <c r="Q1564" s="306" t="n"/>
    </row>
    <row r="1565" ht="18.75" customHeight="1">
      <c r="B1565" s="288" t="n">
        <v>45501</v>
      </c>
      <c r="C1565" s="289" t="n">
        <v>910</v>
      </c>
      <c r="D1565" s="290" t="inlineStr">
        <is>
          <t>Laundry (21 - 27 Juli 2024)</t>
        </is>
      </c>
      <c r="E1565" s="306" t="inlineStr">
        <is>
          <t>-</t>
        </is>
      </c>
      <c r="F1565" s="307" t="n">
        <v>350000</v>
      </c>
      <c r="G1565" s="289" t="inlineStr">
        <is>
          <t>IDR</t>
        </is>
      </c>
      <c r="H1565" s="293" t="n">
        <v>1</v>
      </c>
      <c r="I1565" s="306" t="n"/>
      <c r="J1565" s="306" t="n"/>
      <c r="K1565" s="306" t="n"/>
      <c r="L1565" s="307">
        <f>$F1565*$H1565</f>
        <v/>
      </c>
      <c r="M1565" s="306" t="n"/>
      <c r="N1565" s="306" t="n"/>
      <c r="O1565" s="306" t="n"/>
      <c r="P1565" s="306" t="n"/>
      <c r="Q1565" s="306" t="n"/>
    </row>
    <row r="1566" ht="18.75" customHeight="1">
      <c r="B1566" s="288" t="n">
        <v>45501</v>
      </c>
      <c r="C1566" s="289" t="n">
        <v>911</v>
      </c>
      <c r="D1566" s="290" t="inlineStr">
        <is>
          <t>Laundry (21 - 27 Juli 2024)</t>
        </is>
      </c>
      <c r="E1566" s="306" t="inlineStr">
        <is>
          <t>-</t>
        </is>
      </c>
      <c r="F1566" s="307" t="n">
        <v>350000</v>
      </c>
      <c r="G1566" s="289" t="inlineStr">
        <is>
          <t>IDR</t>
        </is>
      </c>
      <c r="H1566" s="293" t="n">
        <v>1</v>
      </c>
      <c r="I1566" s="306" t="n"/>
      <c r="J1566" s="306" t="n"/>
      <c r="K1566" s="306" t="n"/>
      <c r="L1566" s="307">
        <f>$F1566*$H1566</f>
        <v/>
      </c>
      <c r="M1566" s="306" t="n"/>
      <c r="N1566" s="306" t="n"/>
      <c r="O1566" s="306" t="n"/>
      <c r="P1566" s="306" t="n"/>
      <c r="Q1566" s="306" t="n"/>
    </row>
    <row r="1567" ht="18.75" customHeight="1">
      <c r="B1567" s="288" t="n">
        <v>45501</v>
      </c>
      <c r="C1567" s="289" t="n">
        <v>912</v>
      </c>
      <c r="D1567" s="290" t="inlineStr">
        <is>
          <t>Laundry (21 - 27 Juli 2024)</t>
        </is>
      </c>
      <c r="E1567" s="306" t="inlineStr">
        <is>
          <t>-</t>
        </is>
      </c>
      <c r="F1567" s="307" t="n">
        <v>350000</v>
      </c>
      <c r="G1567" s="289" t="inlineStr">
        <is>
          <t>IDR</t>
        </is>
      </c>
      <c r="H1567" s="293" t="n">
        <v>1</v>
      </c>
      <c r="I1567" s="306" t="n"/>
      <c r="J1567" s="306" t="n"/>
      <c r="K1567" s="306" t="n"/>
      <c r="L1567" s="307">
        <f>$F1567*$H1567</f>
        <v/>
      </c>
      <c r="M1567" s="306" t="n"/>
      <c r="N1567" s="306" t="n"/>
      <c r="O1567" s="306" t="n"/>
      <c r="P1567" s="306" t="n"/>
      <c r="Q1567" s="306" t="n"/>
    </row>
    <row r="1568">
      <c r="B1568" s="312" t="n"/>
      <c r="C1568" s="312" t="n"/>
      <c r="D1568" s="285" t="inlineStr">
        <is>
          <t>Meal</t>
        </is>
      </c>
      <c r="E1568" s="312" t="n"/>
      <c r="F1568" s="312" t="n"/>
      <c r="G1568" s="312" t="n"/>
      <c r="H1568" s="312" t="n"/>
      <c r="I1568" s="312" t="n"/>
      <c r="J1568" s="312" t="n"/>
      <c r="K1568" s="312" t="n"/>
      <c r="L1568" s="312" t="n"/>
      <c r="M1568" s="312" t="n"/>
      <c r="N1568" s="312" t="n"/>
      <c r="O1568" s="312" t="n"/>
      <c r="P1568" s="312" t="n"/>
      <c r="Q1568" s="312" t="n"/>
    </row>
    <row r="1569" ht="34.5" customHeight="1">
      <c r="B1569" s="288" t="n">
        <v>45463</v>
      </c>
      <c r="C1569" s="289" t="n">
        <v>913</v>
      </c>
      <c r="D1569" s="290" t="inlineStr">
        <is>
          <t>Uang makan (16 - 19 June 2024) pending job /Job Postponed</t>
        </is>
      </c>
      <c r="E1569" s="306" t="inlineStr">
        <is>
          <t>-</t>
        </is>
      </c>
      <c r="F1569" s="307" t="n">
        <v>600000</v>
      </c>
      <c r="G1569" s="289" t="inlineStr">
        <is>
          <t>IDR</t>
        </is>
      </c>
      <c r="H1569" s="293" t="n">
        <v>1</v>
      </c>
      <c r="I1569" s="306" t="n"/>
      <c r="J1569" s="306" t="n"/>
      <c r="K1569" s="306" t="n"/>
      <c r="L1569" s="307">
        <f>$F1569*$H1569</f>
        <v/>
      </c>
      <c r="M1569" s="306" t="n"/>
      <c r="N1569" s="306" t="n"/>
      <c r="O1569" s="306" t="n"/>
      <c r="P1569" s="306" t="n"/>
      <c r="Q1569" s="306" t="n"/>
    </row>
    <row r="1570" ht="34.5" customHeight="1">
      <c r="B1570" s="288" t="n">
        <v>45463</v>
      </c>
      <c r="C1570" s="289" t="n">
        <v>914</v>
      </c>
      <c r="D1570" s="290" t="inlineStr">
        <is>
          <t>Uang makan (16 - 19 June 2024) pending job /Job Postponed</t>
        </is>
      </c>
      <c r="E1570" s="306" t="inlineStr">
        <is>
          <t>-</t>
        </is>
      </c>
      <c r="F1570" s="307" t="n">
        <v>600000</v>
      </c>
      <c r="G1570" s="289" t="inlineStr">
        <is>
          <t>IDR</t>
        </is>
      </c>
      <c r="H1570" s="293" t="n">
        <v>1</v>
      </c>
      <c r="I1570" s="306" t="n"/>
      <c r="J1570" s="306" t="n"/>
      <c r="K1570" s="306" t="n"/>
      <c r="L1570" s="307">
        <f>$F1570*$H1570</f>
        <v/>
      </c>
      <c r="M1570" s="306" t="n"/>
      <c r="N1570" s="306" t="n"/>
      <c r="O1570" s="306" t="n"/>
      <c r="P1570" s="306" t="n"/>
      <c r="Q1570" s="306" t="n"/>
    </row>
    <row r="1571" ht="34.5" customHeight="1">
      <c r="B1571" s="288" t="n">
        <v>45463</v>
      </c>
      <c r="C1571" s="289" t="n">
        <v>915</v>
      </c>
      <c r="D1571" s="290" t="inlineStr">
        <is>
          <t>Uang makan (16 - 19 June 2024) pending job /Job Postponed</t>
        </is>
      </c>
      <c r="E1571" s="306" t="inlineStr">
        <is>
          <t>-</t>
        </is>
      </c>
      <c r="F1571" s="307" t="n">
        <v>600000</v>
      </c>
      <c r="G1571" s="289" t="inlineStr">
        <is>
          <t>IDR</t>
        </is>
      </c>
      <c r="H1571" s="293" t="n">
        <v>1</v>
      </c>
      <c r="I1571" s="306" t="n"/>
      <c r="J1571" s="306" t="n"/>
      <c r="K1571" s="306" t="n"/>
      <c r="L1571" s="307">
        <f>$F1571*$H1571</f>
        <v/>
      </c>
      <c r="M1571" s="306" t="n"/>
      <c r="N1571" s="306" t="n"/>
      <c r="O1571" s="306" t="n"/>
      <c r="P1571" s="306" t="n"/>
      <c r="Q1571" s="306" t="n"/>
    </row>
    <row r="1572" ht="34.5" customHeight="1">
      <c r="B1572" s="288" t="n">
        <v>45463</v>
      </c>
      <c r="C1572" s="289" t="n">
        <v>916</v>
      </c>
      <c r="D1572" s="290" t="inlineStr">
        <is>
          <t>Uang makan (16 - 19 June 2024) pending job /Job Postponed</t>
        </is>
      </c>
      <c r="E1572" s="306" t="inlineStr">
        <is>
          <t>-</t>
        </is>
      </c>
      <c r="F1572" s="307" t="n">
        <v>600000</v>
      </c>
      <c r="G1572" s="289" t="inlineStr">
        <is>
          <t>IDR</t>
        </is>
      </c>
      <c r="H1572" s="293" t="n">
        <v>1</v>
      </c>
      <c r="I1572" s="306" t="n"/>
      <c r="J1572" s="306" t="n"/>
      <c r="K1572" s="306" t="n"/>
      <c r="L1572" s="307">
        <f>$F1572*$H1572</f>
        <v/>
      </c>
      <c r="M1572" s="306" t="n"/>
      <c r="N1572" s="306" t="n"/>
      <c r="O1572" s="306" t="n"/>
      <c r="P1572" s="306" t="n"/>
      <c r="Q1572" s="306" t="n"/>
    </row>
    <row r="1573" ht="18.75" customHeight="1">
      <c r="B1573" s="288" t="n">
        <v>45501</v>
      </c>
      <c r="C1573" s="289" t="n">
        <v>917</v>
      </c>
      <c r="D1573" s="290" t="inlineStr">
        <is>
          <t>Uang makan (21 - 27 Juli 2024)</t>
        </is>
      </c>
      <c r="E1573" s="306" t="inlineStr">
        <is>
          <t>-</t>
        </is>
      </c>
      <c r="F1573" s="307" t="n">
        <v>1050000</v>
      </c>
      <c r="G1573" s="289" t="inlineStr">
        <is>
          <t>IDR</t>
        </is>
      </c>
      <c r="H1573" s="293" t="n">
        <v>1</v>
      </c>
      <c r="I1573" s="306" t="n"/>
      <c r="J1573" s="306" t="n"/>
      <c r="K1573" s="306" t="n"/>
      <c r="L1573" s="307">
        <f>$F1573*$H1573</f>
        <v/>
      </c>
      <c r="M1573" s="306" t="n"/>
      <c r="N1573" s="306" t="n"/>
      <c r="O1573" s="306" t="n"/>
      <c r="P1573" s="306" t="n"/>
      <c r="Q1573" s="306" t="n"/>
    </row>
    <row r="1574" ht="18.75" customHeight="1">
      <c r="B1574" s="288" t="n">
        <v>45501</v>
      </c>
      <c r="C1574" s="289" t="n">
        <v>918</v>
      </c>
      <c r="D1574" s="290" t="inlineStr">
        <is>
          <t>Uang makan (21 - 27 Juli 2024)</t>
        </is>
      </c>
      <c r="E1574" s="306" t="inlineStr">
        <is>
          <t>-</t>
        </is>
      </c>
      <c r="F1574" s="307" t="n">
        <v>1050000</v>
      </c>
      <c r="G1574" s="289" t="inlineStr">
        <is>
          <t>IDR</t>
        </is>
      </c>
      <c r="H1574" s="293" t="n">
        <v>1</v>
      </c>
      <c r="I1574" s="306" t="n"/>
      <c r="J1574" s="306" t="n"/>
      <c r="K1574" s="306" t="n"/>
      <c r="L1574" s="307">
        <f>$F1574*$H1574</f>
        <v/>
      </c>
      <c r="M1574" s="306" t="n"/>
      <c r="N1574" s="306" t="n"/>
      <c r="O1574" s="306" t="n"/>
      <c r="P1574" s="306" t="n"/>
      <c r="Q1574" s="306" t="n"/>
    </row>
    <row r="1575" ht="18.75" customHeight="1">
      <c r="B1575" s="288" t="n">
        <v>45501</v>
      </c>
      <c r="C1575" s="289" t="n">
        <v>919</v>
      </c>
      <c r="D1575" s="290" t="inlineStr">
        <is>
          <t>Uang makan (21 - 27 Juli 2024)</t>
        </is>
      </c>
      <c r="E1575" s="306" t="inlineStr">
        <is>
          <t>-</t>
        </is>
      </c>
      <c r="F1575" s="307" t="n">
        <v>1050000</v>
      </c>
      <c r="G1575" s="289" t="inlineStr">
        <is>
          <t>IDR</t>
        </is>
      </c>
      <c r="H1575" s="293" t="n">
        <v>1</v>
      </c>
      <c r="I1575" s="306" t="n"/>
      <c r="J1575" s="306" t="n"/>
      <c r="K1575" s="306" t="n"/>
      <c r="L1575" s="307">
        <f>$F1575*$H1575</f>
        <v/>
      </c>
      <c r="M1575" s="306" t="n"/>
      <c r="N1575" s="306" t="n"/>
      <c r="O1575" s="306" t="n"/>
      <c r="P1575" s="306" t="n"/>
      <c r="Q1575" s="306" t="n"/>
    </row>
    <row r="1576" ht="18.75" customHeight="1">
      <c r="B1576" s="288" t="n">
        <v>45501</v>
      </c>
      <c r="C1576" s="289" t="n">
        <v>920</v>
      </c>
      <c r="D1576" s="290" t="inlineStr">
        <is>
          <t>Uang makan (21 - 27 Juli 2024)</t>
        </is>
      </c>
      <c r="E1576" s="306" t="inlineStr">
        <is>
          <t>-</t>
        </is>
      </c>
      <c r="F1576" s="307" t="n">
        <v>1050000</v>
      </c>
      <c r="G1576" s="289" t="inlineStr">
        <is>
          <t>IDR</t>
        </is>
      </c>
      <c r="H1576" s="293" t="n">
        <v>1</v>
      </c>
      <c r="I1576" s="306" t="n"/>
      <c r="J1576" s="306" t="n"/>
      <c r="K1576" s="306" t="n"/>
      <c r="L1576" s="307">
        <f>$F1576*$H1576</f>
        <v/>
      </c>
      <c r="M1576" s="306" t="n"/>
      <c r="N1576" s="306" t="n"/>
      <c r="O1576" s="306" t="n"/>
      <c r="P1576" s="306" t="n"/>
      <c r="Q1576" s="306" t="n"/>
    </row>
    <row r="1577">
      <c r="B1577" s="310" t="inlineStr">
        <is>
          <t>Expense#25</t>
        </is>
      </c>
      <c r="C1577" s="311" t="inlineStr">
        <is>
          <t>:</t>
        </is>
      </c>
      <c r="D1577" s="310" t="inlineStr">
        <is>
          <t>TIS-Blora Field-PLT ALFA BHS by BARIKIN - IC</t>
        </is>
      </c>
      <c r="E1577" s="311" t="n"/>
      <c r="F1577" s="311" t="n"/>
      <c r="G1577" s="311" t="n"/>
      <c r="H1577" s="311" t="n"/>
      <c r="I1577" s="311" t="n"/>
      <c r="J1577" s="311" t="n"/>
      <c r="K1577" s="311" t="n"/>
      <c r="L1577" s="311" t="n"/>
      <c r="M1577" s="311" t="n"/>
      <c r="N1577" s="311" t="n"/>
      <c r="O1577" s="311" t="n"/>
      <c r="P1577" s="311" t="n"/>
      <c r="Q1577" s="311" t="n"/>
    </row>
    <row r="1578">
      <c r="B1578" s="312" t="n"/>
      <c r="C1578" s="312" t="n"/>
      <c r="D1578" s="285" t="inlineStr">
        <is>
          <t>Allowance</t>
        </is>
      </c>
      <c r="E1578" s="312" t="n"/>
      <c r="F1578" s="312" t="n"/>
      <c r="G1578" s="312" t="n"/>
      <c r="H1578" s="312" t="n"/>
      <c r="I1578" s="312" t="n"/>
      <c r="J1578" s="312" t="n"/>
      <c r="K1578" s="312" t="n"/>
      <c r="L1578" s="312" t="n"/>
      <c r="M1578" s="312" t="n"/>
      <c r="N1578" s="312" t="n"/>
      <c r="O1578" s="312" t="n"/>
      <c r="P1578" s="312" t="n"/>
      <c r="Q1578" s="312" t="n"/>
    </row>
    <row r="1579" ht="18.75" customHeight="1">
      <c r="B1579" s="288" t="n">
        <v>45512</v>
      </c>
      <c r="C1579" s="289" t="n">
        <v>921</v>
      </c>
      <c r="D1579" s="290" t="inlineStr">
        <is>
          <t>Tunjangan Lapangan for 10 days</t>
        </is>
      </c>
      <c r="E1579" s="306" t="inlineStr">
        <is>
          <t>-</t>
        </is>
      </c>
      <c r="F1579" s="307" t="n">
        <v>1000</v>
      </c>
      <c r="G1579" s="289" t="inlineStr">
        <is>
          <t>USD</t>
        </is>
      </c>
      <c r="H1579" s="293" t="n">
        <v>16100</v>
      </c>
      <c r="I1579" s="306" t="n"/>
      <c r="J1579" s="306" t="n"/>
      <c r="K1579" s="306" t="n"/>
      <c r="L1579" s="307">
        <f>$F1579*$H1579</f>
        <v/>
      </c>
      <c r="M1579" s="306" t="n"/>
      <c r="N1579" s="306" t="n"/>
      <c r="O1579" s="306" t="n"/>
      <c r="P1579" s="306" t="n"/>
      <c r="Q1579" s="306" t="n"/>
    </row>
    <row r="1580" ht="18.75" customHeight="1">
      <c r="B1580" s="288" t="n">
        <v>45512</v>
      </c>
      <c r="C1580" s="289" t="n">
        <v>922</v>
      </c>
      <c r="D1580" s="290" t="inlineStr">
        <is>
          <t>Tunjangan Lapangan for 10 days</t>
        </is>
      </c>
      <c r="E1580" s="306" t="inlineStr">
        <is>
          <t>-</t>
        </is>
      </c>
      <c r="F1580" s="307" t="n">
        <v>1000</v>
      </c>
      <c r="G1580" s="289" t="inlineStr">
        <is>
          <t>USD</t>
        </is>
      </c>
      <c r="H1580" s="293" t="n">
        <v>16100</v>
      </c>
      <c r="I1580" s="306" t="n"/>
      <c r="J1580" s="306" t="n"/>
      <c r="K1580" s="306" t="n"/>
      <c r="L1580" s="307">
        <f>$F1580*$H1580</f>
        <v/>
      </c>
      <c r="M1580" s="306" t="n"/>
      <c r="N1580" s="306" t="n"/>
      <c r="O1580" s="306" t="n"/>
      <c r="P1580" s="306" t="n"/>
      <c r="Q1580" s="306" t="n"/>
    </row>
    <row r="1581" ht="18.75" customHeight="1">
      <c r="B1581" s="288" t="n">
        <v>45512</v>
      </c>
      <c r="C1581" s="289" t="n">
        <v>923</v>
      </c>
      <c r="D1581" s="290" t="inlineStr">
        <is>
          <t>Tunjangan Lapangan for 10 days</t>
        </is>
      </c>
      <c r="E1581" s="306" t="inlineStr">
        <is>
          <t>-</t>
        </is>
      </c>
      <c r="F1581" s="307" t="n">
        <v>1000</v>
      </c>
      <c r="G1581" s="289" t="inlineStr">
        <is>
          <t>USD</t>
        </is>
      </c>
      <c r="H1581" s="293" t="n">
        <v>16100</v>
      </c>
      <c r="I1581" s="306" t="n"/>
      <c r="J1581" s="306" t="n"/>
      <c r="K1581" s="306" t="n"/>
      <c r="L1581" s="307">
        <f>$F1581*$H1581</f>
        <v/>
      </c>
      <c r="M1581" s="306" t="n"/>
      <c r="N1581" s="306" t="n"/>
      <c r="O1581" s="306" t="n"/>
      <c r="P1581" s="306" t="n"/>
      <c r="Q1581" s="306" t="n"/>
    </row>
    <row r="1582" ht="18.75" customHeight="1">
      <c r="B1582" s="288" t="n">
        <v>45512</v>
      </c>
      <c r="C1582" s="289" t="n">
        <v>924</v>
      </c>
      <c r="D1582" s="290" t="inlineStr">
        <is>
          <t>Tunjangan Lapangan for 10 days</t>
        </is>
      </c>
      <c r="E1582" s="306" t="inlineStr">
        <is>
          <t>-</t>
        </is>
      </c>
      <c r="F1582" s="307" t="n">
        <v>1000</v>
      </c>
      <c r="G1582" s="289" t="inlineStr">
        <is>
          <t>USD</t>
        </is>
      </c>
      <c r="H1582" s="293" t="n">
        <v>16100</v>
      </c>
      <c r="I1582" s="306" t="n"/>
      <c r="J1582" s="306" t="n"/>
      <c r="K1582" s="306" t="n"/>
      <c r="L1582" s="307">
        <f>$F1582*$H1582</f>
        <v/>
      </c>
      <c r="M1582" s="306" t="n"/>
      <c r="N1582" s="306" t="n"/>
      <c r="O1582" s="306" t="n"/>
      <c r="P1582" s="306" t="n"/>
      <c r="Q1582" s="306" t="n"/>
    </row>
    <row r="1583">
      <c r="B1583" s="312" t="n"/>
      <c r="C1583" s="312" t="n"/>
      <c r="D1583" s="285" t="inlineStr">
        <is>
          <t>Laundry</t>
        </is>
      </c>
      <c r="E1583" s="312" t="n"/>
      <c r="F1583" s="312" t="n"/>
      <c r="G1583" s="312" t="n"/>
      <c r="H1583" s="312" t="n"/>
      <c r="I1583" s="312" t="n"/>
      <c r="J1583" s="312" t="n"/>
      <c r="K1583" s="312" t="n"/>
      <c r="L1583" s="312" t="n"/>
      <c r="M1583" s="312" t="n"/>
      <c r="N1583" s="312" t="n"/>
      <c r="O1583" s="312" t="n"/>
      <c r="P1583" s="312" t="n"/>
      <c r="Q1583" s="312" t="n"/>
    </row>
    <row r="1584" ht="18.75" customHeight="1">
      <c r="B1584" s="288" t="n">
        <v>45511</v>
      </c>
      <c r="C1584" s="289" t="n">
        <v>925</v>
      </c>
      <c r="D1584" s="290" t="inlineStr">
        <is>
          <t>Laundry 10 days 1 Persons @ 50K IDR/day</t>
        </is>
      </c>
      <c r="E1584" s="306" t="inlineStr">
        <is>
          <t>-</t>
        </is>
      </c>
      <c r="F1584" s="307" t="n">
        <v>500000</v>
      </c>
      <c r="G1584" s="289" t="inlineStr">
        <is>
          <t>IDR</t>
        </is>
      </c>
      <c r="H1584" s="293" t="n">
        <v>1</v>
      </c>
      <c r="I1584" s="306" t="n"/>
      <c r="J1584" s="306" t="n"/>
      <c r="K1584" s="306" t="n"/>
      <c r="L1584" s="307">
        <f>$F1584*$H1584</f>
        <v/>
      </c>
      <c r="M1584" s="306" t="n"/>
      <c r="N1584" s="306" t="n"/>
      <c r="O1584" s="306" t="n"/>
      <c r="P1584" s="306" t="n"/>
      <c r="Q1584" s="306" t="n"/>
    </row>
    <row r="1585" ht="18.75" customHeight="1">
      <c r="B1585" s="288" t="n">
        <v>45511</v>
      </c>
      <c r="C1585" s="289" t="n">
        <v>926</v>
      </c>
      <c r="D1585" s="290" t="inlineStr">
        <is>
          <t>Laundry 10 days 1 Persons @ 50K IDR/day</t>
        </is>
      </c>
      <c r="E1585" s="306" t="inlineStr">
        <is>
          <t>-</t>
        </is>
      </c>
      <c r="F1585" s="307" t="n">
        <v>500000</v>
      </c>
      <c r="G1585" s="289" t="inlineStr">
        <is>
          <t>IDR</t>
        </is>
      </c>
      <c r="H1585" s="293" t="n">
        <v>1</v>
      </c>
      <c r="I1585" s="306" t="n"/>
      <c r="J1585" s="306" t="n"/>
      <c r="K1585" s="306" t="n"/>
      <c r="L1585" s="307">
        <f>$F1585*$H1585</f>
        <v/>
      </c>
      <c r="M1585" s="306" t="n"/>
      <c r="N1585" s="306" t="n"/>
      <c r="O1585" s="306" t="n"/>
      <c r="P1585" s="306" t="n"/>
      <c r="Q1585" s="306" t="n"/>
    </row>
    <row r="1586" ht="18.75" customHeight="1">
      <c r="B1586" s="288" t="n">
        <v>45511</v>
      </c>
      <c r="C1586" s="289" t="n">
        <v>927</v>
      </c>
      <c r="D1586" s="290" t="inlineStr">
        <is>
          <t>Laundry 10 days 1 Persons @ 50K IDR/day</t>
        </is>
      </c>
      <c r="E1586" s="306" t="inlineStr">
        <is>
          <t>-</t>
        </is>
      </c>
      <c r="F1586" s="307" t="n">
        <v>500000</v>
      </c>
      <c r="G1586" s="289" t="inlineStr">
        <is>
          <t>IDR</t>
        </is>
      </c>
      <c r="H1586" s="293" t="n">
        <v>1</v>
      </c>
      <c r="I1586" s="306" t="n"/>
      <c r="J1586" s="306" t="n"/>
      <c r="K1586" s="306" t="n"/>
      <c r="L1586" s="307">
        <f>$F1586*$H1586</f>
        <v/>
      </c>
      <c r="M1586" s="306" t="n"/>
      <c r="N1586" s="306" t="n"/>
      <c r="O1586" s="306" t="n"/>
      <c r="P1586" s="306" t="n"/>
      <c r="Q1586" s="306" t="n"/>
    </row>
    <row r="1587" ht="18.75" customHeight="1">
      <c r="B1587" s="288" t="n">
        <v>45511</v>
      </c>
      <c r="C1587" s="289" t="n">
        <v>928</v>
      </c>
      <c r="D1587" s="290" t="inlineStr">
        <is>
          <t>Laundry 10 days 1 Persons @ 50K IDR/day</t>
        </is>
      </c>
      <c r="E1587" s="306" t="inlineStr">
        <is>
          <t>-</t>
        </is>
      </c>
      <c r="F1587" s="307" t="n">
        <v>500000</v>
      </c>
      <c r="G1587" s="289" t="inlineStr">
        <is>
          <t>IDR</t>
        </is>
      </c>
      <c r="H1587" s="293" t="n">
        <v>1</v>
      </c>
      <c r="I1587" s="306" t="n"/>
      <c r="J1587" s="306" t="n"/>
      <c r="K1587" s="306" t="n"/>
      <c r="L1587" s="307">
        <f>$F1587*$H1587</f>
        <v/>
      </c>
      <c r="M1587" s="306" t="n"/>
      <c r="N1587" s="306" t="n"/>
      <c r="O1587" s="306" t="n"/>
      <c r="P1587" s="306" t="n"/>
      <c r="Q1587" s="306" t="n"/>
    </row>
    <row r="1588">
      <c r="B1588" s="312" t="n"/>
      <c r="C1588" s="312" t="n"/>
      <c r="D1588" s="285" t="inlineStr">
        <is>
          <t>Meal</t>
        </is>
      </c>
      <c r="E1588" s="312" t="n"/>
      <c r="F1588" s="312" t="n"/>
      <c r="G1588" s="312" t="n"/>
      <c r="H1588" s="312" t="n"/>
      <c r="I1588" s="312" t="n"/>
      <c r="J1588" s="312" t="n"/>
      <c r="K1588" s="312" t="n"/>
      <c r="L1588" s="312" t="n"/>
      <c r="M1588" s="312" t="n"/>
      <c r="N1588" s="312" t="n"/>
      <c r="O1588" s="312" t="n"/>
      <c r="P1588" s="312" t="n"/>
      <c r="Q1588" s="312" t="n"/>
    </row>
    <row r="1589" ht="18.75" customHeight="1">
      <c r="B1589" s="288" t="n">
        <v>45511</v>
      </c>
      <c r="C1589" s="289" t="n">
        <v>929</v>
      </c>
      <c r="D1589" s="290" t="inlineStr">
        <is>
          <t>Meals 10 days 1 Persons @ 150K IDR/day</t>
        </is>
      </c>
      <c r="E1589" s="306" t="inlineStr">
        <is>
          <t>-</t>
        </is>
      </c>
      <c r="F1589" s="307" t="n">
        <v>1500000</v>
      </c>
      <c r="G1589" s="289" t="inlineStr">
        <is>
          <t>IDR</t>
        </is>
      </c>
      <c r="H1589" s="293" t="n">
        <v>1</v>
      </c>
      <c r="I1589" s="306" t="n"/>
      <c r="J1589" s="306" t="n"/>
      <c r="K1589" s="306" t="n"/>
      <c r="L1589" s="307">
        <f>$F1589*$H1589</f>
        <v/>
      </c>
      <c r="M1589" s="306" t="n"/>
      <c r="N1589" s="306" t="n"/>
      <c r="O1589" s="306" t="n"/>
      <c r="P1589" s="306" t="n"/>
      <c r="Q1589" s="306" t="n"/>
    </row>
    <row r="1590" ht="18.75" customHeight="1">
      <c r="B1590" s="288" t="n">
        <v>45511</v>
      </c>
      <c r="C1590" s="289" t="n">
        <v>930</v>
      </c>
      <c r="D1590" s="290" t="inlineStr">
        <is>
          <t>Meals 10 days 1 Persons @ 150K IDR/day</t>
        </is>
      </c>
      <c r="E1590" s="306" t="inlineStr">
        <is>
          <t>-</t>
        </is>
      </c>
      <c r="F1590" s="307" t="n">
        <v>1500000</v>
      </c>
      <c r="G1590" s="289" t="inlineStr">
        <is>
          <t>IDR</t>
        </is>
      </c>
      <c r="H1590" s="293" t="n">
        <v>1</v>
      </c>
      <c r="I1590" s="306" t="n"/>
      <c r="J1590" s="306" t="n"/>
      <c r="K1590" s="306" t="n"/>
      <c r="L1590" s="307">
        <f>$F1590*$H1590</f>
        <v/>
      </c>
      <c r="M1590" s="306" t="n"/>
      <c r="N1590" s="306" t="n"/>
      <c r="O1590" s="306" t="n"/>
      <c r="P1590" s="306" t="n"/>
      <c r="Q1590" s="306" t="n"/>
    </row>
    <row r="1591" ht="18.75" customHeight="1">
      <c r="B1591" s="288" t="n">
        <v>45511</v>
      </c>
      <c r="C1591" s="289" t="n">
        <v>931</v>
      </c>
      <c r="D1591" s="290" t="inlineStr">
        <is>
          <t>Meals 10 days 1 Persons @ 150K IDR/day</t>
        </is>
      </c>
      <c r="E1591" s="306" t="inlineStr">
        <is>
          <t>-</t>
        </is>
      </c>
      <c r="F1591" s="307" t="n">
        <v>1500000</v>
      </c>
      <c r="G1591" s="289" t="inlineStr">
        <is>
          <t>IDR</t>
        </is>
      </c>
      <c r="H1591" s="293" t="n">
        <v>1</v>
      </c>
      <c r="I1591" s="306" t="n"/>
      <c r="J1591" s="306" t="n"/>
      <c r="K1591" s="306" t="n"/>
      <c r="L1591" s="307">
        <f>$F1591*$H1591</f>
        <v/>
      </c>
      <c r="M1591" s="306" t="n"/>
      <c r="N1591" s="306" t="n"/>
      <c r="O1591" s="306" t="n"/>
      <c r="P1591" s="306" t="n"/>
      <c r="Q1591" s="306" t="n"/>
    </row>
    <row r="1592" ht="18.75" customHeight="1">
      <c r="B1592" s="288" t="n">
        <v>45511</v>
      </c>
      <c r="C1592" s="289" t="n">
        <v>932</v>
      </c>
      <c r="D1592" s="290" t="inlineStr">
        <is>
          <t>Meals 10 days 1 Persons @ 150K IDR/day</t>
        </is>
      </c>
      <c r="E1592" s="306" t="inlineStr">
        <is>
          <t>-</t>
        </is>
      </c>
      <c r="F1592" s="307" t="n">
        <v>1500000</v>
      </c>
      <c r="G1592" s="289" t="inlineStr">
        <is>
          <t>IDR</t>
        </is>
      </c>
      <c r="H1592" s="293" t="n">
        <v>1</v>
      </c>
      <c r="I1592" s="306" t="n"/>
      <c r="J1592" s="306" t="n"/>
      <c r="K1592" s="306" t="n"/>
      <c r="L1592" s="307">
        <f>$F1592*$H1592</f>
        <v/>
      </c>
      <c r="M1592" s="306" t="n"/>
      <c r="N1592" s="306" t="n"/>
      <c r="O1592" s="306" t="n"/>
      <c r="P1592" s="306" t="n"/>
      <c r="Q1592" s="306" t="n"/>
    </row>
    <row r="1593">
      <c r="B1593" s="312" t="n"/>
      <c r="C1593" s="312" t="n"/>
      <c r="D1593" s="285" t="inlineStr">
        <is>
          <t>Sparepart</t>
        </is>
      </c>
      <c r="E1593" s="312" t="n"/>
      <c r="F1593" s="312" t="n"/>
      <c r="G1593" s="312" t="n"/>
      <c r="H1593" s="312" t="n"/>
      <c r="I1593" s="312" t="n"/>
      <c r="J1593" s="312" t="n"/>
      <c r="K1593" s="312" t="n"/>
      <c r="L1593" s="312" t="n"/>
      <c r="M1593" s="312" t="n"/>
      <c r="N1593" s="312" t="n"/>
      <c r="O1593" s="312" t="n"/>
      <c r="P1593" s="312" t="n"/>
      <c r="Q1593" s="312" t="n"/>
    </row>
    <row r="1594" ht="18.75" customHeight="1">
      <c r="B1594" s="288" t="n">
        <v>45516</v>
      </c>
      <c r="C1594" s="289" t="n">
        <v>933</v>
      </c>
      <c r="D1594" s="290" t="inlineStr">
        <is>
          <t>Pelican Long Case 1770</t>
        </is>
      </c>
      <c r="E1594" s="306" t="inlineStr">
        <is>
          <t>-</t>
        </is>
      </c>
      <c r="F1594" s="307" t="n">
        <v>15166600</v>
      </c>
      <c r="G1594" s="289" t="inlineStr">
        <is>
          <t>IDR</t>
        </is>
      </c>
      <c r="H1594" s="293" t="n">
        <v>1</v>
      </c>
      <c r="I1594" s="306" t="n"/>
      <c r="J1594" s="306" t="n"/>
      <c r="K1594" s="306" t="n"/>
      <c r="L1594" s="306" t="n"/>
      <c r="M1594" s="306" t="n"/>
      <c r="N1594" s="307">
        <f>$F1594*$H1594</f>
        <v/>
      </c>
      <c r="O1594" s="306" t="n"/>
      <c r="P1594" s="306" t="n"/>
      <c r="Q1594" s="306" t="n"/>
    </row>
    <row r="1595" ht="18.75" customHeight="1">
      <c r="B1595" s="288" t="n">
        <v>45516</v>
      </c>
      <c r="C1595" s="289" t="n">
        <v>934</v>
      </c>
      <c r="D1595" s="290" t="inlineStr">
        <is>
          <t>Pelican Long Case 1770</t>
        </is>
      </c>
      <c r="E1595" s="306" t="inlineStr">
        <is>
          <t>-</t>
        </is>
      </c>
      <c r="F1595" s="307" t="n">
        <v>15166600</v>
      </c>
      <c r="G1595" s="289" t="inlineStr">
        <is>
          <t>IDR</t>
        </is>
      </c>
      <c r="H1595" s="293" t="n">
        <v>1</v>
      </c>
      <c r="I1595" s="306" t="n"/>
      <c r="J1595" s="306" t="n"/>
      <c r="K1595" s="306" t="n"/>
      <c r="L1595" s="306" t="n"/>
      <c r="M1595" s="306" t="n"/>
      <c r="N1595" s="307">
        <f>$F1595*$H1595</f>
        <v/>
      </c>
      <c r="O1595" s="306" t="n"/>
      <c r="P1595" s="306" t="n"/>
      <c r="Q1595" s="306" t="n"/>
    </row>
    <row r="1596" ht="18.75" customHeight="1">
      <c r="B1596" s="288" t="n">
        <v>45516</v>
      </c>
      <c r="C1596" s="289" t="n">
        <v>935</v>
      </c>
      <c r="D1596" s="290" t="inlineStr">
        <is>
          <t>Pelican Long Case 1770</t>
        </is>
      </c>
      <c r="E1596" s="306" t="inlineStr">
        <is>
          <t>-</t>
        </is>
      </c>
      <c r="F1596" s="307" t="n">
        <v>15166600</v>
      </c>
      <c r="G1596" s="289" t="inlineStr">
        <is>
          <t>IDR</t>
        </is>
      </c>
      <c r="H1596" s="293" t="n">
        <v>1</v>
      </c>
      <c r="I1596" s="306" t="n"/>
      <c r="J1596" s="306" t="n"/>
      <c r="K1596" s="306" t="n"/>
      <c r="L1596" s="306" t="n"/>
      <c r="M1596" s="306" t="n"/>
      <c r="N1596" s="307">
        <f>$F1596*$H1596</f>
        <v/>
      </c>
      <c r="O1596" s="306" t="n"/>
      <c r="P1596" s="306" t="n"/>
      <c r="Q1596" s="306" t="n"/>
    </row>
    <row r="1597" ht="18.75" customHeight="1">
      <c r="B1597" s="288" t="n">
        <v>45516</v>
      </c>
      <c r="C1597" s="289" t="n">
        <v>936</v>
      </c>
      <c r="D1597" s="290" t="inlineStr">
        <is>
          <t>Pelican Long Case 1770</t>
        </is>
      </c>
      <c r="E1597" s="306" t="inlineStr">
        <is>
          <t>-</t>
        </is>
      </c>
      <c r="F1597" s="307" t="n">
        <v>15166600</v>
      </c>
      <c r="G1597" s="289" t="inlineStr">
        <is>
          <t>IDR</t>
        </is>
      </c>
      <c r="H1597" s="293" t="n">
        <v>1</v>
      </c>
      <c r="I1597" s="306" t="n"/>
      <c r="J1597" s="306" t="n"/>
      <c r="K1597" s="306" t="n"/>
      <c r="L1597" s="306" t="n"/>
      <c r="M1597" s="306" t="n"/>
      <c r="N1597" s="307">
        <f>$F1597*$H1597</f>
        <v/>
      </c>
      <c r="O1597" s="306" t="n"/>
      <c r="P1597" s="306" t="n"/>
      <c r="Q1597" s="306" t="n"/>
    </row>
    <row r="1598">
      <c r="B1598" s="310" t="inlineStr">
        <is>
          <t>Expense#26</t>
        </is>
      </c>
      <c r="C1598" s="311" t="inlineStr">
        <is>
          <t>:</t>
        </is>
      </c>
      <c r="D1598" s="310" t="inlineStr">
        <is>
          <t>ALFA-MPLT-BHS_ RBG 3B PT. TIS under Barikin sakti _DS</t>
        </is>
      </c>
      <c r="E1598" s="311" t="n"/>
      <c r="F1598" s="311" t="n"/>
      <c r="G1598" s="311" t="n"/>
      <c r="H1598" s="311" t="n"/>
      <c r="I1598" s="311" t="n"/>
      <c r="J1598" s="311" t="n"/>
      <c r="K1598" s="311" t="n"/>
      <c r="L1598" s="311" t="n"/>
      <c r="M1598" s="311" t="n"/>
      <c r="N1598" s="311" t="n"/>
      <c r="O1598" s="311" t="n"/>
      <c r="P1598" s="311" t="n"/>
      <c r="Q1598" s="311" t="n"/>
    </row>
    <row r="1599">
      <c r="B1599" s="312" t="n"/>
      <c r="C1599" s="312" t="n"/>
      <c r="D1599" s="285" t="inlineStr">
        <is>
          <t>Accommodation</t>
        </is>
      </c>
      <c r="E1599" s="312" t="n"/>
      <c r="F1599" s="312" t="n"/>
      <c r="G1599" s="312" t="n"/>
      <c r="H1599" s="312" t="n"/>
      <c r="I1599" s="312" t="n"/>
      <c r="J1599" s="312" t="n"/>
      <c r="K1599" s="312" t="n"/>
      <c r="L1599" s="312" t="n"/>
      <c r="M1599" s="312" t="n"/>
      <c r="N1599" s="312" t="n"/>
      <c r="O1599" s="312" t="n"/>
      <c r="P1599" s="312" t="n"/>
      <c r="Q1599" s="312" t="n"/>
    </row>
    <row r="1600" ht="18.75" customHeight="1">
      <c r="B1600" s="288" t="n">
        <v>45507</v>
      </c>
      <c r="C1600" s="289" t="n">
        <v>937</v>
      </c>
      <c r="D1600" s="290" t="inlineStr">
        <is>
          <t>Hotel 3 Aug - 6 Aug 2024 (2 rooms)</t>
        </is>
      </c>
      <c r="E1600" s="306" t="inlineStr">
        <is>
          <t>-</t>
        </is>
      </c>
      <c r="F1600" s="307" t="n">
        <v>1591200</v>
      </c>
      <c r="G1600" s="289" t="inlineStr">
        <is>
          <t>IDR</t>
        </is>
      </c>
      <c r="H1600" s="293" t="n">
        <v>1</v>
      </c>
      <c r="I1600" s="306" t="n"/>
      <c r="J1600" s="306" t="n"/>
      <c r="K1600" s="306" t="n"/>
      <c r="L1600" s="307">
        <f>$F1600*$H1600</f>
        <v/>
      </c>
      <c r="M1600" s="306" t="n"/>
      <c r="N1600" s="306" t="n"/>
      <c r="O1600" s="306" t="n"/>
      <c r="P1600" s="306" t="n"/>
      <c r="Q1600" s="306" t="n"/>
    </row>
    <row r="1601" ht="18.75" customHeight="1">
      <c r="B1601" s="288" t="n">
        <v>45507</v>
      </c>
      <c r="C1601" s="289" t="n">
        <v>938</v>
      </c>
      <c r="D1601" s="290" t="inlineStr">
        <is>
          <t>Hotel 3 Aug - 6 Aug 2024 (2 rooms)</t>
        </is>
      </c>
      <c r="E1601" s="306" t="inlineStr">
        <is>
          <t>-</t>
        </is>
      </c>
      <c r="F1601" s="307" t="n">
        <v>1591200</v>
      </c>
      <c r="G1601" s="289" t="inlineStr">
        <is>
          <t>IDR</t>
        </is>
      </c>
      <c r="H1601" s="293" t="n">
        <v>1</v>
      </c>
      <c r="I1601" s="306" t="n"/>
      <c r="J1601" s="306" t="n"/>
      <c r="K1601" s="306" t="n"/>
      <c r="L1601" s="307">
        <f>$F1601*$H1601</f>
        <v/>
      </c>
      <c r="M1601" s="306" t="n"/>
      <c r="N1601" s="306" t="n"/>
      <c r="O1601" s="306" t="n"/>
      <c r="P1601" s="306" t="n"/>
      <c r="Q1601" s="306" t="n"/>
    </row>
    <row r="1602" ht="18.75" customHeight="1">
      <c r="B1602" s="288" t="n">
        <v>45507</v>
      </c>
      <c r="C1602" s="289" t="n">
        <v>939</v>
      </c>
      <c r="D1602" s="290" t="inlineStr">
        <is>
          <t>Hotel 3 Aug - 6 Aug 2024 (2 rooms)</t>
        </is>
      </c>
      <c r="E1602" s="306" t="inlineStr">
        <is>
          <t>-</t>
        </is>
      </c>
      <c r="F1602" s="307" t="n">
        <v>1591200</v>
      </c>
      <c r="G1602" s="289" t="inlineStr">
        <is>
          <t>IDR</t>
        </is>
      </c>
      <c r="H1602" s="293" t="n">
        <v>1</v>
      </c>
      <c r="I1602" s="306" t="n"/>
      <c r="J1602" s="306" t="n"/>
      <c r="K1602" s="306" t="n"/>
      <c r="L1602" s="307">
        <f>$F1602*$H1602</f>
        <v/>
      </c>
      <c r="M1602" s="306" t="n"/>
      <c r="N1602" s="306" t="n"/>
      <c r="O1602" s="306" t="n"/>
      <c r="P1602" s="306" t="n"/>
      <c r="Q1602" s="306" t="n"/>
    </row>
    <row r="1603" ht="18.75" customHeight="1">
      <c r="B1603" s="288" t="n">
        <v>45507</v>
      </c>
      <c r="C1603" s="289" t="n">
        <v>940</v>
      </c>
      <c r="D1603" s="290" t="inlineStr">
        <is>
          <t>Hotel 3 Aug - 6 Aug 2024 (2 rooms)</t>
        </is>
      </c>
      <c r="E1603" s="306" t="inlineStr">
        <is>
          <t>-</t>
        </is>
      </c>
      <c r="F1603" s="307" t="n">
        <v>1591200</v>
      </c>
      <c r="G1603" s="289" t="inlineStr">
        <is>
          <t>IDR</t>
        </is>
      </c>
      <c r="H1603" s="293" t="n">
        <v>1</v>
      </c>
      <c r="I1603" s="306" t="n"/>
      <c r="J1603" s="306" t="n"/>
      <c r="K1603" s="306" t="n"/>
      <c r="L1603" s="307">
        <f>$F1603*$H1603</f>
        <v/>
      </c>
      <c r="M1603" s="306" t="n"/>
      <c r="N1603" s="306" t="n"/>
      <c r="O1603" s="306" t="n"/>
      <c r="P1603" s="306" t="n"/>
      <c r="Q1603" s="306" t="n"/>
    </row>
    <row r="1604" ht="18.75" customHeight="1">
      <c r="B1604" s="288" t="n">
        <v>45509</v>
      </c>
      <c r="C1604" s="289" t="n">
        <v>941</v>
      </c>
      <c r="D1604" s="290" t="inlineStr">
        <is>
          <t>Hotel 6 Aug - 7 Aug 2024 (2 rooms)</t>
        </is>
      </c>
      <c r="E1604" s="306" t="inlineStr">
        <is>
          <t>-</t>
        </is>
      </c>
      <c r="F1604" s="307" t="n">
        <v>795600</v>
      </c>
      <c r="G1604" s="289" t="inlineStr">
        <is>
          <t>IDR</t>
        </is>
      </c>
      <c r="H1604" s="293" t="n">
        <v>1</v>
      </c>
      <c r="I1604" s="306" t="n"/>
      <c r="J1604" s="306" t="n"/>
      <c r="K1604" s="306" t="n"/>
      <c r="L1604" s="307">
        <f>$F1604*$H1604</f>
        <v/>
      </c>
      <c r="M1604" s="306" t="n"/>
      <c r="N1604" s="306" t="n"/>
      <c r="O1604" s="306" t="n"/>
      <c r="P1604" s="306" t="n"/>
      <c r="Q1604" s="306" t="n"/>
    </row>
    <row r="1605" ht="18.75" customHeight="1">
      <c r="B1605" s="288" t="n">
        <v>45509</v>
      </c>
      <c r="C1605" s="289" t="n">
        <v>942</v>
      </c>
      <c r="D1605" s="290" t="inlineStr">
        <is>
          <t>Hotel 6 Aug - 7 Aug 2024 (2 rooms)</t>
        </is>
      </c>
      <c r="E1605" s="306" t="inlineStr">
        <is>
          <t>-</t>
        </is>
      </c>
      <c r="F1605" s="307" t="n">
        <v>795600</v>
      </c>
      <c r="G1605" s="289" t="inlineStr">
        <is>
          <t>IDR</t>
        </is>
      </c>
      <c r="H1605" s="293" t="n">
        <v>1</v>
      </c>
      <c r="I1605" s="306" t="n"/>
      <c r="J1605" s="306" t="n"/>
      <c r="K1605" s="306" t="n"/>
      <c r="L1605" s="307">
        <f>$F1605*$H1605</f>
        <v/>
      </c>
      <c r="M1605" s="306" t="n"/>
      <c r="N1605" s="306" t="n"/>
      <c r="O1605" s="306" t="n"/>
      <c r="P1605" s="306" t="n"/>
      <c r="Q1605" s="306" t="n"/>
    </row>
    <row r="1606" ht="18.75" customHeight="1">
      <c r="B1606" s="288" t="n">
        <v>45509</v>
      </c>
      <c r="C1606" s="289" t="n">
        <v>943</v>
      </c>
      <c r="D1606" s="290" t="inlineStr">
        <is>
          <t>Hotel 6 Aug - 7 Aug 2024 (2 rooms)</t>
        </is>
      </c>
      <c r="E1606" s="306" t="inlineStr">
        <is>
          <t>-</t>
        </is>
      </c>
      <c r="F1606" s="307" t="n">
        <v>795600</v>
      </c>
      <c r="G1606" s="289" t="inlineStr">
        <is>
          <t>IDR</t>
        </is>
      </c>
      <c r="H1606" s="293" t="n">
        <v>1</v>
      </c>
      <c r="I1606" s="306" t="n"/>
      <c r="J1606" s="306" t="n"/>
      <c r="K1606" s="306" t="n"/>
      <c r="L1606" s="307">
        <f>$F1606*$H1606</f>
        <v/>
      </c>
      <c r="M1606" s="306" t="n"/>
      <c r="N1606" s="306" t="n"/>
      <c r="O1606" s="306" t="n"/>
      <c r="P1606" s="306" t="n"/>
      <c r="Q1606" s="306" t="n"/>
    </row>
    <row r="1607" ht="18.75" customHeight="1">
      <c r="B1607" s="288" t="n">
        <v>45509</v>
      </c>
      <c r="C1607" s="289" t="n">
        <v>944</v>
      </c>
      <c r="D1607" s="290" t="inlineStr">
        <is>
          <t>Hotel 6 Aug - 7 Aug 2024 (2 rooms)</t>
        </is>
      </c>
      <c r="E1607" s="306" t="inlineStr">
        <is>
          <t>-</t>
        </is>
      </c>
      <c r="F1607" s="307" t="n">
        <v>795600</v>
      </c>
      <c r="G1607" s="289" t="inlineStr">
        <is>
          <t>IDR</t>
        </is>
      </c>
      <c r="H1607" s="293" t="n">
        <v>1</v>
      </c>
      <c r="I1607" s="306" t="n"/>
      <c r="J1607" s="306" t="n"/>
      <c r="K1607" s="306" t="n"/>
      <c r="L1607" s="307">
        <f>$F1607*$H1607</f>
        <v/>
      </c>
      <c r="M1607" s="306" t="n"/>
      <c r="N1607" s="306" t="n"/>
      <c r="O1607" s="306" t="n"/>
      <c r="P1607" s="306" t="n"/>
      <c r="Q1607" s="306" t="n"/>
    </row>
    <row r="1608">
      <c r="B1608" s="312" t="n"/>
      <c r="C1608" s="312" t="n"/>
      <c r="D1608" s="285" t="inlineStr">
        <is>
          <t>Allowance</t>
        </is>
      </c>
      <c r="E1608" s="312" t="n"/>
      <c r="F1608" s="312" t="n"/>
      <c r="G1608" s="312" t="n"/>
      <c r="H1608" s="312" t="n"/>
      <c r="I1608" s="312" t="n"/>
      <c r="J1608" s="312" t="n"/>
      <c r="K1608" s="312" t="n"/>
      <c r="L1608" s="312" t="n"/>
      <c r="M1608" s="312" t="n"/>
      <c r="N1608" s="312" t="n"/>
      <c r="O1608" s="312" t="n"/>
      <c r="P1608" s="312" t="n"/>
      <c r="Q1608" s="312" t="n"/>
    </row>
    <row r="1609" ht="18.75" customHeight="1">
      <c r="B1609" s="288" t="n">
        <v>45511</v>
      </c>
      <c r="C1609" s="289" t="n">
        <v>945</v>
      </c>
      <c r="D1609" s="290" t="inlineStr">
        <is>
          <t>Tunjangan LapanganRBG-3B PT. TIS (3-7 Aug 2024)</t>
        </is>
      </c>
      <c r="E1609" s="306" t="inlineStr">
        <is>
          <t>-</t>
        </is>
      </c>
      <c r="F1609" s="307" t="n">
        <v>500</v>
      </c>
      <c r="G1609" s="289" t="inlineStr">
        <is>
          <t>IDR</t>
        </is>
      </c>
      <c r="H1609" s="293" t="n">
        <v>15900</v>
      </c>
      <c r="I1609" s="306" t="n"/>
      <c r="J1609" s="306" t="n"/>
      <c r="K1609" s="306" t="n"/>
      <c r="L1609" s="307">
        <f>$F1609*$H1609</f>
        <v/>
      </c>
      <c r="M1609" s="306" t="n"/>
      <c r="N1609" s="306" t="n"/>
      <c r="O1609" s="306" t="n"/>
      <c r="P1609" s="306" t="n"/>
      <c r="Q1609" s="306" t="n"/>
    </row>
    <row r="1610" ht="18.75" customHeight="1">
      <c r="B1610" s="288" t="n">
        <v>45511</v>
      </c>
      <c r="C1610" s="289" t="n">
        <v>946</v>
      </c>
      <c r="D1610" s="290" t="inlineStr">
        <is>
          <t>Tunjangan LapanganRBG-3B PT. TIS (3-7 Aug 2024)</t>
        </is>
      </c>
      <c r="E1610" s="306" t="inlineStr">
        <is>
          <t>-</t>
        </is>
      </c>
      <c r="F1610" s="307" t="n">
        <v>500</v>
      </c>
      <c r="G1610" s="289" t="inlineStr">
        <is>
          <t>IDR</t>
        </is>
      </c>
      <c r="H1610" s="293" t="n">
        <v>15900</v>
      </c>
      <c r="I1610" s="306" t="n"/>
      <c r="J1610" s="306" t="n"/>
      <c r="K1610" s="306" t="n"/>
      <c r="L1610" s="307">
        <f>$F1610*$H1610</f>
        <v/>
      </c>
      <c r="M1610" s="306" t="n"/>
      <c r="N1610" s="306" t="n"/>
      <c r="O1610" s="306" t="n"/>
      <c r="P1610" s="306" t="n"/>
      <c r="Q1610" s="306" t="n"/>
    </row>
    <row r="1611" ht="18.75" customHeight="1">
      <c r="B1611" s="288" t="n">
        <v>45511</v>
      </c>
      <c r="C1611" s="289" t="n">
        <v>947</v>
      </c>
      <c r="D1611" s="290" t="inlineStr">
        <is>
          <t>Tunjangan LapanganRBG-3B PT. TIS (3-7 Aug 2024)</t>
        </is>
      </c>
      <c r="E1611" s="306" t="inlineStr">
        <is>
          <t>-</t>
        </is>
      </c>
      <c r="F1611" s="307" t="n">
        <v>500</v>
      </c>
      <c r="G1611" s="289" t="inlineStr">
        <is>
          <t>IDR</t>
        </is>
      </c>
      <c r="H1611" s="293" t="n">
        <v>15900</v>
      </c>
      <c r="I1611" s="306" t="n"/>
      <c r="J1611" s="306" t="n"/>
      <c r="K1611" s="306" t="n"/>
      <c r="L1611" s="307">
        <f>$F1611*$H1611</f>
        <v/>
      </c>
      <c r="M1611" s="306" t="n"/>
      <c r="N1611" s="306" t="n"/>
      <c r="O1611" s="306" t="n"/>
      <c r="P1611" s="306" t="n"/>
      <c r="Q1611" s="306" t="n"/>
    </row>
    <row r="1612" ht="18.75" customHeight="1">
      <c r="B1612" s="288" t="n">
        <v>45511</v>
      </c>
      <c r="C1612" s="289" t="n">
        <v>948</v>
      </c>
      <c r="D1612" s="290" t="inlineStr">
        <is>
          <t>Tunjangan LapanganRBG-3B PT. TIS (3-7 Aug 2024)</t>
        </is>
      </c>
      <c r="E1612" s="306" t="inlineStr">
        <is>
          <t>-</t>
        </is>
      </c>
      <c r="F1612" s="307" t="n">
        <v>500</v>
      </c>
      <c r="G1612" s="289" t="inlineStr">
        <is>
          <t>IDR</t>
        </is>
      </c>
      <c r="H1612" s="293" t="n">
        <v>15900</v>
      </c>
      <c r="I1612" s="306" t="n"/>
      <c r="J1612" s="306" t="n"/>
      <c r="K1612" s="306" t="n"/>
      <c r="L1612" s="307">
        <f>$F1612*$H1612</f>
        <v/>
      </c>
      <c r="M1612" s="306" t="n"/>
      <c r="N1612" s="306" t="n"/>
      <c r="O1612" s="306" t="n"/>
      <c r="P1612" s="306" t="n"/>
      <c r="Q1612" s="306" t="n"/>
    </row>
    <row r="1613">
      <c r="B1613" s="312" t="n"/>
      <c r="C1613" s="312" t="n"/>
      <c r="D1613" s="285" t="inlineStr">
        <is>
          <t>Biaya Operasi Lain-lain</t>
        </is>
      </c>
      <c r="E1613" s="312" t="n"/>
      <c r="F1613" s="312" t="n"/>
      <c r="G1613" s="312" t="n"/>
      <c r="H1613" s="312" t="n"/>
      <c r="I1613" s="312" t="n"/>
      <c r="J1613" s="312" t="n"/>
      <c r="K1613" s="312" t="n"/>
      <c r="L1613" s="312" t="n"/>
      <c r="M1613" s="312" t="n"/>
      <c r="N1613" s="312" t="n"/>
      <c r="O1613" s="312" t="n"/>
      <c r="P1613" s="312" t="n"/>
      <c r="Q1613" s="312" t="n"/>
    </row>
    <row r="1614" ht="18.75" customHeight="1">
      <c r="B1614" s="288" t="n">
        <v>45507</v>
      </c>
      <c r="C1614" s="289" t="n">
        <v>949</v>
      </c>
      <c r="D1614" s="290" t="inlineStr">
        <is>
          <t>Jakarta - Semarang</t>
        </is>
      </c>
      <c r="E1614" s="306" t="inlineStr">
        <is>
          <t>-</t>
        </is>
      </c>
      <c r="F1614" s="307" t="n">
        <v>673500</v>
      </c>
      <c r="G1614" s="289" t="inlineStr">
        <is>
          <t>IDR</t>
        </is>
      </c>
      <c r="H1614" s="293" t="n">
        <v>1</v>
      </c>
      <c r="I1614" s="306" t="n"/>
      <c r="J1614" s="306" t="n"/>
      <c r="K1614" s="306" t="n"/>
      <c r="L1614" s="307">
        <f>$F1614*$H1614</f>
        <v/>
      </c>
      <c r="M1614" s="306" t="n"/>
      <c r="N1614" s="306" t="n"/>
      <c r="O1614" s="306" t="n"/>
      <c r="P1614" s="306" t="n"/>
      <c r="Q1614" s="306" t="n"/>
    </row>
    <row r="1615" ht="18.75" customHeight="1">
      <c r="B1615" s="288" t="n">
        <v>45507</v>
      </c>
      <c r="C1615" s="289" t="n">
        <v>950</v>
      </c>
      <c r="D1615" s="290" t="inlineStr">
        <is>
          <t>Jakarta - Semarang</t>
        </is>
      </c>
      <c r="E1615" s="306" t="inlineStr">
        <is>
          <t>-</t>
        </is>
      </c>
      <c r="F1615" s="307" t="n">
        <v>673500</v>
      </c>
      <c r="G1615" s="289" t="inlineStr">
        <is>
          <t>IDR</t>
        </is>
      </c>
      <c r="H1615" s="293" t="n">
        <v>1</v>
      </c>
      <c r="I1615" s="306" t="n"/>
      <c r="J1615" s="306" t="n"/>
      <c r="K1615" s="306" t="n"/>
      <c r="L1615" s="307">
        <f>$F1615*$H1615</f>
        <v/>
      </c>
      <c r="M1615" s="306" t="n"/>
      <c r="N1615" s="306" t="n"/>
      <c r="O1615" s="306" t="n"/>
      <c r="P1615" s="306" t="n"/>
      <c r="Q1615" s="306" t="n"/>
    </row>
    <row r="1616" ht="18.75" customHeight="1">
      <c r="B1616" s="288" t="n">
        <v>45507</v>
      </c>
      <c r="C1616" s="289" t="n">
        <v>951</v>
      </c>
      <c r="D1616" s="290" t="inlineStr">
        <is>
          <t>Jakarta - Semarang</t>
        </is>
      </c>
      <c r="E1616" s="306" t="inlineStr">
        <is>
          <t>-</t>
        </is>
      </c>
      <c r="F1616" s="307" t="n">
        <v>673500</v>
      </c>
      <c r="G1616" s="289" t="inlineStr">
        <is>
          <t>IDR</t>
        </is>
      </c>
      <c r="H1616" s="293" t="n">
        <v>1</v>
      </c>
      <c r="I1616" s="306" t="n"/>
      <c r="J1616" s="306" t="n"/>
      <c r="K1616" s="306" t="n"/>
      <c r="L1616" s="307">
        <f>$F1616*$H1616</f>
        <v/>
      </c>
      <c r="M1616" s="306" t="n"/>
      <c r="N1616" s="306" t="n"/>
      <c r="O1616" s="306" t="n"/>
      <c r="P1616" s="306" t="n"/>
      <c r="Q1616" s="306" t="n"/>
    </row>
    <row r="1617" ht="18.75" customHeight="1">
      <c r="B1617" s="288" t="n">
        <v>45507</v>
      </c>
      <c r="C1617" s="289" t="n">
        <v>952</v>
      </c>
      <c r="D1617" s="290" t="inlineStr">
        <is>
          <t>Jakarta - Semarang</t>
        </is>
      </c>
      <c r="E1617" s="306" t="inlineStr">
        <is>
          <t>-</t>
        </is>
      </c>
      <c r="F1617" s="307" t="n">
        <v>673500</v>
      </c>
      <c r="G1617" s="289" t="inlineStr">
        <is>
          <t>IDR</t>
        </is>
      </c>
      <c r="H1617" s="293" t="n">
        <v>1</v>
      </c>
      <c r="I1617" s="306" t="n"/>
      <c r="J1617" s="306" t="n"/>
      <c r="K1617" s="306" t="n"/>
      <c r="L1617" s="307">
        <f>$F1617*$H1617</f>
        <v/>
      </c>
      <c r="M1617" s="306" t="n"/>
      <c r="N1617" s="306" t="n"/>
      <c r="O1617" s="306" t="n"/>
      <c r="P1617" s="306" t="n"/>
      <c r="Q1617" s="306" t="n"/>
    </row>
    <row r="1618">
      <c r="B1618" s="312" t="n"/>
      <c r="C1618" s="312" t="n"/>
      <c r="D1618" s="285" t="inlineStr">
        <is>
          <t>Laundry</t>
        </is>
      </c>
      <c r="E1618" s="312" t="n"/>
      <c r="F1618" s="312" t="n"/>
      <c r="G1618" s="312" t="n"/>
      <c r="H1618" s="312" t="n"/>
      <c r="I1618" s="312" t="n"/>
      <c r="J1618" s="312" t="n"/>
      <c r="K1618" s="312" t="n"/>
      <c r="L1618" s="312" t="n"/>
      <c r="M1618" s="312" t="n"/>
      <c r="N1618" s="312" t="n"/>
      <c r="O1618" s="312" t="n"/>
      <c r="P1618" s="312" t="n"/>
      <c r="Q1618" s="312" t="n"/>
    </row>
    <row r="1619" ht="18.75" customHeight="1">
      <c r="B1619" s="288" t="n">
        <v>45511</v>
      </c>
      <c r="C1619" s="289" t="n">
        <v>953</v>
      </c>
      <c r="D1619" s="290" t="inlineStr">
        <is>
          <t>Laundry (3 - 7 Aug 2024)</t>
        </is>
      </c>
      <c r="E1619" s="306" t="inlineStr">
        <is>
          <t>-</t>
        </is>
      </c>
      <c r="F1619" s="307" t="n">
        <v>250000</v>
      </c>
      <c r="G1619" s="289" t="inlineStr">
        <is>
          <t>IDR</t>
        </is>
      </c>
      <c r="H1619" s="293" t="n">
        <v>1</v>
      </c>
      <c r="I1619" s="306" t="n"/>
      <c r="J1619" s="306" t="n"/>
      <c r="K1619" s="306" t="n"/>
      <c r="L1619" s="307">
        <f>$F1619*$H1619</f>
        <v/>
      </c>
      <c r="M1619" s="306" t="n"/>
      <c r="N1619" s="306" t="n"/>
      <c r="O1619" s="306" t="n"/>
      <c r="P1619" s="306" t="n"/>
      <c r="Q1619" s="306" t="n"/>
    </row>
    <row r="1620" ht="18.75" customHeight="1">
      <c r="B1620" s="288" t="n">
        <v>45511</v>
      </c>
      <c r="C1620" s="289" t="n">
        <v>954</v>
      </c>
      <c r="D1620" s="290" t="inlineStr">
        <is>
          <t>Laundry (3 - 7 Aug 2024)</t>
        </is>
      </c>
      <c r="E1620" s="306" t="inlineStr">
        <is>
          <t>-</t>
        </is>
      </c>
      <c r="F1620" s="307" t="n">
        <v>250000</v>
      </c>
      <c r="G1620" s="289" t="inlineStr">
        <is>
          <t>IDR</t>
        </is>
      </c>
      <c r="H1620" s="293" t="n">
        <v>1</v>
      </c>
      <c r="I1620" s="306" t="n"/>
      <c r="J1620" s="306" t="n"/>
      <c r="K1620" s="306" t="n"/>
      <c r="L1620" s="307">
        <f>$F1620*$H1620</f>
        <v/>
      </c>
      <c r="M1620" s="306" t="n"/>
      <c r="N1620" s="306" t="n"/>
      <c r="O1620" s="306" t="n"/>
      <c r="P1620" s="306" t="n"/>
      <c r="Q1620" s="306" t="n"/>
    </row>
    <row r="1621" ht="18.75" customHeight="1">
      <c r="B1621" s="288" t="n">
        <v>45511</v>
      </c>
      <c r="C1621" s="289" t="n">
        <v>955</v>
      </c>
      <c r="D1621" s="290" t="inlineStr">
        <is>
          <t>Laundry (3 - 7 Aug 2024)</t>
        </is>
      </c>
      <c r="E1621" s="306" t="inlineStr">
        <is>
          <t>-</t>
        </is>
      </c>
      <c r="F1621" s="307" t="n">
        <v>250000</v>
      </c>
      <c r="G1621" s="289" t="inlineStr">
        <is>
          <t>IDR</t>
        </is>
      </c>
      <c r="H1621" s="293" t="n">
        <v>1</v>
      </c>
      <c r="I1621" s="306" t="n"/>
      <c r="J1621" s="306" t="n"/>
      <c r="K1621" s="306" t="n"/>
      <c r="L1621" s="307">
        <f>$F1621*$H1621</f>
        <v/>
      </c>
      <c r="M1621" s="306" t="n"/>
      <c r="N1621" s="306" t="n"/>
      <c r="O1621" s="306" t="n"/>
      <c r="P1621" s="306" t="n"/>
      <c r="Q1621" s="306" t="n"/>
    </row>
    <row r="1622" ht="18.75" customHeight="1">
      <c r="B1622" s="288" t="n">
        <v>45511</v>
      </c>
      <c r="C1622" s="289" t="n">
        <v>956</v>
      </c>
      <c r="D1622" s="290" t="inlineStr">
        <is>
          <t>Laundry (3 - 7 Aug 2024)</t>
        </is>
      </c>
      <c r="E1622" s="306" t="inlineStr">
        <is>
          <t>-</t>
        </is>
      </c>
      <c r="F1622" s="307" t="n">
        <v>250000</v>
      </c>
      <c r="G1622" s="289" t="inlineStr">
        <is>
          <t>IDR</t>
        </is>
      </c>
      <c r="H1622" s="293" t="n">
        <v>1</v>
      </c>
      <c r="I1622" s="306" t="n"/>
      <c r="J1622" s="306" t="n"/>
      <c r="K1622" s="306" t="n"/>
      <c r="L1622" s="307">
        <f>$F1622*$H1622</f>
        <v/>
      </c>
      <c r="M1622" s="306" t="n"/>
      <c r="N1622" s="306" t="n"/>
      <c r="O1622" s="306" t="n"/>
      <c r="P1622" s="306" t="n"/>
      <c r="Q1622" s="306" t="n"/>
    </row>
    <row r="1623">
      <c r="B1623" s="312" t="n"/>
      <c r="C1623" s="312" t="n"/>
      <c r="D1623" s="285" t="inlineStr">
        <is>
          <t>Meal</t>
        </is>
      </c>
      <c r="E1623" s="312" t="n"/>
      <c r="F1623" s="312" t="n"/>
      <c r="G1623" s="312" t="n"/>
      <c r="H1623" s="312" t="n"/>
      <c r="I1623" s="312" t="n"/>
      <c r="J1623" s="312" t="n"/>
      <c r="K1623" s="312" t="n"/>
      <c r="L1623" s="312" t="n"/>
      <c r="M1623" s="312" t="n"/>
      <c r="N1623" s="312" t="n"/>
      <c r="O1623" s="312" t="n"/>
      <c r="P1623" s="312" t="n"/>
      <c r="Q1623" s="312" t="n"/>
    </row>
    <row r="1624" ht="18.75" customHeight="1">
      <c r="B1624" s="288" t="n">
        <v>45511</v>
      </c>
      <c r="C1624" s="289" t="n">
        <v>957</v>
      </c>
      <c r="D1624" s="290" t="inlineStr">
        <is>
          <t>Uang Makan (3 - 7 Aug 2024)</t>
        </is>
      </c>
      <c r="E1624" s="306" t="inlineStr">
        <is>
          <t>-</t>
        </is>
      </c>
      <c r="F1624" s="307" t="n">
        <v>750000</v>
      </c>
      <c r="G1624" s="289" t="inlineStr">
        <is>
          <t>IDR</t>
        </is>
      </c>
      <c r="H1624" s="293" t="n">
        <v>1</v>
      </c>
      <c r="I1624" s="306" t="n"/>
      <c r="J1624" s="306" t="n"/>
      <c r="K1624" s="306" t="n"/>
      <c r="L1624" s="307">
        <f>$F1624*$H1624</f>
        <v/>
      </c>
      <c r="M1624" s="306" t="n"/>
      <c r="N1624" s="306" t="n"/>
      <c r="O1624" s="306" t="n"/>
      <c r="P1624" s="306" t="n"/>
      <c r="Q1624" s="306" t="n"/>
    </row>
    <row r="1625" ht="18.75" customHeight="1">
      <c r="B1625" s="288" t="n">
        <v>45511</v>
      </c>
      <c r="C1625" s="289" t="n">
        <v>958</v>
      </c>
      <c r="D1625" s="290" t="inlineStr">
        <is>
          <t>Uang Makan (3 - 7 Aug 2024)</t>
        </is>
      </c>
      <c r="E1625" s="306" t="inlineStr">
        <is>
          <t>-</t>
        </is>
      </c>
      <c r="F1625" s="307" t="n">
        <v>750000</v>
      </c>
      <c r="G1625" s="289" t="inlineStr">
        <is>
          <t>IDR</t>
        </is>
      </c>
      <c r="H1625" s="293" t="n">
        <v>1</v>
      </c>
      <c r="I1625" s="306" t="n"/>
      <c r="J1625" s="306" t="n"/>
      <c r="K1625" s="306" t="n"/>
      <c r="L1625" s="307">
        <f>$F1625*$H1625</f>
        <v/>
      </c>
      <c r="M1625" s="306" t="n"/>
      <c r="N1625" s="306" t="n"/>
      <c r="O1625" s="306" t="n"/>
      <c r="P1625" s="306" t="n"/>
      <c r="Q1625" s="306" t="n"/>
    </row>
    <row r="1626" ht="18.75" customHeight="1">
      <c r="B1626" s="288" t="n">
        <v>45511</v>
      </c>
      <c r="C1626" s="289" t="n">
        <v>959</v>
      </c>
      <c r="D1626" s="290" t="inlineStr">
        <is>
          <t>Uang Makan (3 - 7 Aug 2024)</t>
        </is>
      </c>
      <c r="E1626" s="306" t="inlineStr">
        <is>
          <t>-</t>
        </is>
      </c>
      <c r="F1626" s="307" t="n">
        <v>750000</v>
      </c>
      <c r="G1626" s="289" t="inlineStr">
        <is>
          <t>IDR</t>
        </is>
      </c>
      <c r="H1626" s="293" t="n">
        <v>1</v>
      </c>
      <c r="I1626" s="306" t="n"/>
      <c r="J1626" s="306" t="n"/>
      <c r="K1626" s="306" t="n"/>
      <c r="L1626" s="307">
        <f>$F1626*$H1626</f>
        <v/>
      </c>
      <c r="M1626" s="306" t="n"/>
      <c r="N1626" s="306" t="n"/>
      <c r="O1626" s="306" t="n"/>
      <c r="P1626" s="306" t="n"/>
      <c r="Q1626" s="306" t="n"/>
    </row>
    <row r="1627" ht="18.75" customHeight="1">
      <c r="B1627" s="288" t="n">
        <v>45511</v>
      </c>
      <c r="C1627" s="289" t="n">
        <v>960</v>
      </c>
      <c r="D1627" s="290" t="inlineStr">
        <is>
          <t>Uang Makan (3 - 7 Aug 2024)</t>
        </is>
      </c>
      <c r="E1627" s="306" t="inlineStr">
        <is>
          <t>-</t>
        </is>
      </c>
      <c r="F1627" s="307" t="n">
        <v>750000</v>
      </c>
      <c r="G1627" s="289" t="inlineStr">
        <is>
          <t>IDR</t>
        </is>
      </c>
      <c r="H1627" s="293" t="n">
        <v>1</v>
      </c>
      <c r="I1627" s="306" t="n"/>
      <c r="J1627" s="306" t="n"/>
      <c r="K1627" s="306" t="n"/>
      <c r="L1627" s="307">
        <f>$F1627*$H1627</f>
        <v/>
      </c>
      <c r="M1627" s="306" t="n"/>
      <c r="N1627" s="306" t="n"/>
      <c r="O1627" s="306" t="n"/>
      <c r="P1627" s="306" t="n"/>
      <c r="Q1627" s="306" t="n"/>
    </row>
    <row r="1628">
      <c r="B1628" s="312" t="n"/>
      <c r="C1628" s="312" t="n"/>
      <c r="D1628" s="285" t="inlineStr">
        <is>
          <t>Transportation</t>
        </is>
      </c>
      <c r="E1628" s="312" t="n"/>
      <c r="F1628" s="312" t="n"/>
      <c r="G1628" s="312" t="n"/>
      <c r="H1628" s="312" t="n"/>
      <c r="I1628" s="312" t="n"/>
      <c r="J1628" s="312" t="n"/>
      <c r="K1628" s="312" t="n"/>
      <c r="L1628" s="312" t="n"/>
      <c r="M1628" s="312" t="n"/>
      <c r="N1628" s="312" t="n"/>
      <c r="O1628" s="312" t="n"/>
      <c r="P1628" s="312" t="n"/>
      <c r="Q1628" s="312" t="n"/>
    </row>
    <row r="1629" ht="18.75" customHeight="1">
      <c r="B1629" s="288" t="n">
        <v>45507</v>
      </c>
      <c r="C1629" s="289" t="n">
        <v>961</v>
      </c>
      <c r="D1629" s="290" t="inlineStr">
        <is>
          <t>Taxi+Tol Serpong - Gambir</t>
        </is>
      </c>
      <c r="E1629" s="306" t="inlineStr">
        <is>
          <t>-</t>
        </is>
      </c>
      <c r="F1629" s="307" t="n">
        <v>154000</v>
      </c>
      <c r="G1629" s="289" t="inlineStr">
        <is>
          <t>IDR</t>
        </is>
      </c>
      <c r="H1629" s="293" t="n">
        <v>1</v>
      </c>
      <c r="I1629" s="306" t="n"/>
      <c r="J1629" s="306" t="n"/>
      <c r="K1629" s="306" t="n"/>
      <c r="L1629" s="307">
        <f>$F1629*$H1629</f>
        <v/>
      </c>
      <c r="M1629" s="306" t="n"/>
      <c r="N1629" s="306" t="n"/>
      <c r="O1629" s="306" t="n"/>
      <c r="P1629" s="306" t="n"/>
      <c r="Q1629" s="306" t="n"/>
    </row>
    <row r="1630" ht="18.75" customHeight="1">
      <c r="B1630" s="288" t="n">
        <v>45507</v>
      </c>
      <c r="C1630" s="289" t="n">
        <v>962</v>
      </c>
      <c r="D1630" s="290" t="inlineStr">
        <is>
          <t>Gocar St. Tawang - PT. TIS</t>
        </is>
      </c>
      <c r="E1630" s="306" t="inlineStr">
        <is>
          <t>-</t>
        </is>
      </c>
      <c r="F1630" s="307" t="n">
        <v>129000</v>
      </c>
      <c r="G1630" s="289" t="inlineStr">
        <is>
          <t>IDR</t>
        </is>
      </c>
      <c r="H1630" s="293" t="n">
        <v>1</v>
      </c>
      <c r="I1630" s="306" t="n"/>
      <c r="J1630" s="306" t="n"/>
      <c r="K1630" s="306" t="n"/>
      <c r="L1630" s="307">
        <f>$F1630*$H1630</f>
        <v/>
      </c>
      <c r="M1630" s="306" t="n"/>
      <c r="N1630" s="306" t="n"/>
      <c r="O1630" s="306" t="n"/>
      <c r="P1630" s="306" t="n"/>
      <c r="Q1630" s="306" t="n"/>
    </row>
    <row r="1631" ht="18.75" customHeight="1">
      <c r="B1631" s="288" t="n">
        <v>45507</v>
      </c>
      <c r="C1631" s="289" t="n">
        <v>963</v>
      </c>
      <c r="D1631" s="290" t="inlineStr">
        <is>
          <t>Taxi+Tol Serpong - Gambir</t>
        </is>
      </c>
      <c r="E1631" s="306" t="inlineStr">
        <is>
          <t>-</t>
        </is>
      </c>
      <c r="F1631" s="307" t="n">
        <v>154000</v>
      </c>
      <c r="G1631" s="289" t="inlineStr">
        <is>
          <t>IDR</t>
        </is>
      </c>
      <c r="H1631" s="293" t="n">
        <v>1</v>
      </c>
      <c r="I1631" s="306" t="n"/>
      <c r="J1631" s="306" t="n"/>
      <c r="K1631" s="306" t="n"/>
      <c r="L1631" s="307">
        <f>$F1631*$H1631</f>
        <v/>
      </c>
      <c r="M1631" s="306" t="n"/>
      <c r="N1631" s="306" t="n"/>
      <c r="O1631" s="306" t="n"/>
      <c r="P1631" s="306" t="n"/>
      <c r="Q1631" s="306" t="n"/>
    </row>
    <row r="1632" ht="18.75" customHeight="1">
      <c r="B1632" s="288" t="n">
        <v>45507</v>
      </c>
      <c r="C1632" s="289" t="n">
        <v>964</v>
      </c>
      <c r="D1632" s="290" t="inlineStr">
        <is>
          <t>Gocar St. Tawang - PT. TIS</t>
        </is>
      </c>
      <c r="E1632" s="306" t="inlineStr">
        <is>
          <t>-</t>
        </is>
      </c>
      <c r="F1632" s="307" t="n">
        <v>129000</v>
      </c>
      <c r="G1632" s="289" t="inlineStr">
        <is>
          <t>IDR</t>
        </is>
      </c>
      <c r="H1632" s="293" t="n">
        <v>1</v>
      </c>
      <c r="I1632" s="306" t="n"/>
      <c r="J1632" s="306" t="n"/>
      <c r="K1632" s="306" t="n"/>
      <c r="L1632" s="307">
        <f>$F1632*$H1632</f>
        <v/>
      </c>
      <c r="M1632" s="306" t="n"/>
      <c r="N1632" s="306" t="n"/>
      <c r="O1632" s="306" t="n"/>
      <c r="P1632" s="306" t="n"/>
      <c r="Q1632" s="306" t="n"/>
    </row>
    <row r="1633" ht="18.75" customHeight="1">
      <c r="B1633" s="288" t="n">
        <v>45507</v>
      </c>
      <c r="C1633" s="289" t="n">
        <v>965</v>
      </c>
      <c r="D1633" s="290" t="inlineStr">
        <is>
          <t>Taxi+Tol Serpong - Gambir</t>
        </is>
      </c>
      <c r="E1633" s="306" t="inlineStr">
        <is>
          <t>-</t>
        </is>
      </c>
      <c r="F1633" s="307" t="n">
        <v>154000</v>
      </c>
      <c r="G1633" s="289" t="inlineStr">
        <is>
          <t>IDR</t>
        </is>
      </c>
      <c r="H1633" s="293" t="n">
        <v>1</v>
      </c>
      <c r="I1633" s="306" t="n"/>
      <c r="J1633" s="306" t="n"/>
      <c r="K1633" s="306" t="n"/>
      <c r="L1633" s="307">
        <f>$F1633*$H1633</f>
        <v/>
      </c>
      <c r="M1633" s="306" t="n"/>
      <c r="N1633" s="306" t="n"/>
      <c r="O1633" s="306" t="n"/>
      <c r="P1633" s="306" t="n"/>
      <c r="Q1633" s="306" t="n"/>
    </row>
    <row r="1634" ht="18.75" customHeight="1">
      <c r="B1634" s="288" t="n">
        <v>45507</v>
      </c>
      <c r="C1634" s="289" t="n">
        <v>966</v>
      </c>
      <c r="D1634" s="290" t="inlineStr">
        <is>
          <t>Gocar St. Tawang - PT. TIS</t>
        </is>
      </c>
      <c r="E1634" s="306" t="inlineStr">
        <is>
          <t>-</t>
        </is>
      </c>
      <c r="F1634" s="307" t="n">
        <v>129000</v>
      </c>
      <c r="G1634" s="289" t="inlineStr">
        <is>
          <t>IDR</t>
        </is>
      </c>
      <c r="H1634" s="293" t="n">
        <v>1</v>
      </c>
      <c r="I1634" s="306" t="n"/>
      <c r="J1634" s="306" t="n"/>
      <c r="K1634" s="306" t="n"/>
      <c r="L1634" s="307">
        <f>$F1634*$H1634</f>
        <v/>
      </c>
      <c r="M1634" s="306" t="n"/>
      <c r="N1634" s="306" t="n"/>
      <c r="O1634" s="306" t="n"/>
      <c r="P1634" s="306" t="n"/>
      <c r="Q1634" s="306" t="n"/>
    </row>
    <row r="1635" ht="18.75" customHeight="1">
      <c r="B1635" s="288" t="n">
        <v>45507</v>
      </c>
      <c r="C1635" s="289" t="n">
        <v>967</v>
      </c>
      <c r="D1635" s="290" t="inlineStr">
        <is>
          <t>Taxi+Tol Serpong - Gambir</t>
        </is>
      </c>
      <c r="E1635" s="306" t="inlineStr">
        <is>
          <t>-</t>
        </is>
      </c>
      <c r="F1635" s="307" t="n">
        <v>154000</v>
      </c>
      <c r="G1635" s="289" t="inlineStr">
        <is>
          <t>IDR</t>
        </is>
      </c>
      <c r="H1635" s="293" t="n">
        <v>1</v>
      </c>
      <c r="I1635" s="306" t="n"/>
      <c r="J1635" s="306" t="n"/>
      <c r="K1635" s="306" t="n"/>
      <c r="L1635" s="307">
        <f>$F1635*$H1635</f>
        <v/>
      </c>
      <c r="M1635" s="306" t="n"/>
      <c r="N1635" s="306" t="n"/>
      <c r="O1635" s="306" t="n"/>
      <c r="P1635" s="306" t="n"/>
      <c r="Q1635" s="306" t="n"/>
    </row>
    <row r="1636" ht="18.75" customHeight="1">
      <c r="B1636" s="288" t="n">
        <v>45507</v>
      </c>
      <c r="C1636" s="289" t="n">
        <v>968</v>
      </c>
      <c r="D1636" s="290" t="inlineStr">
        <is>
          <t>Gocar St. Tawang - PT. TIS</t>
        </is>
      </c>
      <c r="E1636" s="306" t="inlineStr">
        <is>
          <t>-</t>
        </is>
      </c>
      <c r="F1636" s="307" t="n">
        <v>129000</v>
      </c>
      <c r="G1636" s="289" t="inlineStr">
        <is>
          <t>IDR</t>
        </is>
      </c>
      <c r="H1636" s="293" t="n">
        <v>1</v>
      </c>
      <c r="I1636" s="306" t="n"/>
      <c r="J1636" s="306" t="n"/>
      <c r="K1636" s="306" t="n"/>
      <c r="L1636" s="307">
        <f>$F1636*$H1636</f>
        <v/>
      </c>
      <c r="M1636" s="306" t="n"/>
      <c r="N1636" s="306" t="n"/>
      <c r="O1636" s="306" t="n"/>
      <c r="P1636" s="306" t="n"/>
      <c r="Q1636" s="306" t="n"/>
    </row>
    <row r="1637" ht="18.75" customHeight="1">
      <c r="B1637" s="288" t="n">
        <v>45511</v>
      </c>
      <c r="C1637" s="289" t="n">
        <v>969</v>
      </c>
      <c r="D1637" s="290" t="inlineStr">
        <is>
          <t>Gocar Hotel to Tawang</t>
        </is>
      </c>
      <c r="E1637" s="306" t="inlineStr">
        <is>
          <t>-</t>
        </is>
      </c>
      <c r="F1637" s="307" t="n">
        <v>45000</v>
      </c>
      <c r="G1637" s="289" t="inlineStr">
        <is>
          <t>IDR</t>
        </is>
      </c>
      <c r="H1637" s="293" t="n">
        <v>1</v>
      </c>
      <c r="I1637" s="306" t="n"/>
      <c r="J1637" s="306" t="n"/>
      <c r="K1637" s="306" t="n"/>
      <c r="L1637" s="307">
        <f>$F1637*$H1637</f>
        <v/>
      </c>
      <c r="M1637" s="306" t="n"/>
      <c r="N1637" s="306" t="n"/>
      <c r="O1637" s="306" t="n"/>
      <c r="P1637" s="306" t="n"/>
      <c r="Q1637" s="306" t="n"/>
    </row>
    <row r="1638" ht="18.75" customHeight="1">
      <c r="B1638" s="288" t="n">
        <v>45511</v>
      </c>
      <c r="C1638" s="289" t="n">
        <v>970</v>
      </c>
      <c r="D1638" s="290" t="inlineStr">
        <is>
          <t>Gocar Hotel to Tawang</t>
        </is>
      </c>
      <c r="E1638" s="306" t="inlineStr">
        <is>
          <t>-</t>
        </is>
      </c>
      <c r="F1638" s="307" t="n">
        <v>45000</v>
      </c>
      <c r="G1638" s="289" t="inlineStr">
        <is>
          <t>IDR</t>
        </is>
      </c>
      <c r="H1638" s="293" t="n">
        <v>1</v>
      </c>
      <c r="I1638" s="306" t="n"/>
      <c r="J1638" s="306" t="n"/>
      <c r="K1638" s="306" t="n"/>
      <c r="L1638" s="307">
        <f>$F1638*$H1638</f>
        <v/>
      </c>
      <c r="M1638" s="306" t="n"/>
      <c r="N1638" s="306" t="n"/>
      <c r="O1638" s="306" t="n"/>
      <c r="P1638" s="306" t="n"/>
      <c r="Q1638" s="306" t="n"/>
    </row>
    <row r="1639" ht="18.75" customHeight="1">
      <c r="B1639" s="288" t="n">
        <v>45511</v>
      </c>
      <c r="C1639" s="289" t="n">
        <v>971</v>
      </c>
      <c r="D1639" s="290" t="inlineStr">
        <is>
          <t>Gocar Hotel to Tawang</t>
        </is>
      </c>
      <c r="E1639" s="306" t="inlineStr">
        <is>
          <t>-</t>
        </is>
      </c>
      <c r="F1639" s="307" t="n">
        <v>45000</v>
      </c>
      <c r="G1639" s="289" t="inlineStr">
        <is>
          <t>IDR</t>
        </is>
      </c>
      <c r="H1639" s="293" t="n">
        <v>1</v>
      </c>
      <c r="I1639" s="306" t="n"/>
      <c r="J1639" s="306" t="n"/>
      <c r="K1639" s="306" t="n"/>
      <c r="L1639" s="307">
        <f>$F1639*$H1639</f>
        <v/>
      </c>
      <c r="M1639" s="306" t="n"/>
      <c r="N1639" s="306" t="n"/>
      <c r="O1639" s="306" t="n"/>
      <c r="P1639" s="306" t="n"/>
      <c r="Q1639" s="306" t="n"/>
    </row>
    <row r="1640" ht="18.75" customHeight="1">
      <c r="B1640" s="288" t="n">
        <v>45511</v>
      </c>
      <c r="C1640" s="289" t="n">
        <v>972</v>
      </c>
      <c r="D1640" s="290" t="inlineStr">
        <is>
          <t>Gocar Hotel to Tawang</t>
        </is>
      </c>
      <c r="E1640" s="306" t="inlineStr">
        <is>
          <t>-</t>
        </is>
      </c>
      <c r="F1640" s="307" t="n">
        <v>45000</v>
      </c>
      <c r="G1640" s="289" t="inlineStr">
        <is>
          <t>IDR</t>
        </is>
      </c>
      <c r="H1640" s="293" t="n">
        <v>1</v>
      </c>
      <c r="I1640" s="306" t="n"/>
      <c r="J1640" s="306" t="n"/>
      <c r="K1640" s="306" t="n"/>
      <c r="L1640" s="307">
        <f>$F1640*$H1640</f>
        <v/>
      </c>
      <c r="M1640" s="306" t="n"/>
      <c r="N1640" s="306" t="n"/>
      <c r="O1640" s="306" t="n"/>
      <c r="P1640" s="306" t="n"/>
      <c r="Q1640" s="306" t="n"/>
    </row>
    <row r="1641">
      <c r="B1641" s="310" t="inlineStr">
        <is>
          <t>Expense#27</t>
        </is>
      </c>
      <c r="C1641" s="311" t="inlineStr">
        <is>
          <t>:</t>
        </is>
      </c>
      <c r="D1641" s="310" t="inlineStr">
        <is>
          <t>Non tripo 1st -- MCU + Pembelian barang kelengkapan pump AC</t>
        </is>
      </c>
      <c r="E1641" s="311" t="n"/>
      <c r="F1641" s="311" t="n"/>
      <c r="G1641" s="311" t="n"/>
      <c r="H1641" s="311" t="n"/>
      <c r="I1641" s="311" t="n"/>
      <c r="J1641" s="311" t="n"/>
      <c r="K1641" s="311" t="n"/>
      <c r="L1641" s="311" t="n"/>
      <c r="M1641" s="311" t="n"/>
      <c r="N1641" s="311" t="n"/>
      <c r="O1641" s="311" t="n"/>
      <c r="P1641" s="311" t="n"/>
      <c r="Q1641" s="311" t="n"/>
    </row>
    <row r="1642">
      <c r="B1642" s="312" t="n"/>
      <c r="C1642" s="312" t="n"/>
      <c r="D1642" s="285" t="inlineStr">
        <is>
          <t>Elektronik &amp; Gadget</t>
        </is>
      </c>
      <c r="E1642" s="312" t="n"/>
      <c r="F1642" s="312" t="n"/>
      <c r="G1642" s="312" t="n"/>
      <c r="H1642" s="312" t="n"/>
      <c r="I1642" s="312" t="n"/>
      <c r="J1642" s="312" t="n"/>
      <c r="K1642" s="312" t="n"/>
      <c r="L1642" s="312" t="n"/>
      <c r="M1642" s="312" t="n"/>
      <c r="N1642" s="312" t="n"/>
      <c r="O1642" s="312" t="n"/>
      <c r="P1642" s="312" t="n"/>
      <c r="Q1642" s="312" t="n"/>
    </row>
    <row r="1643" ht="18.75" customHeight="1">
      <c r="B1643" s="288" t="n">
        <v>45499</v>
      </c>
      <c r="C1643" s="289" t="n">
        <v>973</v>
      </c>
      <c r="D1643" s="290" t="inlineStr">
        <is>
          <t>buy Adapter</t>
        </is>
      </c>
      <c r="E1643" s="306" t="inlineStr">
        <is>
          <t>-</t>
        </is>
      </c>
      <c r="F1643" s="307" t="n">
        <v>20000</v>
      </c>
      <c r="G1643" s="289" t="inlineStr">
        <is>
          <t>IDR</t>
        </is>
      </c>
      <c r="H1643" s="293" t="n">
        <v>1</v>
      </c>
      <c r="I1643" s="306" t="n"/>
      <c r="J1643" s="306" t="n"/>
      <c r="K1643" s="306" t="n"/>
      <c r="L1643" s="306" t="n"/>
      <c r="M1643" s="306" t="n"/>
      <c r="N1643" s="307">
        <f>$F1643*$H1643</f>
        <v/>
      </c>
      <c r="O1643" s="306" t="n"/>
      <c r="P1643" s="306" t="n"/>
      <c r="Q1643" s="306" t="n"/>
    </row>
    <row r="1644" ht="18.75" customHeight="1">
      <c r="B1644" s="288" t="n">
        <v>45499</v>
      </c>
      <c r="C1644" s="289" t="n">
        <v>974</v>
      </c>
      <c r="D1644" s="290" t="inlineStr">
        <is>
          <t>buy Adapter</t>
        </is>
      </c>
      <c r="E1644" s="306" t="inlineStr">
        <is>
          <t>-</t>
        </is>
      </c>
      <c r="F1644" s="307" t="n">
        <v>20000</v>
      </c>
      <c r="G1644" s="289" t="inlineStr">
        <is>
          <t>IDR</t>
        </is>
      </c>
      <c r="H1644" s="293" t="n">
        <v>1</v>
      </c>
      <c r="I1644" s="306" t="n"/>
      <c r="J1644" s="306" t="n"/>
      <c r="K1644" s="306" t="n"/>
      <c r="L1644" s="306" t="n"/>
      <c r="M1644" s="306" t="n"/>
      <c r="N1644" s="307">
        <f>$F1644*$H1644</f>
        <v/>
      </c>
      <c r="O1644" s="306" t="n"/>
      <c r="P1644" s="306" t="n"/>
      <c r="Q1644" s="306" t="n"/>
    </row>
    <row r="1645" ht="18.75" customHeight="1">
      <c r="B1645" s="288" t="n">
        <v>45499</v>
      </c>
      <c r="C1645" s="289" t="n">
        <v>975</v>
      </c>
      <c r="D1645" s="290" t="inlineStr">
        <is>
          <t>buy Adapter</t>
        </is>
      </c>
      <c r="E1645" s="306" t="inlineStr">
        <is>
          <t>-</t>
        </is>
      </c>
      <c r="F1645" s="307" t="n">
        <v>20000</v>
      </c>
      <c r="G1645" s="289" t="inlineStr">
        <is>
          <t>IDR</t>
        </is>
      </c>
      <c r="H1645" s="293" t="n">
        <v>1</v>
      </c>
      <c r="I1645" s="306" t="n"/>
      <c r="J1645" s="306" t="n"/>
      <c r="K1645" s="306" t="n"/>
      <c r="L1645" s="306" t="n"/>
      <c r="M1645" s="306" t="n"/>
      <c r="N1645" s="307">
        <f>$F1645*$H1645</f>
        <v/>
      </c>
      <c r="O1645" s="306" t="n"/>
      <c r="P1645" s="306" t="n"/>
      <c r="Q1645" s="306" t="n"/>
    </row>
    <row r="1646" ht="18.75" customHeight="1">
      <c r="B1646" s="288" t="n">
        <v>45499</v>
      </c>
      <c r="C1646" s="289" t="n">
        <v>976</v>
      </c>
      <c r="D1646" s="290" t="inlineStr">
        <is>
          <t>buy Adapter</t>
        </is>
      </c>
      <c r="E1646" s="306" t="inlineStr">
        <is>
          <t>-</t>
        </is>
      </c>
      <c r="F1646" s="307" t="n">
        <v>20000</v>
      </c>
      <c r="G1646" s="289" t="inlineStr">
        <is>
          <t>IDR</t>
        </is>
      </c>
      <c r="H1646" s="293" t="n">
        <v>1</v>
      </c>
      <c r="I1646" s="306" t="n"/>
      <c r="J1646" s="306" t="n"/>
      <c r="K1646" s="306" t="n"/>
      <c r="L1646" s="306" t="n"/>
      <c r="M1646" s="306" t="n"/>
      <c r="N1646" s="307">
        <f>$F1646*$H1646</f>
        <v/>
      </c>
      <c r="O1646" s="306" t="n"/>
      <c r="P1646" s="306" t="n"/>
      <c r="Q1646" s="306" t="n"/>
    </row>
    <row r="1647">
      <c r="B1647" s="312" t="n"/>
      <c r="C1647" s="312" t="n"/>
      <c r="D1647" s="285" t="inlineStr">
        <is>
          <t>Hand Tools</t>
        </is>
      </c>
      <c r="E1647" s="312" t="n"/>
      <c r="F1647" s="312" t="n"/>
      <c r="G1647" s="312" t="n"/>
      <c r="H1647" s="312" t="n"/>
      <c r="I1647" s="312" t="n"/>
      <c r="J1647" s="312" t="n"/>
      <c r="K1647" s="312" t="n"/>
      <c r="L1647" s="312" t="n"/>
      <c r="M1647" s="312" t="n"/>
      <c r="N1647" s="312" t="n"/>
      <c r="O1647" s="312" t="n"/>
      <c r="P1647" s="312" t="n"/>
      <c r="Q1647" s="312" t="n"/>
    </row>
    <row r="1648" ht="18.75" customHeight="1">
      <c r="B1648" s="288" t="n">
        <v>45497</v>
      </c>
      <c r="C1648" s="289" t="n">
        <v>977</v>
      </c>
      <c r="D1648" s="290" t="inlineStr">
        <is>
          <t>Buy Tang Bnegkok (Tekiro)</t>
        </is>
      </c>
      <c r="E1648" s="306" t="inlineStr">
        <is>
          <t>-</t>
        </is>
      </c>
      <c r="F1648" s="307" t="n">
        <v>75000</v>
      </c>
      <c r="G1648" s="289" t="inlineStr">
        <is>
          <t>IDR</t>
        </is>
      </c>
      <c r="H1648" s="293" t="n">
        <v>1</v>
      </c>
      <c r="I1648" s="306" t="n"/>
      <c r="J1648" s="306" t="n"/>
      <c r="K1648" s="306" t="n"/>
      <c r="L1648" s="306" t="n"/>
      <c r="M1648" s="306" t="n"/>
      <c r="N1648" s="307">
        <f>$F1648*$H1648</f>
        <v/>
      </c>
      <c r="O1648" s="306" t="n"/>
      <c r="P1648" s="306" t="n"/>
      <c r="Q1648" s="306" t="n"/>
    </row>
    <row r="1649" ht="18.75" customHeight="1">
      <c r="B1649" s="288" t="n">
        <v>45497</v>
      </c>
      <c r="C1649" s="289" t="n">
        <v>978</v>
      </c>
      <c r="D1649" s="290" t="inlineStr">
        <is>
          <t>Buy Tang Bnegkok (Tekiro)</t>
        </is>
      </c>
      <c r="E1649" s="306" t="inlineStr">
        <is>
          <t>-</t>
        </is>
      </c>
      <c r="F1649" s="307" t="n">
        <v>75000</v>
      </c>
      <c r="G1649" s="289" t="inlineStr">
        <is>
          <t>IDR</t>
        </is>
      </c>
      <c r="H1649" s="293" t="n">
        <v>1</v>
      </c>
      <c r="I1649" s="306" t="n"/>
      <c r="J1649" s="306" t="n"/>
      <c r="K1649" s="306" t="n"/>
      <c r="L1649" s="306" t="n"/>
      <c r="M1649" s="306" t="n"/>
      <c r="N1649" s="307">
        <f>$F1649*$H1649</f>
        <v/>
      </c>
      <c r="O1649" s="306" t="n"/>
      <c r="P1649" s="306" t="n"/>
      <c r="Q1649" s="306" t="n"/>
    </row>
    <row r="1650" ht="18.75" customHeight="1">
      <c r="B1650" s="288" t="n">
        <v>45497</v>
      </c>
      <c r="C1650" s="289" t="n">
        <v>979</v>
      </c>
      <c r="D1650" s="290" t="inlineStr">
        <is>
          <t>Buy Tang Bnegkok (Tekiro)</t>
        </is>
      </c>
      <c r="E1650" s="306" t="inlineStr">
        <is>
          <t>-</t>
        </is>
      </c>
      <c r="F1650" s="307" t="n">
        <v>75000</v>
      </c>
      <c r="G1650" s="289" t="inlineStr">
        <is>
          <t>IDR</t>
        </is>
      </c>
      <c r="H1650" s="293" t="n">
        <v>1</v>
      </c>
      <c r="I1650" s="306" t="n"/>
      <c r="J1650" s="306" t="n"/>
      <c r="K1650" s="306" t="n"/>
      <c r="L1650" s="306" t="n"/>
      <c r="M1650" s="306" t="n"/>
      <c r="N1650" s="307">
        <f>$F1650*$H1650</f>
        <v/>
      </c>
      <c r="O1650" s="306" t="n"/>
      <c r="P1650" s="306" t="n"/>
      <c r="Q1650" s="306" t="n"/>
    </row>
    <row r="1651" ht="18.75" customHeight="1">
      <c r="B1651" s="288" t="n">
        <v>45497</v>
      </c>
      <c r="C1651" s="289" t="n">
        <v>980</v>
      </c>
      <c r="D1651" s="290" t="inlineStr">
        <is>
          <t>Buy Tang Bnegkok (Tekiro)</t>
        </is>
      </c>
      <c r="E1651" s="306" t="inlineStr">
        <is>
          <t>-</t>
        </is>
      </c>
      <c r="F1651" s="307" t="n">
        <v>75000</v>
      </c>
      <c r="G1651" s="289" t="inlineStr">
        <is>
          <t>IDR</t>
        </is>
      </c>
      <c r="H1651" s="293" t="n">
        <v>1</v>
      </c>
      <c r="I1651" s="306" t="n"/>
      <c r="J1651" s="306" t="n"/>
      <c r="K1651" s="306" t="n"/>
      <c r="L1651" s="306" t="n"/>
      <c r="M1651" s="306" t="n"/>
      <c r="N1651" s="307">
        <f>$F1651*$H1651</f>
        <v/>
      </c>
      <c r="O1651" s="306" t="n"/>
      <c r="P1651" s="306" t="n"/>
      <c r="Q1651" s="306" t="n"/>
    </row>
    <row r="1652" ht="18.75" customHeight="1">
      <c r="B1652" s="288" t="n">
        <v>45501</v>
      </c>
      <c r="C1652" s="289" t="n">
        <v>981</v>
      </c>
      <c r="D1652" s="290" t="inlineStr">
        <is>
          <t>Buy Case for tools box dan hydraulic pump</t>
        </is>
      </c>
      <c r="E1652" s="306" t="inlineStr">
        <is>
          <t>-</t>
        </is>
      </c>
      <c r="F1652" s="307" t="n">
        <v>2636800</v>
      </c>
      <c r="G1652" s="289" t="inlineStr">
        <is>
          <t>IDR</t>
        </is>
      </c>
      <c r="H1652" s="293" t="n">
        <v>1</v>
      </c>
      <c r="I1652" s="306" t="n"/>
      <c r="J1652" s="306" t="n"/>
      <c r="K1652" s="306" t="n"/>
      <c r="L1652" s="306" t="n"/>
      <c r="M1652" s="306" t="n"/>
      <c r="N1652" s="307">
        <f>$F1652*$H1652</f>
        <v/>
      </c>
      <c r="O1652" s="306" t="n"/>
      <c r="P1652" s="306" t="n"/>
      <c r="Q1652" s="306" t="n"/>
    </row>
    <row r="1653" ht="18.75" customHeight="1">
      <c r="B1653" s="288" t="n">
        <v>45501</v>
      </c>
      <c r="C1653" s="289" t="n">
        <v>982</v>
      </c>
      <c r="D1653" s="290" t="inlineStr">
        <is>
          <t>Buy Case for tools box dan hydraulic pump</t>
        </is>
      </c>
      <c r="E1653" s="306" t="inlineStr">
        <is>
          <t>-</t>
        </is>
      </c>
      <c r="F1653" s="307" t="n">
        <v>2636800</v>
      </c>
      <c r="G1653" s="289" t="inlineStr">
        <is>
          <t>IDR</t>
        </is>
      </c>
      <c r="H1653" s="293" t="n">
        <v>1</v>
      </c>
      <c r="I1653" s="306" t="n"/>
      <c r="J1653" s="306" t="n"/>
      <c r="K1653" s="306" t="n"/>
      <c r="L1653" s="306" t="n"/>
      <c r="M1653" s="306" t="n"/>
      <c r="N1653" s="307">
        <f>$F1653*$H1653</f>
        <v/>
      </c>
      <c r="O1653" s="306" t="n"/>
      <c r="P1653" s="306" t="n"/>
      <c r="Q1653" s="306" t="n"/>
    </row>
    <row r="1654" ht="18.75" customHeight="1">
      <c r="B1654" s="288" t="n">
        <v>45501</v>
      </c>
      <c r="C1654" s="289" t="n">
        <v>983</v>
      </c>
      <c r="D1654" s="290" t="inlineStr">
        <is>
          <t>Buy Case for tools box dan hydraulic pump</t>
        </is>
      </c>
      <c r="E1654" s="306" t="inlineStr">
        <is>
          <t>-</t>
        </is>
      </c>
      <c r="F1654" s="307" t="n">
        <v>2636800</v>
      </c>
      <c r="G1654" s="289" t="inlineStr">
        <is>
          <t>IDR</t>
        </is>
      </c>
      <c r="H1654" s="293" t="n">
        <v>1</v>
      </c>
      <c r="I1654" s="306" t="n"/>
      <c r="J1654" s="306" t="n"/>
      <c r="K1654" s="306" t="n"/>
      <c r="L1654" s="306" t="n"/>
      <c r="M1654" s="306" t="n"/>
      <c r="N1654" s="307">
        <f>$F1654*$H1654</f>
        <v/>
      </c>
      <c r="O1654" s="306" t="n"/>
      <c r="P1654" s="306" t="n"/>
      <c r="Q1654" s="306" t="n"/>
    </row>
    <row r="1655" ht="18.75" customHeight="1">
      <c r="B1655" s="288" t="n">
        <v>45501</v>
      </c>
      <c r="C1655" s="289" t="n">
        <v>984</v>
      </c>
      <c r="D1655" s="290" t="inlineStr">
        <is>
          <t>Buy Case for tools box dan hydraulic pump</t>
        </is>
      </c>
      <c r="E1655" s="306" t="inlineStr">
        <is>
          <t>-</t>
        </is>
      </c>
      <c r="F1655" s="307" t="n">
        <v>2636800</v>
      </c>
      <c r="G1655" s="289" t="inlineStr">
        <is>
          <t>IDR</t>
        </is>
      </c>
      <c r="H1655" s="293" t="n">
        <v>1</v>
      </c>
      <c r="I1655" s="306" t="n"/>
      <c r="J1655" s="306" t="n"/>
      <c r="K1655" s="306" t="n"/>
      <c r="L1655" s="306" t="n"/>
      <c r="M1655" s="306" t="n"/>
      <c r="N1655" s="307">
        <f>$F1655*$H1655</f>
        <v/>
      </c>
      <c r="O1655" s="306" t="n"/>
      <c r="P1655" s="306" t="n"/>
      <c r="Q1655" s="306" t="n"/>
    </row>
    <row r="1656">
      <c r="B1656" s="312" t="n"/>
      <c r="C1656" s="312" t="n"/>
      <c r="D1656" s="285" t="inlineStr">
        <is>
          <t>Meal</t>
        </is>
      </c>
      <c r="E1656" s="312" t="n"/>
      <c r="F1656" s="312" t="n"/>
      <c r="G1656" s="312" t="n"/>
      <c r="H1656" s="312" t="n"/>
      <c r="I1656" s="312" t="n"/>
      <c r="J1656" s="312" t="n"/>
      <c r="K1656" s="312" t="n"/>
      <c r="L1656" s="312" t="n"/>
      <c r="M1656" s="312" t="n"/>
      <c r="N1656" s="312" t="n"/>
      <c r="O1656" s="312" t="n"/>
      <c r="P1656" s="312" t="n"/>
      <c r="Q1656" s="312" t="n"/>
    </row>
    <row r="1657" ht="18.75" customHeight="1">
      <c r="B1657" s="288" t="n">
        <v>45476</v>
      </c>
      <c r="C1657" s="289" t="n">
        <v>985</v>
      </c>
      <c r="D1657" s="290" t="inlineStr">
        <is>
          <t>Coffe drink visit to MEPI Jakarta ( Bondan)</t>
        </is>
      </c>
      <c r="E1657" s="306" t="inlineStr">
        <is>
          <t>-</t>
        </is>
      </c>
      <c r="F1657" s="307" t="n">
        <v>144100</v>
      </c>
      <c r="G1657" s="289" t="inlineStr">
        <is>
          <t>IDR</t>
        </is>
      </c>
      <c r="H1657" s="293" t="n">
        <v>1</v>
      </c>
      <c r="I1657" s="306" t="n"/>
      <c r="J1657" s="306" t="n"/>
      <c r="K1657" s="306" t="n"/>
      <c r="L1657" s="307">
        <f>$F1657*$H1657</f>
        <v/>
      </c>
      <c r="M1657" s="306" t="n"/>
      <c r="N1657" s="306" t="n"/>
      <c r="O1657" s="306" t="n"/>
      <c r="P1657" s="306" t="n"/>
      <c r="Q1657" s="306" t="n"/>
    </row>
    <row r="1658" ht="18.75" customHeight="1">
      <c r="B1658" s="288" t="n">
        <v>45476</v>
      </c>
      <c r="C1658" s="289" t="n">
        <v>986</v>
      </c>
      <c r="D1658" s="290" t="inlineStr">
        <is>
          <t>Coffe drink visit to MEPI Jakarta ( Bondan)</t>
        </is>
      </c>
      <c r="E1658" s="306" t="inlineStr">
        <is>
          <t>-</t>
        </is>
      </c>
      <c r="F1658" s="307" t="n">
        <v>144100</v>
      </c>
      <c r="G1658" s="289" t="inlineStr">
        <is>
          <t>IDR</t>
        </is>
      </c>
      <c r="H1658" s="293" t="n">
        <v>1</v>
      </c>
      <c r="I1658" s="306" t="n"/>
      <c r="J1658" s="306" t="n"/>
      <c r="K1658" s="306" t="n"/>
      <c r="L1658" s="307">
        <f>$F1658*$H1658</f>
        <v/>
      </c>
      <c r="M1658" s="306" t="n"/>
      <c r="N1658" s="306" t="n"/>
      <c r="O1658" s="306" t="n"/>
      <c r="P1658" s="306" t="n"/>
      <c r="Q1658" s="306" t="n"/>
    </row>
    <row r="1659" ht="18.75" customHeight="1">
      <c r="B1659" s="288" t="n">
        <v>45476</v>
      </c>
      <c r="C1659" s="289" t="n">
        <v>987</v>
      </c>
      <c r="D1659" s="290" t="inlineStr">
        <is>
          <t>Coffe drink visit to MEPI Jakarta ( Bondan)</t>
        </is>
      </c>
      <c r="E1659" s="306" t="inlineStr">
        <is>
          <t>-</t>
        </is>
      </c>
      <c r="F1659" s="307" t="n">
        <v>144100</v>
      </c>
      <c r="G1659" s="289" t="inlineStr">
        <is>
          <t>IDR</t>
        </is>
      </c>
      <c r="H1659" s="293" t="n">
        <v>1</v>
      </c>
      <c r="I1659" s="306" t="n"/>
      <c r="J1659" s="306" t="n"/>
      <c r="K1659" s="306" t="n"/>
      <c r="L1659" s="307">
        <f>$F1659*$H1659</f>
        <v/>
      </c>
      <c r="M1659" s="306" t="n"/>
      <c r="N1659" s="306" t="n"/>
      <c r="O1659" s="306" t="n"/>
      <c r="P1659" s="306" t="n"/>
      <c r="Q1659" s="306" t="n"/>
    </row>
    <row r="1660" ht="18.75" customHeight="1">
      <c r="B1660" s="288" t="n">
        <v>45476</v>
      </c>
      <c r="C1660" s="289" t="n">
        <v>988</v>
      </c>
      <c r="D1660" s="290" t="inlineStr">
        <is>
          <t>Coffe drink visit to MEPI Jakarta ( Bondan)</t>
        </is>
      </c>
      <c r="E1660" s="306" t="inlineStr">
        <is>
          <t>-</t>
        </is>
      </c>
      <c r="F1660" s="307" t="n">
        <v>144100</v>
      </c>
      <c r="G1660" s="289" t="inlineStr">
        <is>
          <t>IDR</t>
        </is>
      </c>
      <c r="H1660" s="293" t="n">
        <v>1</v>
      </c>
      <c r="I1660" s="306" t="n"/>
      <c r="J1660" s="306" t="n"/>
      <c r="K1660" s="306" t="n"/>
      <c r="L1660" s="307">
        <f>$F1660*$H1660</f>
        <v/>
      </c>
      <c r="M1660" s="306" t="n"/>
      <c r="N1660" s="306" t="n"/>
      <c r="O1660" s="306" t="n"/>
      <c r="P1660" s="306" t="n"/>
      <c r="Q1660" s="306" t="n"/>
    </row>
    <row r="1661" ht="18.75" customHeight="1">
      <c r="B1661" s="288" t="n">
        <v>45477</v>
      </c>
      <c r="C1661" s="289" t="n">
        <v>989</v>
      </c>
      <c r="D1661" s="290" t="inlineStr">
        <is>
          <t>Meal lunch when inspect Sample tool</t>
        </is>
      </c>
      <c r="E1661" s="306" t="inlineStr">
        <is>
          <t>-</t>
        </is>
      </c>
      <c r="F1661" s="307" t="n">
        <v>157000</v>
      </c>
      <c r="G1661" s="289" t="inlineStr">
        <is>
          <t>IDR</t>
        </is>
      </c>
      <c r="H1661" s="293" t="n">
        <v>1</v>
      </c>
      <c r="I1661" s="306" t="n"/>
      <c r="J1661" s="306" t="n"/>
      <c r="K1661" s="306" t="n"/>
      <c r="L1661" s="307">
        <f>$F1661*$H1661</f>
        <v/>
      </c>
      <c r="M1661" s="306" t="n"/>
      <c r="N1661" s="306" t="n"/>
      <c r="O1661" s="306" t="n"/>
      <c r="P1661" s="306" t="n"/>
      <c r="Q1661" s="306" t="n"/>
    </row>
    <row r="1662" ht="18.75" customHeight="1">
      <c r="B1662" s="288" t="n">
        <v>45477</v>
      </c>
      <c r="C1662" s="289" t="n">
        <v>990</v>
      </c>
      <c r="D1662" s="290" t="inlineStr">
        <is>
          <t>Meal lunch when inspect Sample tool</t>
        </is>
      </c>
      <c r="E1662" s="306" t="inlineStr">
        <is>
          <t>-</t>
        </is>
      </c>
      <c r="F1662" s="307" t="n">
        <v>157000</v>
      </c>
      <c r="G1662" s="289" t="inlineStr">
        <is>
          <t>IDR</t>
        </is>
      </c>
      <c r="H1662" s="293" t="n">
        <v>1</v>
      </c>
      <c r="I1662" s="306" t="n"/>
      <c r="J1662" s="306" t="n"/>
      <c r="K1662" s="306" t="n"/>
      <c r="L1662" s="307">
        <f>$F1662*$H1662</f>
        <v/>
      </c>
      <c r="M1662" s="306" t="n"/>
      <c r="N1662" s="306" t="n"/>
      <c r="O1662" s="306" t="n"/>
      <c r="P1662" s="306" t="n"/>
      <c r="Q1662" s="306" t="n"/>
    </row>
    <row r="1663" ht="18.75" customHeight="1">
      <c r="B1663" s="288" t="n">
        <v>45477</v>
      </c>
      <c r="C1663" s="289" t="n">
        <v>991</v>
      </c>
      <c r="D1663" s="290" t="inlineStr">
        <is>
          <t>Meal lunch when inspect Sample tool</t>
        </is>
      </c>
      <c r="E1663" s="306" t="inlineStr">
        <is>
          <t>-</t>
        </is>
      </c>
      <c r="F1663" s="307" t="n">
        <v>157000</v>
      </c>
      <c r="G1663" s="289" t="inlineStr">
        <is>
          <t>IDR</t>
        </is>
      </c>
      <c r="H1663" s="293" t="n">
        <v>1</v>
      </c>
      <c r="I1663" s="306" t="n"/>
      <c r="J1663" s="306" t="n"/>
      <c r="K1663" s="306" t="n"/>
      <c r="L1663" s="307">
        <f>$F1663*$H1663</f>
        <v/>
      </c>
      <c r="M1663" s="306" t="n"/>
      <c r="N1663" s="306" t="n"/>
      <c r="O1663" s="306" t="n"/>
      <c r="P1663" s="306" t="n"/>
      <c r="Q1663" s="306" t="n"/>
    </row>
    <row r="1664" ht="18.75" customHeight="1">
      <c r="B1664" s="288" t="n">
        <v>45477</v>
      </c>
      <c r="C1664" s="289" t="n">
        <v>992</v>
      </c>
      <c r="D1664" s="290" t="inlineStr">
        <is>
          <t>Meal lunch when inspect Sample tool</t>
        </is>
      </c>
      <c r="E1664" s="306" t="inlineStr">
        <is>
          <t>-</t>
        </is>
      </c>
      <c r="F1664" s="307" t="n">
        <v>157000</v>
      </c>
      <c r="G1664" s="289" t="inlineStr">
        <is>
          <t>IDR</t>
        </is>
      </c>
      <c r="H1664" s="293" t="n">
        <v>1</v>
      </c>
      <c r="I1664" s="306" t="n"/>
      <c r="J1664" s="306" t="n"/>
      <c r="K1664" s="306" t="n"/>
      <c r="L1664" s="307">
        <f>$F1664*$H1664</f>
        <v/>
      </c>
      <c r="M1664" s="306" t="n"/>
      <c r="N1664" s="306" t="n"/>
      <c r="O1664" s="306" t="n"/>
      <c r="P1664" s="306" t="n"/>
      <c r="Q1664" s="306" t="n"/>
    </row>
    <row r="1665" ht="18.75" customHeight="1">
      <c r="B1665" s="288" t="n">
        <v>45484</v>
      </c>
      <c r="C1665" s="289" t="n">
        <v>993</v>
      </c>
      <c r="D1665" s="290" t="inlineStr">
        <is>
          <t>Meal lunch when visit to Lemigas (Sample Botol)</t>
        </is>
      </c>
      <c r="E1665" s="306" t="inlineStr">
        <is>
          <t>-</t>
        </is>
      </c>
      <c r="F1665" s="307" t="n">
        <v>81000</v>
      </c>
      <c r="G1665" s="289" t="inlineStr">
        <is>
          <t>IDR</t>
        </is>
      </c>
      <c r="H1665" s="293" t="n">
        <v>1</v>
      </c>
      <c r="I1665" s="306" t="n"/>
      <c r="J1665" s="306" t="n"/>
      <c r="K1665" s="306" t="n"/>
      <c r="L1665" s="307">
        <f>$F1665*$H1665</f>
        <v/>
      </c>
      <c r="M1665" s="306" t="n"/>
      <c r="N1665" s="306" t="n"/>
      <c r="O1665" s="306" t="n"/>
      <c r="P1665" s="306" t="n"/>
      <c r="Q1665" s="306" t="n"/>
    </row>
    <row r="1666" ht="18.75" customHeight="1">
      <c r="B1666" s="288" t="n">
        <v>45484</v>
      </c>
      <c r="C1666" s="289" t="n">
        <v>994</v>
      </c>
      <c r="D1666" s="290" t="inlineStr">
        <is>
          <t>Meal lunch when visit to Lemigas (Sample Botol)</t>
        </is>
      </c>
      <c r="E1666" s="306" t="inlineStr">
        <is>
          <t>-</t>
        </is>
      </c>
      <c r="F1666" s="307" t="n">
        <v>81000</v>
      </c>
      <c r="G1666" s="289" t="inlineStr">
        <is>
          <t>IDR</t>
        </is>
      </c>
      <c r="H1666" s="293" t="n">
        <v>1</v>
      </c>
      <c r="I1666" s="306" t="n"/>
      <c r="J1666" s="306" t="n"/>
      <c r="K1666" s="306" t="n"/>
      <c r="L1666" s="307">
        <f>$F1666*$H1666</f>
        <v/>
      </c>
      <c r="M1666" s="306" t="n"/>
      <c r="N1666" s="306" t="n"/>
      <c r="O1666" s="306" t="n"/>
      <c r="P1666" s="306" t="n"/>
      <c r="Q1666" s="306" t="n"/>
    </row>
    <row r="1667" ht="18.75" customHeight="1">
      <c r="B1667" s="288" t="n">
        <v>45484</v>
      </c>
      <c r="C1667" s="289" t="n">
        <v>995</v>
      </c>
      <c r="D1667" s="290" t="inlineStr">
        <is>
          <t>Meal lunch when visit to Lemigas (Sample Botol)</t>
        </is>
      </c>
      <c r="E1667" s="306" t="inlineStr">
        <is>
          <t>-</t>
        </is>
      </c>
      <c r="F1667" s="307" t="n">
        <v>81000</v>
      </c>
      <c r="G1667" s="289" t="inlineStr">
        <is>
          <t>IDR</t>
        </is>
      </c>
      <c r="H1667" s="293" t="n">
        <v>1</v>
      </c>
      <c r="I1667" s="306" t="n"/>
      <c r="J1667" s="306" t="n"/>
      <c r="K1667" s="306" t="n"/>
      <c r="L1667" s="307">
        <f>$F1667*$H1667</f>
        <v/>
      </c>
      <c r="M1667" s="306" t="n"/>
      <c r="N1667" s="306" t="n"/>
      <c r="O1667" s="306" t="n"/>
      <c r="P1667" s="306" t="n"/>
      <c r="Q1667" s="306" t="n"/>
    </row>
    <row r="1668" ht="18.75" customHeight="1">
      <c r="B1668" s="288" t="n">
        <v>45484</v>
      </c>
      <c r="C1668" s="289" t="n">
        <v>996</v>
      </c>
      <c r="D1668" s="290" t="inlineStr">
        <is>
          <t>Meal lunch when visit to Lemigas (Sample Botol)</t>
        </is>
      </c>
      <c r="E1668" s="306" t="inlineStr">
        <is>
          <t>-</t>
        </is>
      </c>
      <c r="F1668" s="307" t="n">
        <v>81000</v>
      </c>
      <c r="G1668" s="289" t="inlineStr">
        <is>
          <t>IDR</t>
        </is>
      </c>
      <c r="H1668" s="293" t="n">
        <v>1</v>
      </c>
      <c r="I1668" s="306" t="n"/>
      <c r="J1668" s="306" t="n"/>
      <c r="K1668" s="306" t="n"/>
      <c r="L1668" s="307">
        <f>$F1668*$H1668</f>
        <v/>
      </c>
      <c r="M1668" s="306" t="n"/>
      <c r="N1668" s="306" t="n"/>
      <c r="O1668" s="306" t="n"/>
      <c r="P1668" s="306" t="n"/>
      <c r="Q1668" s="306" t="n"/>
    </row>
    <row r="1669">
      <c r="B1669" s="312" t="n"/>
      <c r="C1669" s="312" t="n"/>
      <c r="D1669" s="285" t="inlineStr">
        <is>
          <t>Medical</t>
        </is>
      </c>
      <c r="E1669" s="312" t="n"/>
      <c r="F1669" s="312" t="n"/>
      <c r="G1669" s="312" t="n"/>
      <c r="H1669" s="312" t="n"/>
      <c r="I1669" s="312" t="n"/>
      <c r="J1669" s="312" t="n"/>
      <c r="K1669" s="312" t="n"/>
      <c r="L1669" s="312" t="n"/>
      <c r="M1669" s="312" t="n"/>
      <c r="N1669" s="312" t="n"/>
      <c r="O1669" s="312" t="n"/>
      <c r="P1669" s="312" t="n"/>
      <c r="Q1669" s="312" t="n"/>
    </row>
    <row r="1670" ht="18.75" customHeight="1">
      <c r="B1670" s="288" t="n">
        <v>45474</v>
      </c>
      <c r="C1670" s="289" t="n">
        <v>997</v>
      </c>
      <c r="D1670" s="290" t="inlineStr">
        <is>
          <t>Biaya MCU di RSPP</t>
        </is>
      </c>
      <c r="E1670" s="306" t="inlineStr">
        <is>
          <t>-</t>
        </is>
      </c>
      <c r="F1670" s="307" t="n">
        <v>5630000</v>
      </c>
      <c r="G1670" s="289" t="inlineStr">
        <is>
          <t>IDR</t>
        </is>
      </c>
      <c r="H1670" s="293" t="n">
        <v>1</v>
      </c>
      <c r="I1670" s="306" t="n"/>
      <c r="J1670" s="306" t="n"/>
      <c r="K1670" s="306" t="n"/>
      <c r="L1670" s="306" t="n"/>
      <c r="M1670" s="306" t="n"/>
      <c r="N1670" s="306" t="n"/>
      <c r="O1670" s="306" t="n"/>
      <c r="P1670" s="307">
        <f>$F1670*$H1670</f>
        <v/>
      </c>
      <c r="Q1670" s="306" t="n"/>
    </row>
    <row r="1671" ht="18.75" customHeight="1">
      <c r="B1671" s="288" t="n">
        <v>45474</v>
      </c>
      <c r="C1671" s="289" t="n">
        <v>998</v>
      </c>
      <c r="D1671" s="290" t="inlineStr">
        <is>
          <t>Biaya MCU di RSPP</t>
        </is>
      </c>
      <c r="E1671" s="306" t="inlineStr">
        <is>
          <t>-</t>
        </is>
      </c>
      <c r="F1671" s="307" t="n">
        <v>5630000</v>
      </c>
      <c r="G1671" s="289" t="inlineStr">
        <is>
          <t>IDR</t>
        </is>
      </c>
      <c r="H1671" s="293" t="n">
        <v>1</v>
      </c>
      <c r="I1671" s="306" t="n"/>
      <c r="J1671" s="306" t="n"/>
      <c r="K1671" s="306" t="n"/>
      <c r="L1671" s="306" t="n"/>
      <c r="M1671" s="306" t="n"/>
      <c r="N1671" s="306" t="n"/>
      <c r="O1671" s="306" t="n"/>
      <c r="P1671" s="307">
        <f>$F1671*$H1671</f>
        <v/>
      </c>
      <c r="Q1671" s="306" t="n"/>
    </row>
    <row r="1672" ht="18.75" customHeight="1">
      <c r="B1672" s="288" t="n">
        <v>45474</v>
      </c>
      <c r="C1672" s="289" t="n">
        <v>999</v>
      </c>
      <c r="D1672" s="290" t="inlineStr">
        <is>
          <t>Biaya MCU di RSPP</t>
        </is>
      </c>
      <c r="E1672" s="306" t="inlineStr">
        <is>
          <t>-</t>
        </is>
      </c>
      <c r="F1672" s="307" t="n">
        <v>5630000</v>
      </c>
      <c r="G1672" s="289" t="inlineStr">
        <is>
          <t>IDR</t>
        </is>
      </c>
      <c r="H1672" s="293" t="n">
        <v>1</v>
      </c>
      <c r="I1672" s="306" t="n"/>
      <c r="J1672" s="306" t="n"/>
      <c r="K1672" s="306" t="n"/>
      <c r="L1672" s="306" t="n"/>
      <c r="M1672" s="306" t="n"/>
      <c r="N1672" s="306" t="n"/>
      <c r="O1672" s="306" t="n"/>
      <c r="P1672" s="307">
        <f>$F1672*$H1672</f>
        <v/>
      </c>
      <c r="Q1672" s="306" t="n"/>
    </row>
    <row r="1673" ht="18.75" customHeight="1">
      <c r="B1673" s="288" t="n">
        <v>45474</v>
      </c>
      <c r="C1673" s="289" t="n">
        <v>1000</v>
      </c>
      <c r="D1673" s="290" t="inlineStr">
        <is>
          <t>Biaya MCU di RSPP</t>
        </is>
      </c>
      <c r="E1673" s="306" t="inlineStr">
        <is>
          <t>-</t>
        </is>
      </c>
      <c r="F1673" s="307" t="n">
        <v>5630000</v>
      </c>
      <c r="G1673" s="289" t="inlineStr">
        <is>
          <t>IDR</t>
        </is>
      </c>
      <c r="H1673" s="293" t="n">
        <v>1</v>
      </c>
      <c r="I1673" s="306" t="n"/>
      <c r="J1673" s="306" t="n"/>
      <c r="K1673" s="306" t="n"/>
      <c r="L1673" s="306" t="n"/>
      <c r="M1673" s="306" t="n"/>
      <c r="N1673" s="306" t="n"/>
      <c r="O1673" s="306" t="n"/>
      <c r="P1673" s="307">
        <f>$F1673*$H1673</f>
        <v/>
      </c>
      <c r="Q1673" s="306" t="n"/>
    </row>
    <row r="1674" ht="18.75" customHeight="1">
      <c r="B1674" s="288" t="n">
        <v>45476</v>
      </c>
      <c r="C1674" s="289" t="n">
        <v>1001</v>
      </c>
      <c r="D1674" s="290" t="inlineStr">
        <is>
          <t>Biaya Konsul Dokter Jantung</t>
        </is>
      </c>
      <c r="E1674" s="306" t="inlineStr">
        <is>
          <t>-</t>
        </is>
      </c>
      <c r="F1674" s="307" t="n">
        <v>460000</v>
      </c>
      <c r="G1674" s="289" t="inlineStr">
        <is>
          <t>IDR</t>
        </is>
      </c>
      <c r="H1674" s="293" t="n">
        <v>1</v>
      </c>
      <c r="I1674" s="306" t="n"/>
      <c r="J1674" s="306" t="n"/>
      <c r="K1674" s="306" t="n"/>
      <c r="L1674" s="306" t="n"/>
      <c r="M1674" s="306" t="n"/>
      <c r="N1674" s="306" t="n"/>
      <c r="O1674" s="306" t="n"/>
      <c r="P1674" s="307">
        <f>$F1674*$H1674</f>
        <v/>
      </c>
      <c r="Q1674" s="306" t="n"/>
    </row>
    <row r="1675" ht="18.75" customHeight="1">
      <c r="B1675" s="288" t="n">
        <v>45476</v>
      </c>
      <c r="C1675" s="289" t="n">
        <v>1002</v>
      </c>
      <c r="D1675" s="290" t="inlineStr">
        <is>
          <t>Biaya Echo_ kardio non Invasif</t>
        </is>
      </c>
      <c r="E1675" s="306" t="inlineStr">
        <is>
          <t>-</t>
        </is>
      </c>
      <c r="F1675" s="307" t="n">
        <v>2108000</v>
      </c>
      <c r="G1675" s="289" t="inlineStr">
        <is>
          <t>IDR</t>
        </is>
      </c>
      <c r="H1675" s="293" t="n">
        <v>1</v>
      </c>
      <c r="I1675" s="306" t="n"/>
      <c r="J1675" s="306" t="n"/>
      <c r="K1675" s="306" t="n"/>
      <c r="L1675" s="306" t="n"/>
      <c r="M1675" s="306" t="n"/>
      <c r="N1675" s="306" t="n"/>
      <c r="O1675" s="306" t="n"/>
      <c r="P1675" s="307">
        <f>$F1675*$H1675</f>
        <v/>
      </c>
      <c r="Q1675" s="306" t="n"/>
    </row>
    <row r="1676" ht="18.75" customHeight="1">
      <c r="B1676" s="288" t="n">
        <v>45476</v>
      </c>
      <c r="C1676" s="289" t="n">
        <v>1003</v>
      </c>
      <c r="D1676" s="290" t="inlineStr">
        <is>
          <t>Biaya Echo_ kardio non Invasif</t>
        </is>
      </c>
      <c r="E1676" s="306" t="inlineStr">
        <is>
          <t>-</t>
        </is>
      </c>
      <c r="F1676" s="307" t="n">
        <v>2108000</v>
      </c>
      <c r="G1676" s="289" t="inlineStr">
        <is>
          <t>IDR</t>
        </is>
      </c>
      <c r="H1676" s="293" t="n">
        <v>1</v>
      </c>
      <c r="I1676" s="306" t="n"/>
      <c r="J1676" s="306" t="n"/>
      <c r="K1676" s="306" t="n"/>
      <c r="L1676" s="306" t="n"/>
      <c r="M1676" s="306" t="n"/>
      <c r="N1676" s="306" t="n"/>
      <c r="O1676" s="306" t="n"/>
      <c r="P1676" s="307">
        <f>$F1676*$H1676</f>
        <v/>
      </c>
      <c r="Q1676" s="306" t="n"/>
    </row>
    <row r="1677" ht="18.75" customHeight="1">
      <c r="B1677" s="288" t="n">
        <v>45476</v>
      </c>
      <c r="C1677" s="289" t="n">
        <v>1004</v>
      </c>
      <c r="D1677" s="290" t="inlineStr">
        <is>
          <t>Biaya Konsul Dokter Jantung</t>
        </is>
      </c>
      <c r="E1677" s="306" t="inlineStr">
        <is>
          <t>-</t>
        </is>
      </c>
      <c r="F1677" s="307" t="n">
        <v>460000</v>
      </c>
      <c r="G1677" s="289" t="inlineStr">
        <is>
          <t>IDR</t>
        </is>
      </c>
      <c r="H1677" s="293" t="n">
        <v>1</v>
      </c>
      <c r="I1677" s="306" t="n"/>
      <c r="J1677" s="306" t="n"/>
      <c r="K1677" s="306" t="n"/>
      <c r="L1677" s="306" t="n"/>
      <c r="M1677" s="306" t="n"/>
      <c r="N1677" s="306" t="n"/>
      <c r="O1677" s="306" t="n"/>
      <c r="P1677" s="307">
        <f>$F1677*$H1677</f>
        <v/>
      </c>
      <c r="Q1677" s="306" t="n"/>
    </row>
    <row r="1678" ht="18.75" customHeight="1">
      <c r="B1678" s="288" t="n">
        <v>45476</v>
      </c>
      <c r="C1678" s="289" t="n">
        <v>1005</v>
      </c>
      <c r="D1678" s="290" t="inlineStr">
        <is>
          <t>Biaya Echo_ kardio non Invasif</t>
        </is>
      </c>
      <c r="E1678" s="306" t="inlineStr">
        <is>
          <t>-</t>
        </is>
      </c>
      <c r="F1678" s="307" t="n">
        <v>2108000</v>
      </c>
      <c r="G1678" s="289" t="inlineStr">
        <is>
          <t>IDR</t>
        </is>
      </c>
      <c r="H1678" s="293" t="n">
        <v>1</v>
      </c>
      <c r="I1678" s="306" t="n"/>
      <c r="J1678" s="306" t="n"/>
      <c r="K1678" s="306" t="n"/>
      <c r="L1678" s="306" t="n"/>
      <c r="M1678" s="306" t="n"/>
      <c r="N1678" s="306" t="n"/>
      <c r="O1678" s="306" t="n"/>
      <c r="P1678" s="307">
        <f>$F1678*$H1678</f>
        <v/>
      </c>
      <c r="Q1678" s="306" t="n"/>
    </row>
    <row r="1679" ht="18.75" customHeight="1">
      <c r="B1679" s="288" t="n">
        <v>45476</v>
      </c>
      <c r="C1679" s="289" t="n">
        <v>1006</v>
      </c>
      <c r="D1679" s="290" t="inlineStr">
        <is>
          <t>Biaya Konsul Dokter Jantung</t>
        </is>
      </c>
      <c r="E1679" s="306" t="inlineStr">
        <is>
          <t>-</t>
        </is>
      </c>
      <c r="F1679" s="307" t="n">
        <v>460000</v>
      </c>
      <c r="G1679" s="289" t="inlineStr">
        <is>
          <t>IDR</t>
        </is>
      </c>
      <c r="H1679" s="293" t="n">
        <v>1</v>
      </c>
      <c r="I1679" s="306" t="n"/>
      <c r="J1679" s="306" t="n"/>
      <c r="K1679" s="306" t="n"/>
      <c r="L1679" s="306" t="n"/>
      <c r="M1679" s="306" t="n"/>
      <c r="N1679" s="306" t="n"/>
      <c r="O1679" s="306" t="n"/>
      <c r="P1679" s="307">
        <f>$F1679*$H1679</f>
        <v/>
      </c>
      <c r="Q1679" s="306" t="n"/>
    </row>
    <row r="1680" ht="18.75" customHeight="1">
      <c r="B1680" s="288" t="n">
        <v>45476</v>
      </c>
      <c r="C1680" s="289" t="n">
        <v>1007</v>
      </c>
      <c r="D1680" s="290" t="inlineStr">
        <is>
          <t>Biaya Echo_ kardio non Invasif</t>
        </is>
      </c>
      <c r="E1680" s="306" t="inlineStr">
        <is>
          <t>-</t>
        </is>
      </c>
      <c r="F1680" s="307" t="n">
        <v>2108000</v>
      </c>
      <c r="G1680" s="289" t="inlineStr">
        <is>
          <t>IDR</t>
        </is>
      </c>
      <c r="H1680" s="293" t="n">
        <v>1</v>
      </c>
      <c r="I1680" s="306" t="n"/>
      <c r="J1680" s="306" t="n"/>
      <c r="K1680" s="306" t="n"/>
      <c r="L1680" s="306" t="n"/>
      <c r="M1680" s="306" t="n"/>
      <c r="N1680" s="306" t="n"/>
      <c r="O1680" s="306" t="n"/>
      <c r="P1680" s="307">
        <f>$F1680*$H1680</f>
        <v/>
      </c>
      <c r="Q1680" s="306" t="n"/>
    </row>
    <row r="1681" ht="18.75" customHeight="1">
      <c r="B1681" s="288" t="n">
        <v>45476</v>
      </c>
      <c r="C1681" s="289" t="n">
        <v>1008</v>
      </c>
      <c r="D1681" s="290" t="inlineStr">
        <is>
          <t>Biaya Konsul Dokter Jantung</t>
        </is>
      </c>
      <c r="E1681" s="306" t="inlineStr">
        <is>
          <t>-</t>
        </is>
      </c>
      <c r="F1681" s="307" t="n">
        <v>460000</v>
      </c>
      <c r="G1681" s="289" t="inlineStr">
        <is>
          <t>IDR</t>
        </is>
      </c>
      <c r="H1681" s="293" t="n">
        <v>1</v>
      </c>
      <c r="I1681" s="306" t="n"/>
      <c r="J1681" s="306" t="n"/>
      <c r="K1681" s="306" t="n"/>
      <c r="L1681" s="306" t="n"/>
      <c r="M1681" s="306" t="n"/>
      <c r="N1681" s="306" t="n"/>
      <c r="O1681" s="306" t="n"/>
      <c r="P1681" s="307">
        <f>$F1681*$H1681</f>
        <v/>
      </c>
      <c r="Q1681" s="306" t="n"/>
    </row>
    <row r="1682" ht="18.75" customHeight="1">
      <c r="B1682" s="288" t="n">
        <v>45482</v>
      </c>
      <c r="C1682" s="289" t="n">
        <v>1009</v>
      </c>
      <c r="D1682" s="290" t="inlineStr">
        <is>
          <t>Fisioterapi 1st</t>
        </is>
      </c>
      <c r="E1682" s="306" t="inlineStr">
        <is>
          <t>-</t>
        </is>
      </c>
      <c r="F1682" s="307" t="n">
        <v>285000</v>
      </c>
      <c r="G1682" s="289" t="inlineStr">
        <is>
          <t>IDR</t>
        </is>
      </c>
      <c r="H1682" s="293" t="n">
        <v>1</v>
      </c>
      <c r="I1682" s="306" t="n"/>
      <c r="J1682" s="306" t="n"/>
      <c r="K1682" s="306" t="n"/>
      <c r="L1682" s="306" t="n"/>
      <c r="M1682" s="306" t="n"/>
      <c r="N1682" s="306" t="n"/>
      <c r="O1682" s="306" t="n"/>
      <c r="P1682" s="307">
        <f>$F1682*$H1682</f>
        <v/>
      </c>
      <c r="Q1682" s="306" t="n"/>
    </row>
    <row r="1683" ht="18.75" customHeight="1">
      <c r="B1683" s="288" t="n">
        <v>45482</v>
      </c>
      <c r="C1683" s="289" t="n">
        <v>1010</v>
      </c>
      <c r="D1683" s="290" t="inlineStr">
        <is>
          <t>Fisioterapi 1st</t>
        </is>
      </c>
      <c r="E1683" s="306" t="inlineStr">
        <is>
          <t>-</t>
        </is>
      </c>
      <c r="F1683" s="307" t="n">
        <v>285000</v>
      </c>
      <c r="G1683" s="289" t="inlineStr">
        <is>
          <t>IDR</t>
        </is>
      </c>
      <c r="H1683" s="293" t="n">
        <v>1</v>
      </c>
      <c r="I1683" s="306" t="n"/>
      <c r="J1683" s="306" t="n"/>
      <c r="K1683" s="306" t="n"/>
      <c r="L1683" s="306" t="n"/>
      <c r="M1683" s="306" t="n"/>
      <c r="N1683" s="306" t="n"/>
      <c r="O1683" s="306" t="n"/>
      <c r="P1683" s="307">
        <f>$F1683*$H1683</f>
        <v/>
      </c>
      <c r="Q1683" s="306" t="n"/>
    </row>
    <row r="1684" ht="18.75" customHeight="1">
      <c r="B1684" s="288" t="n">
        <v>45482</v>
      </c>
      <c r="C1684" s="289" t="n">
        <v>1011</v>
      </c>
      <c r="D1684" s="290" t="inlineStr">
        <is>
          <t>Fisioterapi 1st</t>
        </is>
      </c>
      <c r="E1684" s="306" t="inlineStr">
        <is>
          <t>-</t>
        </is>
      </c>
      <c r="F1684" s="307" t="n">
        <v>285000</v>
      </c>
      <c r="G1684" s="289" t="inlineStr">
        <is>
          <t>IDR</t>
        </is>
      </c>
      <c r="H1684" s="293" t="n">
        <v>1</v>
      </c>
      <c r="I1684" s="306" t="n"/>
      <c r="J1684" s="306" t="n"/>
      <c r="K1684" s="306" t="n"/>
      <c r="L1684" s="306" t="n"/>
      <c r="M1684" s="306" t="n"/>
      <c r="N1684" s="306" t="n"/>
      <c r="O1684" s="306" t="n"/>
      <c r="P1684" s="307">
        <f>$F1684*$H1684</f>
        <v/>
      </c>
      <c r="Q1684" s="306" t="n"/>
    </row>
    <row r="1685" ht="18.75" customHeight="1">
      <c r="B1685" s="288" t="n">
        <v>45482</v>
      </c>
      <c r="C1685" s="289" t="n">
        <v>1012</v>
      </c>
      <c r="D1685" s="290" t="inlineStr">
        <is>
          <t>Fisioterapi 1st</t>
        </is>
      </c>
      <c r="E1685" s="306" t="inlineStr">
        <is>
          <t>-</t>
        </is>
      </c>
      <c r="F1685" s="307" t="n">
        <v>285000</v>
      </c>
      <c r="G1685" s="289" t="inlineStr">
        <is>
          <t>IDR</t>
        </is>
      </c>
      <c r="H1685" s="293" t="n">
        <v>1</v>
      </c>
      <c r="I1685" s="306" t="n"/>
      <c r="J1685" s="306" t="n"/>
      <c r="K1685" s="306" t="n"/>
      <c r="L1685" s="306" t="n"/>
      <c r="M1685" s="306" t="n"/>
      <c r="N1685" s="306" t="n"/>
      <c r="O1685" s="306" t="n"/>
      <c r="P1685" s="307">
        <f>$F1685*$H1685</f>
        <v/>
      </c>
      <c r="Q1685" s="306" t="n"/>
    </row>
    <row r="1686" ht="18.75" customHeight="1">
      <c r="B1686" s="288" t="n">
        <v>45483</v>
      </c>
      <c r="C1686" s="289" t="n">
        <v>1013</v>
      </c>
      <c r="D1686" s="290" t="inlineStr">
        <is>
          <t>Biaya Obat Candesartan</t>
        </is>
      </c>
      <c r="E1686" s="306" t="inlineStr">
        <is>
          <t>-</t>
        </is>
      </c>
      <c r="F1686" s="307" t="n">
        <v>149850</v>
      </c>
      <c r="G1686" s="289" t="inlineStr">
        <is>
          <t>IDR</t>
        </is>
      </c>
      <c r="H1686" s="293" t="n">
        <v>1</v>
      </c>
      <c r="I1686" s="306" t="n"/>
      <c r="J1686" s="306" t="n"/>
      <c r="K1686" s="306" t="n"/>
      <c r="L1686" s="306" t="n"/>
      <c r="M1686" s="306" t="n"/>
      <c r="N1686" s="306" t="n"/>
      <c r="O1686" s="306" t="n"/>
      <c r="P1686" s="307">
        <f>$F1686*$H1686</f>
        <v/>
      </c>
      <c r="Q1686" s="306" t="n"/>
    </row>
    <row r="1687" ht="18.75" customHeight="1">
      <c r="B1687" s="288" t="n">
        <v>45483</v>
      </c>
      <c r="C1687" s="289" t="n">
        <v>1014</v>
      </c>
      <c r="D1687" s="290" t="inlineStr">
        <is>
          <t>Fisioterapi 2nd</t>
        </is>
      </c>
      <c r="E1687" s="306" t="inlineStr">
        <is>
          <t>-</t>
        </is>
      </c>
      <c r="F1687" s="307" t="n">
        <v>285000</v>
      </c>
      <c r="G1687" s="289" t="inlineStr">
        <is>
          <t>IDR</t>
        </is>
      </c>
      <c r="H1687" s="293" t="n">
        <v>1</v>
      </c>
      <c r="I1687" s="306" t="n"/>
      <c r="J1687" s="306" t="n"/>
      <c r="K1687" s="306" t="n"/>
      <c r="L1687" s="306" t="n"/>
      <c r="M1687" s="306" t="n"/>
      <c r="N1687" s="306" t="n"/>
      <c r="O1687" s="306" t="n"/>
      <c r="P1687" s="307">
        <f>$F1687*$H1687</f>
        <v/>
      </c>
      <c r="Q1687" s="306" t="n"/>
    </row>
    <row r="1688" ht="18.75" customHeight="1">
      <c r="B1688" s="288" t="n">
        <v>45483</v>
      </c>
      <c r="C1688" s="289" t="n">
        <v>1015</v>
      </c>
      <c r="D1688" s="290" t="inlineStr">
        <is>
          <t>Biaya Obat Candesartan</t>
        </is>
      </c>
      <c r="E1688" s="306" t="inlineStr">
        <is>
          <t>-</t>
        </is>
      </c>
      <c r="F1688" s="307" t="n">
        <v>149850</v>
      </c>
      <c r="G1688" s="289" t="inlineStr">
        <is>
          <t>IDR</t>
        </is>
      </c>
      <c r="H1688" s="293" t="n">
        <v>1</v>
      </c>
      <c r="I1688" s="306" t="n"/>
      <c r="J1688" s="306" t="n"/>
      <c r="K1688" s="306" t="n"/>
      <c r="L1688" s="306" t="n"/>
      <c r="M1688" s="306" t="n"/>
      <c r="N1688" s="306" t="n"/>
      <c r="O1688" s="306" t="n"/>
      <c r="P1688" s="307">
        <f>$F1688*$H1688</f>
        <v/>
      </c>
      <c r="Q1688" s="306" t="n"/>
    </row>
    <row r="1689" ht="18.75" customHeight="1">
      <c r="B1689" s="288" t="n">
        <v>45483</v>
      </c>
      <c r="C1689" s="289" t="n">
        <v>1016</v>
      </c>
      <c r="D1689" s="290" t="inlineStr">
        <is>
          <t>Fisioterapi 2nd</t>
        </is>
      </c>
      <c r="E1689" s="306" t="inlineStr">
        <is>
          <t>-</t>
        </is>
      </c>
      <c r="F1689" s="307" t="n">
        <v>285000</v>
      </c>
      <c r="G1689" s="289" t="inlineStr">
        <is>
          <t>IDR</t>
        </is>
      </c>
      <c r="H1689" s="293" t="n">
        <v>1</v>
      </c>
      <c r="I1689" s="306" t="n"/>
      <c r="J1689" s="306" t="n"/>
      <c r="K1689" s="306" t="n"/>
      <c r="L1689" s="306" t="n"/>
      <c r="M1689" s="306" t="n"/>
      <c r="N1689" s="306" t="n"/>
      <c r="O1689" s="306" t="n"/>
      <c r="P1689" s="307">
        <f>$F1689*$H1689</f>
        <v/>
      </c>
      <c r="Q1689" s="306" t="n"/>
    </row>
    <row r="1690" ht="18.75" customHeight="1">
      <c r="B1690" s="288" t="n">
        <v>45483</v>
      </c>
      <c r="C1690" s="289" t="n">
        <v>1017</v>
      </c>
      <c r="D1690" s="290" t="inlineStr">
        <is>
          <t>Biaya Obat Candesartan</t>
        </is>
      </c>
      <c r="E1690" s="306" t="inlineStr">
        <is>
          <t>-</t>
        </is>
      </c>
      <c r="F1690" s="307" t="n">
        <v>149850</v>
      </c>
      <c r="G1690" s="289" t="inlineStr">
        <is>
          <t>IDR</t>
        </is>
      </c>
      <c r="H1690" s="293" t="n">
        <v>1</v>
      </c>
      <c r="I1690" s="306" t="n"/>
      <c r="J1690" s="306" t="n"/>
      <c r="K1690" s="306" t="n"/>
      <c r="L1690" s="306" t="n"/>
      <c r="M1690" s="306" t="n"/>
      <c r="N1690" s="306" t="n"/>
      <c r="O1690" s="306" t="n"/>
      <c r="P1690" s="307">
        <f>$F1690*$H1690</f>
        <v/>
      </c>
      <c r="Q1690" s="306" t="n"/>
    </row>
    <row r="1691" ht="18.75" customHeight="1">
      <c r="B1691" s="288" t="n">
        <v>45483</v>
      </c>
      <c r="C1691" s="289" t="n">
        <v>1018</v>
      </c>
      <c r="D1691" s="290" t="inlineStr">
        <is>
          <t>Fisioterapi 2nd</t>
        </is>
      </c>
      <c r="E1691" s="306" t="inlineStr">
        <is>
          <t>-</t>
        </is>
      </c>
      <c r="F1691" s="307" t="n">
        <v>285000</v>
      </c>
      <c r="G1691" s="289" t="inlineStr">
        <is>
          <t>IDR</t>
        </is>
      </c>
      <c r="H1691" s="293" t="n">
        <v>1</v>
      </c>
      <c r="I1691" s="306" t="n"/>
      <c r="J1691" s="306" t="n"/>
      <c r="K1691" s="306" t="n"/>
      <c r="L1691" s="306" t="n"/>
      <c r="M1691" s="306" t="n"/>
      <c r="N1691" s="306" t="n"/>
      <c r="O1691" s="306" t="n"/>
      <c r="P1691" s="307">
        <f>$F1691*$H1691</f>
        <v/>
      </c>
      <c r="Q1691" s="306" t="n"/>
    </row>
    <row r="1692" ht="18.75" customHeight="1">
      <c r="B1692" s="288" t="n">
        <v>45483</v>
      </c>
      <c r="C1692" s="289" t="n">
        <v>1019</v>
      </c>
      <c r="D1692" s="290" t="inlineStr">
        <is>
          <t>Biaya Obat Candesartan</t>
        </is>
      </c>
      <c r="E1692" s="306" t="inlineStr">
        <is>
          <t>-</t>
        </is>
      </c>
      <c r="F1692" s="307" t="n">
        <v>149850</v>
      </c>
      <c r="G1692" s="289" t="inlineStr">
        <is>
          <t>IDR</t>
        </is>
      </c>
      <c r="H1692" s="293" t="n">
        <v>1</v>
      </c>
      <c r="I1692" s="306" t="n"/>
      <c r="J1692" s="306" t="n"/>
      <c r="K1692" s="306" t="n"/>
      <c r="L1692" s="306" t="n"/>
      <c r="M1692" s="306" t="n"/>
      <c r="N1692" s="306" t="n"/>
      <c r="O1692" s="306" t="n"/>
      <c r="P1692" s="307">
        <f>$F1692*$H1692</f>
        <v/>
      </c>
      <c r="Q1692" s="306" t="n"/>
    </row>
    <row r="1693" ht="18.75" customHeight="1">
      <c r="B1693" s="288" t="n">
        <v>45483</v>
      </c>
      <c r="C1693" s="289" t="n">
        <v>1020</v>
      </c>
      <c r="D1693" s="290" t="inlineStr">
        <is>
          <t>Fisioterapi 2nd</t>
        </is>
      </c>
      <c r="E1693" s="306" t="inlineStr">
        <is>
          <t>-</t>
        </is>
      </c>
      <c r="F1693" s="307" t="n">
        <v>285000</v>
      </c>
      <c r="G1693" s="289" t="inlineStr">
        <is>
          <t>IDR</t>
        </is>
      </c>
      <c r="H1693" s="293" t="n">
        <v>1</v>
      </c>
      <c r="I1693" s="306" t="n"/>
      <c r="J1693" s="306" t="n"/>
      <c r="K1693" s="306" t="n"/>
      <c r="L1693" s="306" t="n"/>
      <c r="M1693" s="306" t="n"/>
      <c r="N1693" s="306" t="n"/>
      <c r="O1693" s="306" t="n"/>
      <c r="P1693" s="307">
        <f>$F1693*$H1693</f>
        <v/>
      </c>
      <c r="Q1693" s="306" t="n"/>
    </row>
    <row r="1694" ht="18.75" customHeight="1">
      <c r="B1694" s="288" t="n">
        <v>45484</v>
      </c>
      <c r="C1694" s="289" t="n">
        <v>1021</v>
      </c>
      <c r="D1694" s="290" t="inlineStr">
        <is>
          <t>Fisioterapi 3rd</t>
        </is>
      </c>
      <c r="E1694" s="306" t="inlineStr">
        <is>
          <t>-</t>
        </is>
      </c>
      <c r="F1694" s="307" t="n">
        <v>285000</v>
      </c>
      <c r="G1694" s="289" t="inlineStr">
        <is>
          <t>IDR</t>
        </is>
      </c>
      <c r="H1694" s="293" t="n">
        <v>1</v>
      </c>
      <c r="I1694" s="306" t="n"/>
      <c r="J1694" s="306" t="n"/>
      <c r="K1694" s="306" t="n"/>
      <c r="L1694" s="306" t="n"/>
      <c r="M1694" s="306" t="n"/>
      <c r="N1694" s="306" t="n"/>
      <c r="O1694" s="306" t="n"/>
      <c r="P1694" s="307">
        <f>$F1694*$H1694</f>
        <v/>
      </c>
      <c r="Q1694" s="306" t="n"/>
    </row>
    <row r="1695" ht="18.75" customHeight="1">
      <c r="B1695" s="288" t="n">
        <v>45484</v>
      </c>
      <c r="C1695" s="289" t="n">
        <v>1022</v>
      </c>
      <c r="D1695" s="290" t="inlineStr">
        <is>
          <t>Fisioterapi 3rd</t>
        </is>
      </c>
      <c r="E1695" s="306" t="inlineStr">
        <is>
          <t>-</t>
        </is>
      </c>
      <c r="F1695" s="307" t="n">
        <v>285000</v>
      </c>
      <c r="G1695" s="289" t="inlineStr">
        <is>
          <t>IDR</t>
        </is>
      </c>
      <c r="H1695" s="293" t="n">
        <v>1</v>
      </c>
      <c r="I1695" s="306" t="n"/>
      <c r="J1695" s="306" t="n"/>
      <c r="K1695" s="306" t="n"/>
      <c r="L1695" s="306" t="n"/>
      <c r="M1695" s="306" t="n"/>
      <c r="N1695" s="306" t="n"/>
      <c r="O1695" s="306" t="n"/>
      <c r="P1695" s="307">
        <f>$F1695*$H1695</f>
        <v/>
      </c>
      <c r="Q1695" s="306" t="n"/>
    </row>
    <row r="1696" ht="18.75" customHeight="1">
      <c r="B1696" s="288" t="n">
        <v>45484</v>
      </c>
      <c r="C1696" s="289" t="n">
        <v>1023</v>
      </c>
      <c r="D1696" s="290" t="inlineStr">
        <is>
          <t>Fisioterapi 3rd</t>
        </is>
      </c>
      <c r="E1696" s="306" t="inlineStr">
        <is>
          <t>-</t>
        </is>
      </c>
      <c r="F1696" s="307" t="n">
        <v>285000</v>
      </c>
      <c r="G1696" s="289" t="inlineStr">
        <is>
          <t>IDR</t>
        </is>
      </c>
      <c r="H1696" s="293" t="n">
        <v>1</v>
      </c>
      <c r="I1696" s="306" t="n"/>
      <c r="J1696" s="306" t="n"/>
      <c r="K1696" s="306" t="n"/>
      <c r="L1696" s="306" t="n"/>
      <c r="M1696" s="306" t="n"/>
      <c r="N1696" s="306" t="n"/>
      <c r="O1696" s="306" t="n"/>
      <c r="P1696" s="307">
        <f>$F1696*$H1696</f>
        <v/>
      </c>
      <c r="Q1696" s="306" t="n"/>
    </row>
    <row r="1697" ht="18.75" customHeight="1">
      <c r="B1697" s="288" t="n">
        <v>45484</v>
      </c>
      <c r="C1697" s="289" t="n">
        <v>1024</v>
      </c>
      <c r="D1697" s="290" t="inlineStr">
        <is>
          <t>Fisioterapi 3rd</t>
        </is>
      </c>
      <c r="E1697" s="306" t="inlineStr">
        <is>
          <t>-</t>
        </is>
      </c>
      <c r="F1697" s="307" t="n">
        <v>285000</v>
      </c>
      <c r="G1697" s="289" t="inlineStr">
        <is>
          <t>IDR</t>
        </is>
      </c>
      <c r="H1697" s="293" t="n">
        <v>1</v>
      </c>
      <c r="I1697" s="306" t="n"/>
      <c r="J1697" s="306" t="n"/>
      <c r="K1697" s="306" t="n"/>
      <c r="L1697" s="306" t="n"/>
      <c r="M1697" s="306" t="n"/>
      <c r="N1697" s="306" t="n"/>
      <c r="O1697" s="306" t="n"/>
      <c r="P1697" s="307">
        <f>$F1697*$H1697</f>
        <v/>
      </c>
      <c r="Q1697" s="306" t="n"/>
    </row>
    <row r="1698">
      <c r="B1698" s="312" t="n"/>
      <c r="C1698" s="312" t="n"/>
      <c r="D1698" s="285" t="inlineStr">
        <is>
          <t>Sparepart</t>
        </is>
      </c>
      <c r="E1698" s="312" t="n"/>
      <c r="F1698" s="312" t="n"/>
      <c r="G1698" s="312" t="n"/>
      <c r="H1698" s="312" t="n"/>
      <c r="I1698" s="312" t="n"/>
      <c r="J1698" s="312" t="n"/>
      <c r="K1698" s="312" t="n"/>
      <c r="L1698" s="312" t="n"/>
      <c r="M1698" s="312" t="n"/>
      <c r="N1698" s="312" t="n"/>
      <c r="O1698" s="312" t="n"/>
      <c r="P1698" s="312" t="n"/>
      <c r="Q1698" s="312" t="n"/>
    </row>
    <row r="1699" ht="18.75" customHeight="1">
      <c r="B1699" s="288" t="n">
        <v>45498</v>
      </c>
      <c r="C1699" s="289" t="n">
        <v>1025</v>
      </c>
      <c r="D1699" s="290" t="inlineStr">
        <is>
          <t>Buy Hose 1/4"</t>
        </is>
      </c>
      <c r="E1699" s="306" t="inlineStr">
        <is>
          <t>-</t>
        </is>
      </c>
      <c r="F1699" s="307" t="n">
        <v>133000</v>
      </c>
      <c r="G1699" s="289" t="inlineStr">
        <is>
          <t>IDR</t>
        </is>
      </c>
      <c r="H1699" s="293" t="n">
        <v>1</v>
      </c>
      <c r="I1699" s="306" t="n"/>
      <c r="J1699" s="306" t="n"/>
      <c r="K1699" s="306" t="n"/>
      <c r="L1699" s="306" t="n"/>
      <c r="M1699" s="306" t="n"/>
      <c r="N1699" s="307">
        <f>$F1699*$H1699</f>
        <v/>
      </c>
      <c r="O1699" s="306" t="n"/>
      <c r="P1699" s="306" t="n"/>
      <c r="Q1699" s="306" t="n"/>
    </row>
    <row r="1700" ht="18.75" customHeight="1">
      <c r="B1700" s="288" t="n">
        <v>45498</v>
      </c>
      <c r="C1700" s="289" t="n">
        <v>1026</v>
      </c>
      <c r="D1700" s="290" t="inlineStr">
        <is>
          <t>Buy Needle Neple</t>
        </is>
      </c>
      <c r="E1700" s="306" t="inlineStr">
        <is>
          <t>-</t>
        </is>
      </c>
      <c r="F1700" s="307" t="n">
        <v>700000</v>
      </c>
      <c r="G1700" s="289" t="inlineStr">
        <is>
          <t>IDR</t>
        </is>
      </c>
      <c r="H1700" s="293" t="n">
        <v>1</v>
      </c>
      <c r="I1700" s="306" t="n"/>
      <c r="J1700" s="306" t="n"/>
      <c r="K1700" s="306" t="n"/>
      <c r="L1700" s="306" t="n"/>
      <c r="M1700" s="306" t="n"/>
      <c r="N1700" s="307">
        <f>$F1700*$H1700</f>
        <v/>
      </c>
      <c r="O1700" s="306" t="n"/>
      <c r="P1700" s="306" t="n"/>
      <c r="Q1700" s="306" t="n"/>
    </row>
    <row r="1701" ht="18.75" customHeight="1">
      <c r="B1701" s="288" t="n">
        <v>45498</v>
      </c>
      <c r="C1701" s="289" t="n">
        <v>1027</v>
      </c>
      <c r="D1701" s="290" t="inlineStr">
        <is>
          <t>Buy Hose 1/4"</t>
        </is>
      </c>
      <c r="E1701" s="306" t="inlineStr">
        <is>
          <t>-</t>
        </is>
      </c>
      <c r="F1701" s="307" t="n">
        <v>133000</v>
      </c>
      <c r="G1701" s="289" t="inlineStr">
        <is>
          <t>IDR</t>
        </is>
      </c>
      <c r="H1701" s="293" t="n">
        <v>1</v>
      </c>
      <c r="I1701" s="306" t="n"/>
      <c r="J1701" s="306" t="n"/>
      <c r="K1701" s="306" t="n"/>
      <c r="L1701" s="306" t="n"/>
      <c r="M1701" s="306" t="n"/>
      <c r="N1701" s="307">
        <f>$F1701*$H1701</f>
        <v/>
      </c>
      <c r="O1701" s="306" t="n"/>
      <c r="P1701" s="306" t="n"/>
      <c r="Q1701" s="306" t="n"/>
    </row>
    <row r="1702" ht="18.75" customHeight="1">
      <c r="B1702" s="288" t="n">
        <v>45498</v>
      </c>
      <c r="C1702" s="289" t="n">
        <v>1028</v>
      </c>
      <c r="D1702" s="290" t="inlineStr">
        <is>
          <t>Buy Needle Neple</t>
        </is>
      </c>
      <c r="E1702" s="306" t="inlineStr">
        <is>
          <t>-</t>
        </is>
      </c>
      <c r="F1702" s="307" t="n">
        <v>700000</v>
      </c>
      <c r="G1702" s="289" t="inlineStr">
        <is>
          <t>IDR</t>
        </is>
      </c>
      <c r="H1702" s="293" t="n">
        <v>1</v>
      </c>
      <c r="I1702" s="306" t="n"/>
      <c r="J1702" s="306" t="n"/>
      <c r="K1702" s="306" t="n"/>
      <c r="L1702" s="306" t="n"/>
      <c r="M1702" s="306" t="n"/>
      <c r="N1702" s="307">
        <f>$F1702*$H1702</f>
        <v/>
      </c>
      <c r="O1702" s="306" t="n"/>
      <c r="P1702" s="306" t="n"/>
      <c r="Q1702" s="306" t="n"/>
    </row>
    <row r="1703" ht="18.75" customHeight="1">
      <c r="B1703" s="288" t="n">
        <v>45498</v>
      </c>
      <c r="C1703" s="289" t="n">
        <v>1029</v>
      </c>
      <c r="D1703" s="290" t="inlineStr">
        <is>
          <t>Buy Hose 1/4"</t>
        </is>
      </c>
      <c r="E1703" s="306" t="inlineStr">
        <is>
          <t>-</t>
        </is>
      </c>
      <c r="F1703" s="307" t="n">
        <v>133000</v>
      </c>
      <c r="G1703" s="289" t="inlineStr">
        <is>
          <t>IDR</t>
        </is>
      </c>
      <c r="H1703" s="293" t="n">
        <v>1</v>
      </c>
      <c r="I1703" s="306" t="n"/>
      <c r="J1703" s="306" t="n"/>
      <c r="K1703" s="306" t="n"/>
      <c r="L1703" s="306" t="n"/>
      <c r="M1703" s="306" t="n"/>
      <c r="N1703" s="307">
        <f>$F1703*$H1703</f>
        <v/>
      </c>
      <c r="O1703" s="306" t="n"/>
      <c r="P1703" s="306" t="n"/>
      <c r="Q1703" s="306" t="n"/>
    </row>
    <row r="1704" ht="18.75" customHeight="1">
      <c r="B1704" s="288" t="n">
        <v>45498</v>
      </c>
      <c r="C1704" s="289" t="n">
        <v>1030</v>
      </c>
      <c r="D1704" s="290" t="inlineStr">
        <is>
          <t>Buy Needle Neple</t>
        </is>
      </c>
      <c r="E1704" s="306" t="inlineStr">
        <is>
          <t>-</t>
        </is>
      </c>
      <c r="F1704" s="307" t="n">
        <v>700000</v>
      </c>
      <c r="G1704" s="289" t="inlineStr">
        <is>
          <t>IDR</t>
        </is>
      </c>
      <c r="H1704" s="293" t="n">
        <v>1</v>
      </c>
      <c r="I1704" s="306" t="n"/>
      <c r="J1704" s="306" t="n"/>
      <c r="K1704" s="306" t="n"/>
      <c r="L1704" s="306" t="n"/>
      <c r="M1704" s="306" t="n"/>
      <c r="N1704" s="307">
        <f>$F1704*$H1704</f>
        <v/>
      </c>
      <c r="O1704" s="306" t="n"/>
      <c r="P1704" s="306" t="n"/>
      <c r="Q1704" s="306" t="n"/>
    </row>
    <row r="1705" ht="18.75" customHeight="1">
      <c r="B1705" s="288" t="n">
        <v>45498</v>
      </c>
      <c r="C1705" s="289" t="n">
        <v>1031</v>
      </c>
      <c r="D1705" s="290" t="inlineStr">
        <is>
          <t>Buy Hose 1/4"</t>
        </is>
      </c>
      <c r="E1705" s="306" t="inlineStr">
        <is>
          <t>-</t>
        </is>
      </c>
      <c r="F1705" s="307" t="n">
        <v>133000</v>
      </c>
      <c r="G1705" s="289" t="inlineStr">
        <is>
          <t>IDR</t>
        </is>
      </c>
      <c r="H1705" s="293" t="n">
        <v>1</v>
      </c>
      <c r="I1705" s="306" t="n"/>
      <c r="J1705" s="306" t="n"/>
      <c r="K1705" s="306" t="n"/>
      <c r="L1705" s="306" t="n"/>
      <c r="M1705" s="306" t="n"/>
      <c r="N1705" s="307">
        <f>$F1705*$H1705</f>
        <v/>
      </c>
      <c r="O1705" s="306" t="n"/>
      <c r="P1705" s="306" t="n"/>
      <c r="Q1705" s="306" t="n"/>
    </row>
    <row r="1706" ht="18.75" customHeight="1">
      <c r="B1706" s="288" t="n">
        <v>45498</v>
      </c>
      <c r="C1706" s="289" t="n">
        <v>1032</v>
      </c>
      <c r="D1706" s="290" t="inlineStr">
        <is>
          <t>Buy Needle Neple</t>
        </is>
      </c>
      <c r="E1706" s="306" t="inlineStr">
        <is>
          <t>-</t>
        </is>
      </c>
      <c r="F1706" s="307" t="n">
        <v>700000</v>
      </c>
      <c r="G1706" s="289" t="inlineStr">
        <is>
          <t>IDR</t>
        </is>
      </c>
      <c r="H1706" s="293" t="n">
        <v>1</v>
      </c>
      <c r="I1706" s="306" t="n"/>
      <c r="J1706" s="306" t="n"/>
      <c r="K1706" s="306" t="n"/>
      <c r="L1706" s="306" t="n"/>
      <c r="M1706" s="306" t="n"/>
      <c r="N1706" s="307">
        <f>$F1706*$H1706</f>
        <v/>
      </c>
      <c r="O1706" s="306" t="n"/>
      <c r="P1706" s="306" t="n"/>
      <c r="Q1706" s="306" t="n"/>
    </row>
    <row r="1707" ht="18.75" customHeight="1">
      <c r="B1707" s="288" t="n">
        <v>45500</v>
      </c>
      <c r="C1707" s="289" t="n">
        <v>1033</v>
      </c>
      <c r="D1707" s="290" t="inlineStr">
        <is>
          <t>Buy Hose 1/4"</t>
        </is>
      </c>
      <c r="E1707" s="306" t="inlineStr">
        <is>
          <t>-</t>
        </is>
      </c>
      <c r="F1707" s="307" t="n">
        <v>155000</v>
      </c>
      <c r="G1707" s="289" t="inlineStr">
        <is>
          <t>IDR</t>
        </is>
      </c>
      <c r="H1707" s="293" t="n">
        <v>1</v>
      </c>
      <c r="I1707" s="306" t="n"/>
      <c r="J1707" s="306" t="n"/>
      <c r="K1707" s="306" t="n"/>
      <c r="L1707" s="306" t="n"/>
      <c r="M1707" s="306" t="n"/>
      <c r="N1707" s="307">
        <f>$F1707*$H1707</f>
        <v/>
      </c>
      <c r="O1707" s="306" t="n"/>
      <c r="P1707" s="306" t="n"/>
      <c r="Q1707" s="306" t="n"/>
    </row>
    <row r="1708" ht="18.75" customHeight="1">
      <c r="B1708" s="288" t="n">
        <v>45500</v>
      </c>
      <c r="C1708" s="289" t="n">
        <v>1034</v>
      </c>
      <c r="D1708" s="290" t="inlineStr">
        <is>
          <t>Buy Needle Neple</t>
        </is>
      </c>
      <c r="E1708" s="306" t="inlineStr">
        <is>
          <t>-</t>
        </is>
      </c>
      <c r="F1708" s="307" t="n">
        <v>660000</v>
      </c>
      <c r="G1708" s="289" t="inlineStr">
        <is>
          <t>IDR</t>
        </is>
      </c>
      <c r="H1708" s="293" t="n">
        <v>1</v>
      </c>
      <c r="I1708" s="306" t="n"/>
      <c r="J1708" s="306" t="n"/>
      <c r="K1708" s="306" t="n"/>
      <c r="L1708" s="306" t="n"/>
      <c r="M1708" s="306" t="n"/>
      <c r="N1708" s="307">
        <f>$F1708*$H1708</f>
        <v/>
      </c>
      <c r="O1708" s="306" t="n"/>
      <c r="P1708" s="306" t="n"/>
      <c r="Q1708" s="306" t="n"/>
    </row>
    <row r="1709" ht="18.75" customHeight="1">
      <c r="B1709" s="288" t="n">
        <v>45500</v>
      </c>
      <c r="C1709" s="289" t="n">
        <v>1035</v>
      </c>
      <c r="D1709" s="290" t="inlineStr">
        <is>
          <t>Buy Connection 1/4"</t>
        </is>
      </c>
      <c r="E1709" s="306" t="inlineStr">
        <is>
          <t>-</t>
        </is>
      </c>
      <c r="F1709" s="307" t="n">
        <v>1760000</v>
      </c>
      <c r="G1709" s="289" t="inlineStr">
        <is>
          <t>IDR</t>
        </is>
      </c>
      <c r="H1709" s="293" t="n">
        <v>1</v>
      </c>
      <c r="I1709" s="306" t="n"/>
      <c r="J1709" s="306" t="n"/>
      <c r="K1709" s="306" t="n"/>
      <c r="L1709" s="306" t="n"/>
      <c r="M1709" s="306" t="n"/>
      <c r="N1709" s="307">
        <f>$F1709*$H1709</f>
        <v/>
      </c>
      <c r="O1709" s="306" t="n"/>
      <c r="P1709" s="306" t="n"/>
      <c r="Q1709" s="306" t="n"/>
    </row>
    <row r="1710" ht="18.75" customHeight="1">
      <c r="B1710" s="288" t="n">
        <v>45500</v>
      </c>
      <c r="C1710" s="289" t="n">
        <v>1036</v>
      </c>
      <c r="D1710" s="290" t="inlineStr">
        <is>
          <t>Buy Hose 1/4"</t>
        </is>
      </c>
      <c r="E1710" s="306" t="inlineStr">
        <is>
          <t>-</t>
        </is>
      </c>
      <c r="F1710" s="307" t="n">
        <v>155000</v>
      </c>
      <c r="G1710" s="289" t="inlineStr">
        <is>
          <t>IDR</t>
        </is>
      </c>
      <c r="H1710" s="293" t="n">
        <v>1</v>
      </c>
      <c r="I1710" s="306" t="n"/>
      <c r="J1710" s="306" t="n"/>
      <c r="K1710" s="306" t="n"/>
      <c r="L1710" s="306" t="n"/>
      <c r="M1710" s="306" t="n"/>
      <c r="N1710" s="307">
        <f>$F1710*$H1710</f>
        <v/>
      </c>
      <c r="O1710" s="306" t="n"/>
      <c r="P1710" s="306" t="n"/>
      <c r="Q1710" s="306" t="n"/>
    </row>
    <row r="1711" ht="18.75" customHeight="1">
      <c r="B1711" s="288" t="n">
        <v>45500</v>
      </c>
      <c r="C1711" s="289" t="n">
        <v>1037</v>
      </c>
      <c r="D1711" s="290" t="inlineStr">
        <is>
          <t>Buy Needle Neple</t>
        </is>
      </c>
      <c r="E1711" s="306" t="inlineStr">
        <is>
          <t>-</t>
        </is>
      </c>
      <c r="F1711" s="307" t="n">
        <v>660000</v>
      </c>
      <c r="G1711" s="289" t="inlineStr">
        <is>
          <t>IDR</t>
        </is>
      </c>
      <c r="H1711" s="293" t="n">
        <v>1</v>
      </c>
      <c r="I1711" s="306" t="n"/>
      <c r="J1711" s="306" t="n"/>
      <c r="K1711" s="306" t="n"/>
      <c r="L1711" s="306" t="n"/>
      <c r="M1711" s="306" t="n"/>
      <c r="N1711" s="307">
        <f>$F1711*$H1711</f>
        <v/>
      </c>
      <c r="O1711" s="306" t="n"/>
      <c r="P1711" s="306" t="n"/>
      <c r="Q1711" s="306" t="n"/>
    </row>
    <row r="1712" ht="18.75" customHeight="1">
      <c r="B1712" s="288" t="n">
        <v>45500</v>
      </c>
      <c r="C1712" s="289" t="n">
        <v>1038</v>
      </c>
      <c r="D1712" s="290" t="inlineStr">
        <is>
          <t>Buy Connection 1/4"</t>
        </is>
      </c>
      <c r="E1712" s="306" t="inlineStr">
        <is>
          <t>-</t>
        </is>
      </c>
      <c r="F1712" s="307" t="n">
        <v>1760000</v>
      </c>
      <c r="G1712" s="289" t="inlineStr">
        <is>
          <t>IDR</t>
        </is>
      </c>
      <c r="H1712" s="293" t="n">
        <v>1</v>
      </c>
      <c r="I1712" s="306" t="n"/>
      <c r="J1712" s="306" t="n"/>
      <c r="K1712" s="306" t="n"/>
      <c r="L1712" s="306" t="n"/>
      <c r="M1712" s="306" t="n"/>
      <c r="N1712" s="307">
        <f>$F1712*$H1712</f>
        <v/>
      </c>
      <c r="O1712" s="306" t="n"/>
      <c r="P1712" s="306" t="n"/>
      <c r="Q1712" s="306" t="n"/>
    </row>
    <row r="1713" ht="18.75" customHeight="1">
      <c r="B1713" s="288" t="n">
        <v>45500</v>
      </c>
      <c r="C1713" s="289" t="n">
        <v>1039</v>
      </c>
      <c r="D1713" s="290" t="inlineStr">
        <is>
          <t>Buy Hose 1/4"</t>
        </is>
      </c>
      <c r="E1713" s="306" t="inlineStr">
        <is>
          <t>-</t>
        </is>
      </c>
      <c r="F1713" s="307" t="n">
        <v>155000</v>
      </c>
      <c r="G1713" s="289" t="inlineStr">
        <is>
          <t>IDR</t>
        </is>
      </c>
      <c r="H1713" s="293" t="n">
        <v>1</v>
      </c>
      <c r="I1713" s="306" t="n"/>
      <c r="J1713" s="306" t="n"/>
      <c r="K1713" s="306" t="n"/>
      <c r="L1713" s="306" t="n"/>
      <c r="M1713" s="306" t="n"/>
      <c r="N1713" s="307">
        <f>$F1713*$H1713</f>
        <v/>
      </c>
      <c r="O1713" s="306" t="n"/>
      <c r="P1713" s="306" t="n"/>
      <c r="Q1713" s="306" t="n"/>
    </row>
    <row r="1714" ht="18.75" customHeight="1">
      <c r="B1714" s="288" t="n">
        <v>45500</v>
      </c>
      <c r="C1714" s="289" t="n">
        <v>1040</v>
      </c>
      <c r="D1714" s="290" t="inlineStr">
        <is>
          <t>Buy Needle Neple</t>
        </is>
      </c>
      <c r="E1714" s="306" t="inlineStr">
        <is>
          <t>-</t>
        </is>
      </c>
      <c r="F1714" s="307" t="n">
        <v>660000</v>
      </c>
      <c r="G1714" s="289" t="inlineStr">
        <is>
          <t>IDR</t>
        </is>
      </c>
      <c r="H1714" s="293" t="n">
        <v>1</v>
      </c>
      <c r="I1714" s="306" t="n"/>
      <c r="J1714" s="306" t="n"/>
      <c r="K1714" s="306" t="n"/>
      <c r="L1714" s="306" t="n"/>
      <c r="M1714" s="306" t="n"/>
      <c r="N1714" s="307">
        <f>$F1714*$H1714</f>
        <v/>
      </c>
      <c r="O1714" s="306" t="n"/>
      <c r="P1714" s="306" t="n"/>
      <c r="Q1714" s="306" t="n"/>
    </row>
    <row r="1715" ht="18.75" customHeight="1">
      <c r="B1715" s="288" t="n">
        <v>45500</v>
      </c>
      <c r="C1715" s="289" t="n">
        <v>1041</v>
      </c>
      <c r="D1715" s="290" t="inlineStr">
        <is>
          <t>Buy Connection 1/4"</t>
        </is>
      </c>
      <c r="E1715" s="306" t="inlineStr">
        <is>
          <t>-</t>
        </is>
      </c>
      <c r="F1715" s="307" t="n">
        <v>1760000</v>
      </c>
      <c r="G1715" s="289" t="inlineStr">
        <is>
          <t>IDR</t>
        </is>
      </c>
      <c r="H1715" s="293" t="n">
        <v>1</v>
      </c>
      <c r="I1715" s="306" t="n"/>
      <c r="J1715" s="306" t="n"/>
      <c r="K1715" s="306" t="n"/>
      <c r="L1715" s="306" t="n"/>
      <c r="M1715" s="306" t="n"/>
      <c r="N1715" s="307">
        <f>$F1715*$H1715</f>
        <v/>
      </c>
      <c r="O1715" s="306" t="n"/>
      <c r="P1715" s="306" t="n"/>
      <c r="Q1715" s="306" t="n"/>
    </row>
    <row r="1716" ht="18.75" customHeight="1">
      <c r="B1716" s="288" t="n">
        <v>45500</v>
      </c>
      <c r="C1716" s="289" t="n">
        <v>1042</v>
      </c>
      <c r="D1716" s="290" t="inlineStr">
        <is>
          <t>Buy Hose 1/4"</t>
        </is>
      </c>
      <c r="E1716" s="306" t="inlineStr">
        <is>
          <t>-</t>
        </is>
      </c>
      <c r="F1716" s="307" t="n">
        <v>155000</v>
      </c>
      <c r="G1716" s="289" t="inlineStr">
        <is>
          <t>IDR</t>
        </is>
      </c>
      <c r="H1716" s="293" t="n">
        <v>1</v>
      </c>
      <c r="I1716" s="306" t="n"/>
      <c r="J1716" s="306" t="n"/>
      <c r="K1716" s="306" t="n"/>
      <c r="L1716" s="306" t="n"/>
      <c r="M1716" s="306" t="n"/>
      <c r="N1716" s="307">
        <f>$F1716*$H1716</f>
        <v/>
      </c>
      <c r="O1716" s="306" t="n"/>
      <c r="P1716" s="306" t="n"/>
      <c r="Q1716" s="306" t="n"/>
    </row>
    <row r="1717" ht="18.75" customHeight="1">
      <c r="B1717" s="288" t="n">
        <v>45500</v>
      </c>
      <c r="C1717" s="289" t="n">
        <v>1043</v>
      </c>
      <c r="D1717" s="290" t="inlineStr">
        <is>
          <t>Buy Needle Neple</t>
        </is>
      </c>
      <c r="E1717" s="306" t="inlineStr">
        <is>
          <t>-</t>
        </is>
      </c>
      <c r="F1717" s="307" t="n">
        <v>660000</v>
      </c>
      <c r="G1717" s="289" t="inlineStr">
        <is>
          <t>IDR</t>
        </is>
      </c>
      <c r="H1717" s="293" t="n">
        <v>1</v>
      </c>
      <c r="I1717" s="306" t="n"/>
      <c r="J1717" s="306" t="n"/>
      <c r="K1717" s="306" t="n"/>
      <c r="L1717" s="306" t="n"/>
      <c r="M1717" s="306" t="n"/>
      <c r="N1717" s="307">
        <f>$F1717*$H1717</f>
        <v/>
      </c>
      <c r="O1717" s="306" t="n"/>
      <c r="P1717" s="306" t="n"/>
      <c r="Q1717" s="306" t="n"/>
    </row>
    <row r="1718" ht="18.75" customHeight="1">
      <c r="B1718" s="288" t="n">
        <v>45500</v>
      </c>
      <c r="C1718" s="289" t="n">
        <v>1044</v>
      </c>
      <c r="D1718" s="290" t="inlineStr">
        <is>
          <t>Buy Connection 1/4"</t>
        </is>
      </c>
      <c r="E1718" s="306" t="inlineStr">
        <is>
          <t>-</t>
        </is>
      </c>
      <c r="F1718" s="307" t="n">
        <v>1760000</v>
      </c>
      <c r="G1718" s="289" t="inlineStr">
        <is>
          <t>IDR</t>
        </is>
      </c>
      <c r="H1718" s="293" t="n">
        <v>1</v>
      </c>
      <c r="I1718" s="306" t="n"/>
      <c r="J1718" s="306" t="n"/>
      <c r="K1718" s="306" t="n"/>
      <c r="L1718" s="306" t="n"/>
      <c r="M1718" s="306" t="n"/>
      <c r="N1718" s="307">
        <f>$F1718*$H1718</f>
        <v/>
      </c>
      <c r="O1718" s="306" t="n"/>
      <c r="P1718" s="306" t="n"/>
      <c r="Q1718" s="306" t="n"/>
    </row>
    <row r="1719">
      <c r="B1719" s="312" t="n"/>
      <c r="C1719" s="312" t="n"/>
      <c r="D1719" s="285" t="inlineStr">
        <is>
          <t>Transportation</t>
        </is>
      </c>
      <c r="E1719" s="312" t="n"/>
      <c r="F1719" s="312" t="n"/>
      <c r="G1719" s="312" t="n"/>
      <c r="H1719" s="312" t="n"/>
      <c r="I1719" s="312" t="n"/>
      <c r="J1719" s="312" t="n"/>
      <c r="K1719" s="312" t="n"/>
      <c r="L1719" s="312" t="n"/>
      <c r="M1719" s="312" t="n"/>
      <c r="N1719" s="312" t="n"/>
      <c r="O1719" s="312" t="n"/>
      <c r="P1719" s="312" t="n"/>
      <c r="Q1719" s="312" t="n"/>
    </row>
    <row r="1720" ht="18.75" customHeight="1">
      <c r="B1720" s="288" t="n">
        <v>45110</v>
      </c>
      <c r="C1720" s="289" t="n">
        <v>1045</v>
      </c>
      <c r="D1720" s="290" t="inlineStr">
        <is>
          <t>Pengiriman dokumen ke Rachmansyah-Sijak</t>
        </is>
      </c>
      <c r="E1720" s="306" t="inlineStr">
        <is>
          <t>-</t>
        </is>
      </c>
      <c r="F1720" s="307" t="n">
        <v>106000</v>
      </c>
      <c r="G1720" s="289" t="inlineStr">
        <is>
          <t>IDR</t>
        </is>
      </c>
      <c r="H1720" s="293" t="n">
        <v>1</v>
      </c>
      <c r="I1720" s="306" t="n"/>
      <c r="J1720" s="306" t="n"/>
      <c r="K1720" s="306" t="n"/>
      <c r="L1720" s="307">
        <f>$F1720*$H1720</f>
        <v/>
      </c>
      <c r="M1720" s="306" t="n"/>
      <c r="N1720" s="306" t="n"/>
      <c r="O1720" s="306" t="n"/>
      <c r="P1720" s="306" t="n"/>
      <c r="Q1720" s="306" t="n"/>
    </row>
    <row r="1721" ht="18.75" customHeight="1">
      <c r="B1721" s="288" t="n">
        <v>45110</v>
      </c>
      <c r="C1721" s="289" t="n">
        <v>1046</v>
      </c>
      <c r="D1721" s="290" t="inlineStr">
        <is>
          <t>Pengiriman dokumen ke Rachmansyah-Sijak</t>
        </is>
      </c>
      <c r="E1721" s="306" t="inlineStr">
        <is>
          <t>-</t>
        </is>
      </c>
      <c r="F1721" s="307" t="n">
        <v>106000</v>
      </c>
      <c r="G1721" s="289" t="inlineStr">
        <is>
          <t>IDR</t>
        </is>
      </c>
      <c r="H1721" s="293" t="n">
        <v>1</v>
      </c>
      <c r="I1721" s="306" t="n"/>
      <c r="J1721" s="306" t="n"/>
      <c r="K1721" s="306" t="n"/>
      <c r="L1721" s="307">
        <f>$F1721*$H1721</f>
        <v/>
      </c>
      <c r="M1721" s="306" t="n"/>
      <c r="N1721" s="306" t="n"/>
      <c r="O1721" s="306" t="n"/>
      <c r="P1721" s="306" t="n"/>
      <c r="Q1721" s="306" t="n"/>
    </row>
    <row r="1722" ht="18.75" customHeight="1">
      <c r="B1722" s="288" t="n">
        <v>45110</v>
      </c>
      <c r="C1722" s="289" t="n">
        <v>1047</v>
      </c>
      <c r="D1722" s="290" t="inlineStr">
        <is>
          <t>Pengiriman dokumen ke Rachmansyah-Sijak</t>
        </is>
      </c>
      <c r="E1722" s="306" t="inlineStr">
        <is>
          <t>-</t>
        </is>
      </c>
      <c r="F1722" s="307" t="n">
        <v>106000</v>
      </c>
      <c r="G1722" s="289" t="inlineStr">
        <is>
          <t>IDR</t>
        </is>
      </c>
      <c r="H1722" s="293" t="n">
        <v>1</v>
      </c>
      <c r="I1722" s="306" t="n"/>
      <c r="J1722" s="306" t="n"/>
      <c r="K1722" s="306" t="n"/>
      <c r="L1722" s="307">
        <f>$F1722*$H1722</f>
        <v/>
      </c>
      <c r="M1722" s="306" t="n"/>
      <c r="N1722" s="306" t="n"/>
      <c r="O1722" s="306" t="n"/>
      <c r="P1722" s="306" t="n"/>
      <c r="Q1722" s="306" t="n"/>
    </row>
    <row r="1723" ht="18.75" customHeight="1">
      <c r="B1723" s="288" t="n">
        <v>45110</v>
      </c>
      <c r="C1723" s="289" t="n">
        <v>1048</v>
      </c>
      <c r="D1723" s="290" t="inlineStr">
        <is>
          <t>Pengiriman dokumen ke Rachmansyah-Sijak</t>
        </is>
      </c>
      <c r="E1723" s="306" t="inlineStr">
        <is>
          <t>-</t>
        </is>
      </c>
      <c r="F1723" s="307" t="n">
        <v>106000</v>
      </c>
      <c r="G1723" s="289" t="inlineStr">
        <is>
          <t>IDR</t>
        </is>
      </c>
      <c r="H1723" s="293" t="n">
        <v>1</v>
      </c>
      <c r="I1723" s="306" t="n"/>
      <c r="J1723" s="306" t="n"/>
      <c r="K1723" s="306" t="n"/>
      <c r="L1723" s="307">
        <f>$F1723*$H1723</f>
        <v/>
      </c>
      <c r="M1723" s="306" t="n"/>
      <c r="N1723" s="306" t="n"/>
      <c r="O1723" s="306" t="n"/>
      <c r="P1723" s="306" t="n"/>
      <c r="Q1723" s="306" t="n"/>
    </row>
    <row r="1724" ht="18.75" customHeight="1">
      <c r="B1724" s="288" t="n">
        <v>45484</v>
      </c>
      <c r="C1724" s="289" t="n">
        <v>1049</v>
      </c>
      <c r="D1724" s="290" t="inlineStr">
        <is>
          <t>Fuel ( trip ambil tool Sampler and to Andara )</t>
        </is>
      </c>
      <c r="E1724" s="306" t="inlineStr">
        <is>
          <t>-</t>
        </is>
      </c>
      <c r="F1724" s="307" t="n">
        <v>164100</v>
      </c>
      <c r="G1724" s="289" t="inlineStr">
        <is>
          <t>IDR</t>
        </is>
      </c>
      <c r="H1724" s="293" t="n">
        <v>1</v>
      </c>
      <c r="I1724" s="306" t="n"/>
      <c r="J1724" s="306" t="n"/>
      <c r="K1724" s="306" t="n"/>
      <c r="L1724" s="307">
        <f>$F1724*$H1724</f>
        <v/>
      </c>
      <c r="M1724" s="306" t="n"/>
      <c r="N1724" s="306" t="n"/>
      <c r="O1724" s="306" t="n"/>
      <c r="P1724" s="306" t="n"/>
      <c r="Q1724" s="306" t="n"/>
    </row>
    <row r="1725" ht="18.75" customHeight="1">
      <c r="B1725" s="288" t="n">
        <v>45484</v>
      </c>
      <c r="C1725" s="289" t="n">
        <v>1050</v>
      </c>
      <c r="D1725" s="290" t="inlineStr">
        <is>
          <t>Fuel ( trip ke Lemigas and Workshop sampler)</t>
        </is>
      </c>
      <c r="E1725" s="306" t="inlineStr">
        <is>
          <t>-</t>
        </is>
      </c>
      <c r="F1725" s="307" t="n">
        <v>291000</v>
      </c>
      <c r="G1725" s="289" t="inlineStr">
        <is>
          <t>IDR</t>
        </is>
      </c>
      <c r="H1725" s="293" t="n">
        <v>1</v>
      </c>
      <c r="I1725" s="306" t="n"/>
      <c r="J1725" s="306" t="n"/>
      <c r="K1725" s="306" t="n"/>
      <c r="L1725" s="307">
        <f>$F1725*$H1725</f>
        <v/>
      </c>
      <c r="M1725" s="306" t="n"/>
      <c r="N1725" s="306" t="n"/>
      <c r="O1725" s="306" t="n"/>
      <c r="P1725" s="306" t="n"/>
      <c r="Q1725" s="306" t="n"/>
    </row>
    <row r="1726" ht="18.75" customHeight="1">
      <c r="B1726" s="288" t="n">
        <v>45484</v>
      </c>
      <c r="C1726" s="289" t="n">
        <v>1051</v>
      </c>
      <c r="D1726" s="290" t="inlineStr">
        <is>
          <t>Fuel ( trip ambil tool Sampler and to Andara )</t>
        </is>
      </c>
      <c r="E1726" s="306" t="inlineStr">
        <is>
          <t>-</t>
        </is>
      </c>
      <c r="F1726" s="307" t="n">
        <v>164100</v>
      </c>
      <c r="G1726" s="289" t="inlineStr">
        <is>
          <t>IDR</t>
        </is>
      </c>
      <c r="H1726" s="293" t="n">
        <v>1</v>
      </c>
      <c r="I1726" s="306" t="n"/>
      <c r="J1726" s="306" t="n"/>
      <c r="K1726" s="306" t="n"/>
      <c r="L1726" s="307">
        <f>$F1726*$H1726</f>
        <v/>
      </c>
      <c r="M1726" s="306" t="n"/>
      <c r="N1726" s="306" t="n"/>
      <c r="O1726" s="306" t="n"/>
      <c r="P1726" s="306" t="n"/>
      <c r="Q1726" s="306" t="n"/>
    </row>
    <row r="1727" ht="18.75" customHeight="1">
      <c r="B1727" s="288" t="n">
        <v>45484</v>
      </c>
      <c r="C1727" s="289" t="n">
        <v>1052</v>
      </c>
      <c r="D1727" s="290" t="inlineStr">
        <is>
          <t>Fuel ( trip ke Lemigas and Workshop sampler)</t>
        </is>
      </c>
      <c r="E1727" s="306" t="inlineStr">
        <is>
          <t>-</t>
        </is>
      </c>
      <c r="F1727" s="307" t="n">
        <v>291000</v>
      </c>
      <c r="G1727" s="289" t="inlineStr">
        <is>
          <t>IDR</t>
        </is>
      </c>
      <c r="H1727" s="293" t="n">
        <v>1</v>
      </c>
      <c r="I1727" s="306" t="n"/>
      <c r="J1727" s="306" t="n"/>
      <c r="K1727" s="306" t="n"/>
      <c r="L1727" s="307">
        <f>$F1727*$H1727</f>
        <v/>
      </c>
      <c r="M1727" s="306" t="n"/>
      <c r="N1727" s="306" t="n"/>
      <c r="O1727" s="306" t="n"/>
      <c r="P1727" s="306" t="n"/>
      <c r="Q1727" s="306" t="n"/>
    </row>
    <row r="1728" ht="18.75" customHeight="1">
      <c r="B1728" s="288" t="n">
        <v>45484</v>
      </c>
      <c r="C1728" s="289" t="n">
        <v>1053</v>
      </c>
      <c r="D1728" s="290" t="inlineStr">
        <is>
          <t>Fuel ( trip ambil tool Sampler and to Andara )</t>
        </is>
      </c>
      <c r="E1728" s="306" t="inlineStr">
        <is>
          <t>-</t>
        </is>
      </c>
      <c r="F1728" s="307" t="n">
        <v>164100</v>
      </c>
      <c r="G1728" s="289" t="inlineStr">
        <is>
          <t>IDR</t>
        </is>
      </c>
      <c r="H1728" s="293" t="n">
        <v>1</v>
      </c>
      <c r="I1728" s="306" t="n"/>
      <c r="J1728" s="306" t="n"/>
      <c r="K1728" s="306" t="n"/>
      <c r="L1728" s="307">
        <f>$F1728*$H1728</f>
        <v/>
      </c>
      <c r="M1728" s="306" t="n"/>
      <c r="N1728" s="306" t="n"/>
      <c r="O1728" s="306" t="n"/>
      <c r="P1728" s="306" t="n"/>
      <c r="Q1728" s="306" t="n"/>
    </row>
    <row r="1729" ht="18.75" customHeight="1">
      <c r="B1729" s="288" t="n">
        <v>45484</v>
      </c>
      <c r="C1729" s="289" t="n">
        <v>1054</v>
      </c>
      <c r="D1729" s="290" t="inlineStr">
        <is>
          <t>Fuel ( trip ke Lemigas and Workshop sampler)</t>
        </is>
      </c>
      <c r="E1729" s="306" t="inlineStr">
        <is>
          <t>-</t>
        </is>
      </c>
      <c r="F1729" s="307" t="n">
        <v>291000</v>
      </c>
      <c r="G1729" s="289" t="inlineStr">
        <is>
          <t>IDR</t>
        </is>
      </c>
      <c r="H1729" s="293" t="n">
        <v>1</v>
      </c>
      <c r="I1729" s="306" t="n"/>
      <c r="J1729" s="306" t="n"/>
      <c r="K1729" s="306" t="n"/>
      <c r="L1729" s="307">
        <f>$F1729*$H1729</f>
        <v/>
      </c>
      <c r="M1729" s="306" t="n"/>
      <c r="N1729" s="306" t="n"/>
      <c r="O1729" s="306" t="n"/>
      <c r="P1729" s="306" t="n"/>
      <c r="Q1729" s="306" t="n"/>
    </row>
    <row r="1730" ht="18.75" customHeight="1">
      <c r="B1730" s="288" t="n">
        <v>45484</v>
      </c>
      <c r="C1730" s="289" t="n">
        <v>1055</v>
      </c>
      <c r="D1730" s="290" t="inlineStr">
        <is>
          <t>Fuel ( trip ambil tool Sampler and to Andara )</t>
        </is>
      </c>
      <c r="E1730" s="306" t="inlineStr">
        <is>
          <t>-</t>
        </is>
      </c>
      <c r="F1730" s="307" t="n">
        <v>164100</v>
      </c>
      <c r="G1730" s="289" t="inlineStr">
        <is>
          <t>IDR</t>
        </is>
      </c>
      <c r="H1730" s="293" t="n">
        <v>1</v>
      </c>
      <c r="I1730" s="306" t="n"/>
      <c r="J1730" s="306" t="n"/>
      <c r="K1730" s="306" t="n"/>
      <c r="L1730" s="307">
        <f>$F1730*$H1730</f>
        <v/>
      </c>
      <c r="M1730" s="306" t="n"/>
      <c r="N1730" s="306" t="n"/>
      <c r="O1730" s="306" t="n"/>
      <c r="P1730" s="306" t="n"/>
      <c r="Q1730" s="306" t="n"/>
    </row>
    <row r="1731" ht="18.75" customHeight="1">
      <c r="B1731" s="288" t="n">
        <v>45484</v>
      </c>
      <c r="C1731" s="289" t="n">
        <v>1056</v>
      </c>
      <c r="D1731" s="290" t="inlineStr">
        <is>
          <t>Fuel ( trip ke Lemigas and Workshop sampler)</t>
        </is>
      </c>
      <c r="E1731" s="306" t="inlineStr">
        <is>
          <t>-</t>
        </is>
      </c>
      <c r="F1731" s="307" t="n">
        <v>291000</v>
      </c>
      <c r="G1731" s="289" t="inlineStr">
        <is>
          <t>IDR</t>
        </is>
      </c>
      <c r="H1731" s="293" t="n">
        <v>1</v>
      </c>
      <c r="I1731" s="306" t="n"/>
      <c r="J1731" s="306" t="n"/>
      <c r="K1731" s="306" t="n"/>
      <c r="L1731" s="307">
        <f>$F1731*$H1731</f>
        <v/>
      </c>
      <c r="M1731" s="306" t="n"/>
      <c r="N1731" s="306" t="n"/>
      <c r="O1731" s="306" t="n"/>
      <c r="P1731" s="306" t="n"/>
      <c r="Q1731" s="306" t="n"/>
    </row>
    <row r="1732" ht="18.75" customHeight="1">
      <c r="B1732" s="288" t="n">
        <v>45490</v>
      </c>
      <c r="C1732" s="289" t="n">
        <v>1057</v>
      </c>
      <c r="D1732" s="290" t="inlineStr">
        <is>
          <t>Fuel ( trip ke Lemigas and Workshop sampler)</t>
        </is>
      </c>
      <c r="E1732" s="306" t="inlineStr">
        <is>
          <t>-</t>
        </is>
      </c>
      <c r="F1732" s="307" t="n">
        <v>177350</v>
      </c>
      <c r="G1732" s="289" t="inlineStr">
        <is>
          <t>IDR</t>
        </is>
      </c>
      <c r="H1732" s="293" t="n">
        <v>1</v>
      </c>
      <c r="I1732" s="306" t="n"/>
      <c r="J1732" s="306" t="n"/>
      <c r="K1732" s="306" t="n"/>
      <c r="L1732" s="307">
        <f>$F1732*$H1732</f>
        <v/>
      </c>
      <c r="M1732" s="306" t="n"/>
      <c r="N1732" s="306" t="n"/>
      <c r="O1732" s="306" t="n"/>
      <c r="P1732" s="306" t="n"/>
      <c r="Q1732" s="306" t="n"/>
    </row>
    <row r="1733" ht="18.75" customHeight="1">
      <c r="B1733" s="288" t="n">
        <v>45490</v>
      </c>
      <c r="C1733" s="289" t="n">
        <v>1058</v>
      </c>
      <c r="D1733" s="290" t="inlineStr">
        <is>
          <t>Fuel ( trip ke Lemigas and Workshop sampler)</t>
        </is>
      </c>
      <c r="E1733" s="306" t="inlineStr">
        <is>
          <t>-</t>
        </is>
      </c>
      <c r="F1733" s="307" t="n">
        <v>177350</v>
      </c>
      <c r="G1733" s="289" t="inlineStr">
        <is>
          <t>IDR</t>
        </is>
      </c>
      <c r="H1733" s="293" t="n">
        <v>1</v>
      </c>
      <c r="I1733" s="306" t="n"/>
      <c r="J1733" s="306" t="n"/>
      <c r="K1733" s="306" t="n"/>
      <c r="L1733" s="307">
        <f>$F1733*$H1733</f>
        <v/>
      </c>
      <c r="M1733" s="306" t="n"/>
      <c r="N1733" s="306" t="n"/>
      <c r="O1733" s="306" t="n"/>
      <c r="P1733" s="306" t="n"/>
      <c r="Q1733" s="306" t="n"/>
    </row>
    <row r="1734" ht="18.75" customHeight="1">
      <c r="B1734" s="288" t="n">
        <v>45490</v>
      </c>
      <c r="C1734" s="289" t="n">
        <v>1059</v>
      </c>
      <c r="D1734" s="290" t="inlineStr">
        <is>
          <t>Fuel ( trip ke Lemigas and Workshop sampler)</t>
        </is>
      </c>
      <c r="E1734" s="306" t="inlineStr">
        <is>
          <t>-</t>
        </is>
      </c>
      <c r="F1734" s="307" t="n">
        <v>177350</v>
      </c>
      <c r="G1734" s="289" t="inlineStr">
        <is>
          <t>IDR</t>
        </is>
      </c>
      <c r="H1734" s="293" t="n">
        <v>1</v>
      </c>
      <c r="I1734" s="306" t="n"/>
      <c r="J1734" s="306" t="n"/>
      <c r="K1734" s="306" t="n"/>
      <c r="L1734" s="307">
        <f>$F1734*$H1734</f>
        <v/>
      </c>
      <c r="M1734" s="306" t="n"/>
      <c r="N1734" s="306" t="n"/>
      <c r="O1734" s="306" t="n"/>
      <c r="P1734" s="306" t="n"/>
      <c r="Q1734" s="306" t="n"/>
    </row>
    <row r="1735" ht="18.75" customHeight="1">
      <c r="B1735" s="288" t="n">
        <v>45490</v>
      </c>
      <c r="C1735" s="289" t="n">
        <v>1060</v>
      </c>
      <c r="D1735" s="290" t="inlineStr">
        <is>
          <t>Fuel ( trip ke Lemigas and Workshop sampler)</t>
        </is>
      </c>
      <c r="E1735" s="306" t="inlineStr">
        <is>
          <t>-</t>
        </is>
      </c>
      <c r="F1735" s="307" t="n">
        <v>177350</v>
      </c>
      <c r="G1735" s="289" t="inlineStr">
        <is>
          <t>IDR</t>
        </is>
      </c>
      <c r="H1735" s="293" t="n">
        <v>1</v>
      </c>
      <c r="I1735" s="306" t="n"/>
      <c r="J1735" s="306" t="n"/>
      <c r="K1735" s="306" t="n"/>
      <c r="L1735" s="307">
        <f>$F1735*$H1735</f>
        <v/>
      </c>
      <c r="M1735" s="306" t="n"/>
      <c r="N1735" s="306" t="n"/>
      <c r="O1735" s="306" t="n"/>
      <c r="P1735" s="306" t="n"/>
      <c r="Q1735" s="306" t="n"/>
    </row>
    <row r="1736" ht="18.75" customHeight="1">
      <c r="B1736" s="288" t="n">
        <v>45498</v>
      </c>
      <c r="C1736" s="289" t="n">
        <v>1061</v>
      </c>
      <c r="D1736" s="290" t="inlineStr">
        <is>
          <t>Fuel ( trip ke Barekin Bogor, inspeksi tool)</t>
        </is>
      </c>
      <c r="E1736" s="306" t="inlineStr">
        <is>
          <t>-</t>
        </is>
      </c>
      <c r="F1736" s="307" t="n">
        <v>319700</v>
      </c>
      <c r="G1736" s="289" t="inlineStr">
        <is>
          <t>IDR</t>
        </is>
      </c>
      <c r="H1736" s="293" t="n">
        <v>1</v>
      </c>
      <c r="I1736" s="306" t="n"/>
      <c r="J1736" s="306" t="n"/>
      <c r="K1736" s="306" t="n"/>
      <c r="L1736" s="307">
        <f>$F1736*$H1736</f>
        <v/>
      </c>
      <c r="M1736" s="306" t="n"/>
      <c r="N1736" s="306" t="n"/>
      <c r="O1736" s="306" t="n"/>
      <c r="P1736" s="306" t="n"/>
      <c r="Q1736" s="306" t="n"/>
    </row>
    <row r="1737" ht="18.75" customHeight="1">
      <c r="B1737" s="288" t="n">
        <v>45498</v>
      </c>
      <c r="C1737" s="289" t="n">
        <v>1062</v>
      </c>
      <c r="D1737" s="290" t="inlineStr">
        <is>
          <t>Fuel ( trip ke Barekin Bogor, inspeksi tool)</t>
        </is>
      </c>
      <c r="E1737" s="306" t="inlineStr">
        <is>
          <t>-</t>
        </is>
      </c>
      <c r="F1737" s="307" t="n">
        <v>319700</v>
      </c>
      <c r="G1737" s="289" t="inlineStr">
        <is>
          <t>IDR</t>
        </is>
      </c>
      <c r="H1737" s="293" t="n">
        <v>1</v>
      </c>
      <c r="I1737" s="306" t="n"/>
      <c r="J1737" s="306" t="n"/>
      <c r="K1737" s="306" t="n"/>
      <c r="L1737" s="307">
        <f>$F1737*$H1737</f>
        <v/>
      </c>
      <c r="M1737" s="306" t="n"/>
      <c r="N1737" s="306" t="n"/>
      <c r="O1737" s="306" t="n"/>
      <c r="P1737" s="306" t="n"/>
      <c r="Q1737" s="306" t="n"/>
    </row>
    <row r="1738" ht="18.75" customHeight="1">
      <c r="B1738" s="288" t="n">
        <v>45498</v>
      </c>
      <c r="C1738" s="289" t="n">
        <v>1063</v>
      </c>
      <c r="D1738" s="290" t="inlineStr">
        <is>
          <t>Fuel ( trip ke Barekin Bogor, inspeksi tool)</t>
        </is>
      </c>
      <c r="E1738" s="306" t="inlineStr">
        <is>
          <t>-</t>
        </is>
      </c>
      <c r="F1738" s="307" t="n">
        <v>319700</v>
      </c>
      <c r="G1738" s="289" t="inlineStr">
        <is>
          <t>IDR</t>
        </is>
      </c>
      <c r="H1738" s="293" t="n">
        <v>1</v>
      </c>
      <c r="I1738" s="306" t="n"/>
      <c r="J1738" s="306" t="n"/>
      <c r="K1738" s="306" t="n"/>
      <c r="L1738" s="307">
        <f>$F1738*$H1738</f>
        <v/>
      </c>
      <c r="M1738" s="306" t="n"/>
      <c r="N1738" s="306" t="n"/>
      <c r="O1738" s="306" t="n"/>
      <c r="P1738" s="306" t="n"/>
      <c r="Q1738" s="306" t="n"/>
    </row>
    <row r="1739" ht="18.75" customHeight="1">
      <c r="B1739" s="288" t="n">
        <v>45498</v>
      </c>
      <c r="C1739" s="289" t="n">
        <v>1064</v>
      </c>
      <c r="D1739" s="290" t="inlineStr">
        <is>
          <t>Fuel ( trip ke Barekin Bogor, inspeksi tool)</t>
        </is>
      </c>
      <c r="E1739" s="306" t="inlineStr">
        <is>
          <t>-</t>
        </is>
      </c>
      <c r="F1739" s="307" t="n">
        <v>319700</v>
      </c>
      <c r="G1739" s="289" t="inlineStr">
        <is>
          <t>IDR</t>
        </is>
      </c>
      <c r="H1739" s="293" t="n">
        <v>1</v>
      </c>
      <c r="I1739" s="306" t="n"/>
      <c r="J1739" s="306" t="n"/>
      <c r="K1739" s="306" t="n"/>
      <c r="L1739" s="307">
        <f>$F1739*$H1739</f>
        <v/>
      </c>
      <c r="M1739" s="306" t="n"/>
      <c r="N1739" s="306" t="n"/>
      <c r="O1739" s="306" t="n"/>
      <c r="P1739" s="306" t="n"/>
      <c r="Q1739" s="306" t="n"/>
    </row>
    <row r="1740" ht="18.75" customHeight="1">
      <c r="B1740" s="288" t="n">
        <v>45501</v>
      </c>
      <c r="C1740" s="289" t="n">
        <v>1065</v>
      </c>
      <c r="D1740" s="290" t="inlineStr">
        <is>
          <t>Fuel trip ke Glodok buy Hydralic pump assesories</t>
        </is>
      </c>
      <c r="E1740" s="306" t="inlineStr">
        <is>
          <t>-</t>
        </is>
      </c>
      <c r="F1740" s="307" t="n">
        <v>217350</v>
      </c>
      <c r="G1740" s="289" t="inlineStr">
        <is>
          <t>IDR</t>
        </is>
      </c>
      <c r="H1740" s="293" t="n">
        <v>1</v>
      </c>
      <c r="I1740" s="306" t="n"/>
      <c r="J1740" s="306" t="n"/>
      <c r="K1740" s="306" t="n"/>
      <c r="L1740" s="307">
        <f>$F1740*$H1740</f>
        <v/>
      </c>
      <c r="M1740" s="306" t="n"/>
      <c r="N1740" s="306" t="n"/>
      <c r="O1740" s="306" t="n"/>
      <c r="P1740" s="306" t="n"/>
      <c r="Q1740" s="306" t="n"/>
    </row>
    <row r="1741" ht="18.75" customHeight="1">
      <c r="B1741" s="288" t="n">
        <v>45501</v>
      </c>
      <c r="C1741" s="289" t="n">
        <v>1066</v>
      </c>
      <c r="D1741" s="290" t="inlineStr">
        <is>
          <t>Fuel trip ke Glodok buy Hydralic pump assesories</t>
        </is>
      </c>
      <c r="E1741" s="306" t="inlineStr">
        <is>
          <t>-</t>
        </is>
      </c>
      <c r="F1741" s="307" t="n">
        <v>217350</v>
      </c>
      <c r="G1741" s="289" t="inlineStr">
        <is>
          <t>IDR</t>
        </is>
      </c>
      <c r="H1741" s="293" t="n">
        <v>1</v>
      </c>
      <c r="I1741" s="306" t="n"/>
      <c r="J1741" s="306" t="n"/>
      <c r="K1741" s="306" t="n"/>
      <c r="L1741" s="307">
        <f>$F1741*$H1741</f>
        <v/>
      </c>
      <c r="M1741" s="306" t="n"/>
      <c r="N1741" s="306" t="n"/>
      <c r="O1741" s="306" t="n"/>
      <c r="P1741" s="306" t="n"/>
      <c r="Q1741" s="306" t="n"/>
    </row>
    <row r="1742" ht="18.75" customHeight="1">
      <c r="B1742" s="288" t="n">
        <v>45501</v>
      </c>
      <c r="C1742" s="289" t="n">
        <v>1067</v>
      </c>
      <c r="D1742" s="290" t="inlineStr">
        <is>
          <t>Fuel trip ke Glodok buy Hydralic pump assesories</t>
        </is>
      </c>
      <c r="E1742" s="306" t="inlineStr">
        <is>
          <t>-</t>
        </is>
      </c>
      <c r="F1742" s="307" t="n">
        <v>217350</v>
      </c>
      <c r="G1742" s="289" t="inlineStr">
        <is>
          <t>IDR</t>
        </is>
      </c>
      <c r="H1742" s="293" t="n">
        <v>1</v>
      </c>
      <c r="I1742" s="306" t="n"/>
      <c r="J1742" s="306" t="n"/>
      <c r="K1742" s="306" t="n"/>
      <c r="L1742" s="307">
        <f>$F1742*$H1742</f>
        <v/>
      </c>
      <c r="M1742" s="306" t="n"/>
      <c r="N1742" s="306" t="n"/>
      <c r="O1742" s="306" t="n"/>
      <c r="P1742" s="306" t="n"/>
      <c r="Q1742" s="306" t="n"/>
    </row>
    <row r="1743" ht="18.75" customHeight="1">
      <c r="B1743" s="288" t="n">
        <v>45501</v>
      </c>
      <c r="C1743" s="289" t="n">
        <v>1068</v>
      </c>
      <c r="D1743" s="290" t="inlineStr">
        <is>
          <t>Fuel trip ke Glodok buy Hydralic pump assesories</t>
        </is>
      </c>
      <c r="E1743" s="306" t="inlineStr">
        <is>
          <t>-</t>
        </is>
      </c>
      <c r="F1743" s="307" t="n">
        <v>217350</v>
      </c>
      <c r="G1743" s="289" t="inlineStr">
        <is>
          <t>IDR</t>
        </is>
      </c>
      <c r="H1743" s="293" t="n">
        <v>1</v>
      </c>
      <c r="I1743" s="306" t="n"/>
      <c r="J1743" s="306" t="n"/>
      <c r="K1743" s="306" t="n"/>
      <c r="L1743" s="307">
        <f>$F1743*$H1743</f>
        <v/>
      </c>
      <c r="M1743" s="306" t="n"/>
      <c r="N1743" s="306" t="n"/>
      <c r="O1743" s="306" t="n"/>
      <c r="P1743" s="306" t="n"/>
      <c r="Q1743" s="306" t="n"/>
    </row>
    <row r="1744">
      <c r="B1744" s="310" t="inlineStr">
        <is>
          <t>Expense#28</t>
        </is>
      </c>
      <c r="C1744" s="311" t="inlineStr">
        <is>
          <t>:</t>
        </is>
      </c>
      <c r="D1744" s="310" t="inlineStr">
        <is>
          <t>ALFA-MPLT-Sampler project TIS Energy Blora_well RBG-3B by Barekin Sakti- AC</t>
        </is>
      </c>
      <c r="E1744" s="311" t="n"/>
      <c r="F1744" s="311" t="n"/>
      <c r="G1744" s="311" t="n"/>
      <c r="H1744" s="311" t="n"/>
      <c r="I1744" s="311" t="n"/>
      <c r="J1744" s="311" t="n"/>
      <c r="K1744" s="311" t="n"/>
      <c r="L1744" s="311" t="n"/>
      <c r="M1744" s="311" t="n"/>
      <c r="N1744" s="311" t="n"/>
      <c r="O1744" s="311" t="n"/>
      <c r="P1744" s="311" t="n"/>
      <c r="Q1744" s="311" t="n"/>
    </row>
    <row r="1745">
      <c r="B1745" s="312" t="n"/>
      <c r="C1745" s="312" t="n"/>
      <c r="D1745" s="285" t="inlineStr">
        <is>
          <t>Accommodation</t>
        </is>
      </c>
      <c r="E1745" s="312" t="n"/>
      <c r="F1745" s="312" t="n"/>
      <c r="G1745" s="312" t="n"/>
      <c r="H1745" s="312" t="n"/>
      <c r="I1745" s="312" t="n"/>
      <c r="J1745" s="312" t="n"/>
      <c r="K1745" s="312" t="n"/>
      <c r="L1745" s="312" t="n"/>
      <c r="M1745" s="312" t="n"/>
      <c r="N1745" s="312" t="n"/>
      <c r="O1745" s="312" t="n"/>
      <c r="P1745" s="312" t="n"/>
      <c r="Q1745" s="312" t="n"/>
    </row>
    <row r="1746" ht="18.75" customHeight="1">
      <c r="B1746" s="288" t="n">
        <v>45507</v>
      </c>
      <c r="C1746" s="289" t="n">
        <v>1069</v>
      </c>
      <c r="D1746" s="290" t="inlineStr">
        <is>
          <t>Hotel for 6 days ( 29 Jul - 3 aug 24)</t>
        </is>
      </c>
      <c r="E1746" s="306" t="inlineStr">
        <is>
          <t>-</t>
        </is>
      </c>
      <c r="F1746" s="307" t="n">
        <v>2700000</v>
      </c>
      <c r="G1746" s="289" t="inlineStr">
        <is>
          <t>IDR</t>
        </is>
      </c>
      <c r="H1746" s="293" t="n">
        <v>1</v>
      </c>
      <c r="I1746" s="306" t="n"/>
      <c r="J1746" s="306" t="n"/>
      <c r="K1746" s="306" t="n"/>
      <c r="L1746" s="307">
        <f>$F1746*$H1746</f>
        <v/>
      </c>
      <c r="M1746" s="306" t="n"/>
      <c r="N1746" s="306" t="n"/>
      <c r="O1746" s="306" t="n"/>
      <c r="P1746" s="306" t="n"/>
      <c r="Q1746" s="306" t="n"/>
    </row>
    <row r="1747" ht="18.75" customHeight="1">
      <c r="B1747" s="288" t="n">
        <v>45507</v>
      </c>
      <c r="C1747" s="289" t="n">
        <v>1070</v>
      </c>
      <c r="D1747" s="290" t="inlineStr">
        <is>
          <t>Hotel for 6 days ( 29 Jul - 3 aug 24)</t>
        </is>
      </c>
      <c r="E1747" s="306" t="inlineStr">
        <is>
          <t>-</t>
        </is>
      </c>
      <c r="F1747" s="307" t="n">
        <v>2700000</v>
      </c>
      <c r="G1747" s="289" t="inlineStr">
        <is>
          <t>IDR</t>
        </is>
      </c>
      <c r="H1747" s="293" t="n">
        <v>1</v>
      </c>
      <c r="I1747" s="306" t="n"/>
      <c r="J1747" s="306" t="n"/>
      <c r="K1747" s="306" t="n"/>
      <c r="L1747" s="307">
        <f>$F1747*$H1747</f>
        <v/>
      </c>
      <c r="M1747" s="306" t="n"/>
      <c r="N1747" s="306" t="n"/>
      <c r="O1747" s="306" t="n"/>
      <c r="P1747" s="306" t="n"/>
      <c r="Q1747" s="306" t="n"/>
    </row>
    <row r="1748" ht="18.75" customHeight="1">
      <c r="B1748" s="288" t="n">
        <v>45507</v>
      </c>
      <c r="C1748" s="289" t="n">
        <v>1071</v>
      </c>
      <c r="D1748" s="290" t="inlineStr">
        <is>
          <t>Hotel for 6 days ( 29 Jul - 3 aug 24)</t>
        </is>
      </c>
      <c r="E1748" s="306" t="inlineStr">
        <is>
          <t>-</t>
        </is>
      </c>
      <c r="F1748" s="307" t="n">
        <v>2700000</v>
      </c>
      <c r="G1748" s="289" t="inlineStr">
        <is>
          <t>IDR</t>
        </is>
      </c>
      <c r="H1748" s="293" t="n">
        <v>1</v>
      </c>
      <c r="I1748" s="306" t="n"/>
      <c r="J1748" s="306" t="n"/>
      <c r="K1748" s="306" t="n"/>
      <c r="L1748" s="307">
        <f>$F1748*$H1748</f>
        <v/>
      </c>
      <c r="M1748" s="306" t="n"/>
      <c r="N1748" s="306" t="n"/>
      <c r="O1748" s="306" t="n"/>
      <c r="P1748" s="306" t="n"/>
      <c r="Q1748" s="306" t="n"/>
    </row>
    <row r="1749" ht="18.75" customHeight="1">
      <c r="B1749" s="288" t="n">
        <v>45507</v>
      </c>
      <c r="C1749" s="289" t="n">
        <v>1072</v>
      </c>
      <c r="D1749" s="290" t="inlineStr">
        <is>
          <t>Hotel for 6 days ( 29 Jul - 3 aug 24)</t>
        </is>
      </c>
      <c r="E1749" s="306" t="inlineStr">
        <is>
          <t>-</t>
        </is>
      </c>
      <c r="F1749" s="307" t="n">
        <v>2700000</v>
      </c>
      <c r="G1749" s="289" t="inlineStr">
        <is>
          <t>IDR</t>
        </is>
      </c>
      <c r="H1749" s="293" t="n">
        <v>1</v>
      </c>
      <c r="I1749" s="306" t="n"/>
      <c r="J1749" s="306" t="n"/>
      <c r="K1749" s="306" t="n"/>
      <c r="L1749" s="307">
        <f>$F1749*$H1749</f>
        <v/>
      </c>
      <c r="M1749" s="306" t="n"/>
      <c r="N1749" s="306" t="n"/>
      <c r="O1749" s="306" t="n"/>
      <c r="P1749" s="306" t="n"/>
      <c r="Q1749" s="306" t="n"/>
    </row>
    <row r="1750">
      <c r="B1750" s="312" t="n"/>
      <c r="C1750" s="312" t="n"/>
      <c r="D1750" s="285" t="inlineStr">
        <is>
          <t>Allowance</t>
        </is>
      </c>
      <c r="E1750" s="312" t="n"/>
      <c r="F1750" s="312" t="n"/>
      <c r="G1750" s="312" t="n"/>
      <c r="H1750" s="312" t="n"/>
      <c r="I1750" s="312" t="n"/>
      <c r="J1750" s="312" t="n"/>
      <c r="K1750" s="312" t="n"/>
      <c r="L1750" s="312" t="n"/>
      <c r="M1750" s="312" t="n"/>
      <c r="N1750" s="312" t="n"/>
      <c r="O1750" s="312" t="n"/>
      <c r="P1750" s="312" t="n"/>
      <c r="Q1750" s="312" t="n"/>
    </row>
    <row r="1751" ht="34.5" customHeight="1">
      <c r="B1751" s="288" t="n">
        <v>45511</v>
      </c>
      <c r="C1751" s="289" t="n">
        <v>1073</v>
      </c>
      <c r="D1751" s="290" t="inlineStr">
        <is>
          <t>Tunjangan lapangan for 10 days (29Jul - 07Aug24) Anevril</t>
        </is>
      </c>
      <c r="E1751" s="306" t="inlineStr">
        <is>
          <t>-</t>
        </is>
      </c>
      <c r="F1751" s="307" t="n">
        <v>1000</v>
      </c>
      <c r="G1751" s="289" t="inlineStr">
        <is>
          <t>USD</t>
        </is>
      </c>
      <c r="H1751" s="293" t="n">
        <v>16100</v>
      </c>
      <c r="I1751" s="306" t="n"/>
      <c r="J1751" s="306" t="n"/>
      <c r="K1751" s="306" t="n"/>
      <c r="L1751" s="307">
        <f>$F1751*$H1751</f>
        <v/>
      </c>
      <c r="M1751" s="306" t="n"/>
      <c r="N1751" s="306" t="n"/>
      <c r="O1751" s="306" t="n"/>
      <c r="P1751" s="306" t="n"/>
      <c r="Q1751" s="306" t="n"/>
    </row>
    <row r="1752" ht="34.5" customHeight="1">
      <c r="B1752" s="288" t="n">
        <v>45511</v>
      </c>
      <c r="C1752" s="289" t="n">
        <v>1074</v>
      </c>
      <c r="D1752" s="290" t="inlineStr">
        <is>
          <t>Tunjangan lapangan for 10 days (29Jul - 07Aug24) Anevril</t>
        </is>
      </c>
      <c r="E1752" s="306" t="inlineStr">
        <is>
          <t>-</t>
        </is>
      </c>
      <c r="F1752" s="307" t="n">
        <v>1000</v>
      </c>
      <c r="G1752" s="289" t="inlineStr">
        <is>
          <t>USD</t>
        </is>
      </c>
      <c r="H1752" s="293" t="n">
        <v>16100</v>
      </c>
      <c r="I1752" s="306" t="n"/>
      <c r="J1752" s="306" t="n"/>
      <c r="K1752" s="306" t="n"/>
      <c r="L1752" s="307">
        <f>$F1752*$H1752</f>
        <v/>
      </c>
      <c r="M1752" s="306" t="n"/>
      <c r="N1752" s="306" t="n"/>
      <c r="O1752" s="306" t="n"/>
      <c r="P1752" s="306" t="n"/>
      <c r="Q1752" s="306" t="n"/>
    </row>
    <row r="1753" ht="34.5" customHeight="1">
      <c r="B1753" s="288" t="n">
        <v>45511</v>
      </c>
      <c r="C1753" s="289" t="n">
        <v>1075</v>
      </c>
      <c r="D1753" s="290" t="inlineStr">
        <is>
          <t>Tunjangan lapangan for 10 days (29Jul - 07Aug24) Anevril</t>
        </is>
      </c>
      <c r="E1753" s="306" t="inlineStr">
        <is>
          <t>-</t>
        </is>
      </c>
      <c r="F1753" s="307" t="n">
        <v>1000</v>
      </c>
      <c r="G1753" s="289" t="inlineStr">
        <is>
          <t>USD</t>
        </is>
      </c>
      <c r="H1753" s="293" t="n">
        <v>16100</v>
      </c>
      <c r="I1753" s="306" t="n"/>
      <c r="J1753" s="306" t="n"/>
      <c r="K1753" s="306" t="n"/>
      <c r="L1753" s="307">
        <f>$F1753*$H1753</f>
        <v/>
      </c>
      <c r="M1753" s="306" t="n"/>
      <c r="N1753" s="306" t="n"/>
      <c r="O1753" s="306" t="n"/>
      <c r="P1753" s="306" t="n"/>
      <c r="Q1753" s="306" t="n"/>
    </row>
    <row r="1754" ht="34.5" customHeight="1">
      <c r="B1754" s="288" t="n">
        <v>45511</v>
      </c>
      <c r="C1754" s="289" t="n">
        <v>1076</v>
      </c>
      <c r="D1754" s="290" t="inlineStr">
        <is>
          <t>Tunjangan lapangan for 10 days (29Jul - 07Aug24) Anevril</t>
        </is>
      </c>
      <c r="E1754" s="306" t="inlineStr">
        <is>
          <t>-</t>
        </is>
      </c>
      <c r="F1754" s="307" t="n">
        <v>1000</v>
      </c>
      <c r="G1754" s="289" t="inlineStr">
        <is>
          <t>USD</t>
        </is>
      </c>
      <c r="H1754" s="293" t="n">
        <v>16100</v>
      </c>
      <c r="I1754" s="306" t="n"/>
      <c r="J1754" s="306" t="n"/>
      <c r="K1754" s="306" t="n"/>
      <c r="L1754" s="307">
        <f>$F1754*$H1754</f>
        <v/>
      </c>
      <c r="M1754" s="306" t="n"/>
      <c r="N1754" s="306" t="n"/>
      <c r="O1754" s="306" t="n"/>
      <c r="P1754" s="306" t="n"/>
      <c r="Q1754" s="306" t="n"/>
    </row>
    <row r="1755">
      <c r="B1755" s="312" t="n"/>
      <c r="C1755" s="312" t="n"/>
      <c r="D1755" s="285" t="inlineStr">
        <is>
          <t>Biaya Operasi Lain-lain</t>
        </is>
      </c>
      <c r="E1755" s="312" t="n"/>
      <c r="F1755" s="312" t="n"/>
      <c r="G1755" s="312" t="n"/>
      <c r="H1755" s="312" t="n"/>
      <c r="I1755" s="312" t="n"/>
      <c r="J1755" s="312" t="n"/>
      <c r="K1755" s="312" t="n"/>
      <c r="L1755" s="312" t="n"/>
      <c r="M1755" s="312" t="n"/>
      <c r="N1755" s="312" t="n"/>
      <c r="O1755" s="312" t="n"/>
      <c r="P1755" s="312" t="n"/>
      <c r="Q1755" s="312" t="n"/>
    </row>
    <row r="1756" ht="18.75" customHeight="1">
      <c r="B1756" s="288" t="n">
        <v>45502</v>
      </c>
      <c r="C1756" s="289" t="n">
        <v>1077</v>
      </c>
      <c r="D1756" s="290" t="inlineStr">
        <is>
          <t>w/ Crew Barekin</t>
        </is>
      </c>
      <c r="E1756" s="306" t="inlineStr">
        <is>
          <t>-</t>
        </is>
      </c>
      <c r="F1756" s="307" t="n">
        <v>275000</v>
      </c>
      <c r="G1756" s="289" t="inlineStr">
        <is>
          <t>IDR</t>
        </is>
      </c>
      <c r="H1756" s="293" t="n">
        <v>1</v>
      </c>
      <c r="I1756" s="306" t="n"/>
      <c r="J1756" s="306" t="n"/>
      <c r="K1756" s="306" t="n"/>
      <c r="L1756" s="307">
        <f>$F1756*$H1756</f>
        <v/>
      </c>
      <c r="M1756" s="306" t="n"/>
      <c r="N1756" s="306" t="n"/>
      <c r="O1756" s="306" t="n"/>
      <c r="P1756" s="306" t="n"/>
      <c r="Q1756" s="306" t="n"/>
    </row>
    <row r="1757" ht="18.75" customHeight="1">
      <c r="B1757" s="288" t="n">
        <v>45502</v>
      </c>
      <c r="C1757" s="289" t="n">
        <v>1078</v>
      </c>
      <c r="D1757" s="290" t="inlineStr">
        <is>
          <t>w/ Crew Barekin</t>
        </is>
      </c>
      <c r="E1757" s="306" t="inlineStr">
        <is>
          <t>-</t>
        </is>
      </c>
      <c r="F1757" s="307" t="n">
        <v>275000</v>
      </c>
      <c r="G1757" s="289" t="inlineStr">
        <is>
          <t>IDR</t>
        </is>
      </c>
      <c r="H1757" s="293" t="n">
        <v>1</v>
      </c>
      <c r="I1757" s="306" t="n"/>
      <c r="J1757" s="306" t="n"/>
      <c r="K1757" s="306" t="n"/>
      <c r="L1757" s="307">
        <f>$F1757*$H1757</f>
        <v/>
      </c>
      <c r="M1757" s="306" t="n"/>
      <c r="N1757" s="306" t="n"/>
      <c r="O1757" s="306" t="n"/>
      <c r="P1757" s="306" t="n"/>
      <c r="Q1757" s="306" t="n"/>
    </row>
    <row r="1758" ht="18.75" customHeight="1">
      <c r="B1758" s="288" t="n">
        <v>45502</v>
      </c>
      <c r="C1758" s="289" t="n">
        <v>1079</v>
      </c>
      <c r="D1758" s="290" t="inlineStr">
        <is>
          <t>w/ Crew Barekin</t>
        </is>
      </c>
      <c r="E1758" s="306" t="inlineStr">
        <is>
          <t>-</t>
        </is>
      </c>
      <c r="F1758" s="307" t="n">
        <v>275000</v>
      </c>
      <c r="G1758" s="289" t="inlineStr">
        <is>
          <t>IDR</t>
        </is>
      </c>
      <c r="H1758" s="293" t="n">
        <v>1</v>
      </c>
      <c r="I1758" s="306" t="n"/>
      <c r="J1758" s="306" t="n"/>
      <c r="K1758" s="306" t="n"/>
      <c r="L1758" s="307">
        <f>$F1758*$H1758</f>
        <v/>
      </c>
      <c r="M1758" s="306" t="n"/>
      <c r="N1758" s="306" t="n"/>
      <c r="O1758" s="306" t="n"/>
      <c r="P1758" s="306" t="n"/>
      <c r="Q1758" s="306" t="n"/>
    </row>
    <row r="1759" ht="18.75" customHeight="1">
      <c r="B1759" s="288" t="n">
        <v>45502</v>
      </c>
      <c r="C1759" s="289" t="n">
        <v>1080</v>
      </c>
      <c r="D1759" s="290" t="inlineStr">
        <is>
          <t>w/ Crew Barekin</t>
        </is>
      </c>
      <c r="E1759" s="306" t="inlineStr">
        <is>
          <t>-</t>
        </is>
      </c>
      <c r="F1759" s="307" t="n">
        <v>275000</v>
      </c>
      <c r="G1759" s="289" t="inlineStr">
        <is>
          <t>IDR</t>
        </is>
      </c>
      <c r="H1759" s="293" t="n">
        <v>1</v>
      </c>
      <c r="I1759" s="306" t="n"/>
      <c r="J1759" s="306" t="n"/>
      <c r="K1759" s="306" t="n"/>
      <c r="L1759" s="307">
        <f>$F1759*$H1759</f>
        <v/>
      </c>
      <c r="M1759" s="306" t="n"/>
      <c r="N1759" s="306" t="n"/>
      <c r="O1759" s="306" t="n"/>
      <c r="P1759" s="306" t="n"/>
      <c r="Q1759" s="306" t="n"/>
    </row>
    <row r="1760" ht="18.75" customHeight="1">
      <c r="B1760" s="288" t="n">
        <v>45505</v>
      </c>
      <c r="C1760" s="289" t="n">
        <v>1081</v>
      </c>
      <c r="D1760" s="290" t="inlineStr">
        <is>
          <t>W/ TIS Petroleum personnel</t>
        </is>
      </c>
      <c r="E1760" s="306" t="inlineStr">
        <is>
          <t>-</t>
        </is>
      </c>
      <c r="F1760" s="307" t="n">
        <v>157000</v>
      </c>
      <c r="G1760" s="289" t="inlineStr">
        <is>
          <t>IDR</t>
        </is>
      </c>
      <c r="H1760" s="293" t="n">
        <v>1</v>
      </c>
      <c r="I1760" s="306" t="n"/>
      <c r="J1760" s="306" t="n"/>
      <c r="K1760" s="306" t="n"/>
      <c r="L1760" s="307">
        <f>$F1760*$H1760</f>
        <v/>
      </c>
      <c r="M1760" s="306" t="n"/>
      <c r="N1760" s="306" t="n"/>
      <c r="O1760" s="306" t="n"/>
      <c r="P1760" s="306" t="n"/>
      <c r="Q1760" s="306" t="n"/>
    </row>
    <row r="1761" ht="18.75" customHeight="1">
      <c r="B1761" s="288" t="n">
        <v>45505</v>
      </c>
      <c r="C1761" s="289" t="n">
        <v>1082</v>
      </c>
      <c r="D1761" s="290" t="inlineStr">
        <is>
          <t>W/ TIS Petroleum personnel</t>
        </is>
      </c>
      <c r="E1761" s="306" t="inlineStr">
        <is>
          <t>-</t>
        </is>
      </c>
      <c r="F1761" s="307" t="n">
        <v>157000</v>
      </c>
      <c r="G1761" s="289" t="inlineStr">
        <is>
          <t>IDR</t>
        </is>
      </c>
      <c r="H1761" s="293" t="n">
        <v>1</v>
      </c>
      <c r="I1761" s="306" t="n"/>
      <c r="J1761" s="306" t="n"/>
      <c r="K1761" s="306" t="n"/>
      <c r="L1761" s="307">
        <f>$F1761*$H1761</f>
        <v/>
      </c>
      <c r="M1761" s="306" t="n"/>
      <c r="N1761" s="306" t="n"/>
      <c r="O1761" s="306" t="n"/>
      <c r="P1761" s="306" t="n"/>
      <c r="Q1761" s="306" t="n"/>
    </row>
    <row r="1762" ht="18.75" customHeight="1">
      <c r="B1762" s="288" t="n">
        <v>45505</v>
      </c>
      <c r="C1762" s="289" t="n">
        <v>1083</v>
      </c>
      <c r="D1762" s="290" t="inlineStr">
        <is>
          <t>W/ TIS Petroleum personnel</t>
        </is>
      </c>
      <c r="E1762" s="306" t="inlineStr">
        <is>
          <t>-</t>
        </is>
      </c>
      <c r="F1762" s="307" t="n">
        <v>157000</v>
      </c>
      <c r="G1762" s="289" t="inlineStr">
        <is>
          <t>IDR</t>
        </is>
      </c>
      <c r="H1762" s="293" t="n">
        <v>1</v>
      </c>
      <c r="I1762" s="306" t="n"/>
      <c r="J1762" s="306" t="n"/>
      <c r="K1762" s="306" t="n"/>
      <c r="L1762" s="307">
        <f>$F1762*$H1762</f>
        <v/>
      </c>
      <c r="M1762" s="306" t="n"/>
      <c r="N1762" s="306" t="n"/>
      <c r="O1762" s="306" t="n"/>
      <c r="P1762" s="306" t="n"/>
      <c r="Q1762" s="306" t="n"/>
    </row>
    <row r="1763" ht="18.75" customHeight="1">
      <c r="B1763" s="288" t="n">
        <v>45505</v>
      </c>
      <c r="C1763" s="289" t="n">
        <v>1084</v>
      </c>
      <c r="D1763" s="290" t="inlineStr">
        <is>
          <t>W/ TIS Petroleum personnel</t>
        </is>
      </c>
      <c r="E1763" s="306" t="inlineStr">
        <is>
          <t>-</t>
        </is>
      </c>
      <c r="F1763" s="307" t="n">
        <v>157000</v>
      </c>
      <c r="G1763" s="289" t="inlineStr">
        <is>
          <t>IDR</t>
        </is>
      </c>
      <c r="H1763" s="293" t="n">
        <v>1</v>
      </c>
      <c r="I1763" s="306" t="n"/>
      <c r="J1763" s="306" t="n"/>
      <c r="K1763" s="306" t="n"/>
      <c r="L1763" s="307">
        <f>$F1763*$H1763</f>
        <v/>
      </c>
      <c r="M1763" s="306" t="n"/>
      <c r="N1763" s="306" t="n"/>
      <c r="O1763" s="306" t="n"/>
      <c r="P1763" s="306" t="n"/>
      <c r="Q1763" s="306" t="n"/>
    </row>
    <row r="1764" ht="18.75" customHeight="1">
      <c r="B1764" s="288" t="n">
        <v>45507</v>
      </c>
      <c r="C1764" s="289" t="n">
        <v>1085</v>
      </c>
      <c r="D1764" s="290" t="inlineStr">
        <is>
          <t>w/ TIS Lemigas Personnel</t>
        </is>
      </c>
      <c r="E1764" s="306" t="inlineStr">
        <is>
          <t>-</t>
        </is>
      </c>
      <c r="F1764" s="307" t="n">
        <v>270350</v>
      </c>
      <c r="G1764" s="289" t="inlineStr">
        <is>
          <t>IDR</t>
        </is>
      </c>
      <c r="H1764" s="293" t="n">
        <v>1</v>
      </c>
      <c r="I1764" s="306" t="n"/>
      <c r="J1764" s="306" t="n"/>
      <c r="K1764" s="306" t="n"/>
      <c r="L1764" s="307">
        <f>$F1764*$H1764</f>
        <v/>
      </c>
      <c r="M1764" s="306" t="n"/>
      <c r="N1764" s="306" t="n"/>
      <c r="O1764" s="306" t="n"/>
      <c r="P1764" s="306" t="n"/>
      <c r="Q1764" s="306" t="n"/>
    </row>
    <row r="1765" ht="18.75" customHeight="1">
      <c r="B1765" s="288" t="n">
        <v>45507</v>
      </c>
      <c r="C1765" s="289" t="n">
        <v>1086</v>
      </c>
      <c r="D1765" s="290" t="inlineStr">
        <is>
          <t>w/ TIS Petroleum Personnel</t>
        </is>
      </c>
      <c r="E1765" s="306" t="inlineStr">
        <is>
          <t>-</t>
        </is>
      </c>
      <c r="F1765" s="307" t="n">
        <v>401000</v>
      </c>
      <c r="G1765" s="289" t="inlineStr">
        <is>
          <t>IDR</t>
        </is>
      </c>
      <c r="H1765" s="293" t="n">
        <v>1</v>
      </c>
      <c r="I1765" s="306" t="n"/>
      <c r="J1765" s="306" t="n"/>
      <c r="K1765" s="306" t="n"/>
      <c r="L1765" s="307">
        <f>$F1765*$H1765</f>
        <v/>
      </c>
      <c r="M1765" s="306" t="n"/>
      <c r="N1765" s="306" t="n"/>
      <c r="O1765" s="306" t="n"/>
      <c r="P1765" s="306" t="n"/>
      <c r="Q1765" s="306" t="n"/>
    </row>
    <row r="1766" ht="18.75" customHeight="1">
      <c r="B1766" s="288" t="n">
        <v>45507</v>
      </c>
      <c r="C1766" s="289" t="n">
        <v>1087</v>
      </c>
      <c r="D1766" s="290" t="inlineStr">
        <is>
          <t>w/ TIS Lemigas Personnel</t>
        </is>
      </c>
      <c r="E1766" s="306" t="inlineStr">
        <is>
          <t>-</t>
        </is>
      </c>
      <c r="F1766" s="307" t="n">
        <v>270350</v>
      </c>
      <c r="G1766" s="289" t="inlineStr">
        <is>
          <t>IDR</t>
        </is>
      </c>
      <c r="H1766" s="293" t="n">
        <v>1</v>
      </c>
      <c r="I1766" s="306" t="n"/>
      <c r="J1766" s="306" t="n"/>
      <c r="K1766" s="306" t="n"/>
      <c r="L1766" s="307">
        <f>$F1766*$H1766</f>
        <v/>
      </c>
      <c r="M1766" s="306" t="n"/>
      <c r="N1766" s="306" t="n"/>
      <c r="O1766" s="306" t="n"/>
      <c r="P1766" s="306" t="n"/>
      <c r="Q1766" s="306" t="n"/>
    </row>
    <row r="1767" ht="18.75" customHeight="1">
      <c r="B1767" s="288" t="n">
        <v>45507</v>
      </c>
      <c r="C1767" s="289" t="n">
        <v>1088</v>
      </c>
      <c r="D1767" s="290" t="inlineStr">
        <is>
          <t>w/ TIS Petroleum Personnel</t>
        </is>
      </c>
      <c r="E1767" s="306" t="inlineStr">
        <is>
          <t>-</t>
        </is>
      </c>
      <c r="F1767" s="307" t="n">
        <v>401000</v>
      </c>
      <c r="G1767" s="289" t="inlineStr">
        <is>
          <t>IDR</t>
        </is>
      </c>
      <c r="H1767" s="293" t="n">
        <v>1</v>
      </c>
      <c r="I1767" s="306" t="n"/>
      <c r="J1767" s="306" t="n"/>
      <c r="K1767" s="306" t="n"/>
      <c r="L1767" s="307">
        <f>$F1767*$H1767</f>
        <v/>
      </c>
      <c r="M1767" s="306" t="n"/>
      <c r="N1767" s="306" t="n"/>
      <c r="O1767" s="306" t="n"/>
      <c r="P1767" s="306" t="n"/>
      <c r="Q1767" s="306" t="n"/>
    </row>
    <row r="1768" ht="18.75" customHeight="1">
      <c r="B1768" s="288" t="n">
        <v>45507</v>
      </c>
      <c r="C1768" s="289" t="n">
        <v>1089</v>
      </c>
      <c r="D1768" s="290" t="inlineStr">
        <is>
          <t>w/ TIS Lemigas Personnel</t>
        </is>
      </c>
      <c r="E1768" s="306" t="inlineStr">
        <is>
          <t>-</t>
        </is>
      </c>
      <c r="F1768" s="307" t="n">
        <v>270350</v>
      </c>
      <c r="G1768" s="289" t="inlineStr">
        <is>
          <t>IDR</t>
        </is>
      </c>
      <c r="H1768" s="293" t="n">
        <v>1</v>
      </c>
      <c r="I1768" s="306" t="n"/>
      <c r="J1768" s="306" t="n"/>
      <c r="K1768" s="306" t="n"/>
      <c r="L1768" s="307">
        <f>$F1768*$H1768</f>
        <v/>
      </c>
      <c r="M1768" s="306" t="n"/>
      <c r="N1768" s="306" t="n"/>
      <c r="O1768" s="306" t="n"/>
      <c r="P1768" s="306" t="n"/>
      <c r="Q1768" s="306" t="n"/>
    </row>
    <row r="1769" ht="18.75" customHeight="1">
      <c r="B1769" s="288" t="n">
        <v>45507</v>
      </c>
      <c r="C1769" s="289" t="n">
        <v>1090</v>
      </c>
      <c r="D1769" s="290" t="inlineStr">
        <is>
          <t>w/ TIS Petroleum Personnel</t>
        </is>
      </c>
      <c r="E1769" s="306" t="inlineStr">
        <is>
          <t>-</t>
        </is>
      </c>
      <c r="F1769" s="307" t="n">
        <v>401000</v>
      </c>
      <c r="G1769" s="289" t="inlineStr">
        <is>
          <t>IDR</t>
        </is>
      </c>
      <c r="H1769" s="293" t="n">
        <v>1</v>
      </c>
      <c r="I1769" s="306" t="n"/>
      <c r="J1769" s="306" t="n"/>
      <c r="K1769" s="306" t="n"/>
      <c r="L1769" s="307">
        <f>$F1769*$H1769</f>
        <v/>
      </c>
      <c r="M1769" s="306" t="n"/>
      <c r="N1769" s="306" t="n"/>
      <c r="O1769" s="306" t="n"/>
      <c r="P1769" s="306" t="n"/>
      <c r="Q1769" s="306" t="n"/>
    </row>
    <row r="1770" ht="18.75" customHeight="1">
      <c r="B1770" s="288" t="n">
        <v>45507</v>
      </c>
      <c r="C1770" s="289" t="n">
        <v>1091</v>
      </c>
      <c r="D1770" s="290" t="inlineStr">
        <is>
          <t>w/ TIS Lemigas Personnel</t>
        </is>
      </c>
      <c r="E1770" s="306" t="inlineStr">
        <is>
          <t>-</t>
        </is>
      </c>
      <c r="F1770" s="307" t="n">
        <v>270350</v>
      </c>
      <c r="G1770" s="289" t="inlineStr">
        <is>
          <t>IDR</t>
        </is>
      </c>
      <c r="H1770" s="293" t="n">
        <v>1</v>
      </c>
      <c r="I1770" s="306" t="n"/>
      <c r="J1770" s="306" t="n"/>
      <c r="K1770" s="306" t="n"/>
      <c r="L1770" s="307">
        <f>$F1770*$H1770</f>
        <v/>
      </c>
      <c r="M1770" s="306" t="n"/>
      <c r="N1770" s="306" t="n"/>
      <c r="O1770" s="306" t="n"/>
      <c r="P1770" s="306" t="n"/>
      <c r="Q1770" s="306" t="n"/>
    </row>
    <row r="1771" ht="18.75" customHeight="1">
      <c r="B1771" s="288" t="n">
        <v>45507</v>
      </c>
      <c r="C1771" s="289" t="n">
        <v>1092</v>
      </c>
      <c r="D1771" s="290" t="inlineStr">
        <is>
          <t>w/ TIS Petroleum Personnel</t>
        </is>
      </c>
      <c r="E1771" s="306" t="inlineStr">
        <is>
          <t>-</t>
        </is>
      </c>
      <c r="F1771" s="307" t="n">
        <v>401000</v>
      </c>
      <c r="G1771" s="289" t="inlineStr">
        <is>
          <t>IDR</t>
        </is>
      </c>
      <c r="H1771" s="293" t="n">
        <v>1</v>
      </c>
      <c r="I1771" s="306" t="n"/>
      <c r="J1771" s="306" t="n"/>
      <c r="K1771" s="306" t="n"/>
      <c r="L1771" s="307">
        <f>$F1771*$H1771</f>
        <v/>
      </c>
      <c r="M1771" s="306" t="n"/>
      <c r="N1771" s="306" t="n"/>
      <c r="O1771" s="306" t="n"/>
      <c r="P1771" s="306" t="n"/>
      <c r="Q1771" s="306" t="n"/>
    </row>
    <row r="1772">
      <c r="B1772" s="312" t="n"/>
      <c r="C1772" s="312" t="n"/>
      <c r="D1772" s="285" t="inlineStr">
        <is>
          <t>Laundry</t>
        </is>
      </c>
      <c r="E1772" s="312" t="n"/>
      <c r="F1772" s="312" t="n"/>
      <c r="G1772" s="312" t="n"/>
      <c r="H1772" s="312" t="n"/>
      <c r="I1772" s="312" t="n"/>
      <c r="J1772" s="312" t="n"/>
      <c r="K1772" s="312" t="n"/>
      <c r="L1772" s="312" t="n"/>
      <c r="M1772" s="312" t="n"/>
      <c r="N1772" s="312" t="n"/>
      <c r="O1772" s="312" t="n"/>
      <c r="P1772" s="312" t="n"/>
      <c r="Q1772" s="312" t="n"/>
    </row>
    <row r="1773" ht="18.75" customHeight="1">
      <c r="B1773" s="288" t="n">
        <v>45511</v>
      </c>
      <c r="C1773" s="289" t="n">
        <v>1093</v>
      </c>
      <c r="D1773" s="290" t="inlineStr">
        <is>
          <t>Laundry dor 10 days @Rp.50.000.</t>
        </is>
      </c>
      <c r="E1773" s="306" t="inlineStr">
        <is>
          <t>-</t>
        </is>
      </c>
      <c r="F1773" s="307" t="n">
        <v>500000</v>
      </c>
      <c r="G1773" s="289" t="inlineStr">
        <is>
          <t>IDR</t>
        </is>
      </c>
      <c r="H1773" s="293" t="n">
        <v>1</v>
      </c>
      <c r="I1773" s="306" t="n"/>
      <c r="J1773" s="306" t="n"/>
      <c r="K1773" s="306" t="n"/>
      <c r="L1773" s="307">
        <f>$F1773*$H1773</f>
        <v/>
      </c>
      <c r="M1773" s="306" t="n"/>
      <c r="N1773" s="306" t="n"/>
      <c r="O1773" s="306" t="n"/>
      <c r="P1773" s="306" t="n"/>
      <c r="Q1773" s="306" t="n"/>
    </row>
    <row r="1774" ht="18.75" customHeight="1">
      <c r="B1774" s="288" t="n">
        <v>45511</v>
      </c>
      <c r="C1774" s="289" t="n">
        <v>1094</v>
      </c>
      <c r="D1774" s="290" t="inlineStr">
        <is>
          <t>Laundry dor 10 days @Rp.50.000.</t>
        </is>
      </c>
      <c r="E1774" s="306" t="inlineStr">
        <is>
          <t>-</t>
        </is>
      </c>
      <c r="F1774" s="307" t="n">
        <v>500000</v>
      </c>
      <c r="G1774" s="289" t="inlineStr">
        <is>
          <t>IDR</t>
        </is>
      </c>
      <c r="H1774" s="293" t="n">
        <v>1</v>
      </c>
      <c r="I1774" s="306" t="n"/>
      <c r="J1774" s="306" t="n"/>
      <c r="K1774" s="306" t="n"/>
      <c r="L1774" s="307">
        <f>$F1774*$H1774</f>
        <v/>
      </c>
      <c r="M1774" s="306" t="n"/>
      <c r="N1774" s="306" t="n"/>
      <c r="O1774" s="306" t="n"/>
      <c r="P1774" s="306" t="n"/>
      <c r="Q1774" s="306" t="n"/>
    </row>
    <row r="1775" ht="18.75" customHeight="1">
      <c r="B1775" s="288" t="n">
        <v>45511</v>
      </c>
      <c r="C1775" s="289" t="n">
        <v>1095</v>
      </c>
      <c r="D1775" s="290" t="inlineStr">
        <is>
          <t>Laundry dor 10 days @Rp.50.000.</t>
        </is>
      </c>
      <c r="E1775" s="306" t="inlineStr">
        <is>
          <t>-</t>
        </is>
      </c>
      <c r="F1775" s="307" t="n">
        <v>500000</v>
      </c>
      <c r="G1775" s="289" t="inlineStr">
        <is>
          <t>IDR</t>
        </is>
      </c>
      <c r="H1775" s="293" t="n">
        <v>1</v>
      </c>
      <c r="I1775" s="306" t="n"/>
      <c r="J1775" s="306" t="n"/>
      <c r="K1775" s="306" t="n"/>
      <c r="L1775" s="307">
        <f>$F1775*$H1775</f>
        <v/>
      </c>
      <c r="M1775" s="306" t="n"/>
      <c r="N1775" s="306" t="n"/>
      <c r="O1775" s="306" t="n"/>
      <c r="P1775" s="306" t="n"/>
      <c r="Q1775" s="306" t="n"/>
    </row>
    <row r="1776" ht="18.75" customHeight="1">
      <c r="B1776" s="288" t="n">
        <v>45511</v>
      </c>
      <c r="C1776" s="289" t="n">
        <v>1096</v>
      </c>
      <c r="D1776" s="290" t="inlineStr">
        <is>
          <t>Laundry dor 10 days @Rp.50.000.</t>
        </is>
      </c>
      <c r="E1776" s="306" t="inlineStr">
        <is>
          <t>-</t>
        </is>
      </c>
      <c r="F1776" s="307" t="n">
        <v>500000</v>
      </c>
      <c r="G1776" s="289" t="inlineStr">
        <is>
          <t>IDR</t>
        </is>
      </c>
      <c r="H1776" s="293" t="n">
        <v>1</v>
      </c>
      <c r="I1776" s="306" t="n"/>
      <c r="J1776" s="306" t="n"/>
      <c r="K1776" s="306" t="n"/>
      <c r="L1776" s="307">
        <f>$F1776*$H1776</f>
        <v/>
      </c>
      <c r="M1776" s="306" t="n"/>
      <c r="N1776" s="306" t="n"/>
      <c r="O1776" s="306" t="n"/>
      <c r="P1776" s="306" t="n"/>
      <c r="Q1776" s="306" t="n"/>
    </row>
    <row r="1777">
      <c r="B1777" s="312" t="n"/>
      <c r="C1777" s="312" t="n"/>
      <c r="D1777" s="285" t="inlineStr">
        <is>
          <t>Meal</t>
        </is>
      </c>
      <c r="E1777" s="312" t="n"/>
      <c r="F1777" s="312" t="n"/>
      <c r="G1777" s="312" t="n"/>
      <c r="H1777" s="312" t="n"/>
      <c r="I1777" s="312" t="n"/>
      <c r="J1777" s="312" t="n"/>
      <c r="K1777" s="312" t="n"/>
      <c r="L1777" s="312" t="n"/>
      <c r="M1777" s="312" t="n"/>
      <c r="N1777" s="312" t="n"/>
      <c r="O1777" s="312" t="n"/>
      <c r="P1777" s="312" t="n"/>
      <c r="Q1777" s="312" t="n"/>
    </row>
    <row r="1778" ht="18.75" customHeight="1">
      <c r="B1778" s="288" t="n">
        <v>45476</v>
      </c>
      <c r="C1778" s="289" t="n">
        <v>1097</v>
      </c>
      <c r="D1778" s="290" t="inlineStr">
        <is>
          <t>buy Soft drink</t>
        </is>
      </c>
      <c r="E1778" s="306" t="inlineStr">
        <is>
          <t>-</t>
        </is>
      </c>
      <c r="F1778" s="307" t="n">
        <v>98000</v>
      </c>
      <c r="G1778" s="289" t="inlineStr">
        <is>
          <t>IDR</t>
        </is>
      </c>
      <c r="H1778" s="293" t="n">
        <v>1</v>
      </c>
      <c r="I1778" s="306" t="n"/>
      <c r="J1778" s="306" t="n"/>
      <c r="K1778" s="306" t="n"/>
      <c r="L1778" s="307">
        <f>$F1778*$H1778</f>
        <v/>
      </c>
      <c r="M1778" s="306" t="n"/>
      <c r="N1778" s="306" t="n"/>
      <c r="O1778" s="306" t="n"/>
      <c r="P1778" s="306" t="n"/>
      <c r="Q1778" s="306" t="n"/>
    </row>
    <row r="1779" ht="18.75" customHeight="1">
      <c r="B1779" s="288" t="n">
        <v>45476</v>
      </c>
      <c r="C1779" s="289" t="n">
        <v>1098</v>
      </c>
      <c r="D1779" s="290" t="inlineStr">
        <is>
          <t>buy Soft drink</t>
        </is>
      </c>
      <c r="E1779" s="306" t="inlineStr">
        <is>
          <t>-</t>
        </is>
      </c>
      <c r="F1779" s="307" t="n">
        <v>98000</v>
      </c>
      <c r="G1779" s="289" t="inlineStr">
        <is>
          <t>IDR</t>
        </is>
      </c>
      <c r="H1779" s="293" t="n">
        <v>1</v>
      </c>
      <c r="I1779" s="306" t="n"/>
      <c r="J1779" s="306" t="n"/>
      <c r="K1779" s="306" t="n"/>
      <c r="L1779" s="307">
        <f>$F1779*$H1779</f>
        <v/>
      </c>
      <c r="M1779" s="306" t="n"/>
      <c r="N1779" s="306" t="n"/>
      <c r="O1779" s="306" t="n"/>
      <c r="P1779" s="306" t="n"/>
      <c r="Q1779" s="306" t="n"/>
    </row>
    <row r="1780" ht="18.75" customHeight="1">
      <c r="B1780" s="288" t="n">
        <v>45476</v>
      </c>
      <c r="C1780" s="289" t="n">
        <v>1099</v>
      </c>
      <c r="D1780" s="290" t="inlineStr">
        <is>
          <t>buy Soft drink</t>
        </is>
      </c>
      <c r="E1780" s="306" t="inlineStr">
        <is>
          <t>-</t>
        </is>
      </c>
      <c r="F1780" s="307" t="n">
        <v>98000</v>
      </c>
      <c r="G1780" s="289" t="inlineStr">
        <is>
          <t>IDR</t>
        </is>
      </c>
      <c r="H1780" s="293" t="n">
        <v>1</v>
      </c>
      <c r="I1780" s="306" t="n"/>
      <c r="J1780" s="306" t="n"/>
      <c r="K1780" s="306" t="n"/>
      <c r="L1780" s="307">
        <f>$F1780*$H1780</f>
        <v/>
      </c>
      <c r="M1780" s="306" t="n"/>
      <c r="N1780" s="306" t="n"/>
      <c r="O1780" s="306" t="n"/>
      <c r="P1780" s="306" t="n"/>
      <c r="Q1780" s="306" t="n"/>
    </row>
    <row r="1781" ht="18.75" customHeight="1">
      <c r="B1781" s="288" t="n">
        <v>45476</v>
      </c>
      <c r="C1781" s="289" t="n">
        <v>1100</v>
      </c>
      <c r="D1781" s="290" t="inlineStr">
        <is>
          <t>buy Soft drink</t>
        </is>
      </c>
      <c r="E1781" s="306" t="inlineStr">
        <is>
          <t>-</t>
        </is>
      </c>
      <c r="F1781" s="307" t="n">
        <v>98000</v>
      </c>
      <c r="G1781" s="289" t="inlineStr">
        <is>
          <t>IDR</t>
        </is>
      </c>
      <c r="H1781" s="293" t="n">
        <v>1</v>
      </c>
      <c r="I1781" s="306" t="n"/>
      <c r="J1781" s="306" t="n"/>
      <c r="K1781" s="306" t="n"/>
      <c r="L1781" s="307">
        <f>$F1781*$H1781</f>
        <v/>
      </c>
      <c r="M1781" s="306" t="n"/>
      <c r="N1781" s="306" t="n"/>
      <c r="O1781" s="306" t="n"/>
      <c r="P1781" s="306" t="n"/>
      <c r="Q1781" s="306" t="n"/>
    </row>
    <row r="1782" ht="18.75" customHeight="1">
      <c r="B1782" s="288" t="n">
        <v>45502</v>
      </c>
      <c r="C1782" s="289" t="n">
        <v>1101</v>
      </c>
      <c r="D1782" s="290" t="inlineStr">
        <is>
          <t>buy Soft drink</t>
        </is>
      </c>
      <c r="E1782" s="306" t="inlineStr">
        <is>
          <t>-</t>
        </is>
      </c>
      <c r="F1782" s="307" t="n">
        <v>199900</v>
      </c>
      <c r="G1782" s="289" t="inlineStr">
        <is>
          <t>IDR</t>
        </is>
      </c>
      <c r="H1782" s="293" t="n">
        <v>1</v>
      </c>
      <c r="I1782" s="306" t="n"/>
      <c r="J1782" s="306" t="n"/>
      <c r="K1782" s="306" t="n"/>
      <c r="L1782" s="307">
        <f>$F1782*$H1782</f>
        <v/>
      </c>
      <c r="M1782" s="306" t="n"/>
      <c r="N1782" s="306" t="n"/>
      <c r="O1782" s="306" t="n"/>
      <c r="P1782" s="306" t="n"/>
      <c r="Q1782" s="306" t="n"/>
    </row>
    <row r="1783" ht="18.75" customHeight="1">
      <c r="B1783" s="288" t="n">
        <v>45502</v>
      </c>
      <c r="C1783" s="289" t="n">
        <v>1102</v>
      </c>
      <c r="D1783" s="290" t="inlineStr">
        <is>
          <t>buy Soft drink</t>
        </is>
      </c>
      <c r="E1783" s="306" t="inlineStr">
        <is>
          <t>-</t>
        </is>
      </c>
      <c r="F1783" s="307" t="n">
        <v>199900</v>
      </c>
      <c r="G1783" s="289" t="inlineStr">
        <is>
          <t>IDR</t>
        </is>
      </c>
      <c r="H1783" s="293" t="n">
        <v>1</v>
      </c>
      <c r="I1783" s="306" t="n"/>
      <c r="J1783" s="306" t="n"/>
      <c r="K1783" s="306" t="n"/>
      <c r="L1783" s="307">
        <f>$F1783*$H1783</f>
        <v/>
      </c>
      <c r="M1783" s="306" t="n"/>
      <c r="N1783" s="306" t="n"/>
      <c r="O1783" s="306" t="n"/>
      <c r="P1783" s="306" t="n"/>
      <c r="Q1783" s="306" t="n"/>
    </row>
    <row r="1784" ht="18.75" customHeight="1">
      <c r="B1784" s="288" t="n">
        <v>45502</v>
      </c>
      <c r="C1784" s="289" t="n">
        <v>1103</v>
      </c>
      <c r="D1784" s="290" t="inlineStr">
        <is>
          <t>buy Soft drink</t>
        </is>
      </c>
      <c r="E1784" s="306" t="inlineStr">
        <is>
          <t>-</t>
        </is>
      </c>
      <c r="F1784" s="307" t="n">
        <v>199900</v>
      </c>
      <c r="G1784" s="289" t="inlineStr">
        <is>
          <t>IDR</t>
        </is>
      </c>
      <c r="H1784" s="293" t="n">
        <v>1</v>
      </c>
      <c r="I1784" s="306" t="n"/>
      <c r="J1784" s="306" t="n"/>
      <c r="K1784" s="306" t="n"/>
      <c r="L1784" s="307">
        <f>$F1784*$H1784</f>
        <v/>
      </c>
      <c r="M1784" s="306" t="n"/>
      <c r="N1784" s="306" t="n"/>
      <c r="O1784" s="306" t="n"/>
      <c r="P1784" s="306" t="n"/>
      <c r="Q1784" s="306" t="n"/>
    </row>
    <row r="1785" ht="18.75" customHeight="1">
      <c r="B1785" s="288" t="n">
        <v>45502</v>
      </c>
      <c r="C1785" s="289" t="n">
        <v>1104</v>
      </c>
      <c r="D1785" s="290" t="inlineStr">
        <is>
          <t>buy Soft drink</t>
        </is>
      </c>
      <c r="E1785" s="306" t="inlineStr">
        <is>
          <t>-</t>
        </is>
      </c>
      <c r="F1785" s="307" t="n">
        <v>199900</v>
      </c>
      <c r="G1785" s="289" t="inlineStr">
        <is>
          <t>IDR</t>
        </is>
      </c>
      <c r="H1785" s="293" t="n">
        <v>1</v>
      </c>
      <c r="I1785" s="306" t="n"/>
      <c r="J1785" s="306" t="n"/>
      <c r="K1785" s="306" t="n"/>
      <c r="L1785" s="307">
        <f>$F1785*$H1785</f>
        <v/>
      </c>
      <c r="M1785" s="306" t="n"/>
      <c r="N1785" s="306" t="n"/>
      <c r="O1785" s="306" t="n"/>
      <c r="P1785" s="306" t="n"/>
      <c r="Q1785" s="306" t="n"/>
    </row>
    <row r="1786" ht="18.75" customHeight="1">
      <c r="B1786" s="288" t="n">
        <v>45504</v>
      </c>
      <c r="C1786" s="289" t="n">
        <v>1105</v>
      </c>
      <c r="D1786" s="290" t="inlineStr">
        <is>
          <t>buy Soft drink</t>
        </is>
      </c>
      <c r="E1786" s="306" t="inlineStr">
        <is>
          <t>-</t>
        </is>
      </c>
      <c r="F1786" s="307" t="n">
        <v>69000</v>
      </c>
      <c r="G1786" s="289" t="inlineStr">
        <is>
          <t>IDR</t>
        </is>
      </c>
      <c r="H1786" s="293" t="n">
        <v>1</v>
      </c>
      <c r="I1786" s="306" t="n"/>
      <c r="J1786" s="306" t="n"/>
      <c r="K1786" s="306" t="n"/>
      <c r="L1786" s="307">
        <f>$F1786*$H1786</f>
        <v/>
      </c>
      <c r="M1786" s="306" t="n"/>
      <c r="N1786" s="306" t="n"/>
      <c r="O1786" s="306" t="n"/>
      <c r="P1786" s="306" t="n"/>
      <c r="Q1786" s="306" t="n"/>
    </row>
    <row r="1787" ht="18.75" customHeight="1">
      <c r="B1787" s="288" t="n">
        <v>45504</v>
      </c>
      <c r="C1787" s="289" t="n">
        <v>1106</v>
      </c>
      <c r="D1787" s="290" t="inlineStr">
        <is>
          <t>buy Soft drink</t>
        </is>
      </c>
      <c r="E1787" s="306" t="inlineStr">
        <is>
          <t>-</t>
        </is>
      </c>
      <c r="F1787" s="307" t="n">
        <v>69000</v>
      </c>
      <c r="G1787" s="289" t="inlineStr">
        <is>
          <t>IDR</t>
        </is>
      </c>
      <c r="H1787" s="293" t="n">
        <v>1</v>
      </c>
      <c r="I1787" s="306" t="n"/>
      <c r="J1787" s="306" t="n"/>
      <c r="K1787" s="306" t="n"/>
      <c r="L1787" s="307">
        <f>$F1787*$H1787</f>
        <v/>
      </c>
      <c r="M1787" s="306" t="n"/>
      <c r="N1787" s="306" t="n"/>
      <c r="O1787" s="306" t="n"/>
      <c r="P1787" s="306" t="n"/>
      <c r="Q1787" s="306" t="n"/>
    </row>
    <row r="1788" ht="18.75" customHeight="1">
      <c r="B1788" s="288" t="n">
        <v>45504</v>
      </c>
      <c r="C1788" s="289" t="n">
        <v>1107</v>
      </c>
      <c r="D1788" s="290" t="inlineStr">
        <is>
          <t>buy Soft drink</t>
        </is>
      </c>
      <c r="E1788" s="306" t="inlineStr">
        <is>
          <t>-</t>
        </is>
      </c>
      <c r="F1788" s="307" t="n">
        <v>69000</v>
      </c>
      <c r="G1788" s="289" t="inlineStr">
        <is>
          <t>IDR</t>
        </is>
      </c>
      <c r="H1788" s="293" t="n">
        <v>1</v>
      </c>
      <c r="I1788" s="306" t="n"/>
      <c r="J1788" s="306" t="n"/>
      <c r="K1788" s="306" t="n"/>
      <c r="L1788" s="307">
        <f>$F1788*$H1788</f>
        <v/>
      </c>
      <c r="M1788" s="306" t="n"/>
      <c r="N1788" s="306" t="n"/>
      <c r="O1788" s="306" t="n"/>
      <c r="P1788" s="306" t="n"/>
      <c r="Q1788" s="306" t="n"/>
    </row>
    <row r="1789" ht="18.75" customHeight="1">
      <c r="B1789" s="288" t="n">
        <v>45504</v>
      </c>
      <c r="C1789" s="289" t="n">
        <v>1108</v>
      </c>
      <c r="D1789" s="290" t="inlineStr">
        <is>
          <t>buy Soft drink</t>
        </is>
      </c>
      <c r="E1789" s="306" t="inlineStr">
        <is>
          <t>-</t>
        </is>
      </c>
      <c r="F1789" s="307" t="n">
        <v>69000</v>
      </c>
      <c r="G1789" s="289" t="inlineStr">
        <is>
          <t>IDR</t>
        </is>
      </c>
      <c r="H1789" s="293" t="n">
        <v>1</v>
      </c>
      <c r="I1789" s="306" t="n"/>
      <c r="J1789" s="306" t="n"/>
      <c r="K1789" s="306" t="n"/>
      <c r="L1789" s="307">
        <f>$F1789*$H1789</f>
        <v/>
      </c>
      <c r="M1789" s="306" t="n"/>
      <c r="N1789" s="306" t="n"/>
      <c r="O1789" s="306" t="n"/>
      <c r="P1789" s="306" t="n"/>
      <c r="Q1789" s="306" t="n"/>
    </row>
    <row r="1790" ht="18.75" customHeight="1">
      <c r="B1790" s="288" t="n">
        <v>45505</v>
      </c>
      <c r="C1790" s="289" t="n">
        <v>1109</v>
      </c>
      <c r="D1790" s="290" t="inlineStr">
        <is>
          <t>buy Soft drink</t>
        </is>
      </c>
      <c r="E1790" s="306" t="inlineStr">
        <is>
          <t>-</t>
        </is>
      </c>
      <c r="F1790" s="307" t="n">
        <v>109800</v>
      </c>
      <c r="G1790" s="289" t="inlineStr">
        <is>
          <t>IDR</t>
        </is>
      </c>
      <c r="H1790" s="293" t="n">
        <v>1</v>
      </c>
      <c r="I1790" s="306" t="n"/>
      <c r="J1790" s="306" t="n"/>
      <c r="K1790" s="306" t="n"/>
      <c r="L1790" s="307">
        <f>$F1790*$H1790</f>
        <v/>
      </c>
      <c r="M1790" s="306" t="n"/>
      <c r="N1790" s="306" t="n"/>
      <c r="O1790" s="306" t="n"/>
      <c r="P1790" s="306" t="n"/>
      <c r="Q1790" s="306" t="n"/>
    </row>
    <row r="1791" ht="18.75" customHeight="1">
      <c r="B1791" s="288" t="n">
        <v>45505</v>
      </c>
      <c r="C1791" s="289" t="n">
        <v>1110</v>
      </c>
      <c r="D1791" s="290" t="inlineStr">
        <is>
          <t>buy Soft drink</t>
        </is>
      </c>
      <c r="E1791" s="306" t="inlineStr">
        <is>
          <t>-</t>
        </is>
      </c>
      <c r="F1791" s="307" t="n">
        <v>109800</v>
      </c>
      <c r="G1791" s="289" t="inlineStr">
        <is>
          <t>IDR</t>
        </is>
      </c>
      <c r="H1791" s="293" t="n">
        <v>1</v>
      </c>
      <c r="I1791" s="306" t="n"/>
      <c r="J1791" s="306" t="n"/>
      <c r="K1791" s="306" t="n"/>
      <c r="L1791" s="307">
        <f>$F1791*$H1791</f>
        <v/>
      </c>
      <c r="M1791" s="306" t="n"/>
      <c r="N1791" s="306" t="n"/>
      <c r="O1791" s="306" t="n"/>
      <c r="P1791" s="306" t="n"/>
      <c r="Q1791" s="306" t="n"/>
    </row>
    <row r="1792" ht="18.75" customHeight="1">
      <c r="B1792" s="288" t="n">
        <v>45505</v>
      </c>
      <c r="C1792" s="289" t="n">
        <v>1111</v>
      </c>
      <c r="D1792" s="290" t="inlineStr">
        <is>
          <t>buy Soft drink</t>
        </is>
      </c>
      <c r="E1792" s="306" t="inlineStr">
        <is>
          <t>-</t>
        </is>
      </c>
      <c r="F1792" s="307" t="n">
        <v>109800</v>
      </c>
      <c r="G1792" s="289" t="inlineStr">
        <is>
          <t>IDR</t>
        </is>
      </c>
      <c r="H1792" s="293" t="n">
        <v>1</v>
      </c>
      <c r="I1792" s="306" t="n"/>
      <c r="J1792" s="306" t="n"/>
      <c r="K1792" s="306" t="n"/>
      <c r="L1792" s="307">
        <f>$F1792*$H1792</f>
        <v/>
      </c>
      <c r="M1792" s="306" t="n"/>
      <c r="N1792" s="306" t="n"/>
      <c r="O1792" s="306" t="n"/>
      <c r="P1792" s="306" t="n"/>
      <c r="Q1792" s="306" t="n"/>
    </row>
    <row r="1793" ht="18.75" customHeight="1">
      <c r="B1793" s="288" t="n">
        <v>45505</v>
      </c>
      <c r="C1793" s="289" t="n">
        <v>1112</v>
      </c>
      <c r="D1793" s="290" t="inlineStr">
        <is>
          <t>buy Soft drink</t>
        </is>
      </c>
      <c r="E1793" s="306" t="inlineStr">
        <is>
          <t>-</t>
        </is>
      </c>
      <c r="F1793" s="307" t="n">
        <v>109800</v>
      </c>
      <c r="G1793" s="289" t="inlineStr">
        <is>
          <t>IDR</t>
        </is>
      </c>
      <c r="H1793" s="293" t="n">
        <v>1</v>
      </c>
      <c r="I1793" s="306" t="n"/>
      <c r="J1793" s="306" t="n"/>
      <c r="K1793" s="306" t="n"/>
      <c r="L1793" s="307">
        <f>$F1793*$H1793</f>
        <v/>
      </c>
      <c r="M1793" s="306" t="n"/>
      <c r="N1793" s="306" t="n"/>
      <c r="O1793" s="306" t="n"/>
      <c r="P1793" s="306" t="n"/>
      <c r="Q1793" s="306" t="n"/>
    </row>
    <row r="1794" ht="18.75" customHeight="1">
      <c r="B1794" s="288" t="n">
        <v>45506</v>
      </c>
      <c r="C1794" s="289" t="n">
        <v>1113</v>
      </c>
      <c r="D1794" s="290" t="inlineStr">
        <is>
          <t>w/ Crew Barekin (buy ice sirop) No reciept</t>
        </is>
      </c>
      <c r="E1794" s="306" t="inlineStr">
        <is>
          <t>-</t>
        </is>
      </c>
      <c r="F1794" s="307" t="n">
        <v>80000</v>
      </c>
      <c r="G1794" s="289" t="inlineStr">
        <is>
          <t>IDR</t>
        </is>
      </c>
      <c r="H1794" s="293" t="n">
        <v>1</v>
      </c>
      <c r="I1794" s="306" t="n"/>
      <c r="J1794" s="306" t="n"/>
      <c r="K1794" s="306" t="n"/>
      <c r="L1794" s="307">
        <f>$F1794*$H1794</f>
        <v/>
      </c>
      <c r="M1794" s="306" t="n"/>
      <c r="N1794" s="306" t="n"/>
      <c r="O1794" s="306" t="n"/>
      <c r="P1794" s="306" t="n"/>
      <c r="Q1794" s="306" t="n"/>
    </row>
    <row r="1795" ht="18.75" customHeight="1">
      <c r="B1795" s="288" t="n">
        <v>45506</v>
      </c>
      <c r="C1795" s="289" t="n">
        <v>1114</v>
      </c>
      <c r="D1795" s="290" t="inlineStr">
        <is>
          <t>w/ Crew Barekin (buy ice sirop) No reciept</t>
        </is>
      </c>
      <c r="E1795" s="306" t="inlineStr">
        <is>
          <t>-</t>
        </is>
      </c>
      <c r="F1795" s="307" t="n">
        <v>80000</v>
      </c>
      <c r="G1795" s="289" t="inlineStr">
        <is>
          <t>IDR</t>
        </is>
      </c>
      <c r="H1795" s="293" t="n">
        <v>1</v>
      </c>
      <c r="I1795" s="306" t="n"/>
      <c r="J1795" s="306" t="n"/>
      <c r="K1795" s="306" t="n"/>
      <c r="L1795" s="307">
        <f>$F1795*$H1795</f>
        <v/>
      </c>
      <c r="M1795" s="306" t="n"/>
      <c r="N1795" s="306" t="n"/>
      <c r="O1795" s="306" t="n"/>
      <c r="P1795" s="306" t="n"/>
      <c r="Q1795" s="306" t="n"/>
    </row>
    <row r="1796" ht="18.75" customHeight="1">
      <c r="B1796" s="288" t="n">
        <v>45506</v>
      </c>
      <c r="C1796" s="289" t="n">
        <v>1115</v>
      </c>
      <c r="D1796" s="290" t="inlineStr">
        <is>
          <t>w/ Crew Barekin (buy ice sirop) No reciept</t>
        </is>
      </c>
      <c r="E1796" s="306" t="inlineStr">
        <is>
          <t>-</t>
        </is>
      </c>
      <c r="F1796" s="307" t="n">
        <v>80000</v>
      </c>
      <c r="G1796" s="289" t="inlineStr">
        <is>
          <t>IDR</t>
        </is>
      </c>
      <c r="H1796" s="293" t="n">
        <v>1</v>
      </c>
      <c r="I1796" s="306" t="n"/>
      <c r="J1796" s="306" t="n"/>
      <c r="K1796" s="306" t="n"/>
      <c r="L1796" s="307">
        <f>$F1796*$H1796</f>
        <v/>
      </c>
      <c r="M1796" s="306" t="n"/>
      <c r="N1796" s="306" t="n"/>
      <c r="O1796" s="306" t="n"/>
      <c r="P1796" s="306" t="n"/>
      <c r="Q1796" s="306" t="n"/>
    </row>
    <row r="1797" ht="18.75" customHeight="1">
      <c r="B1797" s="288" t="n">
        <v>45506</v>
      </c>
      <c r="C1797" s="289" t="n">
        <v>1116</v>
      </c>
      <c r="D1797" s="290" t="inlineStr">
        <is>
          <t>w/ Crew Barekin (buy ice sirop) No reciept</t>
        </is>
      </c>
      <c r="E1797" s="306" t="inlineStr">
        <is>
          <t>-</t>
        </is>
      </c>
      <c r="F1797" s="307" t="n">
        <v>80000</v>
      </c>
      <c r="G1797" s="289" t="inlineStr">
        <is>
          <t>IDR</t>
        </is>
      </c>
      <c r="H1797" s="293" t="n">
        <v>1</v>
      </c>
      <c r="I1797" s="306" t="n"/>
      <c r="J1797" s="306" t="n"/>
      <c r="K1797" s="306" t="n"/>
      <c r="L1797" s="307">
        <f>$F1797*$H1797</f>
        <v/>
      </c>
      <c r="M1797" s="306" t="n"/>
      <c r="N1797" s="306" t="n"/>
      <c r="O1797" s="306" t="n"/>
      <c r="P1797" s="306" t="n"/>
      <c r="Q1797" s="306" t="n"/>
    </row>
    <row r="1798" ht="18.75" customHeight="1">
      <c r="B1798" s="288" t="n">
        <v>45507</v>
      </c>
      <c r="C1798" s="289" t="n">
        <v>1117</v>
      </c>
      <c r="D1798" s="290" t="inlineStr">
        <is>
          <t>buy Soft drink</t>
        </is>
      </c>
      <c r="E1798" s="306" t="inlineStr">
        <is>
          <t>-</t>
        </is>
      </c>
      <c r="F1798" s="307" t="n">
        <v>96600</v>
      </c>
      <c r="G1798" s="289" t="inlineStr">
        <is>
          <t>IDR</t>
        </is>
      </c>
      <c r="H1798" s="293" t="n">
        <v>1</v>
      </c>
      <c r="I1798" s="306" t="n"/>
      <c r="J1798" s="306" t="n"/>
      <c r="K1798" s="306" t="n"/>
      <c r="L1798" s="307">
        <f>$F1798*$H1798</f>
        <v/>
      </c>
      <c r="M1798" s="306" t="n"/>
      <c r="N1798" s="306" t="n"/>
      <c r="O1798" s="306" t="n"/>
      <c r="P1798" s="306" t="n"/>
      <c r="Q1798" s="306" t="n"/>
    </row>
    <row r="1799" ht="18.75" customHeight="1">
      <c r="B1799" s="288" t="n">
        <v>45507</v>
      </c>
      <c r="C1799" s="289" t="n">
        <v>1118</v>
      </c>
      <c r="D1799" s="290" t="inlineStr">
        <is>
          <t>buy Soft drink</t>
        </is>
      </c>
      <c r="E1799" s="306" t="inlineStr">
        <is>
          <t>-</t>
        </is>
      </c>
      <c r="F1799" s="307" t="n">
        <v>96600</v>
      </c>
      <c r="G1799" s="289" t="inlineStr">
        <is>
          <t>IDR</t>
        </is>
      </c>
      <c r="H1799" s="293" t="n">
        <v>1</v>
      </c>
      <c r="I1799" s="306" t="n"/>
      <c r="J1799" s="306" t="n"/>
      <c r="K1799" s="306" t="n"/>
      <c r="L1799" s="307">
        <f>$F1799*$H1799</f>
        <v/>
      </c>
      <c r="M1799" s="306" t="n"/>
      <c r="N1799" s="306" t="n"/>
      <c r="O1799" s="306" t="n"/>
      <c r="P1799" s="306" t="n"/>
      <c r="Q1799" s="306" t="n"/>
    </row>
    <row r="1800" ht="18.75" customHeight="1">
      <c r="B1800" s="288" t="n">
        <v>45507</v>
      </c>
      <c r="C1800" s="289" t="n">
        <v>1119</v>
      </c>
      <c r="D1800" s="290" t="inlineStr">
        <is>
          <t>buy Soft drink</t>
        </is>
      </c>
      <c r="E1800" s="306" t="inlineStr">
        <is>
          <t>-</t>
        </is>
      </c>
      <c r="F1800" s="307" t="n">
        <v>96600</v>
      </c>
      <c r="G1800" s="289" t="inlineStr">
        <is>
          <t>IDR</t>
        </is>
      </c>
      <c r="H1800" s="293" t="n">
        <v>1</v>
      </c>
      <c r="I1800" s="306" t="n"/>
      <c r="J1800" s="306" t="n"/>
      <c r="K1800" s="306" t="n"/>
      <c r="L1800" s="307">
        <f>$F1800*$H1800</f>
        <v/>
      </c>
      <c r="M1800" s="306" t="n"/>
      <c r="N1800" s="306" t="n"/>
      <c r="O1800" s="306" t="n"/>
      <c r="P1800" s="306" t="n"/>
      <c r="Q1800" s="306" t="n"/>
    </row>
    <row r="1801" ht="18.75" customHeight="1">
      <c r="B1801" s="288" t="n">
        <v>45507</v>
      </c>
      <c r="C1801" s="289" t="n">
        <v>1120</v>
      </c>
      <c r="D1801" s="290" t="inlineStr">
        <is>
          <t>buy Soft drink</t>
        </is>
      </c>
      <c r="E1801" s="306" t="inlineStr">
        <is>
          <t>-</t>
        </is>
      </c>
      <c r="F1801" s="307" t="n">
        <v>96600</v>
      </c>
      <c r="G1801" s="289" t="inlineStr">
        <is>
          <t>IDR</t>
        </is>
      </c>
      <c r="H1801" s="293" t="n">
        <v>1</v>
      </c>
      <c r="I1801" s="306" t="n"/>
      <c r="J1801" s="306" t="n"/>
      <c r="K1801" s="306" t="n"/>
      <c r="L1801" s="307">
        <f>$F1801*$H1801</f>
        <v/>
      </c>
      <c r="M1801" s="306" t="n"/>
      <c r="N1801" s="306" t="n"/>
      <c r="O1801" s="306" t="n"/>
      <c r="P1801" s="306" t="n"/>
      <c r="Q1801" s="306" t="n"/>
    </row>
    <row r="1802" ht="18.75" customHeight="1">
      <c r="B1802" s="288" t="n">
        <v>45508</v>
      </c>
      <c r="C1802" s="289" t="n">
        <v>1121</v>
      </c>
      <c r="D1802" s="290" t="inlineStr">
        <is>
          <t>buy Soft drink</t>
        </is>
      </c>
      <c r="E1802" s="306" t="inlineStr">
        <is>
          <t>-</t>
        </is>
      </c>
      <c r="F1802" s="307" t="n">
        <v>56600</v>
      </c>
      <c r="G1802" s="289" t="inlineStr">
        <is>
          <t>IDR</t>
        </is>
      </c>
      <c r="H1802" s="293" t="n">
        <v>1</v>
      </c>
      <c r="I1802" s="306" t="n"/>
      <c r="J1802" s="306" t="n"/>
      <c r="K1802" s="306" t="n"/>
      <c r="L1802" s="307">
        <f>$F1802*$H1802</f>
        <v/>
      </c>
      <c r="M1802" s="306" t="n"/>
      <c r="N1802" s="306" t="n"/>
      <c r="O1802" s="306" t="n"/>
      <c r="P1802" s="306" t="n"/>
      <c r="Q1802" s="306" t="n"/>
    </row>
    <row r="1803" ht="18.75" customHeight="1">
      <c r="B1803" s="288" t="n">
        <v>45508</v>
      </c>
      <c r="C1803" s="289" t="n">
        <v>1122</v>
      </c>
      <c r="D1803" s="290" t="inlineStr">
        <is>
          <t>buy Soft drink</t>
        </is>
      </c>
      <c r="E1803" s="306" t="inlineStr">
        <is>
          <t>-</t>
        </is>
      </c>
      <c r="F1803" s="307" t="n">
        <v>56600</v>
      </c>
      <c r="G1803" s="289" t="inlineStr">
        <is>
          <t>IDR</t>
        </is>
      </c>
      <c r="H1803" s="293" t="n">
        <v>1</v>
      </c>
      <c r="I1803" s="306" t="n"/>
      <c r="J1803" s="306" t="n"/>
      <c r="K1803" s="306" t="n"/>
      <c r="L1803" s="307">
        <f>$F1803*$H1803</f>
        <v/>
      </c>
      <c r="M1803" s="306" t="n"/>
      <c r="N1803" s="306" t="n"/>
      <c r="O1803" s="306" t="n"/>
      <c r="P1803" s="306" t="n"/>
      <c r="Q1803" s="306" t="n"/>
    </row>
    <row r="1804" ht="18.75" customHeight="1">
      <c r="B1804" s="288" t="n">
        <v>45508</v>
      </c>
      <c r="C1804" s="289" t="n">
        <v>1123</v>
      </c>
      <c r="D1804" s="290" t="inlineStr">
        <is>
          <t>buy Soft drink</t>
        </is>
      </c>
      <c r="E1804" s="306" t="inlineStr">
        <is>
          <t>-</t>
        </is>
      </c>
      <c r="F1804" s="307" t="n">
        <v>56600</v>
      </c>
      <c r="G1804" s="289" t="inlineStr">
        <is>
          <t>IDR</t>
        </is>
      </c>
      <c r="H1804" s="293" t="n">
        <v>1</v>
      </c>
      <c r="I1804" s="306" t="n"/>
      <c r="J1804" s="306" t="n"/>
      <c r="K1804" s="306" t="n"/>
      <c r="L1804" s="307">
        <f>$F1804*$H1804</f>
        <v/>
      </c>
      <c r="M1804" s="306" t="n"/>
      <c r="N1804" s="306" t="n"/>
      <c r="O1804" s="306" t="n"/>
      <c r="P1804" s="306" t="n"/>
      <c r="Q1804" s="306" t="n"/>
    </row>
    <row r="1805" ht="18.75" customHeight="1">
      <c r="B1805" s="288" t="n">
        <v>45508</v>
      </c>
      <c r="C1805" s="289" t="n">
        <v>1124</v>
      </c>
      <c r="D1805" s="290" t="inlineStr">
        <is>
          <t>buy Soft drink</t>
        </is>
      </c>
      <c r="E1805" s="306" t="inlineStr">
        <is>
          <t>-</t>
        </is>
      </c>
      <c r="F1805" s="307" t="n">
        <v>56600</v>
      </c>
      <c r="G1805" s="289" t="inlineStr">
        <is>
          <t>IDR</t>
        </is>
      </c>
      <c r="H1805" s="293" t="n">
        <v>1</v>
      </c>
      <c r="I1805" s="306" t="n"/>
      <c r="J1805" s="306" t="n"/>
      <c r="K1805" s="306" t="n"/>
      <c r="L1805" s="307">
        <f>$F1805*$H1805</f>
        <v/>
      </c>
      <c r="M1805" s="306" t="n"/>
      <c r="N1805" s="306" t="n"/>
      <c r="O1805" s="306" t="n"/>
      <c r="P1805" s="306" t="n"/>
      <c r="Q1805" s="306" t="n"/>
    </row>
    <row r="1806" ht="18.75" customHeight="1">
      <c r="B1806" s="288" t="n">
        <v>45510</v>
      </c>
      <c r="C1806" s="289" t="n">
        <v>1125</v>
      </c>
      <c r="D1806" s="290" t="inlineStr">
        <is>
          <t>buy Soft drink</t>
        </is>
      </c>
      <c r="E1806" s="306" t="inlineStr">
        <is>
          <t>-</t>
        </is>
      </c>
      <c r="F1806" s="307" t="n">
        <v>118100</v>
      </c>
      <c r="G1806" s="289" t="inlineStr">
        <is>
          <t>IDR</t>
        </is>
      </c>
      <c r="H1806" s="293" t="n">
        <v>1</v>
      </c>
      <c r="I1806" s="306" t="n"/>
      <c r="J1806" s="306" t="n"/>
      <c r="K1806" s="306" t="n"/>
      <c r="L1806" s="307">
        <f>$F1806*$H1806</f>
        <v/>
      </c>
      <c r="M1806" s="306" t="n"/>
      <c r="N1806" s="306" t="n"/>
      <c r="O1806" s="306" t="n"/>
      <c r="P1806" s="306" t="n"/>
      <c r="Q1806" s="306" t="n"/>
    </row>
    <row r="1807" ht="18.75" customHeight="1">
      <c r="B1807" s="288" t="n">
        <v>45510</v>
      </c>
      <c r="C1807" s="289" t="n">
        <v>1126</v>
      </c>
      <c r="D1807" s="290" t="inlineStr">
        <is>
          <t>buy Soft drink</t>
        </is>
      </c>
      <c r="E1807" s="306" t="inlineStr">
        <is>
          <t>-</t>
        </is>
      </c>
      <c r="F1807" s="307" t="n">
        <v>118100</v>
      </c>
      <c r="G1807" s="289" t="inlineStr">
        <is>
          <t>IDR</t>
        </is>
      </c>
      <c r="H1807" s="293" t="n">
        <v>1</v>
      </c>
      <c r="I1807" s="306" t="n"/>
      <c r="J1807" s="306" t="n"/>
      <c r="K1807" s="306" t="n"/>
      <c r="L1807" s="307">
        <f>$F1807*$H1807</f>
        <v/>
      </c>
      <c r="M1807" s="306" t="n"/>
      <c r="N1807" s="306" t="n"/>
      <c r="O1807" s="306" t="n"/>
      <c r="P1807" s="306" t="n"/>
      <c r="Q1807" s="306" t="n"/>
    </row>
    <row r="1808" ht="18.75" customHeight="1">
      <c r="B1808" s="288" t="n">
        <v>45510</v>
      </c>
      <c r="C1808" s="289" t="n">
        <v>1127</v>
      </c>
      <c r="D1808" s="290" t="inlineStr">
        <is>
          <t>buy Soft drink</t>
        </is>
      </c>
      <c r="E1808" s="306" t="inlineStr">
        <is>
          <t>-</t>
        </is>
      </c>
      <c r="F1808" s="307" t="n">
        <v>118100</v>
      </c>
      <c r="G1808" s="289" t="inlineStr">
        <is>
          <t>IDR</t>
        </is>
      </c>
      <c r="H1808" s="293" t="n">
        <v>1</v>
      </c>
      <c r="I1808" s="306" t="n"/>
      <c r="J1808" s="306" t="n"/>
      <c r="K1808" s="306" t="n"/>
      <c r="L1808" s="307">
        <f>$F1808*$H1808</f>
        <v/>
      </c>
      <c r="M1808" s="306" t="n"/>
      <c r="N1808" s="306" t="n"/>
      <c r="O1808" s="306" t="n"/>
      <c r="P1808" s="306" t="n"/>
      <c r="Q1808" s="306" t="n"/>
    </row>
    <row r="1809" ht="18.75" customHeight="1">
      <c r="B1809" s="288" t="n">
        <v>45510</v>
      </c>
      <c r="C1809" s="289" t="n">
        <v>1128</v>
      </c>
      <c r="D1809" s="290" t="inlineStr">
        <is>
          <t>buy Soft drink</t>
        </is>
      </c>
      <c r="E1809" s="306" t="inlineStr">
        <is>
          <t>-</t>
        </is>
      </c>
      <c r="F1809" s="307" t="n">
        <v>118100</v>
      </c>
      <c r="G1809" s="289" t="inlineStr">
        <is>
          <t>IDR</t>
        </is>
      </c>
      <c r="H1809" s="293" t="n">
        <v>1</v>
      </c>
      <c r="I1809" s="306" t="n"/>
      <c r="J1809" s="306" t="n"/>
      <c r="K1809" s="306" t="n"/>
      <c r="L1809" s="307">
        <f>$F1809*$H1809</f>
        <v/>
      </c>
      <c r="M1809" s="306" t="n"/>
      <c r="N1809" s="306" t="n"/>
      <c r="O1809" s="306" t="n"/>
      <c r="P1809" s="306" t="n"/>
      <c r="Q1809" s="306" t="n"/>
    </row>
    <row r="1810" ht="18.75" customHeight="1">
      <c r="B1810" s="288" t="n">
        <v>45511</v>
      </c>
      <c r="C1810" s="289" t="n">
        <v>1129</v>
      </c>
      <c r="D1810" s="290" t="inlineStr">
        <is>
          <t>Meal utk 10 hari (29 Jul -7Aug-24) @Rp. 150.000</t>
        </is>
      </c>
      <c r="E1810" s="306" t="inlineStr">
        <is>
          <t>-</t>
        </is>
      </c>
      <c r="F1810" s="307" t="n">
        <v>1500000</v>
      </c>
      <c r="G1810" s="289" t="inlineStr">
        <is>
          <t>IDR</t>
        </is>
      </c>
      <c r="H1810" s="293" t="n">
        <v>1</v>
      </c>
      <c r="I1810" s="306" t="n"/>
      <c r="J1810" s="306" t="n"/>
      <c r="K1810" s="306" t="n"/>
      <c r="L1810" s="307">
        <f>$F1810*$H1810</f>
        <v/>
      </c>
      <c r="M1810" s="306" t="n"/>
      <c r="N1810" s="306" t="n"/>
      <c r="O1810" s="306" t="n"/>
      <c r="P1810" s="306" t="n"/>
      <c r="Q1810" s="306" t="n"/>
    </row>
    <row r="1811" ht="18.75" customHeight="1">
      <c r="B1811" s="288" t="n">
        <v>45511</v>
      </c>
      <c r="C1811" s="289" t="n">
        <v>1130</v>
      </c>
      <c r="D1811" s="290" t="inlineStr">
        <is>
          <t>Meal utk 10 hari (29 Jul -7Aug-24) @Rp. 150.000</t>
        </is>
      </c>
      <c r="E1811" s="306" t="inlineStr">
        <is>
          <t>-</t>
        </is>
      </c>
      <c r="F1811" s="307" t="n">
        <v>1500000</v>
      </c>
      <c r="G1811" s="289" t="inlineStr">
        <is>
          <t>IDR</t>
        </is>
      </c>
      <c r="H1811" s="293" t="n">
        <v>1</v>
      </c>
      <c r="I1811" s="306" t="n"/>
      <c r="J1811" s="306" t="n"/>
      <c r="K1811" s="306" t="n"/>
      <c r="L1811" s="307">
        <f>$F1811*$H1811</f>
        <v/>
      </c>
      <c r="M1811" s="306" t="n"/>
      <c r="N1811" s="306" t="n"/>
      <c r="O1811" s="306" t="n"/>
      <c r="P1811" s="306" t="n"/>
      <c r="Q1811" s="306" t="n"/>
    </row>
    <row r="1812" ht="18.75" customHeight="1">
      <c r="B1812" s="288" t="n">
        <v>45511</v>
      </c>
      <c r="C1812" s="289" t="n">
        <v>1131</v>
      </c>
      <c r="D1812" s="290" t="inlineStr">
        <is>
          <t>Meal utk 10 hari (29 Jul -7Aug-24) @Rp. 150.000</t>
        </is>
      </c>
      <c r="E1812" s="306" t="inlineStr">
        <is>
          <t>-</t>
        </is>
      </c>
      <c r="F1812" s="307" t="n">
        <v>1500000</v>
      </c>
      <c r="G1812" s="289" t="inlineStr">
        <is>
          <t>IDR</t>
        </is>
      </c>
      <c r="H1812" s="293" t="n">
        <v>1</v>
      </c>
      <c r="I1812" s="306" t="n"/>
      <c r="J1812" s="306" t="n"/>
      <c r="K1812" s="306" t="n"/>
      <c r="L1812" s="307">
        <f>$F1812*$H1812</f>
        <v/>
      </c>
      <c r="M1812" s="306" t="n"/>
      <c r="N1812" s="306" t="n"/>
      <c r="O1812" s="306" t="n"/>
      <c r="P1812" s="306" t="n"/>
      <c r="Q1812" s="306" t="n"/>
    </row>
    <row r="1813" ht="18.75" customHeight="1">
      <c r="B1813" s="288" t="n">
        <v>45511</v>
      </c>
      <c r="C1813" s="289" t="n">
        <v>1132</v>
      </c>
      <c r="D1813" s="290" t="inlineStr">
        <is>
          <t>Meal utk 10 hari (29 Jul -7Aug-24) @Rp. 150.000</t>
        </is>
      </c>
      <c r="E1813" s="306" t="inlineStr">
        <is>
          <t>-</t>
        </is>
      </c>
      <c r="F1813" s="307" t="n">
        <v>1500000</v>
      </c>
      <c r="G1813" s="289" t="inlineStr">
        <is>
          <t>IDR</t>
        </is>
      </c>
      <c r="H1813" s="293" t="n">
        <v>1</v>
      </c>
      <c r="I1813" s="306" t="n"/>
      <c r="J1813" s="306" t="n"/>
      <c r="K1813" s="306" t="n"/>
      <c r="L1813" s="307">
        <f>$F1813*$H1813</f>
        <v/>
      </c>
      <c r="M1813" s="306" t="n"/>
      <c r="N1813" s="306" t="n"/>
      <c r="O1813" s="306" t="n"/>
      <c r="P1813" s="306" t="n"/>
      <c r="Q1813" s="306" t="n"/>
    </row>
    <row r="1814">
      <c r="B1814" s="312" t="n"/>
      <c r="C1814" s="312" t="n"/>
      <c r="D1814" s="285" t="inlineStr">
        <is>
          <t>Medical</t>
        </is>
      </c>
      <c r="E1814" s="312" t="n"/>
      <c r="F1814" s="312" t="n"/>
      <c r="G1814" s="312" t="n"/>
      <c r="H1814" s="312" t="n"/>
      <c r="I1814" s="312" t="n"/>
      <c r="J1814" s="312" t="n"/>
      <c r="K1814" s="312" t="n"/>
      <c r="L1814" s="312" t="n"/>
      <c r="M1814" s="312" t="n"/>
      <c r="N1814" s="312" t="n"/>
      <c r="O1814" s="312" t="n"/>
      <c r="P1814" s="312" t="n"/>
      <c r="Q1814" s="312" t="n"/>
    </row>
    <row r="1815" ht="18.75" customHeight="1">
      <c r="B1815" s="288" t="n">
        <v>45502</v>
      </c>
      <c r="C1815" s="289" t="n">
        <v>1133</v>
      </c>
      <c r="D1815" s="290" t="inlineStr">
        <is>
          <t>buy Zirolic</t>
        </is>
      </c>
      <c r="E1815" s="306" t="inlineStr">
        <is>
          <t>-</t>
        </is>
      </c>
      <c r="F1815" s="307" t="n">
        <v>34200</v>
      </c>
      <c r="G1815" s="289" t="inlineStr">
        <is>
          <t>IDR</t>
        </is>
      </c>
      <c r="H1815" s="293" t="n">
        <v>1</v>
      </c>
      <c r="I1815" s="306" t="n"/>
      <c r="J1815" s="306" t="n"/>
      <c r="K1815" s="306" t="n"/>
      <c r="L1815" s="306" t="n"/>
      <c r="M1815" s="306" t="n"/>
      <c r="N1815" s="306" t="n"/>
      <c r="O1815" s="306" t="n"/>
      <c r="P1815" s="307">
        <f>$F1815*$H1815</f>
        <v/>
      </c>
      <c r="Q1815" s="306" t="n"/>
    </row>
    <row r="1816" ht="18.75" customHeight="1">
      <c r="B1816" s="288" t="n">
        <v>45502</v>
      </c>
      <c r="C1816" s="289" t="n">
        <v>1134</v>
      </c>
      <c r="D1816" s="290" t="inlineStr">
        <is>
          <t>buy Zirolic</t>
        </is>
      </c>
      <c r="E1816" s="306" t="inlineStr">
        <is>
          <t>-</t>
        </is>
      </c>
      <c r="F1816" s="307" t="n">
        <v>34200</v>
      </c>
      <c r="G1816" s="289" t="inlineStr">
        <is>
          <t>IDR</t>
        </is>
      </c>
      <c r="H1816" s="293" t="n">
        <v>1</v>
      </c>
      <c r="I1816" s="306" t="n"/>
      <c r="J1816" s="306" t="n"/>
      <c r="K1816" s="306" t="n"/>
      <c r="L1816" s="306" t="n"/>
      <c r="M1816" s="306" t="n"/>
      <c r="N1816" s="306" t="n"/>
      <c r="O1816" s="306" t="n"/>
      <c r="P1816" s="307">
        <f>$F1816*$H1816</f>
        <v/>
      </c>
      <c r="Q1816" s="306" t="n"/>
    </row>
    <row r="1817" ht="18.75" customHeight="1">
      <c r="B1817" s="288" t="n">
        <v>45502</v>
      </c>
      <c r="C1817" s="289" t="n">
        <v>1135</v>
      </c>
      <c r="D1817" s="290" t="inlineStr">
        <is>
          <t>buy Zirolic</t>
        </is>
      </c>
      <c r="E1817" s="306" t="inlineStr">
        <is>
          <t>-</t>
        </is>
      </c>
      <c r="F1817" s="307" t="n">
        <v>34200</v>
      </c>
      <c r="G1817" s="289" t="inlineStr">
        <is>
          <t>IDR</t>
        </is>
      </c>
      <c r="H1817" s="293" t="n">
        <v>1</v>
      </c>
      <c r="I1817" s="306" t="n"/>
      <c r="J1817" s="306" t="n"/>
      <c r="K1817" s="306" t="n"/>
      <c r="L1817" s="306" t="n"/>
      <c r="M1817" s="306" t="n"/>
      <c r="N1817" s="306" t="n"/>
      <c r="O1817" s="306" t="n"/>
      <c r="P1817" s="307">
        <f>$F1817*$H1817</f>
        <v/>
      </c>
      <c r="Q1817" s="306" t="n"/>
    </row>
    <row r="1818" ht="18.75" customHeight="1">
      <c r="B1818" s="288" t="n">
        <v>45502</v>
      </c>
      <c r="C1818" s="289" t="n">
        <v>1136</v>
      </c>
      <c r="D1818" s="290" t="inlineStr">
        <is>
          <t>buy Zirolic</t>
        </is>
      </c>
      <c r="E1818" s="306" t="inlineStr">
        <is>
          <t>-</t>
        </is>
      </c>
      <c r="F1818" s="307" t="n">
        <v>34200</v>
      </c>
      <c r="G1818" s="289" t="inlineStr">
        <is>
          <t>IDR</t>
        </is>
      </c>
      <c r="H1818" s="293" t="n">
        <v>1</v>
      </c>
      <c r="I1818" s="306" t="n"/>
      <c r="J1818" s="306" t="n"/>
      <c r="K1818" s="306" t="n"/>
      <c r="L1818" s="306" t="n"/>
      <c r="M1818" s="306" t="n"/>
      <c r="N1818" s="306" t="n"/>
      <c r="O1818" s="306" t="n"/>
      <c r="P1818" s="307">
        <f>$F1818*$H1818</f>
        <v/>
      </c>
      <c r="Q1818" s="306" t="n"/>
    </row>
    <row r="1819">
      <c r="B1819" s="312" t="n"/>
      <c r="C1819" s="312" t="n"/>
      <c r="D1819" s="285" t="inlineStr">
        <is>
          <t>Sparepart</t>
        </is>
      </c>
      <c r="E1819" s="312" t="n"/>
      <c r="F1819" s="312" t="n"/>
      <c r="G1819" s="312" t="n"/>
      <c r="H1819" s="312" t="n"/>
      <c r="I1819" s="312" t="n"/>
      <c r="J1819" s="312" t="n"/>
      <c r="K1819" s="312" t="n"/>
      <c r="L1819" s="312" t="n"/>
      <c r="M1819" s="312" t="n"/>
      <c r="N1819" s="312" t="n"/>
      <c r="O1819" s="312" t="n"/>
      <c r="P1819" s="312" t="n"/>
      <c r="Q1819" s="312" t="n"/>
    </row>
    <row r="1820" ht="18.75" customHeight="1">
      <c r="B1820" s="288" t="n">
        <v>45505</v>
      </c>
      <c r="C1820" s="289" t="n">
        <v>1137</v>
      </c>
      <c r="D1820" s="290" t="inlineStr">
        <is>
          <t>Buy WD 40</t>
        </is>
      </c>
      <c r="E1820" s="306" t="inlineStr">
        <is>
          <t>-</t>
        </is>
      </c>
      <c r="F1820" s="307" t="n">
        <v>65000</v>
      </c>
      <c r="G1820" s="289" t="inlineStr">
        <is>
          <t>IDR</t>
        </is>
      </c>
      <c r="H1820" s="293" t="n">
        <v>1</v>
      </c>
      <c r="I1820" s="306" t="n"/>
      <c r="J1820" s="306" t="n"/>
      <c r="K1820" s="306" t="n"/>
      <c r="L1820" s="306" t="n"/>
      <c r="M1820" s="306" t="n"/>
      <c r="N1820" s="307">
        <f>$F1820*$H1820</f>
        <v/>
      </c>
      <c r="O1820" s="306" t="n"/>
      <c r="P1820" s="306" t="n"/>
      <c r="Q1820" s="306" t="n"/>
    </row>
    <row r="1821" ht="18.75" customHeight="1">
      <c r="B1821" s="288" t="n">
        <v>45505</v>
      </c>
      <c r="C1821" s="289" t="n">
        <v>1138</v>
      </c>
      <c r="D1821" s="290" t="inlineStr">
        <is>
          <t>Buy WD 40</t>
        </is>
      </c>
      <c r="E1821" s="306" t="inlineStr">
        <is>
          <t>-</t>
        </is>
      </c>
      <c r="F1821" s="307" t="n">
        <v>65000</v>
      </c>
      <c r="G1821" s="289" t="inlineStr">
        <is>
          <t>IDR</t>
        </is>
      </c>
      <c r="H1821" s="293" t="n">
        <v>1</v>
      </c>
      <c r="I1821" s="306" t="n"/>
      <c r="J1821" s="306" t="n"/>
      <c r="K1821" s="306" t="n"/>
      <c r="L1821" s="306" t="n"/>
      <c r="M1821" s="306" t="n"/>
      <c r="N1821" s="307">
        <f>$F1821*$H1821</f>
        <v/>
      </c>
      <c r="O1821" s="306" t="n"/>
      <c r="P1821" s="306" t="n"/>
      <c r="Q1821" s="306" t="n"/>
    </row>
    <row r="1822" ht="18.75" customHeight="1">
      <c r="B1822" s="288" t="n">
        <v>45505</v>
      </c>
      <c r="C1822" s="289" t="n">
        <v>1139</v>
      </c>
      <c r="D1822" s="290" t="inlineStr">
        <is>
          <t>Buy WD 40</t>
        </is>
      </c>
      <c r="E1822" s="306" t="inlineStr">
        <is>
          <t>-</t>
        </is>
      </c>
      <c r="F1822" s="307" t="n">
        <v>65000</v>
      </c>
      <c r="G1822" s="289" t="inlineStr">
        <is>
          <t>IDR</t>
        </is>
      </c>
      <c r="H1822" s="293" t="n">
        <v>1</v>
      </c>
      <c r="I1822" s="306" t="n"/>
      <c r="J1822" s="306" t="n"/>
      <c r="K1822" s="306" t="n"/>
      <c r="L1822" s="306" t="n"/>
      <c r="M1822" s="306" t="n"/>
      <c r="N1822" s="307">
        <f>$F1822*$H1822</f>
        <v/>
      </c>
      <c r="O1822" s="306" t="n"/>
      <c r="P1822" s="306" t="n"/>
      <c r="Q1822" s="306" t="n"/>
    </row>
    <row r="1823" ht="18.75" customHeight="1">
      <c r="B1823" s="288" t="n">
        <v>45505</v>
      </c>
      <c r="C1823" s="289" t="n">
        <v>1140</v>
      </c>
      <c r="D1823" s="290" t="inlineStr">
        <is>
          <t>Buy WD 40</t>
        </is>
      </c>
      <c r="E1823" s="306" t="inlineStr">
        <is>
          <t>-</t>
        </is>
      </c>
      <c r="F1823" s="307" t="n">
        <v>65000</v>
      </c>
      <c r="G1823" s="289" t="inlineStr">
        <is>
          <t>IDR</t>
        </is>
      </c>
      <c r="H1823" s="293" t="n">
        <v>1</v>
      </c>
      <c r="I1823" s="306" t="n"/>
      <c r="J1823" s="306" t="n"/>
      <c r="K1823" s="306" t="n"/>
      <c r="L1823" s="306" t="n"/>
      <c r="M1823" s="306" t="n"/>
      <c r="N1823" s="307">
        <f>$F1823*$H1823</f>
        <v/>
      </c>
      <c r="O1823" s="306" t="n"/>
      <c r="P1823" s="306" t="n"/>
      <c r="Q1823" s="306" t="n"/>
    </row>
    <row r="1824" ht="18.75" customHeight="1">
      <c r="B1824" s="288" t="n">
        <v>45509</v>
      </c>
      <c r="C1824" s="289" t="n">
        <v>1141</v>
      </c>
      <c r="D1824" s="290" t="inlineStr">
        <is>
          <t>Buy connection T dan nipple</t>
        </is>
      </c>
      <c r="E1824" s="306" t="inlineStr">
        <is>
          <t>-</t>
        </is>
      </c>
      <c r="F1824" s="307" t="n">
        <v>72500</v>
      </c>
      <c r="G1824" s="289" t="inlineStr">
        <is>
          <t>IDR</t>
        </is>
      </c>
      <c r="H1824" s="293" t="n">
        <v>1</v>
      </c>
      <c r="I1824" s="306" t="n"/>
      <c r="J1824" s="306" t="n"/>
      <c r="K1824" s="306" t="n"/>
      <c r="L1824" s="306" t="n"/>
      <c r="M1824" s="306" t="n"/>
      <c r="N1824" s="307">
        <f>$F1824*$H1824</f>
        <v/>
      </c>
      <c r="O1824" s="306" t="n"/>
      <c r="P1824" s="306" t="n"/>
      <c r="Q1824" s="306" t="n"/>
    </row>
    <row r="1825" ht="18.75" customHeight="1">
      <c r="B1825" s="288" t="n">
        <v>45509</v>
      </c>
      <c r="C1825" s="289" t="n">
        <v>1142</v>
      </c>
      <c r="D1825" s="290" t="inlineStr">
        <is>
          <t>Buy Quick connection</t>
        </is>
      </c>
      <c r="E1825" s="306" t="inlineStr">
        <is>
          <t>-</t>
        </is>
      </c>
      <c r="F1825" s="307" t="n">
        <v>400000</v>
      </c>
      <c r="G1825" s="289" t="inlineStr">
        <is>
          <t>IDR</t>
        </is>
      </c>
      <c r="H1825" s="293" t="n">
        <v>1</v>
      </c>
      <c r="I1825" s="306" t="n"/>
      <c r="J1825" s="306" t="n"/>
      <c r="K1825" s="306" t="n"/>
      <c r="L1825" s="306" t="n"/>
      <c r="M1825" s="306" t="n"/>
      <c r="N1825" s="307">
        <f>$F1825*$H1825</f>
        <v/>
      </c>
      <c r="O1825" s="306" t="n"/>
      <c r="P1825" s="306" t="n"/>
      <c r="Q1825" s="306" t="n"/>
    </row>
    <row r="1826" ht="18.75" customHeight="1">
      <c r="B1826" s="288" t="n">
        <v>45509</v>
      </c>
      <c r="C1826" s="289" t="n">
        <v>1143</v>
      </c>
      <c r="D1826" s="290" t="inlineStr">
        <is>
          <t>Buy connection T dan nipple</t>
        </is>
      </c>
      <c r="E1826" s="306" t="inlineStr">
        <is>
          <t>-</t>
        </is>
      </c>
      <c r="F1826" s="307" t="n">
        <v>72500</v>
      </c>
      <c r="G1826" s="289" t="inlineStr">
        <is>
          <t>IDR</t>
        </is>
      </c>
      <c r="H1826" s="293" t="n">
        <v>1</v>
      </c>
      <c r="I1826" s="306" t="n"/>
      <c r="J1826" s="306" t="n"/>
      <c r="K1826" s="306" t="n"/>
      <c r="L1826" s="306" t="n"/>
      <c r="M1826" s="306" t="n"/>
      <c r="N1826" s="307">
        <f>$F1826*$H1826</f>
        <v/>
      </c>
      <c r="O1826" s="306" t="n"/>
      <c r="P1826" s="306" t="n"/>
      <c r="Q1826" s="306" t="n"/>
    </row>
    <row r="1827" ht="18.75" customHeight="1">
      <c r="B1827" s="288" t="n">
        <v>45509</v>
      </c>
      <c r="C1827" s="289" t="n">
        <v>1144</v>
      </c>
      <c r="D1827" s="290" t="inlineStr">
        <is>
          <t>Buy Quick connection</t>
        </is>
      </c>
      <c r="E1827" s="306" t="inlineStr">
        <is>
          <t>-</t>
        </is>
      </c>
      <c r="F1827" s="307" t="n">
        <v>400000</v>
      </c>
      <c r="G1827" s="289" t="inlineStr">
        <is>
          <t>IDR</t>
        </is>
      </c>
      <c r="H1827" s="293" t="n">
        <v>1</v>
      </c>
      <c r="I1827" s="306" t="n"/>
      <c r="J1827" s="306" t="n"/>
      <c r="K1827" s="306" t="n"/>
      <c r="L1827" s="306" t="n"/>
      <c r="M1827" s="306" t="n"/>
      <c r="N1827" s="307">
        <f>$F1827*$H1827</f>
        <v/>
      </c>
      <c r="O1827" s="306" t="n"/>
      <c r="P1827" s="306" t="n"/>
      <c r="Q1827" s="306" t="n"/>
    </row>
    <row r="1828" ht="18.75" customHeight="1">
      <c r="B1828" s="288" t="n">
        <v>45509</v>
      </c>
      <c r="C1828" s="289" t="n">
        <v>1145</v>
      </c>
      <c r="D1828" s="290" t="inlineStr">
        <is>
          <t>Buy connection T dan nipple</t>
        </is>
      </c>
      <c r="E1828" s="306" t="inlineStr">
        <is>
          <t>-</t>
        </is>
      </c>
      <c r="F1828" s="307" t="n">
        <v>72500</v>
      </c>
      <c r="G1828" s="289" t="inlineStr">
        <is>
          <t>IDR</t>
        </is>
      </c>
      <c r="H1828" s="293" t="n">
        <v>1</v>
      </c>
      <c r="I1828" s="306" t="n"/>
      <c r="J1828" s="306" t="n"/>
      <c r="K1828" s="306" t="n"/>
      <c r="L1828" s="306" t="n"/>
      <c r="M1828" s="306" t="n"/>
      <c r="N1828" s="307">
        <f>$F1828*$H1828</f>
        <v/>
      </c>
      <c r="O1828" s="306" t="n"/>
      <c r="P1828" s="306" t="n"/>
      <c r="Q1828" s="306" t="n"/>
    </row>
    <row r="1829" ht="18.75" customHeight="1">
      <c r="B1829" s="288" t="n">
        <v>45509</v>
      </c>
      <c r="C1829" s="289" t="n">
        <v>1146</v>
      </c>
      <c r="D1829" s="290" t="inlineStr">
        <is>
          <t>Buy Quick connection</t>
        </is>
      </c>
      <c r="E1829" s="306" t="inlineStr">
        <is>
          <t>-</t>
        </is>
      </c>
      <c r="F1829" s="307" t="n">
        <v>400000</v>
      </c>
      <c r="G1829" s="289" t="inlineStr">
        <is>
          <t>IDR</t>
        </is>
      </c>
      <c r="H1829" s="293" t="n">
        <v>1</v>
      </c>
      <c r="I1829" s="306" t="n"/>
      <c r="J1829" s="306" t="n"/>
      <c r="K1829" s="306" t="n"/>
      <c r="L1829" s="306" t="n"/>
      <c r="M1829" s="306" t="n"/>
      <c r="N1829" s="307">
        <f>$F1829*$H1829</f>
        <v/>
      </c>
      <c r="O1829" s="306" t="n"/>
      <c r="P1829" s="306" t="n"/>
      <c r="Q1829" s="306" t="n"/>
    </row>
    <row r="1830" ht="18.75" customHeight="1">
      <c r="B1830" s="288" t="n">
        <v>45509</v>
      </c>
      <c r="C1830" s="289" t="n">
        <v>1147</v>
      </c>
      <c r="D1830" s="290" t="inlineStr">
        <is>
          <t>Buy connection T dan nipple</t>
        </is>
      </c>
      <c r="E1830" s="306" t="inlineStr">
        <is>
          <t>-</t>
        </is>
      </c>
      <c r="F1830" s="307" t="n">
        <v>72500</v>
      </c>
      <c r="G1830" s="289" t="inlineStr">
        <is>
          <t>IDR</t>
        </is>
      </c>
      <c r="H1830" s="293" t="n">
        <v>1</v>
      </c>
      <c r="I1830" s="306" t="n"/>
      <c r="J1830" s="306" t="n"/>
      <c r="K1830" s="306" t="n"/>
      <c r="L1830" s="306" t="n"/>
      <c r="M1830" s="306" t="n"/>
      <c r="N1830" s="307">
        <f>$F1830*$H1830</f>
        <v/>
      </c>
      <c r="O1830" s="306" t="n"/>
      <c r="P1830" s="306" t="n"/>
      <c r="Q1830" s="306" t="n"/>
    </row>
    <row r="1831" ht="18.75" customHeight="1">
      <c r="B1831" s="288" t="n">
        <v>45509</v>
      </c>
      <c r="C1831" s="289" t="n">
        <v>1148</v>
      </c>
      <c r="D1831" s="290" t="inlineStr">
        <is>
          <t>Buy Quick connection</t>
        </is>
      </c>
      <c r="E1831" s="306" t="inlineStr">
        <is>
          <t>-</t>
        </is>
      </c>
      <c r="F1831" s="307" t="n">
        <v>400000</v>
      </c>
      <c r="G1831" s="289" t="inlineStr">
        <is>
          <t>IDR</t>
        </is>
      </c>
      <c r="H1831" s="293" t="n">
        <v>1</v>
      </c>
      <c r="I1831" s="306" t="n"/>
      <c r="J1831" s="306" t="n"/>
      <c r="K1831" s="306" t="n"/>
      <c r="L1831" s="306" t="n"/>
      <c r="M1831" s="306" t="n"/>
      <c r="N1831" s="307">
        <f>$F1831*$H1831</f>
        <v/>
      </c>
      <c r="O1831" s="306" t="n"/>
      <c r="P1831" s="306" t="n"/>
      <c r="Q1831" s="306" t="n"/>
    </row>
    <row r="1832" ht="18.75" customHeight="1">
      <c r="B1832" s="288" t="n">
        <v>45510</v>
      </c>
      <c r="C1832" s="289" t="n">
        <v>1149</v>
      </c>
      <c r="D1832" s="290" t="inlineStr">
        <is>
          <t>Buy Paint nippon</t>
        </is>
      </c>
      <c r="E1832" s="306" t="inlineStr">
        <is>
          <t>-</t>
        </is>
      </c>
      <c r="F1832" s="307" t="n">
        <v>60000</v>
      </c>
      <c r="G1832" s="289" t="inlineStr">
        <is>
          <t>IDR</t>
        </is>
      </c>
      <c r="H1832" s="293" t="n">
        <v>1</v>
      </c>
      <c r="I1832" s="306" t="n"/>
      <c r="J1832" s="306" t="n"/>
      <c r="K1832" s="306" t="n"/>
      <c r="L1832" s="306" t="n"/>
      <c r="M1832" s="306" t="n"/>
      <c r="N1832" s="307">
        <f>$F1832*$H1832</f>
        <v/>
      </c>
      <c r="O1832" s="306" t="n"/>
      <c r="P1832" s="306" t="n"/>
      <c r="Q1832" s="306" t="n"/>
    </row>
    <row r="1833" ht="18.75" customHeight="1">
      <c r="B1833" s="288" t="n">
        <v>45510</v>
      </c>
      <c r="C1833" s="289" t="n">
        <v>1150</v>
      </c>
      <c r="D1833" s="290" t="inlineStr">
        <is>
          <t>Buy Paint nippon</t>
        </is>
      </c>
      <c r="E1833" s="306" t="inlineStr">
        <is>
          <t>-</t>
        </is>
      </c>
      <c r="F1833" s="307" t="n">
        <v>60000</v>
      </c>
      <c r="G1833" s="289" t="inlineStr">
        <is>
          <t>IDR</t>
        </is>
      </c>
      <c r="H1833" s="293" t="n">
        <v>1</v>
      </c>
      <c r="I1833" s="306" t="n"/>
      <c r="J1833" s="306" t="n"/>
      <c r="K1833" s="306" t="n"/>
      <c r="L1833" s="306" t="n"/>
      <c r="M1833" s="306" t="n"/>
      <c r="N1833" s="307">
        <f>$F1833*$H1833</f>
        <v/>
      </c>
      <c r="O1833" s="306" t="n"/>
      <c r="P1833" s="306" t="n"/>
      <c r="Q1833" s="306" t="n"/>
    </row>
    <row r="1834" ht="18.75" customHeight="1">
      <c r="B1834" s="288" t="n">
        <v>45510</v>
      </c>
      <c r="C1834" s="289" t="n">
        <v>1151</v>
      </c>
      <c r="D1834" s="290" t="inlineStr">
        <is>
          <t>Buy Paint nippon</t>
        </is>
      </c>
      <c r="E1834" s="306" t="inlineStr">
        <is>
          <t>-</t>
        </is>
      </c>
      <c r="F1834" s="307" t="n">
        <v>60000</v>
      </c>
      <c r="G1834" s="289" t="inlineStr">
        <is>
          <t>IDR</t>
        </is>
      </c>
      <c r="H1834" s="293" t="n">
        <v>1</v>
      </c>
      <c r="I1834" s="306" t="n"/>
      <c r="J1834" s="306" t="n"/>
      <c r="K1834" s="306" t="n"/>
      <c r="L1834" s="306" t="n"/>
      <c r="M1834" s="306" t="n"/>
      <c r="N1834" s="307">
        <f>$F1834*$H1834</f>
        <v/>
      </c>
      <c r="O1834" s="306" t="n"/>
      <c r="P1834" s="306" t="n"/>
      <c r="Q1834" s="306" t="n"/>
    </row>
    <row r="1835" ht="18.75" customHeight="1">
      <c r="B1835" s="288" t="n">
        <v>45510</v>
      </c>
      <c r="C1835" s="289" t="n">
        <v>1152</v>
      </c>
      <c r="D1835" s="290" t="inlineStr">
        <is>
          <t>Buy Paint nippon</t>
        </is>
      </c>
      <c r="E1835" s="306" t="inlineStr">
        <is>
          <t>-</t>
        </is>
      </c>
      <c r="F1835" s="307" t="n">
        <v>60000</v>
      </c>
      <c r="G1835" s="289" t="inlineStr">
        <is>
          <t>IDR</t>
        </is>
      </c>
      <c r="H1835" s="293" t="n">
        <v>1</v>
      </c>
      <c r="I1835" s="306" t="n"/>
      <c r="J1835" s="306" t="n"/>
      <c r="K1835" s="306" t="n"/>
      <c r="L1835" s="306" t="n"/>
      <c r="M1835" s="306" t="n"/>
      <c r="N1835" s="307">
        <f>$F1835*$H1835</f>
        <v/>
      </c>
      <c r="O1835" s="306" t="n"/>
      <c r="P1835" s="306" t="n"/>
      <c r="Q1835" s="306" t="n"/>
    </row>
    <row r="1836">
      <c r="B1836" s="312" t="n"/>
      <c r="C1836" s="312" t="n"/>
      <c r="D1836" s="285" t="inlineStr">
        <is>
          <t>Transportation</t>
        </is>
      </c>
      <c r="E1836" s="312" t="n"/>
      <c r="F1836" s="312" t="n"/>
      <c r="G1836" s="312" t="n"/>
      <c r="H1836" s="312" t="n"/>
      <c r="I1836" s="312" t="n"/>
      <c r="J1836" s="312" t="n"/>
      <c r="K1836" s="312" t="n"/>
      <c r="L1836" s="312" t="n"/>
      <c r="M1836" s="312" t="n"/>
      <c r="N1836" s="312" t="n"/>
      <c r="O1836" s="312" t="n"/>
      <c r="P1836" s="312" t="n"/>
      <c r="Q1836" s="312" t="n"/>
    </row>
    <row r="1837" ht="18.75" customHeight="1">
      <c r="B1837" s="288" t="n">
        <v>45502</v>
      </c>
      <c r="C1837" s="289" t="n">
        <v>1153</v>
      </c>
      <c r="D1837" s="290" t="inlineStr">
        <is>
          <t>Toll (Jkt Blora - PP)</t>
        </is>
      </c>
      <c r="E1837" s="306" t="inlineStr">
        <is>
          <t>-</t>
        </is>
      </c>
      <c r="F1837" s="307" t="n">
        <v>483000</v>
      </c>
      <c r="G1837" s="289" t="inlineStr">
        <is>
          <t>IDR</t>
        </is>
      </c>
      <c r="H1837" s="293" t="n">
        <v>1</v>
      </c>
      <c r="I1837" s="306" t="n"/>
      <c r="J1837" s="306" t="n"/>
      <c r="K1837" s="306" t="n"/>
      <c r="L1837" s="307">
        <f>$F1837*$H1837</f>
        <v/>
      </c>
      <c r="M1837" s="306" t="n"/>
      <c r="N1837" s="306" t="n"/>
      <c r="O1837" s="306" t="n"/>
      <c r="P1837" s="306" t="n"/>
      <c r="Q1837" s="306" t="n"/>
    </row>
    <row r="1838" ht="18.75" customHeight="1">
      <c r="B1838" s="288" t="n">
        <v>45502</v>
      </c>
      <c r="C1838" s="289" t="n">
        <v>1154</v>
      </c>
      <c r="D1838" s="290" t="inlineStr">
        <is>
          <t>Toll (Jkt Blora - PP)</t>
        </is>
      </c>
      <c r="E1838" s="306" t="inlineStr">
        <is>
          <t>-</t>
        </is>
      </c>
      <c r="F1838" s="307" t="n">
        <v>483000</v>
      </c>
      <c r="G1838" s="289" t="inlineStr">
        <is>
          <t>IDR</t>
        </is>
      </c>
      <c r="H1838" s="293" t="n">
        <v>1</v>
      </c>
      <c r="I1838" s="306" t="n"/>
      <c r="J1838" s="306" t="n"/>
      <c r="K1838" s="306" t="n"/>
      <c r="L1838" s="307">
        <f>$F1838*$H1838</f>
        <v/>
      </c>
      <c r="M1838" s="306" t="n"/>
      <c r="N1838" s="306" t="n"/>
      <c r="O1838" s="306" t="n"/>
      <c r="P1838" s="306" t="n"/>
      <c r="Q1838" s="306" t="n"/>
    </row>
    <row r="1839" ht="18.75" customHeight="1">
      <c r="B1839" s="288" t="n">
        <v>45502</v>
      </c>
      <c r="C1839" s="289" t="n">
        <v>1155</v>
      </c>
      <c r="D1839" s="290" t="inlineStr">
        <is>
          <t>Toll (Jkt Blora - PP)</t>
        </is>
      </c>
      <c r="E1839" s="306" t="inlineStr">
        <is>
          <t>-</t>
        </is>
      </c>
      <c r="F1839" s="307" t="n">
        <v>483000</v>
      </c>
      <c r="G1839" s="289" t="inlineStr">
        <is>
          <t>IDR</t>
        </is>
      </c>
      <c r="H1839" s="293" t="n">
        <v>1</v>
      </c>
      <c r="I1839" s="306" t="n"/>
      <c r="J1839" s="306" t="n"/>
      <c r="K1839" s="306" t="n"/>
      <c r="L1839" s="307">
        <f>$F1839*$H1839</f>
        <v/>
      </c>
      <c r="M1839" s="306" t="n"/>
      <c r="N1839" s="306" t="n"/>
      <c r="O1839" s="306" t="n"/>
      <c r="P1839" s="306" t="n"/>
      <c r="Q1839" s="306" t="n"/>
    </row>
    <row r="1840" ht="18.75" customHeight="1">
      <c r="B1840" s="288" t="n">
        <v>45502</v>
      </c>
      <c r="C1840" s="289" t="n">
        <v>1156</v>
      </c>
      <c r="D1840" s="290" t="inlineStr">
        <is>
          <t>Toll (Jkt Blora - PP)</t>
        </is>
      </c>
      <c r="E1840" s="306" t="inlineStr">
        <is>
          <t>-</t>
        </is>
      </c>
      <c r="F1840" s="307" t="n">
        <v>483000</v>
      </c>
      <c r="G1840" s="289" t="inlineStr">
        <is>
          <t>IDR</t>
        </is>
      </c>
      <c r="H1840" s="293" t="n">
        <v>1</v>
      </c>
      <c r="I1840" s="306" t="n"/>
      <c r="J1840" s="306" t="n"/>
      <c r="K1840" s="306" t="n"/>
      <c r="L1840" s="307">
        <f>$F1840*$H1840</f>
        <v/>
      </c>
      <c r="M1840" s="306" t="n"/>
      <c r="N1840" s="306" t="n"/>
      <c r="O1840" s="306" t="n"/>
      <c r="P1840" s="306" t="n"/>
      <c r="Q1840" s="306" t="n"/>
    </row>
    <row r="1841" ht="18.75" customHeight="1">
      <c r="B1841" s="288" t="n">
        <v>45511</v>
      </c>
      <c r="C1841" s="289" t="n">
        <v>1157</v>
      </c>
      <c r="D1841" s="290" t="inlineStr">
        <is>
          <t>Rental car (include Fuel ) 10 days, @Rp1.100.000</t>
        </is>
      </c>
      <c r="E1841" s="306" t="inlineStr">
        <is>
          <t>-</t>
        </is>
      </c>
      <c r="F1841" s="307" t="n">
        <v>11000000</v>
      </c>
      <c r="G1841" s="289" t="inlineStr">
        <is>
          <t>IDR</t>
        </is>
      </c>
      <c r="H1841" s="293" t="n">
        <v>1</v>
      </c>
      <c r="I1841" s="306" t="n"/>
      <c r="J1841" s="306" t="n"/>
      <c r="K1841" s="306" t="n"/>
      <c r="L1841" s="307">
        <f>$F1841*$H1841</f>
        <v/>
      </c>
      <c r="M1841" s="306" t="n"/>
      <c r="N1841" s="306" t="n"/>
      <c r="O1841" s="306" t="n"/>
      <c r="P1841" s="306" t="n"/>
      <c r="Q1841" s="306" t="n"/>
    </row>
    <row r="1842" ht="18.75" customHeight="1">
      <c r="B1842" s="288" t="n">
        <v>45511</v>
      </c>
      <c r="C1842" s="289" t="n">
        <v>1158</v>
      </c>
      <c r="D1842" s="290" t="inlineStr">
        <is>
          <t>Toll (Gubug - Jakarta)</t>
        </is>
      </c>
      <c r="E1842" s="306" t="inlineStr">
        <is>
          <t>-</t>
        </is>
      </c>
      <c r="F1842" s="307" t="n">
        <v>496000</v>
      </c>
      <c r="G1842" s="289" t="inlineStr">
        <is>
          <t>IDR</t>
        </is>
      </c>
      <c r="H1842" s="293" t="n">
        <v>1</v>
      </c>
      <c r="I1842" s="306" t="n"/>
      <c r="J1842" s="306" t="n"/>
      <c r="K1842" s="306" t="n"/>
      <c r="L1842" s="307">
        <f>$F1842*$H1842</f>
        <v/>
      </c>
      <c r="M1842" s="306" t="n"/>
      <c r="N1842" s="306" t="n"/>
      <c r="O1842" s="306" t="n"/>
      <c r="P1842" s="306" t="n"/>
      <c r="Q1842" s="306" t="n"/>
    </row>
    <row r="1843" ht="18.75" customHeight="1">
      <c r="B1843" s="288" t="n">
        <v>45511</v>
      </c>
      <c r="C1843" s="289" t="n">
        <v>1159</v>
      </c>
      <c r="D1843" s="290" t="inlineStr">
        <is>
          <t>Rental car (include Fuel ) 10 days, @Rp1.100.000</t>
        </is>
      </c>
      <c r="E1843" s="306" t="inlineStr">
        <is>
          <t>-</t>
        </is>
      </c>
      <c r="F1843" s="307" t="n">
        <v>11000000</v>
      </c>
      <c r="G1843" s="289" t="inlineStr">
        <is>
          <t>IDR</t>
        </is>
      </c>
      <c r="H1843" s="293" t="n">
        <v>1</v>
      </c>
      <c r="I1843" s="306" t="n"/>
      <c r="J1843" s="306" t="n"/>
      <c r="K1843" s="306" t="n"/>
      <c r="L1843" s="307">
        <f>$F1843*$H1843</f>
        <v/>
      </c>
      <c r="M1843" s="306" t="n"/>
      <c r="N1843" s="306" t="n"/>
      <c r="O1843" s="306" t="n"/>
      <c r="P1843" s="306" t="n"/>
      <c r="Q1843" s="306" t="n"/>
    </row>
    <row r="1844" ht="18.75" customHeight="1">
      <c r="B1844" s="288" t="n">
        <v>45511</v>
      </c>
      <c r="C1844" s="289" t="n">
        <v>1160</v>
      </c>
      <c r="D1844" s="290" t="inlineStr">
        <is>
          <t>Toll (Gubug - Jakarta)</t>
        </is>
      </c>
      <c r="E1844" s="306" t="inlineStr">
        <is>
          <t>-</t>
        </is>
      </c>
      <c r="F1844" s="307" t="n">
        <v>496000</v>
      </c>
      <c r="G1844" s="289" t="inlineStr">
        <is>
          <t>IDR</t>
        </is>
      </c>
      <c r="H1844" s="293" t="n">
        <v>1</v>
      </c>
      <c r="I1844" s="306" t="n"/>
      <c r="J1844" s="306" t="n"/>
      <c r="K1844" s="306" t="n"/>
      <c r="L1844" s="307">
        <f>$F1844*$H1844</f>
        <v/>
      </c>
      <c r="M1844" s="306" t="n"/>
      <c r="N1844" s="306" t="n"/>
      <c r="O1844" s="306" t="n"/>
      <c r="P1844" s="306" t="n"/>
      <c r="Q1844" s="306" t="n"/>
    </row>
    <row r="1845" ht="18.75" customHeight="1">
      <c r="B1845" s="288" t="n">
        <v>45511</v>
      </c>
      <c r="C1845" s="289" t="n">
        <v>1161</v>
      </c>
      <c r="D1845" s="290" t="inlineStr">
        <is>
          <t>Rental car (include Fuel ) 10 days, @Rp1.100.000</t>
        </is>
      </c>
      <c r="E1845" s="306" t="inlineStr">
        <is>
          <t>-</t>
        </is>
      </c>
      <c r="F1845" s="307" t="n">
        <v>11000000</v>
      </c>
      <c r="G1845" s="289" t="inlineStr">
        <is>
          <t>IDR</t>
        </is>
      </c>
      <c r="H1845" s="293" t="n">
        <v>1</v>
      </c>
      <c r="I1845" s="306" t="n"/>
      <c r="J1845" s="306" t="n"/>
      <c r="K1845" s="306" t="n"/>
      <c r="L1845" s="307">
        <f>$F1845*$H1845</f>
        <v/>
      </c>
      <c r="M1845" s="306" t="n"/>
      <c r="N1845" s="306" t="n"/>
      <c r="O1845" s="306" t="n"/>
      <c r="P1845" s="306" t="n"/>
      <c r="Q1845" s="306" t="n"/>
    </row>
    <row r="1846" ht="18.75" customHeight="1">
      <c r="B1846" s="288" t="n">
        <v>45511</v>
      </c>
      <c r="C1846" s="289" t="n">
        <v>1162</v>
      </c>
      <c r="D1846" s="290" t="inlineStr">
        <is>
          <t>Toll (Gubug - Jakarta)</t>
        </is>
      </c>
      <c r="E1846" s="306" t="inlineStr">
        <is>
          <t>-</t>
        </is>
      </c>
      <c r="F1846" s="307" t="n">
        <v>496000</v>
      </c>
      <c r="G1846" s="289" t="inlineStr">
        <is>
          <t>IDR</t>
        </is>
      </c>
      <c r="H1846" s="293" t="n">
        <v>1</v>
      </c>
      <c r="I1846" s="306" t="n"/>
      <c r="J1846" s="306" t="n"/>
      <c r="K1846" s="306" t="n"/>
      <c r="L1846" s="307">
        <f>$F1846*$H1846</f>
        <v/>
      </c>
      <c r="M1846" s="306" t="n"/>
      <c r="N1846" s="306" t="n"/>
      <c r="O1846" s="306" t="n"/>
      <c r="P1846" s="306" t="n"/>
      <c r="Q1846" s="306" t="n"/>
    </row>
    <row r="1847" ht="18.75" customHeight="1">
      <c r="B1847" s="288" t="n">
        <v>45511</v>
      </c>
      <c r="C1847" s="289" t="n">
        <v>1163</v>
      </c>
      <c r="D1847" s="290" t="inlineStr">
        <is>
          <t>Rental car (include Fuel ) 10 days, @Rp1.100.000</t>
        </is>
      </c>
      <c r="E1847" s="306" t="inlineStr">
        <is>
          <t>-</t>
        </is>
      </c>
      <c r="F1847" s="307" t="n">
        <v>11000000</v>
      </c>
      <c r="G1847" s="289" t="inlineStr">
        <is>
          <t>IDR</t>
        </is>
      </c>
      <c r="H1847" s="293" t="n">
        <v>1</v>
      </c>
      <c r="I1847" s="306" t="n"/>
      <c r="J1847" s="306" t="n"/>
      <c r="K1847" s="306" t="n"/>
      <c r="L1847" s="307">
        <f>$F1847*$H1847</f>
        <v/>
      </c>
      <c r="M1847" s="306" t="n"/>
      <c r="N1847" s="306" t="n"/>
      <c r="O1847" s="306" t="n"/>
      <c r="P1847" s="306" t="n"/>
      <c r="Q1847" s="306" t="n"/>
    </row>
    <row r="1848" ht="18.75" customHeight="1">
      <c r="B1848" s="288" t="n">
        <v>45511</v>
      </c>
      <c r="C1848" s="289" t="n">
        <v>1164</v>
      </c>
      <c r="D1848" s="290" t="inlineStr">
        <is>
          <t>Toll (Gubug - Jakarta)</t>
        </is>
      </c>
      <c r="E1848" s="306" t="inlineStr">
        <is>
          <t>-</t>
        </is>
      </c>
      <c r="F1848" s="307" t="n">
        <v>496000</v>
      </c>
      <c r="G1848" s="289" t="inlineStr">
        <is>
          <t>IDR</t>
        </is>
      </c>
      <c r="H1848" s="293" t="n">
        <v>1</v>
      </c>
      <c r="I1848" s="306" t="n"/>
      <c r="J1848" s="306" t="n"/>
      <c r="K1848" s="306" t="n"/>
      <c r="L1848" s="307">
        <f>$F1848*$H1848</f>
        <v/>
      </c>
      <c r="M1848" s="306" t="n"/>
      <c r="N1848" s="306" t="n"/>
      <c r="O1848" s="306" t="n"/>
      <c r="P1848" s="306" t="n"/>
      <c r="Q1848" s="306" t="n"/>
    </row>
    <row r="1849">
      <c r="B1849" s="310" t="inlineStr">
        <is>
          <t>Expense#29</t>
        </is>
      </c>
      <c r="C1849" s="311" t="inlineStr">
        <is>
          <t>:</t>
        </is>
      </c>
      <c r="D1849" s="310" t="inlineStr">
        <is>
          <t>ALFA-MPLT-BHS_ RBG 3B PT. TIS under Barikin sakti _TMA</t>
        </is>
      </c>
      <c r="E1849" s="311" t="n"/>
      <c r="F1849" s="311" t="n"/>
      <c r="G1849" s="311" t="n"/>
      <c r="H1849" s="311" t="n"/>
      <c r="I1849" s="311" t="n"/>
      <c r="J1849" s="311" t="n"/>
      <c r="K1849" s="311" t="n"/>
      <c r="L1849" s="311" t="n"/>
      <c r="M1849" s="311" t="n"/>
      <c r="N1849" s="311" t="n"/>
      <c r="O1849" s="311" t="n"/>
      <c r="P1849" s="311" t="n"/>
      <c r="Q1849" s="311" t="n"/>
    </row>
    <row r="1850">
      <c r="B1850" s="312" t="n"/>
      <c r="C1850" s="312" t="n"/>
      <c r="D1850" s="285" t="inlineStr">
        <is>
          <t>Allowance</t>
        </is>
      </c>
      <c r="E1850" s="312" t="n"/>
      <c r="F1850" s="312" t="n"/>
      <c r="G1850" s="312" t="n"/>
      <c r="H1850" s="312" t="n"/>
      <c r="I1850" s="312" t="n"/>
      <c r="J1850" s="312" t="n"/>
      <c r="K1850" s="312" t="n"/>
      <c r="L1850" s="312" t="n"/>
      <c r="M1850" s="312" t="n"/>
      <c r="N1850" s="312" t="n"/>
      <c r="O1850" s="312" t="n"/>
      <c r="P1850" s="312" t="n"/>
      <c r="Q1850" s="312" t="n"/>
    </row>
    <row r="1851" ht="18.75" customHeight="1">
      <c r="B1851" s="288" t="n">
        <v>45502</v>
      </c>
      <c r="C1851" s="289" t="n">
        <v>1165</v>
      </c>
      <c r="D1851" s="290" t="inlineStr">
        <is>
          <t>Tunjangan Lapangan for 10 days</t>
        </is>
      </c>
      <c r="E1851" s="306" t="inlineStr">
        <is>
          <t>-</t>
        </is>
      </c>
      <c r="F1851" s="307" t="n">
        <v>1000</v>
      </c>
      <c r="G1851" s="289" t="inlineStr">
        <is>
          <t>USD</t>
        </is>
      </c>
      <c r="H1851" s="293" t="n">
        <v>15513</v>
      </c>
      <c r="I1851" s="306" t="n"/>
      <c r="J1851" s="306" t="n"/>
      <c r="K1851" s="306" t="n"/>
      <c r="L1851" s="307">
        <f>$F1851*$H1851</f>
        <v/>
      </c>
      <c r="M1851" s="306" t="n"/>
      <c r="N1851" s="306" t="n"/>
      <c r="O1851" s="306" t="n"/>
      <c r="P1851" s="306" t="n"/>
      <c r="Q1851" s="306" t="n"/>
    </row>
    <row r="1852" ht="18.75" customHeight="1">
      <c r="B1852" s="288" t="n">
        <v>45502</v>
      </c>
      <c r="C1852" s="289" t="n">
        <v>1166</v>
      </c>
      <c r="D1852" s="290" t="inlineStr">
        <is>
          <t>Tunjangan Lapangan for 10 days</t>
        </is>
      </c>
      <c r="E1852" s="306" t="inlineStr">
        <is>
          <t>-</t>
        </is>
      </c>
      <c r="F1852" s="307" t="n">
        <v>1000</v>
      </c>
      <c r="G1852" s="289" t="inlineStr">
        <is>
          <t>USD</t>
        </is>
      </c>
      <c r="H1852" s="293" t="n">
        <v>15513</v>
      </c>
      <c r="I1852" s="306" t="n"/>
      <c r="J1852" s="306" t="n"/>
      <c r="K1852" s="306" t="n"/>
      <c r="L1852" s="307">
        <f>$F1852*$H1852</f>
        <v/>
      </c>
      <c r="M1852" s="306" t="n"/>
      <c r="N1852" s="306" t="n"/>
      <c r="O1852" s="306" t="n"/>
      <c r="P1852" s="306" t="n"/>
      <c r="Q1852" s="306" t="n"/>
    </row>
    <row r="1853" ht="18.75" customHeight="1">
      <c r="B1853" s="288" t="n">
        <v>45502</v>
      </c>
      <c r="C1853" s="289" t="n">
        <v>1167</v>
      </c>
      <c r="D1853" s="290" t="inlineStr">
        <is>
          <t>Tunjangan Lapangan for 10 days</t>
        </is>
      </c>
      <c r="E1853" s="306" t="inlineStr">
        <is>
          <t>-</t>
        </is>
      </c>
      <c r="F1853" s="307" t="n">
        <v>1000</v>
      </c>
      <c r="G1853" s="289" t="inlineStr">
        <is>
          <t>USD</t>
        </is>
      </c>
      <c r="H1853" s="293" t="n">
        <v>15513</v>
      </c>
      <c r="I1853" s="306" t="n"/>
      <c r="J1853" s="306" t="n"/>
      <c r="K1853" s="306" t="n"/>
      <c r="L1853" s="307">
        <f>$F1853*$H1853</f>
        <v/>
      </c>
      <c r="M1853" s="306" t="n"/>
      <c r="N1853" s="306" t="n"/>
      <c r="O1853" s="306" t="n"/>
      <c r="P1853" s="306" t="n"/>
      <c r="Q1853" s="306" t="n"/>
    </row>
    <row r="1854" ht="18.75" customHeight="1">
      <c r="B1854" s="288" t="n">
        <v>45502</v>
      </c>
      <c r="C1854" s="289" t="n">
        <v>1168</v>
      </c>
      <c r="D1854" s="290" t="inlineStr">
        <is>
          <t>Tunjangan Lapangan for 10 days</t>
        </is>
      </c>
      <c r="E1854" s="306" t="inlineStr">
        <is>
          <t>-</t>
        </is>
      </c>
      <c r="F1854" s="307" t="n">
        <v>1000</v>
      </c>
      <c r="G1854" s="289" t="inlineStr">
        <is>
          <t>USD</t>
        </is>
      </c>
      <c r="H1854" s="293" t="n">
        <v>15513</v>
      </c>
      <c r="I1854" s="306" t="n"/>
      <c r="J1854" s="306" t="n"/>
      <c r="K1854" s="306" t="n"/>
      <c r="L1854" s="307">
        <f>$F1854*$H1854</f>
        <v/>
      </c>
      <c r="M1854" s="306" t="n"/>
      <c r="N1854" s="306" t="n"/>
      <c r="O1854" s="306" t="n"/>
      <c r="P1854" s="306" t="n"/>
      <c r="Q1854" s="306" t="n"/>
    </row>
    <row r="1855">
      <c r="B1855" s="312" t="n"/>
      <c r="C1855" s="312" t="n"/>
      <c r="D1855" s="285" t="inlineStr">
        <is>
          <t>Biaya Operasi Lain-lain</t>
        </is>
      </c>
      <c r="E1855" s="312" t="n"/>
      <c r="F1855" s="312" t="n"/>
      <c r="G1855" s="312" t="n"/>
      <c r="H1855" s="312" t="n"/>
      <c r="I1855" s="312" t="n"/>
      <c r="J1855" s="312" t="n"/>
      <c r="K1855" s="312" t="n"/>
      <c r="L1855" s="312" t="n"/>
      <c r="M1855" s="312" t="n"/>
      <c r="N1855" s="312" t="n"/>
      <c r="O1855" s="312" t="n"/>
      <c r="P1855" s="312" t="n"/>
      <c r="Q1855" s="312" t="n"/>
    </row>
    <row r="1856" ht="18.75" customHeight="1">
      <c r="B1856" s="288" t="n">
        <v>45502</v>
      </c>
      <c r="C1856" s="289" t="n">
        <v>1169</v>
      </c>
      <c r="D1856" s="290" t="inlineStr">
        <is>
          <t>Electrical Bill</t>
        </is>
      </c>
      <c r="E1856" s="306" t="inlineStr">
        <is>
          <t>-</t>
        </is>
      </c>
      <c r="F1856" s="307" t="n">
        <v>159682</v>
      </c>
      <c r="G1856" s="289" t="inlineStr">
        <is>
          <t>IDR</t>
        </is>
      </c>
      <c r="H1856" s="293" t="n">
        <v>1</v>
      </c>
      <c r="I1856" s="306" t="n"/>
      <c r="J1856" s="306" t="n"/>
      <c r="K1856" s="306" t="n"/>
      <c r="L1856" s="307">
        <f>$F1856*$H1856</f>
        <v/>
      </c>
      <c r="M1856" s="306" t="n"/>
      <c r="N1856" s="306" t="n"/>
      <c r="O1856" s="306" t="n"/>
      <c r="P1856" s="306" t="n"/>
      <c r="Q1856" s="306" t="n"/>
    </row>
    <row r="1857" ht="18.75" customHeight="1">
      <c r="B1857" s="288" t="n">
        <v>45502</v>
      </c>
      <c r="C1857" s="289" t="n">
        <v>1170</v>
      </c>
      <c r="D1857" s="290" t="inlineStr">
        <is>
          <t>Electrical Bill</t>
        </is>
      </c>
      <c r="E1857" s="306" t="inlineStr">
        <is>
          <t>-</t>
        </is>
      </c>
      <c r="F1857" s="307" t="n">
        <v>159682</v>
      </c>
      <c r="G1857" s="289" t="inlineStr">
        <is>
          <t>IDR</t>
        </is>
      </c>
      <c r="H1857" s="293" t="n">
        <v>1</v>
      </c>
      <c r="I1857" s="306" t="n"/>
      <c r="J1857" s="306" t="n"/>
      <c r="K1857" s="306" t="n"/>
      <c r="L1857" s="307">
        <f>$F1857*$H1857</f>
        <v/>
      </c>
      <c r="M1857" s="306" t="n"/>
      <c r="N1857" s="306" t="n"/>
      <c r="O1857" s="306" t="n"/>
      <c r="P1857" s="306" t="n"/>
      <c r="Q1857" s="306" t="n"/>
    </row>
    <row r="1858" ht="18.75" customHeight="1">
      <c r="B1858" s="288" t="n">
        <v>45502</v>
      </c>
      <c r="C1858" s="289" t="n">
        <v>1171</v>
      </c>
      <c r="D1858" s="290" t="inlineStr">
        <is>
          <t>Electrical Bill</t>
        </is>
      </c>
      <c r="E1858" s="306" t="inlineStr">
        <is>
          <t>-</t>
        </is>
      </c>
      <c r="F1858" s="307" t="n">
        <v>159682</v>
      </c>
      <c r="G1858" s="289" t="inlineStr">
        <is>
          <t>IDR</t>
        </is>
      </c>
      <c r="H1858" s="293" t="n">
        <v>1</v>
      </c>
      <c r="I1858" s="306" t="n"/>
      <c r="J1858" s="306" t="n"/>
      <c r="K1858" s="306" t="n"/>
      <c r="L1858" s="307">
        <f>$F1858*$H1858</f>
        <v/>
      </c>
      <c r="M1858" s="306" t="n"/>
      <c r="N1858" s="306" t="n"/>
      <c r="O1858" s="306" t="n"/>
      <c r="P1858" s="306" t="n"/>
      <c r="Q1858" s="306" t="n"/>
    </row>
    <row r="1859" ht="18.75" customHeight="1">
      <c r="B1859" s="288" t="n">
        <v>45502</v>
      </c>
      <c r="C1859" s="289" t="n">
        <v>1172</v>
      </c>
      <c r="D1859" s="290" t="inlineStr">
        <is>
          <t>Electrical Bill</t>
        </is>
      </c>
      <c r="E1859" s="306" t="inlineStr">
        <is>
          <t>-</t>
        </is>
      </c>
      <c r="F1859" s="307" t="n">
        <v>159682</v>
      </c>
      <c r="G1859" s="289" t="inlineStr">
        <is>
          <t>IDR</t>
        </is>
      </c>
      <c r="H1859" s="293" t="n">
        <v>1</v>
      </c>
      <c r="I1859" s="306" t="n"/>
      <c r="J1859" s="306" t="n"/>
      <c r="K1859" s="306" t="n"/>
      <c r="L1859" s="307">
        <f>$F1859*$H1859</f>
        <v/>
      </c>
      <c r="M1859" s="306" t="n"/>
      <c r="N1859" s="306" t="n"/>
      <c r="O1859" s="306" t="n"/>
      <c r="P1859" s="306" t="n"/>
      <c r="Q1859" s="306" t="n"/>
    </row>
    <row r="1860">
      <c r="B1860" s="312" t="n"/>
      <c r="C1860" s="312" t="n"/>
      <c r="D1860" s="285" t="inlineStr">
        <is>
          <t>Laundry</t>
        </is>
      </c>
      <c r="E1860" s="312" t="n"/>
      <c r="F1860" s="312" t="n"/>
      <c r="G1860" s="312" t="n"/>
      <c r="H1860" s="312" t="n"/>
      <c r="I1860" s="312" t="n"/>
      <c r="J1860" s="312" t="n"/>
      <c r="K1860" s="312" t="n"/>
      <c r="L1860" s="312" t="n"/>
      <c r="M1860" s="312" t="n"/>
      <c r="N1860" s="312" t="n"/>
      <c r="O1860" s="312" t="n"/>
      <c r="P1860" s="312" t="n"/>
      <c r="Q1860" s="312" t="n"/>
    </row>
    <row r="1861" ht="18.75" customHeight="1">
      <c r="B1861" s="288" t="n">
        <v>45502</v>
      </c>
      <c r="C1861" s="289" t="n">
        <v>1173</v>
      </c>
      <c r="D1861" s="290" t="inlineStr">
        <is>
          <t>Laundry 10 days 1 Persons @ 50K IDR/day</t>
        </is>
      </c>
      <c r="E1861" s="306" t="inlineStr">
        <is>
          <t>-</t>
        </is>
      </c>
      <c r="F1861" s="307" t="n">
        <v>500000</v>
      </c>
      <c r="G1861" s="289" t="inlineStr">
        <is>
          <t>IDR</t>
        </is>
      </c>
      <c r="H1861" s="293" t="n">
        <v>1</v>
      </c>
      <c r="I1861" s="306" t="n"/>
      <c r="J1861" s="306" t="n"/>
      <c r="K1861" s="306" t="n"/>
      <c r="L1861" s="307">
        <f>$F1861*$H1861</f>
        <v/>
      </c>
      <c r="M1861" s="306" t="n"/>
      <c r="N1861" s="306" t="n"/>
      <c r="O1861" s="306" t="n"/>
      <c r="P1861" s="306" t="n"/>
      <c r="Q1861" s="306" t="n"/>
    </row>
    <row r="1862" ht="18.75" customHeight="1">
      <c r="B1862" s="288" t="n">
        <v>45502</v>
      </c>
      <c r="C1862" s="289" t="n">
        <v>1174</v>
      </c>
      <c r="D1862" s="290" t="inlineStr">
        <is>
          <t>Laundry 10 days 1 Persons @ 50K IDR/day</t>
        </is>
      </c>
      <c r="E1862" s="306" t="inlineStr">
        <is>
          <t>-</t>
        </is>
      </c>
      <c r="F1862" s="307" t="n">
        <v>500000</v>
      </c>
      <c r="G1862" s="289" t="inlineStr">
        <is>
          <t>IDR</t>
        </is>
      </c>
      <c r="H1862" s="293" t="n">
        <v>1</v>
      </c>
      <c r="I1862" s="306" t="n"/>
      <c r="J1862" s="306" t="n"/>
      <c r="K1862" s="306" t="n"/>
      <c r="L1862" s="307">
        <f>$F1862*$H1862</f>
        <v/>
      </c>
      <c r="M1862" s="306" t="n"/>
      <c r="N1862" s="306" t="n"/>
      <c r="O1862" s="306" t="n"/>
      <c r="P1862" s="306" t="n"/>
      <c r="Q1862" s="306" t="n"/>
    </row>
    <row r="1863" ht="18.75" customHeight="1">
      <c r="B1863" s="288" t="n">
        <v>45502</v>
      </c>
      <c r="C1863" s="289" t="n">
        <v>1175</v>
      </c>
      <c r="D1863" s="290" t="inlineStr">
        <is>
          <t>Laundry 10 days 1 Persons @ 50K IDR/day</t>
        </is>
      </c>
      <c r="E1863" s="306" t="inlineStr">
        <is>
          <t>-</t>
        </is>
      </c>
      <c r="F1863" s="307" t="n">
        <v>500000</v>
      </c>
      <c r="G1863" s="289" t="inlineStr">
        <is>
          <t>IDR</t>
        </is>
      </c>
      <c r="H1863" s="293" t="n">
        <v>1</v>
      </c>
      <c r="I1863" s="306" t="n"/>
      <c r="J1863" s="306" t="n"/>
      <c r="K1863" s="306" t="n"/>
      <c r="L1863" s="307">
        <f>$F1863*$H1863</f>
        <v/>
      </c>
      <c r="M1863" s="306" t="n"/>
      <c r="N1863" s="306" t="n"/>
      <c r="O1863" s="306" t="n"/>
      <c r="P1863" s="306" t="n"/>
      <c r="Q1863" s="306" t="n"/>
    </row>
    <row r="1864" ht="18.75" customHeight="1">
      <c r="B1864" s="288" t="n">
        <v>45502</v>
      </c>
      <c r="C1864" s="289" t="n">
        <v>1176</v>
      </c>
      <c r="D1864" s="290" t="inlineStr">
        <is>
          <t>Laundry 10 days 1 Persons @ 50K IDR/day</t>
        </is>
      </c>
      <c r="E1864" s="306" t="inlineStr">
        <is>
          <t>-</t>
        </is>
      </c>
      <c r="F1864" s="307" t="n">
        <v>500000</v>
      </c>
      <c r="G1864" s="289" t="inlineStr">
        <is>
          <t>IDR</t>
        </is>
      </c>
      <c r="H1864" s="293" t="n">
        <v>1</v>
      </c>
      <c r="I1864" s="306" t="n"/>
      <c r="J1864" s="306" t="n"/>
      <c r="K1864" s="306" t="n"/>
      <c r="L1864" s="307">
        <f>$F1864*$H1864</f>
        <v/>
      </c>
      <c r="M1864" s="306" t="n"/>
      <c r="N1864" s="306" t="n"/>
      <c r="O1864" s="306" t="n"/>
      <c r="P1864" s="306" t="n"/>
      <c r="Q1864" s="306" t="n"/>
    </row>
    <row r="1865">
      <c r="B1865" s="312" t="n"/>
      <c r="C1865" s="312" t="n"/>
      <c r="D1865" s="285" t="inlineStr">
        <is>
          <t>Meal</t>
        </is>
      </c>
      <c r="E1865" s="312" t="n"/>
      <c r="F1865" s="312" t="n"/>
      <c r="G1865" s="312" t="n"/>
      <c r="H1865" s="312" t="n"/>
      <c r="I1865" s="312" t="n"/>
      <c r="J1865" s="312" t="n"/>
      <c r="K1865" s="312" t="n"/>
      <c r="L1865" s="312" t="n"/>
      <c r="M1865" s="312" t="n"/>
      <c r="N1865" s="312" t="n"/>
      <c r="O1865" s="312" t="n"/>
      <c r="P1865" s="312" t="n"/>
      <c r="Q1865" s="312" t="n"/>
    </row>
    <row r="1866" ht="18.75" customHeight="1">
      <c r="B1866" s="288" t="n">
        <v>45502</v>
      </c>
      <c r="C1866" s="289" t="n">
        <v>1177</v>
      </c>
      <c r="D1866" s="290" t="inlineStr">
        <is>
          <t>Meal Crew's Operational</t>
        </is>
      </c>
      <c r="E1866" s="306" t="inlineStr">
        <is>
          <t>-</t>
        </is>
      </c>
      <c r="F1866" s="307" t="n">
        <v>263200</v>
      </c>
      <c r="G1866" s="289" t="inlineStr">
        <is>
          <t>IDR</t>
        </is>
      </c>
      <c r="H1866" s="293" t="n">
        <v>1</v>
      </c>
      <c r="I1866" s="306" t="n"/>
      <c r="J1866" s="306" t="n"/>
      <c r="K1866" s="306" t="n"/>
      <c r="L1866" s="307">
        <f>$F1866*$H1866</f>
        <v/>
      </c>
      <c r="M1866" s="306" t="n"/>
      <c r="N1866" s="306" t="n"/>
      <c r="O1866" s="306" t="n"/>
      <c r="P1866" s="306" t="n"/>
      <c r="Q1866" s="306" t="n"/>
    </row>
    <row r="1867" ht="18.75" customHeight="1">
      <c r="B1867" s="288" t="n">
        <v>45502</v>
      </c>
      <c r="C1867" s="289" t="n">
        <v>1178</v>
      </c>
      <c r="D1867" s="290" t="inlineStr">
        <is>
          <t>Meals 10 days 1 Persons @ 150K IDR/day</t>
        </is>
      </c>
      <c r="E1867" s="306" t="inlineStr">
        <is>
          <t>-</t>
        </is>
      </c>
      <c r="F1867" s="307" t="n">
        <v>1500000</v>
      </c>
      <c r="G1867" s="289" t="inlineStr">
        <is>
          <t>IDR</t>
        </is>
      </c>
      <c r="H1867" s="293" t="n">
        <v>1</v>
      </c>
      <c r="I1867" s="306" t="n"/>
      <c r="J1867" s="306" t="n"/>
      <c r="K1867" s="306" t="n"/>
      <c r="L1867" s="307">
        <f>$F1867*$H1867</f>
        <v/>
      </c>
      <c r="M1867" s="306" t="n"/>
      <c r="N1867" s="306" t="n"/>
      <c r="O1867" s="306" t="n"/>
      <c r="P1867" s="306" t="n"/>
      <c r="Q1867" s="306" t="n"/>
    </row>
    <row r="1868" ht="18.75" customHeight="1">
      <c r="B1868" s="288" t="n">
        <v>45502</v>
      </c>
      <c r="C1868" s="289" t="n">
        <v>1179</v>
      </c>
      <c r="D1868" s="290" t="inlineStr">
        <is>
          <t>Meal Crew's Operational</t>
        </is>
      </c>
      <c r="E1868" s="306" t="inlineStr">
        <is>
          <t>-</t>
        </is>
      </c>
      <c r="F1868" s="307" t="n">
        <v>263200</v>
      </c>
      <c r="G1868" s="289" t="inlineStr">
        <is>
          <t>IDR</t>
        </is>
      </c>
      <c r="H1868" s="293" t="n">
        <v>1</v>
      </c>
      <c r="I1868" s="306" t="n"/>
      <c r="J1868" s="306" t="n"/>
      <c r="K1868" s="306" t="n"/>
      <c r="L1868" s="307">
        <f>$F1868*$H1868</f>
        <v/>
      </c>
      <c r="M1868" s="306" t="n"/>
      <c r="N1868" s="306" t="n"/>
      <c r="O1868" s="306" t="n"/>
      <c r="P1868" s="306" t="n"/>
      <c r="Q1868" s="306" t="n"/>
    </row>
    <row r="1869" ht="18.75" customHeight="1">
      <c r="B1869" s="288" t="n">
        <v>45502</v>
      </c>
      <c r="C1869" s="289" t="n">
        <v>1180</v>
      </c>
      <c r="D1869" s="290" t="inlineStr">
        <is>
          <t>Meals 10 days 1 Persons @ 150K IDR/day</t>
        </is>
      </c>
      <c r="E1869" s="306" t="inlineStr">
        <is>
          <t>-</t>
        </is>
      </c>
      <c r="F1869" s="307" t="n">
        <v>1500000</v>
      </c>
      <c r="G1869" s="289" t="inlineStr">
        <is>
          <t>IDR</t>
        </is>
      </c>
      <c r="H1869" s="293" t="n">
        <v>1</v>
      </c>
      <c r="I1869" s="306" t="n"/>
      <c r="J1869" s="306" t="n"/>
      <c r="K1869" s="306" t="n"/>
      <c r="L1869" s="307">
        <f>$F1869*$H1869</f>
        <v/>
      </c>
      <c r="M1869" s="306" t="n"/>
      <c r="N1869" s="306" t="n"/>
      <c r="O1869" s="306" t="n"/>
      <c r="P1869" s="306" t="n"/>
      <c r="Q1869" s="306" t="n"/>
    </row>
    <row r="1870" ht="18.75" customHeight="1">
      <c r="B1870" s="288" t="n">
        <v>45502</v>
      </c>
      <c r="C1870" s="289" t="n">
        <v>1181</v>
      </c>
      <c r="D1870" s="290" t="inlineStr">
        <is>
          <t>Meal Crew's Operational</t>
        </is>
      </c>
      <c r="E1870" s="306" t="inlineStr">
        <is>
          <t>-</t>
        </is>
      </c>
      <c r="F1870" s="307" t="n">
        <v>263200</v>
      </c>
      <c r="G1870" s="289" t="inlineStr">
        <is>
          <t>IDR</t>
        </is>
      </c>
      <c r="H1870" s="293" t="n">
        <v>1</v>
      </c>
      <c r="I1870" s="306" t="n"/>
      <c r="J1870" s="306" t="n"/>
      <c r="K1870" s="306" t="n"/>
      <c r="L1870" s="307">
        <f>$F1870*$H1870</f>
        <v/>
      </c>
      <c r="M1870" s="306" t="n"/>
      <c r="N1870" s="306" t="n"/>
      <c r="O1870" s="306" t="n"/>
      <c r="P1870" s="306" t="n"/>
      <c r="Q1870" s="306" t="n"/>
    </row>
    <row r="1871" ht="18.75" customHeight="1">
      <c r="B1871" s="288" t="n">
        <v>45502</v>
      </c>
      <c r="C1871" s="289" t="n">
        <v>1182</v>
      </c>
      <c r="D1871" s="290" t="inlineStr">
        <is>
          <t>Meals 10 days 1 Persons @ 150K IDR/day</t>
        </is>
      </c>
      <c r="E1871" s="306" t="inlineStr">
        <is>
          <t>-</t>
        </is>
      </c>
      <c r="F1871" s="307" t="n">
        <v>1500000</v>
      </c>
      <c r="G1871" s="289" t="inlineStr">
        <is>
          <t>IDR</t>
        </is>
      </c>
      <c r="H1871" s="293" t="n">
        <v>1</v>
      </c>
      <c r="I1871" s="306" t="n"/>
      <c r="J1871" s="306" t="n"/>
      <c r="K1871" s="306" t="n"/>
      <c r="L1871" s="307">
        <f>$F1871*$H1871</f>
        <v/>
      </c>
      <c r="M1871" s="306" t="n"/>
      <c r="N1871" s="306" t="n"/>
      <c r="O1871" s="306" t="n"/>
      <c r="P1871" s="306" t="n"/>
      <c r="Q1871" s="306" t="n"/>
    </row>
    <row r="1872" ht="18.75" customHeight="1">
      <c r="B1872" s="288" t="n">
        <v>45502</v>
      </c>
      <c r="C1872" s="289" t="n">
        <v>1183</v>
      </c>
      <c r="D1872" s="290" t="inlineStr">
        <is>
          <t>Meal Crew's Operational</t>
        </is>
      </c>
      <c r="E1872" s="306" t="inlineStr">
        <is>
          <t>-</t>
        </is>
      </c>
      <c r="F1872" s="307" t="n">
        <v>263200</v>
      </c>
      <c r="G1872" s="289" t="inlineStr">
        <is>
          <t>IDR</t>
        </is>
      </c>
      <c r="H1872" s="293" t="n">
        <v>1</v>
      </c>
      <c r="I1872" s="306" t="n"/>
      <c r="J1872" s="306" t="n"/>
      <c r="K1872" s="306" t="n"/>
      <c r="L1872" s="307">
        <f>$F1872*$H1872</f>
        <v/>
      </c>
      <c r="M1872" s="306" t="n"/>
      <c r="N1872" s="306" t="n"/>
      <c r="O1872" s="306" t="n"/>
      <c r="P1872" s="306" t="n"/>
      <c r="Q1872" s="306" t="n"/>
    </row>
    <row r="1873" ht="18.75" customHeight="1">
      <c r="B1873" s="288" t="n">
        <v>45502</v>
      </c>
      <c r="C1873" s="289" t="n">
        <v>1184</v>
      </c>
      <c r="D1873" s="290" t="inlineStr">
        <is>
          <t>Meals 10 days 1 Persons @ 150K IDR/day</t>
        </is>
      </c>
      <c r="E1873" s="306" t="inlineStr">
        <is>
          <t>-</t>
        </is>
      </c>
      <c r="F1873" s="307" t="n">
        <v>1500000</v>
      </c>
      <c r="G1873" s="289" t="inlineStr">
        <is>
          <t>IDR</t>
        </is>
      </c>
      <c r="H1873" s="293" t="n">
        <v>1</v>
      </c>
      <c r="I1873" s="306" t="n"/>
      <c r="J1873" s="306" t="n"/>
      <c r="K1873" s="306" t="n"/>
      <c r="L1873" s="307">
        <f>$F1873*$H1873</f>
        <v/>
      </c>
      <c r="M1873" s="306" t="n"/>
      <c r="N1873" s="306" t="n"/>
      <c r="O1873" s="306" t="n"/>
      <c r="P1873" s="306" t="n"/>
      <c r="Q1873" s="306" t="n"/>
    </row>
    <row r="1874">
      <c r="B1874" s="312" t="n"/>
      <c r="C1874" s="312" t="n"/>
      <c r="D1874" s="285" t="inlineStr">
        <is>
          <t>Sparepart</t>
        </is>
      </c>
      <c r="E1874" s="312" t="n"/>
      <c r="F1874" s="312" t="n"/>
      <c r="G1874" s="312" t="n"/>
      <c r="H1874" s="312" t="n"/>
      <c r="I1874" s="312" t="n"/>
      <c r="J1874" s="312" t="n"/>
      <c r="K1874" s="312" t="n"/>
      <c r="L1874" s="312" t="n"/>
      <c r="M1874" s="312" t="n"/>
      <c r="N1874" s="312" t="n"/>
      <c r="O1874" s="312" t="n"/>
      <c r="P1874" s="312" t="n"/>
      <c r="Q1874" s="312" t="n"/>
    </row>
    <row r="1875" ht="18.75" customHeight="1">
      <c r="B1875" s="288" t="n">
        <v>45499</v>
      </c>
      <c r="C1875" s="289" t="n">
        <v>1185</v>
      </c>
      <c r="D1875" s="290" t="inlineStr">
        <is>
          <t>TOP 1 High Temp Grease</t>
        </is>
      </c>
      <c r="E1875" s="306" t="inlineStr">
        <is>
          <t>-</t>
        </is>
      </c>
      <c r="F1875" s="307" t="n">
        <v>144900</v>
      </c>
      <c r="G1875" s="289" t="inlineStr">
        <is>
          <t>IDR</t>
        </is>
      </c>
      <c r="H1875" s="293" t="n">
        <v>1</v>
      </c>
      <c r="I1875" s="306" t="n"/>
      <c r="J1875" s="306" t="n"/>
      <c r="K1875" s="306" t="n"/>
      <c r="L1875" s="306" t="n"/>
      <c r="M1875" s="306" t="n"/>
      <c r="N1875" s="307">
        <f>$F1875*$H1875</f>
        <v/>
      </c>
      <c r="O1875" s="306" t="n"/>
      <c r="P1875" s="306" t="n"/>
      <c r="Q1875" s="306" t="n"/>
    </row>
    <row r="1876" ht="18.75" customHeight="1">
      <c r="B1876" s="288" t="n">
        <v>45499</v>
      </c>
      <c r="C1876" s="289" t="n">
        <v>1186</v>
      </c>
      <c r="D1876" s="290" t="inlineStr">
        <is>
          <t>TOP 1 High Temp Grease</t>
        </is>
      </c>
      <c r="E1876" s="306" t="inlineStr">
        <is>
          <t>-</t>
        </is>
      </c>
      <c r="F1876" s="307" t="n">
        <v>144900</v>
      </c>
      <c r="G1876" s="289" t="inlineStr">
        <is>
          <t>IDR</t>
        </is>
      </c>
      <c r="H1876" s="293" t="n">
        <v>1</v>
      </c>
      <c r="I1876" s="306" t="n"/>
      <c r="J1876" s="306" t="n"/>
      <c r="K1876" s="306" t="n"/>
      <c r="L1876" s="306" t="n"/>
      <c r="M1876" s="306" t="n"/>
      <c r="N1876" s="307">
        <f>$F1876*$H1876</f>
        <v/>
      </c>
      <c r="O1876" s="306" t="n"/>
      <c r="P1876" s="306" t="n"/>
      <c r="Q1876" s="306" t="n"/>
    </row>
    <row r="1877" ht="18.75" customHeight="1">
      <c r="B1877" s="288" t="n">
        <v>45499</v>
      </c>
      <c r="C1877" s="289" t="n">
        <v>1187</v>
      </c>
      <c r="D1877" s="290" t="inlineStr">
        <is>
          <t>TOP 1 High Temp Grease</t>
        </is>
      </c>
      <c r="E1877" s="306" t="inlineStr">
        <is>
          <t>-</t>
        </is>
      </c>
      <c r="F1877" s="307" t="n">
        <v>144900</v>
      </c>
      <c r="G1877" s="289" t="inlineStr">
        <is>
          <t>IDR</t>
        </is>
      </c>
      <c r="H1877" s="293" t="n">
        <v>1</v>
      </c>
      <c r="I1877" s="306" t="n"/>
      <c r="J1877" s="306" t="n"/>
      <c r="K1877" s="306" t="n"/>
      <c r="L1877" s="306" t="n"/>
      <c r="M1877" s="306" t="n"/>
      <c r="N1877" s="307">
        <f>$F1877*$H1877</f>
        <v/>
      </c>
      <c r="O1877" s="306" t="n"/>
      <c r="P1877" s="306" t="n"/>
      <c r="Q1877" s="306" t="n"/>
    </row>
    <row r="1878" ht="18.75" customHeight="1">
      <c r="B1878" s="288" t="n">
        <v>45499</v>
      </c>
      <c r="C1878" s="289" t="n">
        <v>1188</v>
      </c>
      <c r="D1878" s="290" t="inlineStr">
        <is>
          <t>TOP 1 High Temp Grease</t>
        </is>
      </c>
      <c r="E1878" s="306" t="inlineStr">
        <is>
          <t>-</t>
        </is>
      </c>
      <c r="F1878" s="307" t="n">
        <v>144900</v>
      </c>
      <c r="G1878" s="289" t="inlineStr">
        <is>
          <t>IDR</t>
        </is>
      </c>
      <c r="H1878" s="293" t="n">
        <v>1</v>
      </c>
      <c r="I1878" s="306" t="n"/>
      <c r="J1878" s="306" t="n"/>
      <c r="K1878" s="306" t="n"/>
      <c r="L1878" s="306" t="n"/>
      <c r="M1878" s="306" t="n"/>
      <c r="N1878" s="307">
        <f>$F1878*$H1878</f>
        <v/>
      </c>
      <c r="O1878" s="306" t="n"/>
      <c r="P1878" s="306" t="n"/>
      <c r="Q1878" s="306" t="n"/>
    </row>
    <row r="1879">
      <c r="B1879" s="312" t="n"/>
      <c r="C1879" s="312" t="n"/>
      <c r="D1879" s="285" t="inlineStr">
        <is>
          <t>Transportation</t>
        </is>
      </c>
      <c r="E1879" s="312" t="n"/>
      <c r="F1879" s="312" t="n"/>
      <c r="G1879" s="312" t="n"/>
      <c r="H1879" s="312" t="n"/>
      <c r="I1879" s="312" t="n"/>
      <c r="J1879" s="312" t="n"/>
      <c r="K1879" s="312" t="n"/>
      <c r="L1879" s="312" t="n"/>
      <c r="M1879" s="312" t="n"/>
      <c r="N1879" s="312" t="n"/>
      <c r="O1879" s="312" t="n"/>
      <c r="P1879" s="312" t="n"/>
      <c r="Q1879" s="312" t="n"/>
    </row>
    <row r="1880" ht="18.75" customHeight="1">
      <c r="B1880" s="288" t="n">
        <v>45499</v>
      </c>
      <c r="C1880" s="289" t="n">
        <v>1189</v>
      </c>
      <c r="D1880" s="290" t="inlineStr">
        <is>
          <t>Lalamove Base to Barikin</t>
        </is>
      </c>
      <c r="E1880" s="306" t="inlineStr">
        <is>
          <t>-</t>
        </is>
      </c>
      <c r="F1880" s="307" t="n">
        <v>276500</v>
      </c>
      <c r="G1880" s="289" t="inlineStr">
        <is>
          <t>IDR</t>
        </is>
      </c>
      <c r="H1880" s="293" t="n">
        <v>1</v>
      </c>
      <c r="I1880" s="306" t="n"/>
      <c r="J1880" s="306" t="n"/>
      <c r="K1880" s="306" t="n"/>
      <c r="L1880" s="307">
        <f>$F1880*$H1880</f>
        <v/>
      </c>
      <c r="M1880" s="306" t="n"/>
      <c r="N1880" s="306" t="n"/>
      <c r="O1880" s="306" t="n"/>
      <c r="P1880" s="306" t="n"/>
      <c r="Q1880" s="306" t="n"/>
    </row>
    <row r="1881" ht="18.75" customHeight="1">
      <c r="B1881" s="288" t="n">
        <v>45499</v>
      </c>
      <c r="C1881" s="289" t="n">
        <v>1190</v>
      </c>
      <c r="D1881" s="290" t="inlineStr">
        <is>
          <t>Lalamove Pak Subi to Base</t>
        </is>
      </c>
      <c r="E1881" s="306" t="inlineStr">
        <is>
          <t>-</t>
        </is>
      </c>
      <c r="F1881" s="307" t="n">
        <v>63568</v>
      </c>
      <c r="G1881" s="289" t="inlineStr">
        <is>
          <t>IDR</t>
        </is>
      </c>
      <c r="H1881" s="293" t="n">
        <v>1</v>
      </c>
      <c r="I1881" s="306" t="n"/>
      <c r="J1881" s="306" t="n"/>
      <c r="K1881" s="306" t="n"/>
      <c r="L1881" s="307">
        <f>$F1881*$H1881</f>
        <v/>
      </c>
      <c r="M1881" s="306" t="n"/>
      <c r="N1881" s="306" t="n"/>
      <c r="O1881" s="306" t="n"/>
      <c r="P1881" s="306" t="n"/>
      <c r="Q1881" s="306" t="n"/>
    </row>
    <row r="1882" ht="18.75" customHeight="1">
      <c r="B1882" s="288" t="n">
        <v>45499</v>
      </c>
      <c r="C1882" s="289" t="n">
        <v>1191</v>
      </c>
      <c r="D1882" s="290" t="inlineStr">
        <is>
          <t>Lalamove Base to Barikin</t>
        </is>
      </c>
      <c r="E1882" s="306" t="inlineStr">
        <is>
          <t>-</t>
        </is>
      </c>
      <c r="F1882" s="307" t="n">
        <v>276500</v>
      </c>
      <c r="G1882" s="289" t="inlineStr">
        <is>
          <t>IDR</t>
        </is>
      </c>
      <c r="H1882" s="293" t="n">
        <v>1</v>
      </c>
      <c r="I1882" s="306" t="n"/>
      <c r="J1882" s="306" t="n"/>
      <c r="K1882" s="306" t="n"/>
      <c r="L1882" s="307">
        <f>$F1882*$H1882</f>
        <v/>
      </c>
      <c r="M1882" s="306" t="n"/>
      <c r="N1882" s="306" t="n"/>
      <c r="O1882" s="306" t="n"/>
      <c r="P1882" s="306" t="n"/>
      <c r="Q1882" s="306" t="n"/>
    </row>
    <row r="1883" ht="18.75" customHeight="1">
      <c r="B1883" s="288" t="n">
        <v>45499</v>
      </c>
      <c r="C1883" s="289" t="n">
        <v>1192</v>
      </c>
      <c r="D1883" s="290" t="inlineStr">
        <is>
          <t>Lalamove Pak Subi to Base</t>
        </is>
      </c>
      <c r="E1883" s="306" t="inlineStr">
        <is>
          <t>-</t>
        </is>
      </c>
      <c r="F1883" s="307" t="n">
        <v>63568</v>
      </c>
      <c r="G1883" s="289" t="inlineStr">
        <is>
          <t>IDR</t>
        </is>
      </c>
      <c r="H1883" s="293" t="n">
        <v>1</v>
      </c>
      <c r="I1883" s="306" t="n"/>
      <c r="J1883" s="306" t="n"/>
      <c r="K1883" s="306" t="n"/>
      <c r="L1883" s="307">
        <f>$F1883*$H1883</f>
        <v/>
      </c>
      <c r="M1883" s="306" t="n"/>
      <c r="N1883" s="306" t="n"/>
      <c r="O1883" s="306" t="n"/>
      <c r="P1883" s="306" t="n"/>
      <c r="Q1883" s="306" t="n"/>
    </row>
    <row r="1884" ht="18.75" customHeight="1">
      <c r="B1884" s="288" t="n">
        <v>45499</v>
      </c>
      <c r="C1884" s="289" t="n">
        <v>1193</v>
      </c>
      <c r="D1884" s="290" t="inlineStr">
        <is>
          <t>Lalamove Base to Barikin</t>
        </is>
      </c>
      <c r="E1884" s="306" t="inlineStr">
        <is>
          <t>-</t>
        </is>
      </c>
      <c r="F1884" s="307" t="n">
        <v>276500</v>
      </c>
      <c r="G1884" s="289" t="inlineStr">
        <is>
          <t>IDR</t>
        </is>
      </c>
      <c r="H1884" s="293" t="n">
        <v>1</v>
      </c>
      <c r="I1884" s="306" t="n"/>
      <c r="J1884" s="306" t="n"/>
      <c r="K1884" s="306" t="n"/>
      <c r="L1884" s="307">
        <f>$F1884*$H1884</f>
        <v/>
      </c>
      <c r="M1884" s="306" t="n"/>
      <c r="N1884" s="306" t="n"/>
      <c r="O1884" s="306" t="n"/>
      <c r="P1884" s="306" t="n"/>
      <c r="Q1884" s="306" t="n"/>
    </row>
    <row r="1885" ht="18.75" customHeight="1">
      <c r="B1885" s="288" t="n">
        <v>45499</v>
      </c>
      <c r="C1885" s="289" t="n">
        <v>1194</v>
      </c>
      <c r="D1885" s="290" t="inlineStr">
        <is>
          <t>Lalamove Pak Subi to Base</t>
        </is>
      </c>
      <c r="E1885" s="306" t="inlineStr">
        <is>
          <t>-</t>
        </is>
      </c>
      <c r="F1885" s="307" t="n">
        <v>63568</v>
      </c>
      <c r="G1885" s="289" t="inlineStr">
        <is>
          <t>IDR</t>
        </is>
      </c>
      <c r="H1885" s="293" t="n">
        <v>1</v>
      </c>
      <c r="I1885" s="306" t="n"/>
      <c r="J1885" s="306" t="n"/>
      <c r="K1885" s="306" t="n"/>
      <c r="L1885" s="307">
        <f>$F1885*$H1885</f>
        <v/>
      </c>
      <c r="M1885" s="306" t="n"/>
      <c r="N1885" s="306" t="n"/>
      <c r="O1885" s="306" t="n"/>
      <c r="P1885" s="306" t="n"/>
      <c r="Q1885" s="306" t="n"/>
    </row>
    <row r="1886" ht="18.75" customHeight="1">
      <c r="B1886" s="288" t="n">
        <v>45499</v>
      </c>
      <c r="C1886" s="289" t="n">
        <v>1195</v>
      </c>
      <c r="D1886" s="290" t="inlineStr">
        <is>
          <t>Lalamove Base to Barikin</t>
        </is>
      </c>
      <c r="E1886" s="306" t="inlineStr">
        <is>
          <t>-</t>
        </is>
      </c>
      <c r="F1886" s="307" t="n">
        <v>276500</v>
      </c>
      <c r="G1886" s="289" t="inlineStr">
        <is>
          <t>IDR</t>
        </is>
      </c>
      <c r="H1886" s="293" t="n">
        <v>1</v>
      </c>
      <c r="I1886" s="306" t="n"/>
      <c r="J1886" s="306" t="n"/>
      <c r="K1886" s="306" t="n"/>
      <c r="L1886" s="307">
        <f>$F1886*$H1886</f>
        <v/>
      </c>
      <c r="M1886" s="306" t="n"/>
      <c r="N1886" s="306" t="n"/>
      <c r="O1886" s="306" t="n"/>
      <c r="P1886" s="306" t="n"/>
      <c r="Q1886" s="306" t="n"/>
    </row>
    <row r="1887" ht="18.75" customHeight="1">
      <c r="B1887" s="288" t="n">
        <v>45499</v>
      </c>
      <c r="C1887" s="289" t="n">
        <v>1196</v>
      </c>
      <c r="D1887" s="290" t="inlineStr">
        <is>
          <t>Lalamove Pak Subi to Base</t>
        </is>
      </c>
      <c r="E1887" s="306" t="inlineStr">
        <is>
          <t>-</t>
        </is>
      </c>
      <c r="F1887" s="307" t="n">
        <v>63568</v>
      </c>
      <c r="G1887" s="289" t="inlineStr">
        <is>
          <t>IDR</t>
        </is>
      </c>
      <c r="H1887" s="293" t="n">
        <v>1</v>
      </c>
      <c r="I1887" s="306" t="n"/>
      <c r="J1887" s="306" t="n"/>
      <c r="K1887" s="306" t="n"/>
      <c r="L1887" s="307">
        <f>$F1887*$H1887</f>
        <v/>
      </c>
      <c r="M1887" s="306" t="n"/>
      <c r="N1887" s="306" t="n"/>
      <c r="O1887" s="306" t="n"/>
      <c r="P1887" s="306" t="n"/>
      <c r="Q1887" s="306" t="n"/>
    </row>
    <row r="1888" ht="18.75" customHeight="1">
      <c r="B1888" s="288" t="n">
        <v>45517</v>
      </c>
      <c r="C1888" s="289" t="n">
        <v>1197</v>
      </c>
      <c r="D1888" s="290" t="inlineStr">
        <is>
          <t>Lalamove Barikin to Base</t>
        </is>
      </c>
      <c r="E1888" s="306" t="inlineStr">
        <is>
          <t>-</t>
        </is>
      </c>
      <c r="F1888" s="307" t="n">
        <v>161885</v>
      </c>
      <c r="G1888" s="289" t="inlineStr">
        <is>
          <t>IDR</t>
        </is>
      </c>
      <c r="H1888" s="293" t="n">
        <v>1</v>
      </c>
      <c r="I1888" s="306" t="n"/>
      <c r="J1888" s="306" t="n"/>
      <c r="K1888" s="306" t="n"/>
      <c r="L1888" s="307">
        <f>$F1888*$H1888</f>
        <v/>
      </c>
      <c r="M1888" s="306" t="n"/>
      <c r="N1888" s="306" t="n"/>
      <c r="O1888" s="306" t="n"/>
      <c r="P1888" s="306" t="n"/>
      <c r="Q1888" s="306" t="n"/>
    </row>
    <row r="1889" ht="18.75" customHeight="1">
      <c r="B1889" s="288" t="n">
        <v>45517</v>
      </c>
      <c r="C1889" s="289" t="n">
        <v>1198</v>
      </c>
      <c r="D1889" s="290" t="inlineStr">
        <is>
          <t>Lalamove Barikin to Base</t>
        </is>
      </c>
      <c r="E1889" s="306" t="inlineStr">
        <is>
          <t>-</t>
        </is>
      </c>
      <c r="F1889" s="307" t="n">
        <v>161885</v>
      </c>
      <c r="G1889" s="289" t="inlineStr">
        <is>
          <t>IDR</t>
        </is>
      </c>
      <c r="H1889" s="293" t="n">
        <v>1</v>
      </c>
      <c r="I1889" s="306" t="n"/>
      <c r="J1889" s="306" t="n"/>
      <c r="K1889" s="306" t="n"/>
      <c r="L1889" s="307">
        <f>$F1889*$H1889</f>
        <v/>
      </c>
      <c r="M1889" s="306" t="n"/>
      <c r="N1889" s="306" t="n"/>
      <c r="O1889" s="306" t="n"/>
      <c r="P1889" s="306" t="n"/>
      <c r="Q1889" s="306" t="n"/>
    </row>
    <row r="1890" ht="18.75" customHeight="1">
      <c r="B1890" s="288" t="n">
        <v>45517</v>
      </c>
      <c r="C1890" s="289" t="n">
        <v>1199</v>
      </c>
      <c r="D1890" s="290" t="inlineStr">
        <is>
          <t>Lalamove Barikin to Base</t>
        </is>
      </c>
      <c r="E1890" s="306" t="inlineStr">
        <is>
          <t>-</t>
        </is>
      </c>
      <c r="F1890" s="307" t="n">
        <v>161885</v>
      </c>
      <c r="G1890" s="289" t="inlineStr">
        <is>
          <t>IDR</t>
        </is>
      </c>
      <c r="H1890" s="293" t="n">
        <v>1</v>
      </c>
      <c r="I1890" s="306" t="n"/>
      <c r="J1890" s="306" t="n"/>
      <c r="K1890" s="306" t="n"/>
      <c r="L1890" s="307">
        <f>$F1890*$H1890</f>
        <v/>
      </c>
      <c r="M1890" s="306" t="n"/>
      <c r="N1890" s="306" t="n"/>
      <c r="O1890" s="306" t="n"/>
      <c r="P1890" s="306" t="n"/>
      <c r="Q1890" s="306" t="n"/>
    </row>
    <row r="1891" ht="18.75" customHeight="1">
      <c r="B1891" s="288" t="n">
        <v>45517</v>
      </c>
      <c r="C1891" s="289" t="n">
        <v>1200</v>
      </c>
      <c r="D1891" s="290" t="inlineStr">
        <is>
          <t>Lalamove Barikin to Base</t>
        </is>
      </c>
      <c r="E1891" s="306" t="inlineStr">
        <is>
          <t>-</t>
        </is>
      </c>
      <c r="F1891" s="307" t="n">
        <v>161885</v>
      </c>
      <c r="G1891" s="289" t="inlineStr">
        <is>
          <t>IDR</t>
        </is>
      </c>
      <c r="H1891" s="293" t="n">
        <v>1</v>
      </c>
      <c r="I1891" s="306" t="n"/>
      <c r="J1891" s="306" t="n"/>
      <c r="K1891" s="306" t="n"/>
      <c r="L1891" s="307">
        <f>$F1891*$H1891</f>
        <v/>
      </c>
      <c r="M1891" s="306" t="n"/>
      <c r="N1891" s="306" t="n"/>
      <c r="O1891" s="306" t="n"/>
      <c r="P1891" s="306" t="n"/>
      <c r="Q1891" s="306" t="n"/>
    </row>
    <row r="1892">
      <c r="B1892" s="310" t="inlineStr">
        <is>
          <t>Expense#30</t>
        </is>
      </c>
      <c r="C1892" s="311" t="inlineStr">
        <is>
          <t>:</t>
        </is>
      </c>
      <c r="D1892" s="310" t="inlineStr">
        <is>
          <t>ALFA JOB - PMB 009 (cancel job) - IBR</t>
        </is>
      </c>
      <c r="E1892" s="311" t="n"/>
      <c r="F1892" s="311" t="n"/>
      <c r="G1892" s="311" t="n"/>
      <c r="H1892" s="311" t="n"/>
      <c r="I1892" s="311" t="n"/>
      <c r="J1892" s="311" t="n"/>
      <c r="K1892" s="311" t="n"/>
      <c r="L1892" s="311" t="n"/>
      <c r="M1892" s="311" t="n"/>
      <c r="N1892" s="311" t="n"/>
      <c r="O1892" s="311" t="n"/>
      <c r="P1892" s="311" t="n"/>
      <c r="Q1892" s="311" t="n"/>
    </row>
    <row r="1893">
      <c r="B1893" s="312" t="n"/>
      <c r="C1893" s="312" t="n"/>
      <c r="D1893" s="285" t="inlineStr">
        <is>
          <t>Allowance</t>
        </is>
      </c>
      <c r="E1893" s="312" t="n"/>
      <c r="F1893" s="312" t="n"/>
      <c r="G1893" s="312" t="n"/>
      <c r="H1893" s="312" t="n"/>
      <c r="I1893" s="312" t="n"/>
      <c r="J1893" s="312" t="n"/>
      <c r="K1893" s="312" t="n"/>
      <c r="L1893" s="312" t="n"/>
      <c r="M1893" s="312" t="n"/>
      <c r="N1893" s="312" t="n"/>
      <c r="O1893" s="312" t="n"/>
      <c r="P1893" s="312" t="n"/>
      <c r="Q1893" s="312" t="n"/>
    </row>
    <row r="1894" ht="34.5" customHeight="1">
      <c r="B1894" s="288" t="n">
        <v>45548</v>
      </c>
      <c r="C1894" s="289" t="n">
        <v>1201</v>
      </c>
      <c r="D1894" s="290" t="inlineStr">
        <is>
          <t>Tunjangan Lapangan PBM - 009 (6 - 11 September 2024)</t>
        </is>
      </c>
      <c r="E1894" s="306" t="inlineStr">
        <is>
          <t>-</t>
        </is>
      </c>
      <c r="F1894" s="307" t="n">
        <v>150</v>
      </c>
      <c r="G1894" s="289" t="inlineStr">
        <is>
          <t>$</t>
        </is>
      </c>
      <c r="H1894" s="293" t="n">
        <v>15450</v>
      </c>
      <c r="I1894" s="306" t="n"/>
      <c r="J1894" s="306" t="n"/>
      <c r="K1894" s="306" t="n"/>
      <c r="L1894" s="307">
        <f>$F1894*$H1894</f>
        <v/>
      </c>
      <c r="M1894" s="306" t="n"/>
      <c r="N1894" s="306" t="n"/>
      <c r="O1894" s="306" t="n"/>
      <c r="P1894" s="306" t="n"/>
      <c r="Q1894" s="306" t="n"/>
    </row>
    <row r="1895" ht="34.5" customHeight="1">
      <c r="B1895" s="288" t="n">
        <v>45548</v>
      </c>
      <c r="C1895" s="289" t="n">
        <v>1202</v>
      </c>
      <c r="D1895" s="290" t="inlineStr">
        <is>
          <t>Tunjangan Lapangan PBM - 009 (6 - 11 September 2024)</t>
        </is>
      </c>
      <c r="E1895" s="306" t="inlineStr">
        <is>
          <t>-</t>
        </is>
      </c>
      <c r="F1895" s="307" t="n">
        <v>150</v>
      </c>
      <c r="G1895" s="289" t="inlineStr">
        <is>
          <t>$</t>
        </is>
      </c>
      <c r="H1895" s="293" t="n">
        <v>15450</v>
      </c>
      <c r="I1895" s="306" t="n"/>
      <c r="J1895" s="306" t="n"/>
      <c r="K1895" s="306" t="n"/>
      <c r="L1895" s="307">
        <f>$F1895*$H1895</f>
        <v/>
      </c>
      <c r="M1895" s="306" t="n"/>
      <c r="N1895" s="306" t="n"/>
      <c r="O1895" s="306" t="n"/>
      <c r="P1895" s="306" t="n"/>
      <c r="Q1895" s="306" t="n"/>
    </row>
    <row r="1896" ht="34.5" customHeight="1">
      <c r="B1896" s="288" t="n">
        <v>45548</v>
      </c>
      <c r="C1896" s="289" t="n">
        <v>1203</v>
      </c>
      <c r="D1896" s="290" t="inlineStr">
        <is>
          <t>Tunjangan Lapangan PBM - 009 (6 - 11 September 2024)</t>
        </is>
      </c>
      <c r="E1896" s="306" t="inlineStr">
        <is>
          <t>-</t>
        </is>
      </c>
      <c r="F1896" s="307" t="n">
        <v>150</v>
      </c>
      <c r="G1896" s="289" t="inlineStr">
        <is>
          <t>$</t>
        </is>
      </c>
      <c r="H1896" s="293" t="n">
        <v>15450</v>
      </c>
      <c r="I1896" s="306" t="n"/>
      <c r="J1896" s="306" t="n"/>
      <c r="K1896" s="306" t="n"/>
      <c r="L1896" s="307">
        <f>$F1896*$H1896</f>
        <v/>
      </c>
      <c r="M1896" s="306" t="n"/>
      <c r="N1896" s="306" t="n"/>
      <c r="O1896" s="306" t="n"/>
      <c r="P1896" s="306" t="n"/>
      <c r="Q1896" s="306" t="n"/>
    </row>
    <row r="1897" ht="34.5" customHeight="1">
      <c r="B1897" s="288" t="n">
        <v>45548</v>
      </c>
      <c r="C1897" s="289" t="n">
        <v>1204</v>
      </c>
      <c r="D1897" s="290" t="inlineStr">
        <is>
          <t>Tunjangan Lapangan PBM - 009 (6 - 11 September 2024)</t>
        </is>
      </c>
      <c r="E1897" s="306" t="inlineStr">
        <is>
          <t>-</t>
        </is>
      </c>
      <c r="F1897" s="307" t="n">
        <v>150</v>
      </c>
      <c r="G1897" s="289" t="inlineStr">
        <is>
          <t>$</t>
        </is>
      </c>
      <c r="H1897" s="293" t="n">
        <v>15450</v>
      </c>
      <c r="I1897" s="306" t="n"/>
      <c r="J1897" s="306" t="n"/>
      <c r="K1897" s="306" t="n"/>
      <c r="L1897" s="307">
        <f>$F1897*$H1897</f>
        <v/>
      </c>
      <c r="M1897" s="306" t="n"/>
      <c r="N1897" s="306" t="n"/>
      <c r="O1897" s="306" t="n"/>
      <c r="P1897" s="306" t="n"/>
      <c r="Q1897" s="306" t="n"/>
    </row>
    <row r="1898">
      <c r="B1898" s="312" t="n"/>
      <c r="C1898" s="312" t="n"/>
      <c r="D1898" s="285" t="inlineStr">
        <is>
          <t>Laundry</t>
        </is>
      </c>
      <c r="E1898" s="312" t="n"/>
      <c r="F1898" s="312" t="n"/>
      <c r="G1898" s="312" t="n"/>
      <c r="H1898" s="312" t="n"/>
      <c r="I1898" s="312" t="n"/>
      <c r="J1898" s="312" t="n"/>
      <c r="K1898" s="312" t="n"/>
      <c r="L1898" s="312" t="n"/>
      <c r="M1898" s="312" t="n"/>
      <c r="N1898" s="312" t="n"/>
      <c r="O1898" s="312" t="n"/>
      <c r="P1898" s="312" t="n"/>
      <c r="Q1898" s="312" t="n"/>
    </row>
    <row r="1899" ht="18.75" customHeight="1">
      <c r="B1899" s="288" t="n">
        <v>45548</v>
      </c>
      <c r="C1899" s="289" t="n">
        <v>1205</v>
      </c>
      <c r="D1899" s="290" t="inlineStr">
        <is>
          <t>Laundry (6 - 11 September 2024) 6 days</t>
        </is>
      </c>
      <c r="E1899" s="306" t="inlineStr">
        <is>
          <t>-</t>
        </is>
      </c>
      <c r="F1899" s="307" t="n">
        <v>300000</v>
      </c>
      <c r="G1899" s="289" t="inlineStr">
        <is>
          <t>IDR</t>
        </is>
      </c>
      <c r="H1899" s="293" t="n">
        <v>1</v>
      </c>
      <c r="I1899" s="306" t="n"/>
      <c r="J1899" s="306" t="n"/>
      <c r="K1899" s="306" t="n"/>
      <c r="L1899" s="307">
        <f>$F1899*$H1899</f>
        <v/>
      </c>
      <c r="M1899" s="306" t="n"/>
      <c r="N1899" s="306" t="n"/>
      <c r="O1899" s="306" t="n"/>
      <c r="P1899" s="306" t="n"/>
      <c r="Q1899" s="306" t="n"/>
    </row>
    <row r="1900" ht="18.75" customHeight="1">
      <c r="B1900" s="288" t="n">
        <v>45548</v>
      </c>
      <c r="C1900" s="289" t="n">
        <v>1206</v>
      </c>
      <c r="D1900" s="290" t="inlineStr">
        <is>
          <t>Laundry (6 - 11 September 2024) 6 days</t>
        </is>
      </c>
      <c r="E1900" s="306" t="inlineStr">
        <is>
          <t>-</t>
        </is>
      </c>
      <c r="F1900" s="307" t="n">
        <v>300000</v>
      </c>
      <c r="G1900" s="289" t="inlineStr">
        <is>
          <t>IDR</t>
        </is>
      </c>
      <c r="H1900" s="293" t="n">
        <v>1</v>
      </c>
      <c r="I1900" s="306" t="n"/>
      <c r="J1900" s="306" t="n"/>
      <c r="K1900" s="306" t="n"/>
      <c r="L1900" s="307">
        <f>$F1900*$H1900</f>
        <v/>
      </c>
      <c r="M1900" s="306" t="n"/>
      <c r="N1900" s="306" t="n"/>
      <c r="O1900" s="306" t="n"/>
      <c r="P1900" s="306" t="n"/>
      <c r="Q1900" s="306" t="n"/>
    </row>
    <row r="1901" ht="18.75" customHeight="1">
      <c r="B1901" s="288" t="n">
        <v>45548</v>
      </c>
      <c r="C1901" s="289" t="n">
        <v>1207</v>
      </c>
      <c r="D1901" s="290" t="inlineStr">
        <is>
          <t>Laundry (6 - 11 September 2024) 6 days</t>
        </is>
      </c>
      <c r="E1901" s="306" t="inlineStr">
        <is>
          <t>-</t>
        </is>
      </c>
      <c r="F1901" s="307" t="n">
        <v>300000</v>
      </c>
      <c r="G1901" s="289" t="inlineStr">
        <is>
          <t>IDR</t>
        </is>
      </c>
      <c r="H1901" s="293" t="n">
        <v>1</v>
      </c>
      <c r="I1901" s="306" t="n"/>
      <c r="J1901" s="306" t="n"/>
      <c r="K1901" s="306" t="n"/>
      <c r="L1901" s="307">
        <f>$F1901*$H1901</f>
        <v/>
      </c>
      <c r="M1901" s="306" t="n"/>
      <c r="N1901" s="306" t="n"/>
      <c r="O1901" s="306" t="n"/>
      <c r="P1901" s="306" t="n"/>
      <c r="Q1901" s="306" t="n"/>
    </row>
    <row r="1902" ht="18.75" customHeight="1">
      <c r="B1902" s="288" t="n">
        <v>45548</v>
      </c>
      <c r="C1902" s="289" t="n">
        <v>1208</v>
      </c>
      <c r="D1902" s="290" t="inlineStr">
        <is>
          <t>Laundry (6 - 11 September 2024) 6 days</t>
        </is>
      </c>
      <c r="E1902" s="306" t="inlineStr">
        <is>
          <t>-</t>
        </is>
      </c>
      <c r="F1902" s="307" t="n">
        <v>300000</v>
      </c>
      <c r="G1902" s="289" t="inlineStr">
        <is>
          <t>IDR</t>
        </is>
      </c>
      <c r="H1902" s="293" t="n">
        <v>1</v>
      </c>
      <c r="I1902" s="306" t="n"/>
      <c r="J1902" s="306" t="n"/>
      <c r="K1902" s="306" t="n"/>
      <c r="L1902" s="307">
        <f>$F1902*$H1902</f>
        <v/>
      </c>
      <c r="M1902" s="306" t="n"/>
      <c r="N1902" s="306" t="n"/>
      <c r="O1902" s="306" t="n"/>
      <c r="P1902" s="306" t="n"/>
      <c r="Q1902" s="306" t="n"/>
    </row>
    <row r="1903">
      <c r="B1903" s="312" t="n"/>
      <c r="C1903" s="312" t="n"/>
      <c r="D1903" s="285" t="inlineStr">
        <is>
          <t>Meal</t>
        </is>
      </c>
      <c r="E1903" s="312" t="n"/>
      <c r="F1903" s="312" t="n"/>
      <c r="G1903" s="312" t="n"/>
      <c r="H1903" s="312" t="n"/>
      <c r="I1903" s="312" t="n"/>
      <c r="J1903" s="312" t="n"/>
      <c r="K1903" s="312" t="n"/>
      <c r="L1903" s="312" t="n"/>
      <c r="M1903" s="312" t="n"/>
      <c r="N1903" s="312" t="n"/>
      <c r="O1903" s="312" t="n"/>
      <c r="P1903" s="312" t="n"/>
      <c r="Q1903" s="312" t="n"/>
    </row>
    <row r="1904" ht="18.75" customHeight="1">
      <c r="B1904" s="288" t="n">
        <v>45548</v>
      </c>
      <c r="C1904" s="289" t="n">
        <v>1209</v>
      </c>
      <c r="D1904" s="290" t="inlineStr">
        <is>
          <t>Uang makan (6 - 11 September 2024) 6 days</t>
        </is>
      </c>
      <c r="E1904" s="306" t="inlineStr">
        <is>
          <t>-</t>
        </is>
      </c>
      <c r="F1904" s="307" t="n">
        <v>900000</v>
      </c>
      <c r="G1904" s="289" t="inlineStr">
        <is>
          <t>IDR</t>
        </is>
      </c>
      <c r="H1904" s="293" t="n">
        <v>1</v>
      </c>
      <c r="I1904" s="306" t="n"/>
      <c r="J1904" s="306" t="n"/>
      <c r="K1904" s="306" t="n"/>
      <c r="L1904" s="307">
        <f>$F1904*$H1904</f>
        <v/>
      </c>
      <c r="M1904" s="306" t="n"/>
      <c r="N1904" s="306" t="n"/>
      <c r="O1904" s="306" t="n"/>
      <c r="P1904" s="306" t="n"/>
      <c r="Q1904" s="306" t="n"/>
    </row>
    <row r="1905" ht="18.75" customHeight="1">
      <c r="B1905" s="288" t="n">
        <v>45548</v>
      </c>
      <c r="C1905" s="289" t="n">
        <v>1210</v>
      </c>
      <c r="D1905" s="290" t="inlineStr">
        <is>
          <t>Uang makan (6 - 11 September 2024) 6 days</t>
        </is>
      </c>
      <c r="E1905" s="306" t="inlineStr">
        <is>
          <t>-</t>
        </is>
      </c>
      <c r="F1905" s="307" t="n">
        <v>900000</v>
      </c>
      <c r="G1905" s="289" t="inlineStr">
        <is>
          <t>IDR</t>
        </is>
      </c>
      <c r="H1905" s="293" t="n">
        <v>1</v>
      </c>
      <c r="I1905" s="306" t="n"/>
      <c r="J1905" s="306" t="n"/>
      <c r="K1905" s="306" t="n"/>
      <c r="L1905" s="307">
        <f>$F1905*$H1905</f>
        <v/>
      </c>
      <c r="M1905" s="306" t="n"/>
      <c r="N1905" s="306" t="n"/>
      <c r="O1905" s="306" t="n"/>
      <c r="P1905" s="306" t="n"/>
      <c r="Q1905" s="306" t="n"/>
    </row>
    <row r="1906" ht="18.75" customHeight="1">
      <c r="B1906" s="288" t="n">
        <v>45548</v>
      </c>
      <c r="C1906" s="289" t="n">
        <v>1211</v>
      </c>
      <c r="D1906" s="290" t="inlineStr">
        <is>
          <t>Uang makan (6 - 11 September 2024) 6 days</t>
        </is>
      </c>
      <c r="E1906" s="306" t="inlineStr">
        <is>
          <t>-</t>
        </is>
      </c>
      <c r="F1906" s="307" t="n">
        <v>900000</v>
      </c>
      <c r="G1906" s="289" t="inlineStr">
        <is>
          <t>IDR</t>
        </is>
      </c>
      <c r="H1906" s="293" t="n">
        <v>1</v>
      </c>
      <c r="I1906" s="306" t="n"/>
      <c r="J1906" s="306" t="n"/>
      <c r="K1906" s="306" t="n"/>
      <c r="L1906" s="307">
        <f>$F1906*$H1906</f>
        <v/>
      </c>
      <c r="M1906" s="306" t="n"/>
      <c r="N1906" s="306" t="n"/>
      <c r="O1906" s="306" t="n"/>
      <c r="P1906" s="306" t="n"/>
      <c r="Q1906" s="306" t="n"/>
    </row>
    <row r="1907" ht="18.75" customHeight="1">
      <c r="B1907" s="288" t="n">
        <v>45548</v>
      </c>
      <c r="C1907" s="289" t="n">
        <v>1212</v>
      </c>
      <c r="D1907" s="290" t="inlineStr">
        <is>
          <t>Uang makan (6 - 11 September 2024) 6 days</t>
        </is>
      </c>
      <c r="E1907" s="306" t="inlineStr">
        <is>
          <t>-</t>
        </is>
      </c>
      <c r="F1907" s="307" t="n">
        <v>900000</v>
      </c>
      <c r="G1907" s="289" t="inlineStr">
        <is>
          <t>IDR</t>
        </is>
      </c>
      <c r="H1907" s="293" t="n">
        <v>1</v>
      </c>
      <c r="I1907" s="306" t="n"/>
      <c r="J1907" s="306" t="n"/>
      <c r="K1907" s="306" t="n"/>
      <c r="L1907" s="307">
        <f>$F1907*$H1907</f>
        <v/>
      </c>
      <c r="M1907" s="306" t="n"/>
      <c r="N1907" s="306" t="n"/>
      <c r="O1907" s="306" t="n"/>
      <c r="P1907" s="306" t="n"/>
      <c r="Q1907" s="306" t="n"/>
    </row>
    <row r="1908">
      <c r="B1908" s="310" t="inlineStr">
        <is>
          <t>Expense#31</t>
        </is>
      </c>
      <c r="C1908" s="311" t="inlineStr">
        <is>
          <t>:</t>
        </is>
      </c>
      <c r="D1908" s="310" t="inlineStr">
        <is>
          <t>ALFA PMB-009 (Cancel)_ TMA</t>
        </is>
      </c>
      <c r="E1908" s="311" t="n"/>
      <c r="F1908" s="311" t="n"/>
      <c r="G1908" s="311" t="n"/>
      <c r="H1908" s="311" t="n"/>
      <c r="I1908" s="311" t="n"/>
      <c r="J1908" s="311" t="n"/>
      <c r="K1908" s="311" t="n"/>
      <c r="L1908" s="311" t="n"/>
      <c r="M1908" s="311" t="n"/>
      <c r="N1908" s="311" t="n"/>
      <c r="O1908" s="311" t="n"/>
      <c r="P1908" s="311" t="n"/>
      <c r="Q1908" s="311" t="n"/>
    </row>
    <row r="1909">
      <c r="B1909" s="312" t="n"/>
      <c r="C1909" s="312" t="n"/>
      <c r="D1909" s="285" t="inlineStr">
        <is>
          <t>Accommodation</t>
        </is>
      </c>
      <c r="E1909" s="312" t="n"/>
      <c r="F1909" s="312" t="n"/>
      <c r="G1909" s="312" t="n"/>
      <c r="H1909" s="312" t="n"/>
      <c r="I1909" s="312" t="n"/>
      <c r="J1909" s="312" t="n"/>
      <c r="K1909" s="312" t="n"/>
      <c r="L1909" s="312" t="n"/>
      <c r="M1909" s="312" t="n"/>
      <c r="N1909" s="312" t="n"/>
      <c r="O1909" s="312" t="n"/>
      <c r="P1909" s="312" t="n"/>
      <c r="Q1909" s="312" t="n"/>
    </row>
    <row r="1910" ht="18.75" customHeight="1">
      <c r="B1910" s="288" t="n">
        <v>45541</v>
      </c>
      <c r="C1910" s="289" t="n">
        <v>1213</v>
      </c>
      <c r="D1910" s="290" t="inlineStr">
        <is>
          <t>Hotel 6 Sept - 11 Sept (5 days)</t>
        </is>
      </c>
      <c r="E1910" s="306" t="inlineStr">
        <is>
          <t>-</t>
        </is>
      </c>
      <c r="F1910" s="307" t="n">
        <v>1800000</v>
      </c>
      <c r="G1910" s="289" t="inlineStr">
        <is>
          <t>IDR</t>
        </is>
      </c>
      <c r="H1910" s="293" t="n">
        <v>1</v>
      </c>
      <c r="I1910" s="306" t="n"/>
      <c r="J1910" s="306" t="n"/>
      <c r="K1910" s="306" t="n"/>
      <c r="L1910" s="307">
        <f>$F1910*$H1910</f>
        <v/>
      </c>
      <c r="M1910" s="306" t="n"/>
      <c r="N1910" s="306" t="n"/>
      <c r="O1910" s="306" t="n"/>
      <c r="P1910" s="306" t="n"/>
      <c r="Q1910" s="306" t="n"/>
    </row>
    <row r="1911" ht="18.75" customHeight="1">
      <c r="B1911" s="288" t="n">
        <v>45541</v>
      </c>
      <c r="C1911" s="289" t="n">
        <v>1214</v>
      </c>
      <c r="D1911" s="290" t="inlineStr">
        <is>
          <t>Hotel 6 Sept - 11 Sept (5 days)</t>
        </is>
      </c>
      <c r="E1911" s="306" t="inlineStr">
        <is>
          <t>-</t>
        </is>
      </c>
      <c r="F1911" s="307" t="n">
        <v>1800000</v>
      </c>
      <c r="G1911" s="289" t="inlineStr">
        <is>
          <t>IDR</t>
        </is>
      </c>
      <c r="H1911" s="293" t="n">
        <v>1</v>
      </c>
      <c r="I1911" s="306" t="n"/>
      <c r="J1911" s="306" t="n"/>
      <c r="K1911" s="306" t="n"/>
      <c r="L1911" s="307">
        <f>$F1911*$H1911</f>
        <v/>
      </c>
      <c r="M1911" s="306" t="n"/>
      <c r="N1911" s="306" t="n"/>
      <c r="O1911" s="306" t="n"/>
      <c r="P1911" s="306" t="n"/>
      <c r="Q1911" s="306" t="n"/>
    </row>
    <row r="1912" ht="18.75" customHeight="1">
      <c r="B1912" s="288" t="n">
        <v>45541</v>
      </c>
      <c r="C1912" s="289" t="n">
        <v>1215</v>
      </c>
      <c r="D1912" s="290" t="inlineStr">
        <is>
          <t>Hotel 6 Sept - 11 Sept (5 days)</t>
        </is>
      </c>
      <c r="E1912" s="306" t="inlineStr">
        <is>
          <t>-</t>
        </is>
      </c>
      <c r="F1912" s="307" t="n">
        <v>1800000</v>
      </c>
      <c r="G1912" s="289" t="inlineStr">
        <is>
          <t>IDR</t>
        </is>
      </c>
      <c r="H1912" s="293" t="n">
        <v>1</v>
      </c>
      <c r="I1912" s="306" t="n"/>
      <c r="J1912" s="306" t="n"/>
      <c r="K1912" s="306" t="n"/>
      <c r="L1912" s="307">
        <f>$F1912*$H1912</f>
        <v/>
      </c>
      <c r="M1912" s="306" t="n"/>
      <c r="N1912" s="306" t="n"/>
      <c r="O1912" s="306" t="n"/>
      <c r="P1912" s="306" t="n"/>
      <c r="Q1912" s="306" t="n"/>
    </row>
    <row r="1913" ht="18.75" customHeight="1">
      <c r="B1913" s="288" t="n">
        <v>45541</v>
      </c>
      <c r="C1913" s="289" t="n">
        <v>1216</v>
      </c>
      <c r="D1913" s="290" t="inlineStr">
        <is>
          <t>Hotel 6 Sept - 11 Sept (5 days)</t>
        </is>
      </c>
      <c r="E1913" s="306" t="inlineStr">
        <is>
          <t>-</t>
        </is>
      </c>
      <c r="F1913" s="307" t="n">
        <v>1800000</v>
      </c>
      <c r="G1913" s="289" t="inlineStr">
        <is>
          <t>IDR</t>
        </is>
      </c>
      <c r="H1913" s="293" t="n">
        <v>1</v>
      </c>
      <c r="I1913" s="306" t="n"/>
      <c r="J1913" s="306" t="n"/>
      <c r="K1913" s="306" t="n"/>
      <c r="L1913" s="307">
        <f>$F1913*$H1913</f>
        <v/>
      </c>
      <c r="M1913" s="306" t="n"/>
      <c r="N1913" s="306" t="n"/>
      <c r="O1913" s="306" t="n"/>
      <c r="P1913" s="306" t="n"/>
      <c r="Q1913" s="306" t="n"/>
    </row>
    <row r="1914">
      <c r="B1914" s="312" t="n"/>
      <c r="C1914" s="312" t="n"/>
      <c r="D1914" s="285" t="inlineStr">
        <is>
          <t>Allowance</t>
        </is>
      </c>
      <c r="E1914" s="312" t="n"/>
      <c r="F1914" s="312" t="n"/>
      <c r="G1914" s="312" t="n"/>
      <c r="H1914" s="312" t="n"/>
      <c r="I1914" s="312" t="n"/>
      <c r="J1914" s="312" t="n"/>
      <c r="K1914" s="312" t="n"/>
      <c r="L1914" s="312" t="n"/>
      <c r="M1914" s="312" t="n"/>
      <c r="N1914" s="312" t="n"/>
      <c r="O1914" s="312" t="n"/>
      <c r="P1914" s="312" t="n"/>
      <c r="Q1914" s="312" t="n"/>
    </row>
    <row r="1915" ht="18.75" customHeight="1">
      <c r="B1915" s="288" t="n">
        <v>45541</v>
      </c>
      <c r="C1915" s="289" t="n">
        <v>1217</v>
      </c>
      <c r="D1915" s="290" t="inlineStr">
        <is>
          <t>Field Allowance</t>
        </is>
      </c>
      <c r="E1915" s="306" t="inlineStr">
        <is>
          <t>-</t>
        </is>
      </c>
      <c r="F1915" s="307" t="n">
        <v>600</v>
      </c>
      <c r="G1915" s="289" t="inlineStr">
        <is>
          <t>USD</t>
        </is>
      </c>
      <c r="H1915" s="293" t="n">
        <v>15438</v>
      </c>
      <c r="I1915" s="306" t="n"/>
      <c r="J1915" s="306" t="n"/>
      <c r="K1915" s="306" t="n"/>
      <c r="L1915" s="307">
        <f>$F1915*$H1915</f>
        <v/>
      </c>
      <c r="M1915" s="306" t="n"/>
      <c r="N1915" s="306" t="n"/>
      <c r="O1915" s="306" t="n"/>
      <c r="P1915" s="306" t="n"/>
      <c r="Q1915" s="306" t="n"/>
    </row>
    <row r="1916" ht="18.75" customHeight="1">
      <c r="B1916" s="288" t="n">
        <v>45541</v>
      </c>
      <c r="C1916" s="289" t="n">
        <v>1218</v>
      </c>
      <c r="D1916" s="290" t="inlineStr">
        <is>
          <t>Field Allowance</t>
        </is>
      </c>
      <c r="E1916" s="306" t="inlineStr">
        <is>
          <t>-</t>
        </is>
      </c>
      <c r="F1916" s="307" t="n">
        <v>600</v>
      </c>
      <c r="G1916" s="289" t="inlineStr">
        <is>
          <t>USD</t>
        </is>
      </c>
      <c r="H1916" s="293" t="n">
        <v>15438</v>
      </c>
      <c r="I1916" s="306" t="n"/>
      <c r="J1916" s="306" t="n"/>
      <c r="K1916" s="306" t="n"/>
      <c r="L1916" s="307">
        <f>$F1916*$H1916</f>
        <v/>
      </c>
      <c r="M1916" s="306" t="n"/>
      <c r="N1916" s="306" t="n"/>
      <c r="O1916" s="306" t="n"/>
      <c r="P1916" s="306" t="n"/>
      <c r="Q1916" s="306" t="n"/>
    </row>
    <row r="1917" ht="18.75" customHeight="1">
      <c r="B1917" s="288" t="n">
        <v>45541</v>
      </c>
      <c r="C1917" s="289" t="n">
        <v>1219</v>
      </c>
      <c r="D1917" s="290" t="inlineStr">
        <is>
          <t>Field Allowance</t>
        </is>
      </c>
      <c r="E1917" s="306" t="inlineStr">
        <is>
          <t>-</t>
        </is>
      </c>
      <c r="F1917" s="307" t="n">
        <v>600</v>
      </c>
      <c r="G1917" s="289" t="inlineStr">
        <is>
          <t>USD</t>
        </is>
      </c>
      <c r="H1917" s="293" t="n">
        <v>15438</v>
      </c>
      <c r="I1917" s="306" t="n"/>
      <c r="J1917" s="306" t="n"/>
      <c r="K1917" s="306" t="n"/>
      <c r="L1917" s="307">
        <f>$F1917*$H1917</f>
        <v/>
      </c>
      <c r="M1917" s="306" t="n"/>
      <c r="N1917" s="306" t="n"/>
      <c r="O1917" s="306" t="n"/>
      <c r="P1917" s="306" t="n"/>
      <c r="Q1917" s="306" t="n"/>
    </row>
    <row r="1918" ht="18.75" customHeight="1">
      <c r="B1918" s="288" t="n">
        <v>45541</v>
      </c>
      <c r="C1918" s="289" t="n">
        <v>1220</v>
      </c>
      <c r="D1918" s="290" t="inlineStr">
        <is>
          <t>Field Allowance</t>
        </is>
      </c>
      <c r="E1918" s="306" t="inlineStr">
        <is>
          <t>-</t>
        </is>
      </c>
      <c r="F1918" s="307" t="n">
        <v>600</v>
      </c>
      <c r="G1918" s="289" t="inlineStr">
        <is>
          <t>USD</t>
        </is>
      </c>
      <c r="H1918" s="293" t="n">
        <v>15438</v>
      </c>
      <c r="I1918" s="306" t="n"/>
      <c r="J1918" s="306" t="n"/>
      <c r="K1918" s="306" t="n"/>
      <c r="L1918" s="307">
        <f>$F1918*$H1918</f>
        <v/>
      </c>
      <c r="M1918" s="306" t="n"/>
      <c r="N1918" s="306" t="n"/>
      <c r="O1918" s="306" t="n"/>
      <c r="P1918" s="306" t="n"/>
      <c r="Q1918" s="306" t="n"/>
    </row>
    <row r="1919">
      <c r="B1919" s="312" t="n"/>
      <c r="C1919" s="312" t="n"/>
      <c r="D1919" s="285" t="inlineStr">
        <is>
          <t>Biaya Operasi Lain-lain</t>
        </is>
      </c>
      <c r="E1919" s="312" t="n"/>
      <c r="F1919" s="312" t="n"/>
      <c r="G1919" s="312" t="n"/>
      <c r="H1919" s="312" t="n"/>
      <c r="I1919" s="312" t="n"/>
      <c r="J1919" s="312" t="n"/>
      <c r="K1919" s="312" t="n"/>
      <c r="L1919" s="312" t="n"/>
      <c r="M1919" s="312" t="n"/>
      <c r="N1919" s="312" t="n"/>
      <c r="O1919" s="312" t="n"/>
      <c r="P1919" s="312" t="n"/>
      <c r="Q1919" s="312" t="n"/>
    </row>
    <row r="1920" ht="18.75" customHeight="1">
      <c r="B1920" s="288" t="n">
        <v>45541</v>
      </c>
      <c r="C1920" s="289" t="n">
        <v>1221</v>
      </c>
      <c r="D1920" s="290" t="inlineStr">
        <is>
          <t>Rent Car 6 Days</t>
        </is>
      </c>
      <c r="E1920" s="306" t="inlineStr">
        <is>
          <t>-</t>
        </is>
      </c>
      <c r="F1920" s="307" t="n">
        <v>3000000</v>
      </c>
      <c r="G1920" s="289" t="inlineStr">
        <is>
          <t>IDR</t>
        </is>
      </c>
      <c r="H1920" s="293" t="n">
        <v>1</v>
      </c>
      <c r="I1920" s="306" t="n"/>
      <c r="J1920" s="306" t="n"/>
      <c r="K1920" s="306" t="n"/>
      <c r="L1920" s="307">
        <f>$F1920*$H1920</f>
        <v/>
      </c>
      <c r="M1920" s="306" t="n"/>
      <c r="N1920" s="306" t="n"/>
      <c r="O1920" s="306" t="n"/>
      <c r="P1920" s="306" t="n"/>
      <c r="Q1920" s="306" t="n"/>
    </row>
    <row r="1921" ht="18.75" customHeight="1">
      <c r="B1921" s="288" t="n">
        <v>45541</v>
      </c>
      <c r="C1921" s="289" t="n">
        <v>1222</v>
      </c>
      <c r="D1921" s="290" t="inlineStr">
        <is>
          <t>Rent Car 6 Days</t>
        </is>
      </c>
      <c r="E1921" s="306" t="inlineStr">
        <is>
          <t>-</t>
        </is>
      </c>
      <c r="F1921" s="307" t="n">
        <v>3000000</v>
      </c>
      <c r="G1921" s="289" t="inlineStr">
        <is>
          <t>IDR</t>
        </is>
      </c>
      <c r="H1921" s="293" t="n">
        <v>1</v>
      </c>
      <c r="I1921" s="306" t="n"/>
      <c r="J1921" s="306" t="n"/>
      <c r="K1921" s="306" t="n"/>
      <c r="L1921" s="307">
        <f>$F1921*$H1921</f>
        <v/>
      </c>
      <c r="M1921" s="306" t="n"/>
      <c r="N1921" s="306" t="n"/>
      <c r="O1921" s="306" t="n"/>
      <c r="P1921" s="306" t="n"/>
      <c r="Q1921" s="306" t="n"/>
    </row>
    <row r="1922" ht="18.75" customHeight="1">
      <c r="B1922" s="288" t="n">
        <v>45541</v>
      </c>
      <c r="C1922" s="289" t="n">
        <v>1223</v>
      </c>
      <c r="D1922" s="290" t="inlineStr">
        <is>
          <t>Rent Car 6 Days</t>
        </is>
      </c>
      <c r="E1922" s="306" t="inlineStr">
        <is>
          <t>-</t>
        </is>
      </c>
      <c r="F1922" s="307" t="n">
        <v>3000000</v>
      </c>
      <c r="G1922" s="289" t="inlineStr">
        <is>
          <t>IDR</t>
        </is>
      </c>
      <c r="H1922" s="293" t="n">
        <v>1</v>
      </c>
      <c r="I1922" s="306" t="n"/>
      <c r="J1922" s="306" t="n"/>
      <c r="K1922" s="306" t="n"/>
      <c r="L1922" s="307">
        <f>$F1922*$H1922</f>
        <v/>
      </c>
      <c r="M1922" s="306" t="n"/>
      <c r="N1922" s="306" t="n"/>
      <c r="O1922" s="306" t="n"/>
      <c r="P1922" s="306" t="n"/>
      <c r="Q1922" s="306" t="n"/>
    </row>
    <row r="1923" ht="18.75" customHeight="1">
      <c r="B1923" s="288" t="n">
        <v>45541</v>
      </c>
      <c r="C1923" s="289" t="n">
        <v>1224</v>
      </c>
      <c r="D1923" s="290" t="inlineStr">
        <is>
          <t>Rent Car 6 Days</t>
        </is>
      </c>
      <c r="E1923" s="306" t="inlineStr">
        <is>
          <t>-</t>
        </is>
      </c>
      <c r="F1923" s="307" t="n">
        <v>3000000</v>
      </c>
      <c r="G1923" s="289" t="inlineStr">
        <is>
          <t>IDR</t>
        </is>
      </c>
      <c r="H1923" s="293" t="n">
        <v>1</v>
      </c>
      <c r="I1923" s="306" t="n"/>
      <c r="J1923" s="306" t="n"/>
      <c r="K1923" s="306" t="n"/>
      <c r="L1923" s="307">
        <f>$F1923*$H1923</f>
        <v/>
      </c>
      <c r="M1923" s="306" t="n"/>
      <c r="N1923" s="306" t="n"/>
      <c r="O1923" s="306" t="n"/>
      <c r="P1923" s="306" t="n"/>
      <c r="Q1923" s="306" t="n"/>
    </row>
    <row r="1924">
      <c r="B1924" s="312" t="n"/>
      <c r="C1924" s="312" t="n"/>
      <c r="D1924" s="285" t="inlineStr">
        <is>
          <t>Laundry</t>
        </is>
      </c>
      <c r="E1924" s="312" t="n"/>
      <c r="F1924" s="312" t="n"/>
      <c r="G1924" s="312" t="n"/>
      <c r="H1924" s="312" t="n"/>
      <c r="I1924" s="312" t="n"/>
      <c r="J1924" s="312" t="n"/>
      <c r="K1924" s="312" t="n"/>
      <c r="L1924" s="312" t="n"/>
      <c r="M1924" s="312" t="n"/>
      <c r="N1924" s="312" t="n"/>
      <c r="O1924" s="312" t="n"/>
      <c r="P1924" s="312" t="n"/>
      <c r="Q1924" s="312" t="n"/>
    </row>
    <row r="1925" ht="18.75" customHeight="1">
      <c r="B1925" s="288" t="n">
        <v>45541</v>
      </c>
      <c r="C1925" s="289" t="n">
        <v>1225</v>
      </c>
      <c r="D1925" s="290" t="inlineStr">
        <is>
          <t>Laundry 6 days 1 Persons @ 50K IDR/day</t>
        </is>
      </c>
      <c r="E1925" s="306" t="inlineStr">
        <is>
          <t>-</t>
        </is>
      </c>
      <c r="F1925" s="307" t="n">
        <v>300000</v>
      </c>
      <c r="G1925" s="289" t="inlineStr">
        <is>
          <t>IDR</t>
        </is>
      </c>
      <c r="H1925" s="293" t="n">
        <v>1</v>
      </c>
      <c r="I1925" s="306" t="n"/>
      <c r="J1925" s="306" t="n"/>
      <c r="K1925" s="306" t="n"/>
      <c r="L1925" s="307">
        <f>$F1925*$H1925</f>
        <v/>
      </c>
      <c r="M1925" s="306" t="n"/>
      <c r="N1925" s="306" t="n"/>
      <c r="O1925" s="306" t="n"/>
      <c r="P1925" s="306" t="n"/>
      <c r="Q1925" s="306" t="n"/>
    </row>
    <row r="1926" ht="18.75" customHeight="1">
      <c r="B1926" s="288" t="n">
        <v>45541</v>
      </c>
      <c r="C1926" s="289" t="n">
        <v>1226</v>
      </c>
      <c r="D1926" s="290" t="inlineStr">
        <is>
          <t>Laundry 6 days 1 Persons @ 50K IDR/day</t>
        </is>
      </c>
      <c r="E1926" s="306" t="inlineStr">
        <is>
          <t>-</t>
        </is>
      </c>
      <c r="F1926" s="307" t="n">
        <v>300000</v>
      </c>
      <c r="G1926" s="289" t="inlineStr">
        <is>
          <t>IDR</t>
        </is>
      </c>
      <c r="H1926" s="293" t="n">
        <v>1</v>
      </c>
      <c r="I1926" s="306" t="n"/>
      <c r="J1926" s="306" t="n"/>
      <c r="K1926" s="306" t="n"/>
      <c r="L1926" s="307">
        <f>$F1926*$H1926</f>
        <v/>
      </c>
      <c r="M1926" s="306" t="n"/>
      <c r="N1926" s="306" t="n"/>
      <c r="O1926" s="306" t="n"/>
      <c r="P1926" s="306" t="n"/>
      <c r="Q1926" s="306" t="n"/>
    </row>
    <row r="1927" ht="18.75" customHeight="1">
      <c r="B1927" s="288" t="n">
        <v>45541</v>
      </c>
      <c r="C1927" s="289" t="n">
        <v>1227</v>
      </c>
      <c r="D1927" s="290" t="inlineStr">
        <is>
          <t>Laundry 6 days 1 Persons @ 50K IDR/day</t>
        </is>
      </c>
      <c r="E1927" s="306" t="inlineStr">
        <is>
          <t>-</t>
        </is>
      </c>
      <c r="F1927" s="307" t="n">
        <v>300000</v>
      </c>
      <c r="G1927" s="289" t="inlineStr">
        <is>
          <t>IDR</t>
        </is>
      </c>
      <c r="H1927" s="293" t="n">
        <v>1</v>
      </c>
      <c r="I1927" s="306" t="n"/>
      <c r="J1927" s="306" t="n"/>
      <c r="K1927" s="306" t="n"/>
      <c r="L1927" s="307">
        <f>$F1927*$H1927</f>
        <v/>
      </c>
      <c r="M1927" s="306" t="n"/>
      <c r="N1927" s="306" t="n"/>
      <c r="O1927" s="306" t="n"/>
      <c r="P1927" s="306" t="n"/>
      <c r="Q1927" s="306" t="n"/>
    </row>
    <row r="1928" ht="18.75" customHeight="1">
      <c r="B1928" s="288" t="n">
        <v>45541</v>
      </c>
      <c r="C1928" s="289" t="n">
        <v>1228</v>
      </c>
      <c r="D1928" s="290" t="inlineStr">
        <is>
          <t>Laundry 6 days 1 Persons @ 50K IDR/day</t>
        </is>
      </c>
      <c r="E1928" s="306" t="inlineStr">
        <is>
          <t>-</t>
        </is>
      </c>
      <c r="F1928" s="307" t="n">
        <v>300000</v>
      </c>
      <c r="G1928" s="289" t="inlineStr">
        <is>
          <t>IDR</t>
        </is>
      </c>
      <c r="H1928" s="293" t="n">
        <v>1</v>
      </c>
      <c r="I1928" s="306" t="n"/>
      <c r="J1928" s="306" t="n"/>
      <c r="K1928" s="306" t="n"/>
      <c r="L1928" s="307">
        <f>$F1928*$H1928</f>
        <v/>
      </c>
      <c r="M1928" s="306" t="n"/>
      <c r="N1928" s="306" t="n"/>
      <c r="O1928" s="306" t="n"/>
      <c r="P1928" s="306" t="n"/>
      <c r="Q1928" s="306" t="n"/>
    </row>
    <row r="1929">
      <c r="B1929" s="312" t="n"/>
      <c r="C1929" s="312" t="n"/>
      <c r="D1929" s="285" t="inlineStr">
        <is>
          <t>Meal</t>
        </is>
      </c>
      <c r="E1929" s="312" t="n"/>
      <c r="F1929" s="312" t="n"/>
      <c r="G1929" s="312" t="n"/>
      <c r="H1929" s="312" t="n"/>
      <c r="I1929" s="312" t="n"/>
      <c r="J1929" s="312" t="n"/>
      <c r="K1929" s="312" t="n"/>
      <c r="L1929" s="312" t="n"/>
      <c r="M1929" s="312" t="n"/>
      <c r="N1929" s="312" t="n"/>
      <c r="O1929" s="312" t="n"/>
      <c r="P1929" s="312" t="n"/>
      <c r="Q1929" s="312" t="n"/>
    </row>
    <row r="1930" ht="18.75" customHeight="1">
      <c r="B1930" s="288" t="n">
        <v>45541</v>
      </c>
      <c r="C1930" s="289" t="n">
        <v>1229</v>
      </c>
      <c r="D1930" s="290" t="inlineStr">
        <is>
          <t>Meals</t>
        </is>
      </c>
      <c r="E1930" s="306" t="inlineStr">
        <is>
          <t>-</t>
        </is>
      </c>
      <c r="F1930" s="307" t="n">
        <v>900000</v>
      </c>
      <c r="G1930" s="289" t="inlineStr">
        <is>
          <t>IDR</t>
        </is>
      </c>
      <c r="H1930" s="293" t="n">
        <v>1</v>
      </c>
      <c r="I1930" s="306" t="n"/>
      <c r="J1930" s="306" t="n"/>
      <c r="K1930" s="306" t="n"/>
      <c r="L1930" s="307">
        <f>$F1930*$H1930</f>
        <v/>
      </c>
      <c r="M1930" s="306" t="n"/>
      <c r="N1930" s="306" t="n"/>
      <c r="O1930" s="306" t="n"/>
      <c r="P1930" s="306" t="n"/>
      <c r="Q1930" s="306" t="n"/>
    </row>
    <row r="1931" ht="18.75" customHeight="1">
      <c r="B1931" s="288" t="n">
        <v>45541</v>
      </c>
      <c r="C1931" s="289" t="n">
        <v>1230</v>
      </c>
      <c r="D1931" s="290" t="inlineStr">
        <is>
          <t>Meals</t>
        </is>
      </c>
      <c r="E1931" s="306" t="inlineStr">
        <is>
          <t>-</t>
        </is>
      </c>
      <c r="F1931" s="307" t="n">
        <v>900000</v>
      </c>
      <c r="G1931" s="289" t="inlineStr">
        <is>
          <t>IDR</t>
        </is>
      </c>
      <c r="H1931" s="293" t="n">
        <v>1</v>
      </c>
      <c r="I1931" s="306" t="n"/>
      <c r="J1931" s="306" t="n"/>
      <c r="K1931" s="306" t="n"/>
      <c r="L1931" s="307">
        <f>$F1931*$H1931</f>
        <v/>
      </c>
      <c r="M1931" s="306" t="n"/>
      <c r="N1931" s="306" t="n"/>
      <c r="O1931" s="306" t="n"/>
      <c r="P1931" s="306" t="n"/>
      <c r="Q1931" s="306" t="n"/>
    </row>
    <row r="1932" ht="18.75" customHeight="1">
      <c r="B1932" s="288" t="n">
        <v>45541</v>
      </c>
      <c r="C1932" s="289" t="n">
        <v>1231</v>
      </c>
      <c r="D1932" s="290" t="inlineStr">
        <is>
          <t>Meals</t>
        </is>
      </c>
      <c r="E1932" s="306" t="inlineStr">
        <is>
          <t>-</t>
        </is>
      </c>
      <c r="F1932" s="307" t="n">
        <v>900000</v>
      </c>
      <c r="G1932" s="289" t="inlineStr">
        <is>
          <t>IDR</t>
        </is>
      </c>
      <c r="H1932" s="293" t="n">
        <v>1</v>
      </c>
      <c r="I1932" s="306" t="n"/>
      <c r="J1932" s="306" t="n"/>
      <c r="K1932" s="306" t="n"/>
      <c r="L1932" s="307">
        <f>$F1932*$H1932</f>
        <v/>
      </c>
      <c r="M1932" s="306" t="n"/>
      <c r="N1932" s="306" t="n"/>
      <c r="O1932" s="306" t="n"/>
      <c r="P1932" s="306" t="n"/>
      <c r="Q1932" s="306" t="n"/>
    </row>
    <row r="1933" ht="18.75" customHeight="1">
      <c r="B1933" s="288" t="n">
        <v>45541</v>
      </c>
      <c r="C1933" s="289" t="n">
        <v>1232</v>
      </c>
      <c r="D1933" s="290" t="inlineStr">
        <is>
          <t>Meals</t>
        </is>
      </c>
      <c r="E1933" s="306" t="inlineStr">
        <is>
          <t>-</t>
        </is>
      </c>
      <c r="F1933" s="307" t="n">
        <v>900000</v>
      </c>
      <c r="G1933" s="289" t="inlineStr">
        <is>
          <t>IDR</t>
        </is>
      </c>
      <c r="H1933" s="293" t="n">
        <v>1</v>
      </c>
      <c r="I1933" s="306" t="n"/>
      <c r="J1933" s="306" t="n"/>
      <c r="K1933" s="306" t="n"/>
      <c r="L1933" s="307">
        <f>$F1933*$H1933</f>
        <v/>
      </c>
      <c r="M1933" s="306" t="n"/>
      <c r="N1933" s="306" t="n"/>
      <c r="O1933" s="306" t="n"/>
      <c r="P1933" s="306" t="n"/>
      <c r="Q1933" s="306" t="n"/>
    </row>
    <row r="1934">
      <c r="B1934" s="312" t="n"/>
      <c r="C1934" s="312" t="n"/>
      <c r="D1934" s="285" t="inlineStr">
        <is>
          <t>Transportation</t>
        </is>
      </c>
      <c r="E1934" s="312" t="n"/>
      <c r="F1934" s="312" t="n"/>
      <c r="G1934" s="312" t="n"/>
      <c r="H1934" s="312" t="n"/>
      <c r="I1934" s="312" t="n"/>
      <c r="J1934" s="312" t="n"/>
      <c r="K1934" s="312" t="n"/>
      <c r="L1934" s="312" t="n"/>
      <c r="M1934" s="312" t="n"/>
      <c r="N1934" s="312" t="n"/>
      <c r="O1934" s="312" t="n"/>
      <c r="P1934" s="312" t="n"/>
      <c r="Q1934" s="312" t="n"/>
    </row>
    <row r="1935" ht="18.75" customHeight="1">
      <c r="B1935" s="288" t="n">
        <v>45541</v>
      </c>
      <c r="C1935" s="289" t="n">
        <v>1233</v>
      </c>
      <c r="D1935" s="290" t="inlineStr">
        <is>
          <t>Airplane Ticket CGK-PLM</t>
        </is>
      </c>
      <c r="E1935" s="306" t="inlineStr">
        <is>
          <t>-</t>
        </is>
      </c>
      <c r="F1935" s="307" t="n">
        <v>904682</v>
      </c>
      <c r="G1935" s="289" t="inlineStr">
        <is>
          <t>IDR</t>
        </is>
      </c>
      <c r="H1935" s="293" t="n">
        <v>1</v>
      </c>
      <c r="I1935" s="306" t="n"/>
      <c r="J1935" s="306" t="n"/>
      <c r="K1935" s="306" t="n"/>
      <c r="L1935" s="307">
        <f>$F1935*$H1935</f>
        <v/>
      </c>
      <c r="M1935" s="306" t="n"/>
      <c r="N1935" s="306" t="n"/>
      <c r="O1935" s="306" t="n"/>
      <c r="P1935" s="306" t="n"/>
      <c r="Q1935" s="306" t="n"/>
    </row>
    <row r="1936" ht="18.75" customHeight="1">
      <c r="B1936" s="288" t="n">
        <v>45541</v>
      </c>
      <c r="C1936" s="289" t="n">
        <v>1234</v>
      </c>
      <c r="D1936" s="290" t="inlineStr">
        <is>
          <t>Taxi Pondok Cabe-Vania-CGK (inc Toll)</t>
        </is>
      </c>
      <c r="E1936" s="306" t="inlineStr">
        <is>
          <t>-</t>
        </is>
      </c>
      <c r="F1936" s="307" t="n">
        <v>256500</v>
      </c>
      <c r="G1936" s="289" t="inlineStr">
        <is>
          <t>IDR</t>
        </is>
      </c>
      <c r="H1936" s="293" t="n">
        <v>1</v>
      </c>
      <c r="I1936" s="306" t="n"/>
      <c r="J1936" s="306" t="n"/>
      <c r="K1936" s="306" t="n"/>
      <c r="L1936" s="307">
        <f>$F1936*$H1936</f>
        <v/>
      </c>
      <c r="M1936" s="306" t="n"/>
      <c r="N1936" s="306" t="n"/>
      <c r="O1936" s="306" t="n"/>
      <c r="P1936" s="306" t="n"/>
      <c r="Q1936" s="306" t="n"/>
    </row>
    <row r="1937" ht="18.75" customHeight="1">
      <c r="B1937" s="288" t="n">
        <v>45541</v>
      </c>
      <c r="C1937" s="289" t="n">
        <v>1235</v>
      </c>
      <c r="D1937" s="290" t="inlineStr">
        <is>
          <t>Toll (PLM-Prabumulih-PLM)</t>
        </is>
      </c>
      <c r="E1937" s="306" t="inlineStr">
        <is>
          <t>-</t>
        </is>
      </c>
      <c r="F1937" s="307" t="n">
        <v>224000</v>
      </c>
      <c r="G1937" s="289" t="inlineStr">
        <is>
          <t>IDR</t>
        </is>
      </c>
      <c r="H1937" s="293" t="n">
        <v>1</v>
      </c>
      <c r="I1937" s="306" t="n"/>
      <c r="J1937" s="306" t="n"/>
      <c r="K1937" s="306" t="n"/>
      <c r="L1937" s="307">
        <f>$F1937*$H1937</f>
        <v/>
      </c>
      <c r="M1937" s="306" t="n"/>
      <c r="N1937" s="306" t="n"/>
      <c r="O1937" s="306" t="n"/>
      <c r="P1937" s="306" t="n"/>
      <c r="Q1937" s="306" t="n"/>
    </row>
    <row r="1938" ht="18.75" customHeight="1">
      <c r="B1938" s="288" t="n">
        <v>45541</v>
      </c>
      <c r="C1938" s="289" t="n">
        <v>1236</v>
      </c>
      <c r="D1938" s="290" t="inlineStr">
        <is>
          <t>Gasoline</t>
        </is>
      </c>
      <c r="E1938" s="306" t="inlineStr">
        <is>
          <t>-</t>
        </is>
      </c>
      <c r="F1938" s="307" t="n">
        <v>400000</v>
      </c>
      <c r="G1938" s="289" t="inlineStr">
        <is>
          <t>IDR</t>
        </is>
      </c>
      <c r="H1938" s="293" t="n">
        <v>1</v>
      </c>
      <c r="I1938" s="306" t="n"/>
      <c r="J1938" s="306" t="n"/>
      <c r="K1938" s="306" t="n"/>
      <c r="L1938" s="307">
        <f>$F1938*$H1938</f>
        <v/>
      </c>
      <c r="M1938" s="306" t="n"/>
      <c r="N1938" s="306" t="n"/>
      <c r="O1938" s="306" t="n"/>
      <c r="P1938" s="306" t="n"/>
      <c r="Q1938" s="306" t="n"/>
    </row>
    <row r="1939" ht="18.75" customHeight="1">
      <c r="B1939" s="288" t="n">
        <v>45541</v>
      </c>
      <c r="C1939" s="289" t="n">
        <v>1237</v>
      </c>
      <c r="D1939" s="290" t="inlineStr">
        <is>
          <t>Taxi CGK-Pondok Cabe (inc Toll+Parking)</t>
        </is>
      </c>
      <c r="E1939" s="306" t="inlineStr">
        <is>
          <t>-</t>
        </is>
      </c>
      <c r="F1939" s="307" t="n">
        <v>310660</v>
      </c>
      <c r="G1939" s="289" t="inlineStr">
        <is>
          <t>IDR</t>
        </is>
      </c>
      <c r="H1939" s="293" t="n">
        <v>1</v>
      </c>
      <c r="I1939" s="306" t="n"/>
      <c r="J1939" s="306" t="n"/>
      <c r="K1939" s="306" t="n"/>
      <c r="L1939" s="307">
        <f>$F1939*$H1939</f>
        <v/>
      </c>
      <c r="M1939" s="306" t="n"/>
      <c r="N1939" s="306" t="n"/>
      <c r="O1939" s="306" t="n"/>
      <c r="P1939" s="306" t="n"/>
      <c r="Q1939" s="306" t="n"/>
    </row>
    <row r="1940" ht="18.75" customHeight="1">
      <c r="B1940" s="288" t="n">
        <v>45541</v>
      </c>
      <c r="C1940" s="289" t="n">
        <v>1238</v>
      </c>
      <c r="D1940" s="290" t="inlineStr">
        <is>
          <t>Gasoline</t>
        </is>
      </c>
      <c r="E1940" s="306" t="inlineStr">
        <is>
          <t>-</t>
        </is>
      </c>
      <c r="F1940" s="307" t="n">
        <v>400000</v>
      </c>
      <c r="G1940" s="289" t="inlineStr">
        <is>
          <t>IDR</t>
        </is>
      </c>
      <c r="H1940" s="293" t="n">
        <v>1</v>
      </c>
      <c r="I1940" s="306" t="n"/>
      <c r="J1940" s="306" t="n"/>
      <c r="K1940" s="306" t="n"/>
      <c r="L1940" s="307">
        <f>$F1940*$H1940</f>
        <v/>
      </c>
      <c r="M1940" s="306" t="n"/>
      <c r="N1940" s="306" t="n"/>
      <c r="O1940" s="306" t="n"/>
      <c r="P1940" s="306" t="n"/>
      <c r="Q1940" s="306" t="n"/>
    </row>
    <row r="1941" ht="18.75" customHeight="1">
      <c r="B1941" s="288" t="n">
        <v>45541</v>
      </c>
      <c r="C1941" s="289" t="n">
        <v>1239</v>
      </c>
      <c r="D1941" s="290" t="inlineStr">
        <is>
          <t>Airplane Ticket CGK-PLM</t>
        </is>
      </c>
      <c r="E1941" s="306" t="inlineStr">
        <is>
          <t>-</t>
        </is>
      </c>
      <c r="F1941" s="307" t="n">
        <v>904682</v>
      </c>
      <c r="G1941" s="289" t="inlineStr">
        <is>
          <t>IDR</t>
        </is>
      </c>
      <c r="H1941" s="293" t="n">
        <v>1</v>
      </c>
      <c r="I1941" s="306" t="n"/>
      <c r="J1941" s="306" t="n"/>
      <c r="K1941" s="306" t="n"/>
      <c r="L1941" s="307">
        <f>$F1941*$H1941</f>
        <v/>
      </c>
      <c r="M1941" s="306" t="n"/>
      <c r="N1941" s="306" t="n"/>
      <c r="O1941" s="306" t="n"/>
      <c r="P1941" s="306" t="n"/>
      <c r="Q1941" s="306" t="n"/>
    </row>
    <row r="1942" ht="18.75" customHeight="1">
      <c r="B1942" s="288" t="n">
        <v>45541</v>
      </c>
      <c r="C1942" s="289" t="n">
        <v>1240</v>
      </c>
      <c r="D1942" s="290" t="inlineStr">
        <is>
          <t>Taxi Pondok Cabe-Vania-CGK (inc Toll)</t>
        </is>
      </c>
      <c r="E1942" s="306" t="inlineStr">
        <is>
          <t>-</t>
        </is>
      </c>
      <c r="F1942" s="307" t="n">
        <v>256500</v>
      </c>
      <c r="G1942" s="289" t="inlineStr">
        <is>
          <t>IDR</t>
        </is>
      </c>
      <c r="H1942" s="293" t="n">
        <v>1</v>
      </c>
      <c r="I1942" s="306" t="n"/>
      <c r="J1942" s="306" t="n"/>
      <c r="K1942" s="306" t="n"/>
      <c r="L1942" s="307">
        <f>$F1942*$H1942</f>
        <v/>
      </c>
      <c r="M1942" s="306" t="n"/>
      <c r="N1942" s="306" t="n"/>
      <c r="O1942" s="306" t="n"/>
      <c r="P1942" s="306" t="n"/>
      <c r="Q1942" s="306" t="n"/>
    </row>
    <row r="1943" ht="18.75" customHeight="1">
      <c r="B1943" s="288" t="n">
        <v>45541</v>
      </c>
      <c r="C1943" s="289" t="n">
        <v>1241</v>
      </c>
      <c r="D1943" s="290" t="inlineStr">
        <is>
          <t>Toll (PLM-Prabumulih-PLM)</t>
        </is>
      </c>
      <c r="E1943" s="306" t="inlineStr">
        <is>
          <t>-</t>
        </is>
      </c>
      <c r="F1943" s="307" t="n">
        <v>224000</v>
      </c>
      <c r="G1943" s="289" t="inlineStr">
        <is>
          <t>IDR</t>
        </is>
      </c>
      <c r="H1943" s="293" t="n">
        <v>1</v>
      </c>
      <c r="I1943" s="306" t="n"/>
      <c r="J1943" s="306" t="n"/>
      <c r="K1943" s="306" t="n"/>
      <c r="L1943" s="307">
        <f>$F1943*$H1943</f>
        <v/>
      </c>
      <c r="M1943" s="306" t="n"/>
      <c r="N1943" s="306" t="n"/>
      <c r="O1943" s="306" t="n"/>
      <c r="P1943" s="306" t="n"/>
      <c r="Q1943" s="306" t="n"/>
    </row>
    <row r="1944" ht="18.75" customHeight="1">
      <c r="B1944" s="288" t="n">
        <v>45541</v>
      </c>
      <c r="C1944" s="289" t="n">
        <v>1242</v>
      </c>
      <c r="D1944" s="290" t="inlineStr">
        <is>
          <t>Taxi CGK-Pondok Cabe (inc Toll+Parking)</t>
        </is>
      </c>
      <c r="E1944" s="306" t="inlineStr">
        <is>
          <t>-</t>
        </is>
      </c>
      <c r="F1944" s="307" t="n">
        <v>310660</v>
      </c>
      <c r="G1944" s="289" t="inlineStr">
        <is>
          <t>IDR</t>
        </is>
      </c>
      <c r="H1944" s="293" t="n">
        <v>1</v>
      </c>
      <c r="I1944" s="306" t="n"/>
      <c r="J1944" s="306" t="n"/>
      <c r="K1944" s="306" t="n"/>
      <c r="L1944" s="307">
        <f>$F1944*$H1944</f>
        <v/>
      </c>
      <c r="M1944" s="306" t="n"/>
      <c r="N1944" s="306" t="n"/>
      <c r="O1944" s="306" t="n"/>
      <c r="P1944" s="306" t="n"/>
      <c r="Q1944" s="306" t="n"/>
    </row>
    <row r="1945" ht="18.75" customHeight="1">
      <c r="B1945" s="288" t="n">
        <v>45541</v>
      </c>
      <c r="C1945" s="289" t="n">
        <v>1243</v>
      </c>
      <c r="D1945" s="290" t="inlineStr">
        <is>
          <t>Gasoline</t>
        </is>
      </c>
      <c r="E1945" s="306" t="inlineStr">
        <is>
          <t>-</t>
        </is>
      </c>
      <c r="F1945" s="307" t="n">
        <v>400000</v>
      </c>
      <c r="G1945" s="289" t="inlineStr">
        <is>
          <t>IDR</t>
        </is>
      </c>
      <c r="H1945" s="293" t="n">
        <v>1</v>
      </c>
      <c r="I1945" s="306" t="n"/>
      <c r="J1945" s="306" t="n"/>
      <c r="K1945" s="306" t="n"/>
      <c r="L1945" s="307">
        <f>$F1945*$H1945</f>
        <v/>
      </c>
      <c r="M1945" s="306" t="n"/>
      <c r="N1945" s="306" t="n"/>
      <c r="O1945" s="306" t="n"/>
      <c r="P1945" s="306" t="n"/>
      <c r="Q1945" s="306" t="n"/>
    </row>
    <row r="1946" ht="18.75" customHeight="1">
      <c r="B1946" s="288" t="n">
        <v>45541</v>
      </c>
      <c r="C1946" s="289" t="n">
        <v>1244</v>
      </c>
      <c r="D1946" s="290" t="inlineStr">
        <is>
          <t>Airplane Ticket CGK-PLM</t>
        </is>
      </c>
      <c r="E1946" s="306" t="inlineStr">
        <is>
          <t>-</t>
        </is>
      </c>
      <c r="F1946" s="307" t="n">
        <v>904682</v>
      </c>
      <c r="G1946" s="289" t="inlineStr">
        <is>
          <t>IDR</t>
        </is>
      </c>
      <c r="H1946" s="293" t="n">
        <v>1</v>
      </c>
      <c r="I1946" s="306" t="n"/>
      <c r="J1946" s="306" t="n"/>
      <c r="K1946" s="306" t="n"/>
      <c r="L1946" s="307">
        <f>$F1946*$H1946</f>
        <v/>
      </c>
      <c r="M1946" s="306" t="n"/>
      <c r="N1946" s="306" t="n"/>
      <c r="O1946" s="306" t="n"/>
      <c r="P1946" s="306" t="n"/>
      <c r="Q1946" s="306" t="n"/>
    </row>
    <row r="1947" ht="18.75" customHeight="1">
      <c r="B1947" s="288" t="n">
        <v>45541</v>
      </c>
      <c r="C1947" s="289" t="n">
        <v>1245</v>
      </c>
      <c r="D1947" s="290" t="inlineStr">
        <is>
          <t>Taxi Pondok Cabe-Vania-CGK (inc Toll)</t>
        </is>
      </c>
      <c r="E1947" s="306" t="inlineStr">
        <is>
          <t>-</t>
        </is>
      </c>
      <c r="F1947" s="307" t="n">
        <v>256500</v>
      </c>
      <c r="G1947" s="289" t="inlineStr">
        <is>
          <t>IDR</t>
        </is>
      </c>
      <c r="H1947" s="293" t="n">
        <v>1</v>
      </c>
      <c r="I1947" s="306" t="n"/>
      <c r="J1947" s="306" t="n"/>
      <c r="K1947" s="306" t="n"/>
      <c r="L1947" s="307">
        <f>$F1947*$H1947</f>
        <v/>
      </c>
      <c r="M1947" s="306" t="n"/>
      <c r="N1947" s="306" t="n"/>
      <c r="O1947" s="306" t="n"/>
      <c r="P1947" s="306" t="n"/>
      <c r="Q1947" s="306" t="n"/>
    </row>
    <row r="1948" ht="18.75" customHeight="1">
      <c r="B1948" s="288" t="n">
        <v>45541</v>
      </c>
      <c r="C1948" s="289" t="n">
        <v>1246</v>
      </c>
      <c r="D1948" s="290" t="inlineStr">
        <is>
          <t>Toll (PLM-Prabumulih-PLM)</t>
        </is>
      </c>
      <c r="E1948" s="306" t="inlineStr">
        <is>
          <t>-</t>
        </is>
      </c>
      <c r="F1948" s="307" t="n">
        <v>224000</v>
      </c>
      <c r="G1948" s="289" t="inlineStr">
        <is>
          <t>IDR</t>
        </is>
      </c>
      <c r="H1948" s="293" t="n">
        <v>1</v>
      </c>
      <c r="I1948" s="306" t="n"/>
      <c r="J1948" s="306" t="n"/>
      <c r="K1948" s="306" t="n"/>
      <c r="L1948" s="307">
        <f>$F1948*$H1948</f>
        <v/>
      </c>
      <c r="M1948" s="306" t="n"/>
      <c r="N1948" s="306" t="n"/>
      <c r="O1948" s="306" t="n"/>
      <c r="P1948" s="306" t="n"/>
      <c r="Q1948" s="306" t="n"/>
    </row>
    <row r="1949" ht="18.75" customHeight="1">
      <c r="B1949" s="288" t="n">
        <v>45541</v>
      </c>
      <c r="C1949" s="289" t="n">
        <v>1247</v>
      </c>
      <c r="D1949" s="290" t="inlineStr">
        <is>
          <t>Taxi CGK-Pondok Cabe (inc Toll+Parking)</t>
        </is>
      </c>
      <c r="E1949" s="306" t="inlineStr">
        <is>
          <t>-</t>
        </is>
      </c>
      <c r="F1949" s="307" t="n">
        <v>310660</v>
      </c>
      <c r="G1949" s="289" t="inlineStr">
        <is>
          <t>IDR</t>
        </is>
      </c>
      <c r="H1949" s="293" t="n">
        <v>1</v>
      </c>
      <c r="I1949" s="306" t="n"/>
      <c r="J1949" s="306" t="n"/>
      <c r="K1949" s="306" t="n"/>
      <c r="L1949" s="307">
        <f>$F1949*$H1949</f>
        <v/>
      </c>
      <c r="M1949" s="306" t="n"/>
      <c r="N1949" s="306" t="n"/>
      <c r="O1949" s="306" t="n"/>
      <c r="P1949" s="306" t="n"/>
      <c r="Q1949" s="306" t="n"/>
    </row>
    <row r="1950" ht="18.75" customHeight="1">
      <c r="B1950" s="288" t="n">
        <v>45541</v>
      </c>
      <c r="C1950" s="289" t="n">
        <v>1248</v>
      </c>
      <c r="D1950" s="290" t="inlineStr">
        <is>
          <t>Gasoline</t>
        </is>
      </c>
      <c r="E1950" s="306" t="inlineStr">
        <is>
          <t>-</t>
        </is>
      </c>
      <c r="F1950" s="307" t="n">
        <v>400000</v>
      </c>
      <c r="G1950" s="289" t="inlineStr">
        <is>
          <t>IDR</t>
        </is>
      </c>
      <c r="H1950" s="293" t="n">
        <v>1</v>
      </c>
      <c r="I1950" s="306" t="n"/>
      <c r="J1950" s="306" t="n"/>
      <c r="K1950" s="306" t="n"/>
      <c r="L1950" s="307">
        <f>$F1950*$H1950</f>
        <v/>
      </c>
      <c r="M1950" s="306" t="n"/>
      <c r="N1950" s="306" t="n"/>
      <c r="O1950" s="306" t="n"/>
      <c r="P1950" s="306" t="n"/>
      <c r="Q1950" s="306" t="n"/>
    </row>
    <row r="1951" ht="18.75" customHeight="1">
      <c r="B1951" s="288" t="n">
        <v>45541</v>
      </c>
      <c r="C1951" s="289" t="n">
        <v>1249</v>
      </c>
      <c r="D1951" s="290" t="inlineStr">
        <is>
          <t>Airplane Ticket CGK-PLM</t>
        </is>
      </c>
      <c r="E1951" s="306" t="inlineStr">
        <is>
          <t>-</t>
        </is>
      </c>
      <c r="F1951" s="307" t="n">
        <v>904682</v>
      </c>
      <c r="G1951" s="289" t="inlineStr">
        <is>
          <t>IDR</t>
        </is>
      </c>
      <c r="H1951" s="293" t="n">
        <v>1</v>
      </c>
      <c r="I1951" s="306" t="n"/>
      <c r="J1951" s="306" t="n"/>
      <c r="K1951" s="306" t="n"/>
      <c r="L1951" s="307">
        <f>$F1951*$H1951</f>
        <v/>
      </c>
      <c r="M1951" s="306" t="n"/>
      <c r="N1951" s="306" t="n"/>
      <c r="O1951" s="306" t="n"/>
      <c r="P1951" s="306" t="n"/>
      <c r="Q1951" s="306" t="n"/>
    </row>
    <row r="1952" ht="18.75" customHeight="1">
      <c r="B1952" s="288" t="n">
        <v>45541</v>
      </c>
      <c r="C1952" s="289" t="n">
        <v>1250</v>
      </c>
      <c r="D1952" s="290" t="inlineStr">
        <is>
          <t>Taxi Pondok Cabe-Vania-CGK (inc Toll)</t>
        </is>
      </c>
      <c r="E1952" s="306" t="inlineStr">
        <is>
          <t>-</t>
        </is>
      </c>
      <c r="F1952" s="307" t="n">
        <v>256500</v>
      </c>
      <c r="G1952" s="289" t="inlineStr">
        <is>
          <t>IDR</t>
        </is>
      </c>
      <c r="H1952" s="293" t="n">
        <v>1</v>
      </c>
      <c r="I1952" s="306" t="n"/>
      <c r="J1952" s="306" t="n"/>
      <c r="K1952" s="306" t="n"/>
      <c r="L1952" s="307">
        <f>$F1952*$H1952</f>
        <v/>
      </c>
      <c r="M1952" s="306" t="n"/>
      <c r="N1952" s="306" t="n"/>
      <c r="O1952" s="306" t="n"/>
      <c r="P1952" s="306" t="n"/>
      <c r="Q1952" s="306" t="n"/>
    </row>
    <row r="1953" ht="18.75" customHeight="1">
      <c r="B1953" s="288" t="n">
        <v>45541</v>
      </c>
      <c r="C1953" s="289" t="n">
        <v>1251</v>
      </c>
      <c r="D1953" s="290" t="inlineStr">
        <is>
          <t>Toll (PLM-Prabumulih-PLM)</t>
        </is>
      </c>
      <c r="E1953" s="306" t="inlineStr">
        <is>
          <t>-</t>
        </is>
      </c>
      <c r="F1953" s="307" t="n">
        <v>224000</v>
      </c>
      <c r="G1953" s="289" t="inlineStr">
        <is>
          <t>IDR</t>
        </is>
      </c>
      <c r="H1953" s="293" t="n">
        <v>1</v>
      </c>
      <c r="I1953" s="306" t="n"/>
      <c r="J1953" s="306" t="n"/>
      <c r="K1953" s="306" t="n"/>
      <c r="L1953" s="307">
        <f>$F1953*$H1953</f>
        <v/>
      </c>
      <c r="M1953" s="306" t="n"/>
      <c r="N1953" s="306" t="n"/>
      <c r="O1953" s="306" t="n"/>
      <c r="P1953" s="306" t="n"/>
      <c r="Q1953" s="306" t="n"/>
    </row>
    <row r="1954" ht="18.75" customHeight="1">
      <c r="B1954" s="288" t="n">
        <v>45541</v>
      </c>
      <c r="C1954" s="289" t="n">
        <v>1252</v>
      </c>
      <c r="D1954" s="290" t="inlineStr">
        <is>
          <t>Taxi CGK-Pondok Cabe (inc Toll+Parking)</t>
        </is>
      </c>
      <c r="E1954" s="306" t="inlineStr">
        <is>
          <t>-</t>
        </is>
      </c>
      <c r="F1954" s="307" t="n">
        <v>310660</v>
      </c>
      <c r="G1954" s="289" t="inlineStr">
        <is>
          <t>IDR</t>
        </is>
      </c>
      <c r="H1954" s="293" t="n">
        <v>1</v>
      </c>
      <c r="I1954" s="306" t="n"/>
      <c r="J1954" s="306" t="n"/>
      <c r="K1954" s="306" t="n"/>
      <c r="L1954" s="307">
        <f>$F1954*$H1954</f>
        <v/>
      </c>
      <c r="M1954" s="306" t="n"/>
      <c r="N1954" s="306" t="n"/>
      <c r="O1954" s="306" t="n"/>
      <c r="P1954" s="306" t="n"/>
      <c r="Q1954" s="306" t="n"/>
    </row>
    <row r="1955" ht="18.75" customHeight="1">
      <c r="B1955" s="288" t="n">
        <v>45543</v>
      </c>
      <c r="C1955" s="289" t="n">
        <v>1253</v>
      </c>
      <c r="D1955" s="290" t="inlineStr">
        <is>
          <t>Airplane Ticket PLM-CGK</t>
        </is>
      </c>
      <c r="E1955" s="306" t="inlineStr">
        <is>
          <t>-</t>
        </is>
      </c>
      <c r="F1955" s="307" t="n">
        <v>836100</v>
      </c>
      <c r="G1955" s="289" t="inlineStr">
        <is>
          <t>IDR</t>
        </is>
      </c>
      <c r="H1955" s="293" t="n">
        <v>1</v>
      </c>
      <c r="I1955" s="306" t="n"/>
      <c r="J1955" s="306" t="n"/>
      <c r="K1955" s="306" t="n"/>
      <c r="L1955" s="307">
        <f>$F1955*$H1955</f>
        <v/>
      </c>
      <c r="M1955" s="306" t="n"/>
      <c r="N1955" s="306" t="n"/>
      <c r="O1955" s="306" t="n"/>
      <c r="P1955" s="306" t="n"/>
      <c r="Q1955" s="306" t="n"/>
    </row>
    <row r="1956" ht="18.75" customHeight="1">
      <c r="B1956" s="288" t="n">
        <v>45543</v>
      </c>
      <c r="C1956" s="289" t="n">
        <v>1254</v>
      </c>
      <c r="D1956" s="290" t="inlineStr">
        <is>
          <t>Airplane Ticket PLM-CGK</t>
        </is>
      </c>
      <c r="E1956" s="306" t="inlineStr">
        <is>
          <t>-</t>
        </is>
      </c>
      <c r="F1956" s="307" t="n">
        <v>836100</v>
      </c>
      <c r="G1956" s="289" t="inlineStr">
        <is>
          <t>IDR</t>
        </is>
      </c>
      <c r="H1956" s="293" t="n">
        <v>1</v>
      </c>
      <c r="I1956" s="306" t="n"/>
      <c r="J1956" s="306" t="n"/>
      <c r="K1956" s="306" t="n"/>
      <c r="L1956" s="307">
        <f>$F1956*$H1956</f>
        <v/>
      </c>
      <c r="M1956" s="306" t="n"/>
      <c r="N1956" s="306" t="n"/>
      <c r="O1956" s="306" t="n"/>
      <c r="P1956" s="306" t="n"/>
      <c r="Q1956" s="306" t="n"/>
    </row>
    <row r="1957" ht="18.75" customHeight="1">
      <c r="B1957" s="288" t="n">
        <v>45543</v>
      </c>
      <c r="C1957" s="289" t="n">
        <v>1255</v>
      </c>
      <c r="D1957" s="290" t="inlineStr">
        <is>
          <t>Airplane Ticket PLM-CGK</t>
        </is>
      </c>
      <c r="E1957" s="306" t="inlineStr">
        <is>
          <t>-</t>
        </is>
      </c>
      <c r="F1957" s="307" t="n">
        <v>836100</v>
      </c>
      <c r="G1957" s="289" t="inlineStr">
        <is>
          <t>IDR</t>
        </is>
      </c>
      <c r="H1957" s="293" t="n">
        <v>1</v>
      </c>
      <c r="I1957" s="306" t="n"/>
      <c r="J1957" s="306" t="n"/>
      <c r="K1957" s="306" t="n"/>
      <c r="L1957" s="307">
        <f>$F1957*$H1957</f>
        <v/>
      </c>
      <c r="M1957" s="306" t="n"/>
      <c r="N1957" s="306" t="n"/>
      <c r="O1957" s="306" t="n"/>
      <c r="P1957" s="306" t="n"/>
      <c r="Q1957" s="306" t="n"/>
    </row>
    <row r="1958" ht="18.75" customHeight="1">
      <c r="B1958" s="288" t="n">
        <v>45543</v>
      </c>
      <c r="C1958" s="289" t="n">
        <v>1256</v>
      </c>
      <c r="D1958" s="290" t="inlineStr">
        <is>
          <t>Airplane Ticket PLM-CGK</t>
        </is>
      </c>
      <c r="E1958" s="306" t="inlineStr">
        <is>
          <t>-</t>
        </is>
      </c>
      <c r="F1958" s="307" t="n">
        <v>836100</v>
      </c>
      <c r="G1958" s="289" t="inlineStr">
        <is>
          <t>IDR</t>
        </is>
      </c>
      <c r="H1958" s="293" t="n">
        <v>1</v>
      </c>
      <c r="I1958" s="306" t="n"/>
      <c r="J1958" s="306" t="n"/>
      <c r="K1958" s="306" t="n"/>
      <c r="L1958" s="307">
        <f>$F1958*$H1958</f>
        <v/>
      </c>
      <c r="M1958" s="306" t="n"/>
      <c r="N1958" s="306" t="n"/>
      <c r="O1958" s="306" t="n"/>
      <c r="P1958" s="306" t="n"/>
      <c r="Q1958" s="306" t="n"/>
    </row>
    <row r="1959">
      <c r="B1959" s="310" t="inlineStr">
        <is>
          <t>Expense#32</t>
        </is>
      </c>
      <c r="C1959" s="311" t="inlineStr">
        <is>
          <t>:</t>
        </is>
      </c>
      <c r="D1959" s="310" t="inlineStr">
        <is>
          <t>ALFA PMB-009 (Cancel)_ TMA</t>
        </is>
      </c>
      <c r="E1959" s="311" t="n"/>
      <c r="F1959" s="311" t="n"/>
      <c r="G1959" s="311" t="n"/>
      <c r="H1959" s="311" t="n"/>
      <c r="I1959" s="311" t="n"/>
      <c r="J1959" s="311" t="n"/>
      <c r="K1959" s="311" t="n"/>
      <c r="L1959" s="311" t="n"/>
      <c r="M1959" s="311" t="n"/>
      <c r="N1959" s="311" t="n"/>
      <c r="O1959" s="311" t="n"/>
      <c r="P1959" s="311" t="n"/>
      <c r="Q1959" s="311" t="n"/>
    </row>
    <row r="1960">
      <c r="B1960" s="312" t="n"/>
      <c r="C1960" s="312" t="n"/>
      <c r="D1960" s="285" t="inlineStr">
        <is>
          <t>Allowance</t>
        </is>
      </c>
      <c r="E1960" s="312" t="n"/>
      <c r="F1960" s="312" t="n"/>
      <c r="G1960" s="312" t="n"/>
      <c r="H1960" s="312" t="n"/>
      <c r="I1960" s="312" t="n"/>
      <c r="J1960" s="312" t="n"/>
      <c r="K1960" s="312" t="n"/>
      <c r="L1960" s="312" t="n"/>
      <c r="M1960" s="312" t="n"/>
      <c r="N1960" s="312" t="n"/>
      <c r="O1960" s="312" t="n"/>
      <c r="P1960" s="312" t="n"/>
      <c r="Q1960" s="312" t="n"/>
    </row>
    <row r="1961" ht="34.5" customHeight="1">
      <c r="B1961" s="288" t="n">
        <v>45561</v>
      </c>
      <c r="C1961" s="289" t="n">
        <v>1257</v>
      </c>
      <c r="D1961" s="290" t="inlineStr">
        <is>
          <t>Field Bonus SKW#26 (22 - 26 Sept 2024). 1US$=15.100</t>
        </is>
      </c>
      <c r="E1961" s="306" t="inlineStr">
        <is>
          <t>-</t>
        </is>
      </c>
      <c r="F1961" s="307" t="n">
        <v>500</v>
      </c>
      <c r="G1961" s="289" t="inlineStr">
        <is>
          <t>IDR</t>
        </is>
      </c>
      <c r="H1961" s="293" t="n">
        <v>15100</v>
      </c>
      <c r="I1961" s="306" t="n"/>
      <c r="J1961" s="306" t="n"/>
      <c r="K1961" s="306" t="n"/>
      <c r="L1961" s="307">
        <f>$F1961*$H1961</f>
        <v/>
      </c>
      <c r="M1961" s="306" t="n"/>
      <c r="N1961" s="306" t="n"/>
      <c r="O1961" s="306" t="n"/>
      <c r="P1961" s="306" t="n"/>
      <c r="Q1961" s="306" t="n"/>
    </row>
    <row r="1962" ht="34.5" customHeight="1">
      <c r="B1962" s="288" t="n">
        <v>45561</v>
      </c>
      <c r="C1962" s="289" t="n">
        <v>1258</v>
      </c>
      <c r="D1962" s="290" t="inlineStr">
        <is>
          <t>Field Bonus SKW#26 (22 - 26 Sept 2024). 1US$=15.100</t>
        </is>
      </c>
      <c r="E1962" s="306" t="inlineStr">
        <is>
          <t>-</t>
        </is>
      </c>
      <c r="F1962" s="307" t="n">
        <v>500</v>
      </c>
      <c r="G1962" s="289" t="inlineStr">
        <is>
          <t>IDR</t>
        </is>
      </c>
      <c r="H1962" s="293" t="n">
        <v>15100</v>
      </c>
      <c r="I1962" s="306" t="n"/>
      <c r="J1962" s="306" t="n"/>
      <c r="K1962" s="306" t="n"/>
      <c r="L1962" s="307">
        <f>$F1962*$H1962</f>
        <v/>
      </c>
      <c r="M1962" s="306" t="n"/>
      <c r="N1962" s="306" t="n"/>
      <c r="O1962" s="306" t="n"/>
      <c r="P1962" s="306" t="n"/>
      <c r="Q1962" s="306" t="n"/>
    </row>
    <row r="1963" ht="34.5" customHeight="1">
      <c r="B1963" s="288" t="n">
        <v>45561</v>
      </c>
      <c r="C1963" s="289" t="n">
        <v>1259</v>
      </c>
      <c r="D1963" s="290" t="inlineStr">
        <is>
          <t>Field Bonus SKW#26 (22 - 26 Sept 2024). 1US$=15.100</t>
        </is>
      </c>
      <c r="E1963" s="306" t="inlineStr">
        <is>
          <t>-</t>
        </is>
      </c>
      <c r="F1963" s="307" t="n">
        <v>500</v>
      </c>
      <c r="G1963" s="289" t="inlineStr">
        <is>
          <t>IDR</t>
        </is>
      </c>
      <c r="H1963" s="293" t="n">
        <v>15100</v>
      </c>
      <c r="I1963" s="306" t="n"/>
      <c r="J1963" s="306" t="n"/>
      <c r="K1963" s="306" t="n"/>
      <c r="L1963" s="307">
        <f>$F1963*$H1963</f>
        <v/>
      </c>
      <c r="M1963" s="306" t="n"/>
      <c r="N1963" s="306" t="n"/>
      <c r="O1963" s="306" t="n"/>
      <c r="P1963" s="306" t="n"/>
      <c r="Q1963" s="306" t="n"/>
    </row>
    <row r="1964" ht="34.5" customHeight="1">
      <c r="B1964" s="288" t="n">
        <v>45561</v>
      </c>
      <c r="C1964" s="289" t="n">
        <v>1260</v>
      </c>
      <c r="D1964" s="290" t="inlineStr">
        <is>
          <t>Field Bonus SKW#26 (22 - 26 Sept 2024). 1US$=15.100</t>
        </is>
      </c>
      <c r="E1964" s="306" t="inlineStr">
        <is>
          <t>-</t>
        </is>
      </c>
      <c r="F1964" s="307" t="n">
        <v>500</v>
      </c>
      <c r="G1964" s="289" t="inlineStr">
        <is>
          <t>IDR</t>
        </is>
      </c>
      <c r="H1964" s="293" t="n">
        <v>15100</v>
      </c>
      <c r="I1964" s="306" t="n"/>
      <c r="J1964" s="306" t="n"/>
      <c r="K1964" s="306" t="n"/>
      <c r="L1964" s="307">
        <f>$F1964*$H1964</f>
        <v/>
      </c>
      <c r="M1964" s="306" t="n"/>
      <c r="N1964" s="306" t="n"/>
      <c r="O1964" s="306" t="n"/>
      <c r="P1964" s="306" t="n"/>
      <c r="Q1964" s="306" t="n"/>
    </row>
    <row r="1965">
      <c r="B1965" s="312" t="n"/>
      <c r="C1965" s="312" t="n"/>
      <c r="D1965" s="285" t="inlineStr">
        <is>
          <t>Laundry</t>
        </is>
      </c>
      <c r="E1965" s="312" t="n"/>
      <c r="F1965" s="312" t="n"/>
      <c r="G1965" s="312" t="n"/>
      <c r="H1965" s="312" t="n"/>
      <c r="I1965" s="312" t="n"/>
      <c r="J1965" s="312" t="n"/>
      <c r="K1965" s="312" t="n"/>
      <c r="L1965" s="312" t="n"/>
      <c r="M1965" s="312" t="n"/>
      <c r="N1965" s="312" t="n"/>
      <c r="O1965" s="312" t="n"/>
      <c r="P1965" s="312" t="n"/>
      <c r="Q1965" s="312" t="n"/>
    </row>
    <row r="1966" ht="18.75" customHeight="1">
      <c r="B1966" s="288" t="n">
        <v>45561</v>
      </c>
      <c r="C1966" s="289" t="n">
        <v>1261</v>
      </c>
      <c r="D1966" s="290" t="inlineStr">
        <is>
          <t>Laundry (22 - 26 Sept 2024)</t>
        </is>
      </c>
      <c r="E1966" s="306" t="inlineStr">
        <is>
          <t>-</t>
        </is>
      </c>
      <c r="F1966" s="307" t="n">
        <v>250000</v>
      </c>
      <c r="G1966" s="289" t="inlineStr">
        <is>
          <t>IDR</t>
        </is>
      </c>
      <c r="H1966" s="293" t="n">
        <v>1</v>
      </c>
      <c r="I1966" s="306" t="n"/>
      <c r="J1966" s="306" t="n"/>
      <c r="K1966" s="306" t="n"/>
      <c r="L1966" s="307">
        <f>$F1966*$H1966</f>
        <v/>
      </c>
      <c r="M1966" s="306" t="n"/>
      <c r="N1966" s="306" t="n"/>
      <c r="O1966" s="306" t="n"/>
      <c r="P1966" s="306" t="n"/>
      <c r="Q1966" s="306" t="n"/>
    </row>
    <row r="1967" ht="18.75" customHeight="1">
      <c r="B1967" s="288" t="n">
        <v>45561</v>
      </c>
      <c r="C1967" s="289" t="n">
        <v>1262</v>
      </c>
      <c r="D1967" s="290" t="inlineStr">
        <is>
          <t>Laundry (22 - 26 Sept 2024)</t>
        </is>
      </c>
      <c r="E1967" s="306" t="inlineStr">
        <is>
          <t>-</t>
        </is>
      </c>
      <c r="F1967" s="307" t="n">
        <v>250000</v>
      </c>
      <c r="G1967" s="289" t="inlineStr">
        <is>
          <t>IDR</t>
        </is>
      </c>
      <c r="H1967" s="293" t="n">
        <v>1</v>
      </c>
      <c r="I1967" s="306" t="n"/>
      <c r="J1967" s="306" t="n"/>
      <c r="K1967" s="306" t="n"/>
      <c r="L1967" s="307">
        <f>$F1967*$H1967</f>
        <v/>
      </c>
      <c r="M1967" s="306" t="n"/>
      <c r="N1967" s="306" t="n"/>
      <c r="O1967" s="306" t="n"/>
      <c r="P1967" s="306" t="n"/>
      <c r="Q1967" s="306" t="n"/>
    </row>
    <row r="1968" ht="18.75" customHeight="1">
      <c r="B1968" s="288" t="n">
        <v>45561</v>
      </c>
      <c r="C1968" s="289" t="n">
        <v>1263</v>
      </c>
      <c r="D1968" s="290" t="inlineStr">
        <is>
          <t>Laundry (22 - 26 Sept 2024)</t>
        </is>
      </c>
      <c r="E1968" s="306" t="inlineStr">
        <is>
          <t>-</t>
        </is>
      </c>
      <c r="F1968" s="307" t="n">
        <v>250000</v>
      </c>
      <c r="G1968" s="289" t="inlineStr">
        <is>
          <t>IDR</t>
        </is>
      </c>
      <c r="H1968" s="293" t="n">
        <v>1</v>
      </c>
      <c r="I1968" s="306" t="n"/>
      <c r="J1968" s="306" t="n"/>
      <c r="K1968" s="306" t="n"/>
      <c r="L1968" s="307">
        <f>$F1968*$H1968</f>
        <v/>
      </c>
      <c r="M1968" s="306" t="n"/>
      <c r="N1968" s="306" t="n"/>
      <c r="O1968" s="306" t="n"/>
      <c r="P1968" s="306" t="n"/>
      <c r="Q1968" s="306" t="n"/>
    </row>
    <row r="1969" ht="18.75" customHeight="1">
      <c r="B1969" s="288" t="n">
        <v>45561</v>
      </c>
      <c r="C1969" s="289" t="n">
        <v>1264</v>
      </c>
      <c r="D1969" s="290" t="inlineStr">
        <is>
          <t>Laundry (22 - 26 Sept 2024)</t>
        </is>
      </c>
      <c r="E1969" s="306" t="inlineStr">
        <is>
          <t>-</t>
        </is>
      </c>
      <c r="F1969" s="307" t="n">
        <v>250000</v>
      </c>
      <c r="G1969" s="289" t="inlineStr">
        <is>
          <t>IDR</t>
        </is>
      </c>
      <c r="H1969" s="293" t="n">
        <v>1</v>
      </c>
      <c r="I1969" s="306" t="n"/>
      <c r="J1969" s="306" t="n"/>
      <c r="K1969" s="306" t="n"/>
      <c r="L1969" s="307">
        <f>$F1969*$H1969</f>
        <v/>
      </c>
      <c r="M1969" s="306" t="n"/>
      <c r="N1969" s="306" t="n"/>
      <c r="O1969" s="306" t="n"/>
      <c r="P1969" s="306" t="n"/>
      <c r="Q1969" s="306" t="n"/>
    </row>
    <row r="1970">
      <c r="B1970" s="312" t="n"/>
      <c r="C1970" s="312" t="n"/>
      <c r="D1970" s="285" t="inlineStr">
        <is>
          <t>Meal</t>
        </is>
      </c>
      <c r="E1970" s="312" t="n"/>
      <c r="F1970" s="312" t="n"/>
      <c r="G1970" s="312" t="n"/>
      <c r="H1970" s="312" t="n"/>
      <c r="I1970" s="312" t="n"/>
      <c r="J1970" s="312" t="n"/>
      <c r="K1970" s="312" t="n"/>
      <c r="L1970" s="312" t="n"/>
      <c r="M1970" s="312" t="n"/>
      <c r="N1970" s="312" t="n"/>
      <c r="O1970" s="312" t="n"/>
      <c r="P1970" s="312" t="n"/>
      <c r="Q1970" s="312" t="n"/>
    </row>
    <row r="1971" ht="18.75" customHeight="1">
      <c r="B1971" s="288" t="n">
        <v>45561</v>
      </c>
      <c r="C1971" s="289" t="n">
        <v>1265</v>
      </c>
      <c r="D1971" s="290" t="inlineStr">
        <is>
          <t>Uang Makan (22 - 26 Sept 2024)</t>
        </is>
      </c>
      <c r="E1971" s="306" t="inlineStr">
        <is>
          <t>-</t>
        </is>
      </c>
      <c r="F1971" s="307" t="n">
        <v>750000</v>
      </c>
      <c r="G1971" s="289" t="inlineStr">
        <is>
          <t>IDR</t>
        </is>
      </c>
      <c r="H1971" s="293" t="n">
        <v>1</v>
      </c>
      <c r="I1971" s="306" t="n"/>
      <c r="J1971" s="306" t="n"/>
      <c r="K1971" s="306" t="n"/>
      <c r="L1971" s="307">
        <f>$F1971*$H1971</f>
        <v/>
      </c>
      <c r="M1971" s="306" t="n"/>
      <c r="N1971" s="306" t="n"/>
      <c r="O1971" s="306" t="n"/>
      <c r="P1971" s="306" t="n"/>
      <c r="Q1971" s="306" t="n"/>
    </row>
    <row r="1972" ht="18.75" customHeight="1">
      <c r="B1972" s="288" t="n">
        <v>45561</v>
      </c>
      <c r="C1972" s="289" t="n">
        <v>1266</v>
      </c>
      <c r="D1972" s="290" t="inlineStr">
        <is>
          <t>Uang Makan (22 - 26 Sept 2024)</t>
        </is>
      </c>
      <c r="E1972" s="306" t="inlineStr">
        <is>
          <t>-</t>
        </is>
      </c>
      <c r="F1972" s="307" t="n">
        <v>750000</v>
      </c>
      <c r="G1972" s="289" t="inlineStr">
        <is>
          <t>IDR</t>
        </is>
      </c>
      <c r="H1972" s="293" t="n">
        <v>1</v>
      </c>
      <c r="I1972" s="306" t="n"/>
      <c r="J1972" s="306" t="n"/>
      <c r="K1972" s="306" t="n"/>
      <c r="L1972" s="307">
        <f>$F1972*$H1972</f>
        <v/>
      </c>
      <c r="M1972" s="306" t="n"/>
      <c r="N1972" s="306" t="n"/>
      <c r="O1972" s="306" t="n"/>
      <c r="P1972" s="306" t="n"/>
      <c r="Q1972" s="306" t="n"/>
    </row>
    <row r="1973" ht="18.75" customHeight="1">
      <c r="B1973" s="288" t="n">
        <v>45561</v>
      </c>
      <c r="C1973" s="289" t="n">
        <v>1267</v>
      </c>
      <c r="D1973" s="290" t="inlineStr">
        <is>
          <t>Uang Makan (22 - 26 Sept 2024)</t>
        </is>
      </c>
      <c r="E1973" s="306" t="inlineStr">
        <is>
          <t>-</t>
        </is>
      </c>
      <c r="F1973" s="307" t="n">
        <v>750000</v>
      </c>
      <c r="G1973" s="289" t="inlineStr">
        <is>
          <t>IDR</t>
        </is>
      </c>
      <c r="H1973" s="293" t="n">
        <v>1</v>
      </c>
      <c r="I1973" s="306" t="n"/>
      <c r="J1973" s="306" t="n"/>
      <c r="K1973" s="306" t="n"/>
      <c r="L1973" s="307">
        <f>$F1973*$H1973</f>
        <v/>
      </c>
      <c r="M1973" s="306" t="n"/>
      <c r="N1973" s="306" t="n"/>
      <c r="O1973" s="306" t="n"/>
      <c r="P1973" s="306" t="n"/>
      <c r="Q1973" s="306" t="n"/>
    </row>
    <row r="1974" ht="18.75" customHeight="1">
      <c r="B1974" s="288" t="n">
        <v>45561</v>
      </c>
      <c r="C1974" s="289" t="n">
        <v>1268</v>
      </c>
      <c r="D1974" s="290" t="inlineStr">
        <is>
          <t>Uang Makan (22 - 26 Sept 2024)</t>
        </is>
      </c>
      <c r="E1974" s="306" t="inlineStr">
        <is>
          <t>-</t>
        </is>
      </c>
      <c r="F1974" s="307" t="n">
        <v>750000</v>
      </c>
      <c r="G1974" s="289" t="inlineStr">
        <is>
          <t>IDR</t>
        </is>
      </c>
      <c r="H1974" s="293" t="n">
        <v>1</v>
      </c>
      <c r="I1974" s="306" t="n"/>
      <c r="J1974" s="306" t="n"/>
      <c r="K1974" s="306" t="n"/>
      <c r="L1974" s="307">
        <f>$F1974*$H1974</f>
        <v/>
      </c>
      <c r="M1974" s="306" t="n"/>
      <c r="N1974" s="306" t="n"/>
      <c r="O1974" s="306" t="n"/>
      <c r="P1974" s="306" t="n"/>
      <c r="Q1974" s="306" t="n"/>
    </row>
    <row r="1975">
      <c r="B1975" s="312" t="n"/>
      <c r="C1975" s="312" t="n"/>
      <c r="D1975" s="285" t="inlineStr">
        <is>
          <t>Transportation</t>
        </is>
      </c>
      <c r="E1975" s="312" t="n"/>
      <c r="F1975" s="312" t="n"/>
      <c r="G1975" s="312" t="n"/>
      <c r="H1975" s="312" t="n"/>
      <c r="I1975" s="312" t="n"/>
      <c r="J1975" s="312" t="n"/>
      <c r="K1975" s="312" t="n"/>
      <c r="L1975" s="312" t="n"/>
      <c r="M1975" s="312" t="n"/>
      <c r="N1975" s="312" t="n"/>
      <c r="O1975" s="312" t="n"/>
      <c r="P1975" s="312" t="n"/>
      <c r="Q1975" s="312" t="n"/>
    </row>
    <row r="1976" ht="18.75" customHeight="1">
      <c r="B1976" s="288" t="n">
        <v>45557</v>
      </c>
      <c r="C1976" s="289" t="n">
        <v>1269</v>
      </c>
      <c r="D1976" s="290" t="inlineStr">
        <is>
          <t>Taxi+Tol Serpong - Gambir</t>
        </is>
      </c>
      <c r="E1976" s="306" t="inlineStr">
        <is>
          <t>-</t>
        </is>
      </c>
      <c r="F1976" s="307" t="n">
        <v>241280</v>
      </c>
      <c r="G1976" s="289" t="inlineStr">
        <is>
          <t>IDR</t>
        </is>
      </c>
      <c r="H1976" s="293" t="n">
        <v>1</v>
      </c>
      <c r="I1976" s="306" t="n"/>
      <c r="J1976" s="306" t="n"/>
      <c r="K1976" s="306" t="n"/>
      <c r="L1976" s="307">
        <f>$F1976*$H1976</f>
        <v/>
      </c>
      <c r="M1976" s="306" t="n"/>
      <c r="N1976" s="306" t="n"/>
      <c r="O1976" s="306" t="n"/>
      <c r="P1976" s="306" t="n"/>
      <c r="Q1976" s="306" t="n"/>
    </row>
    <row r="1977" ht="18.75" customHeight="1">
      <c r="B1977" s="288" t="n">
        <v>45557</v>
      </c>
      <c r="C1977" s="289" t="n">
        <v>1270</v>
      </c>
      <c r="D1977" s="290" t="inlineStr">
        <is>
          <t>Taxi+Tol Serpong - Gambir</t>
        </is>
      </c>
      <c r="E1977" s="306" t="inlineStr">
        <is>
          <t>-</t>
        </is>
      </c>
      <c r="F1977" s="307" t="n">
        <v>241280</v>
      </c>
      <c r="G1977" s="289" t="inlineStr">
        <is>
          <t>IDR</t>
        </is>
      </c>
      <c r="H1977" s="293" t="n">
        <v>1</v>
      </c>
      <c r="I1977" s="306" t="n"/>
      <c r="J1977" s="306" t="n"/>
      <c r="K1977" s="306" t="n"/>
      <c r="L1977" s="307">
        <f>$F1977*$H1977</f>
        <v/>
      </c>
      <c r="M1977" s="306" t="n"/>
      <c r="N1977" s="306" t="n"/>
      <c r="O1977" s="306" t="n"/>
      <c r="P1977" s="306" t="n"/>
      <c r="Q1977" s="306" t="n"/>
    </row>
    <row r="1978" ht="18.75" customHeight="1">
      <c r="B1978" s="288" t="n">
        <v>45557</v>
      </c>
      <c r="C1978" s="289" t="n">
        <v>1271</v>
      </c>
      <c r="D1978" s="290" t="inlineStr">
        <is>
          <t>Taxi+Tol Serpong - Gambir</t>
        </is>
      </c>
      <c r="E1978" s="306" t="inlineStr">
        <is>
          <t>-</t>
        </is>
      </c>
      <c r="F1978" s="307" t="n">
        <v>241280</v>
      </c>
      <c r="G1978" s="289" t="inlineStr">
        <is>
          <t>IDR</t>
        </is>
      </c>
      <c r="H1978" s="293" t="n">
        <v>1</v>
      </c>
      <c r="I1978" s="306" t="n"/>
      <c r="J1978" s="306" t="n"/>
      <c r="K1978" s="306" t="n"/>
      <c r="L1978" s="307">
        <f>$F1978*$H1978</f>
        <v/>
      </c>
      <c r="M1978" s="306" t="n"/>
      <c r="N1978" s="306" t="n"/>
      <c r="O1978" s="306" t="n"/>
      <c r="P1978" s="306" t="n"/>
      <c r="Q1978" s="306" t="n"/>
    </row>
    <row r="1979" ht="18.75" customHeight="1">
      <c r="B1979" s="288" t="n">
        <v>45557</v>
      </c>
      <c r="C1979" s="289" t="n">
        <v>1272</v>
      </c>
      <c r="D1979" s="290" t="inlineStr">
        <is>
          <t>Taxi+Tol Serpong - Gambir</t>
        </is>
      </c>
      <c r="E1979" s="306" t="inlineStr">
        <is>
          <t>-</t>
        </is>
      </c>
      <c r="F1979" s="307" t="n">
        <v>241280</v>
      </c>
      <c r="G1979" s="289" t="inlineStr">
        <is>
          <t>IDR</t>
        </is>
      </c>
      <c r="H1979" s="293" t="n">
        <v>1</v>
      </c>
      <c r="I1979" s="306" t="n"/>
      <c r="J1979" s="306" t="n"/>
      <c r="K1979" s="306" t="n"/>
      <c r="L1979" s="307">
        <f>$F1979*$H1979</f>
        <v/>
      </c>
      <c r="M1979" s="306" t="n"/>
      <c r="N1979" s="306" t="n"/>
      <c r="O1979" s="306" t="n"/>
      <c r="P1979" s="306" t="n"/>
      <c r="Q1979" s="306" t="n"/>
    </row>
    <row r="1980" ht="18.75" customHeight="1">
      <c r="B1980" s="288" t="n">
        <v>45558</v>
      </c>
      <c r="C1980" s="289" t="n">
        <v>1273</v>
      </c>
      <c r="D1980" s="290" t="inlineStr">
        <is>
          <t>Gocar St. Cepu, Kalog - Bojonegoro</t>
        </is>
      </c>
      <c r="E1980" s="306" t="inlineStr">
        <is>
          <t>-</t>
        </is>
      </c>
      <c r="F1980" s="307" t="n">
        <v>250000</v>
      </c>
      <c r="G1980" s="289" t="inlineStr">
        <is>
          <t>IDR</t>
        </is>
      </c>
      <c r="H1980" s="293" t="n">
        <v>1</v>
      </c>
      <c r="I1980" s="306" t="n"/>
      <c r="J1980" s="306" t="n"/>
      <c r="K1980" s="306" t="n"/>
      <c r="L1980" s="307">
        <f>$F1980*$H1980</f>
        <v/>
      </c>
      <c r="M1980" s="306" t="n"/>
      <c r="N1980" s="306" t="n"/>
      <c r="O1980" s="306" t="n"/>
      <c r="P1980" s="306" t="n"/>
      <c r="Q1980" s="306" t="n"/>
    </row>
    <row r="1981" ht="18.75" customHeight="1">
      <c r="B1981" s="288" t="n">
        <v>45558</v>
      </c>
      <c r="C1981" s="289" t="n">
        <v>1274</v>
      </c>
      <c r="D1981" s="290" t="inlineStr">
        <is>
          <t>Gocar St. Cepu, Kalog - Bojonegoro</t>
        </is>
      </c>
      <c r="E1981" s="306" t="inlineStr">
        <is>
          <t>-</t>
        </is>
      </c>
      <c r="F1981" s="307" t="n">
        <v>250000</v>
      </c>
      <c r="G1981" s="289" t="inlineStr">
        <is>
          <t>IDR</t>
        </is>
      </c>
      <c r="H1981" s="293" t="n">
        <v>1</v>
      </c>
      <c r="I1981" s="306" t="n"/>
      <c r="J1981" s="306" t="n"/>
      <c r="K1981" s="306" t="n"/>
      <c r="L1981" s="307">
        <f>$F1981*$H1981</f>
        <v/>
      </c>
      <c r="M1981" s="306" t="n"/>
      <c r="N1981" s="306" t="n"/>
      <c r="O1981" s="306" t="n"/>
      <c r="P1981" s="306" t="n"/>
      <c r="Q1981" s="306" t="n"/>
    </row>
    <row r="1982" ht="18.75" customHeight="1">
      <c r="B1982" s="288" t="n">
        <v>45558</v>
      </c>
      <c r="C1982" s="289" t="n">
        <v>1275</v>
      </c>
      <c r="D1982" s="290" t="inlineStr">
        <is>
          <t>Gocar St. Cepu, Kalog - Bojonegoro</t>
        </is>
      </c>
      <c r="E1982" s="306" t="inlineStr">
        <is>
          <t>-</t>
        </is>
      </c>
      <c r="F1982" s="307" t="n">
        <v>250000</v>
      </c>
      <c r="G1982" s="289" t="inlineStr">
        <is>
          <t>IDR</t>
        </is>
      </c>
      <c r="H1982" s="293" t="n">
        <v>1</v>
      </c>
      <c r="I1982" s="306" t="n"/>
      <c r="J1982" s="306" t="n"/>
      <c r="K1982" s="306" t="n"/>
      <c r="L1982" s="307">
        <f>$F1982*$H1982</f>
        <v/>
      </c>
      <c r="M1982" s="306" t="n"/>
      <c r="N1982" s="306" t="n"/>
      <c r="O1982" s="306" t="n"/>
      <c r="P1982" s="306" t="n"/>
      <c r="Q1982" s="306" t="n"/>
    </row>
    <row r="1983" ht="18.75" customHeight="1">
      <c r="B1983" s="288" t="n">
        <v>45558</v>
      </c>
      <c r="C1983" s="289" t="n">
        <v>1276</v>
      </c>
      <c r="D1983" s="290" t="inlineStr">
        <is>
          <t>Gocar St. Cepu, Kalog - Bojonegoro</t>
        </is>
      </c>
      <c r="E1983" s="306" t="inlineStr">
        <is>
          <t>-</t>
        </is>
      </c>
      <c r="F1983" s="307" t="n">
        <v>250000</v>
      </c>
      <c r="G1983" s="289" t="inlineStr">
        <is>
          <t>IDR</t>
        </is>
      </c>
      <c r="H1983" s="293" t="n">
        <v>1</v>
      </c>
      <c r="I1983" s="306" t="n"/>
      <c r="J1983" s="306" t="n"/>
      <c r="K1983" s="306" t="n"/>
      <c r="L1983" s="307">
        <f>$F1983*$H1983</f>
        <v/>
      </c>
      <c r="M1983" s="306" t="n"/>
      <c r="N1983" s="306" t="n"/>
      <c r="O1983" s="306" t="n"/>
      <c r="P1983" s="306" t="n"/>
      <c r="Q1983" s="306" t="n"/>
    </row>
    <row r="1984" ht="18.75" customHeight="1">
      <c r="B1984" s="288" t="n">
        <v>45561</v>
      </c>
      <c r="C1984" s="289" t="n">
        <v>1277</v>
      </c>
      <c r="D1984" s="290" t="inlineStr">
        <is>
          <t>Taxi+Tol Gambir - Serpong</t>
        </is>
      </c>
      <c r="E1984" s="306" t="inlineStr">
        <is>
          <t>-</t>
        </is>
      </c>
      <c r="F1984" s="307" t="n">
        <v>240000</v>
      </c>
      <c r="G1984" s="289" t="inlineStr">
        <is>
          <t>IDR</t>
        </is>
      </c>
      <c r="H1984" s="293" t="n">
        <v>1</v>
      </c>
      <c r="I1984" s="306" t="n"/>
      <c r="J1984" s="306" t="n"/>
      <c r="K1984" s="306" t="n"/>
      <c r="L1984" s="307">
        <f>$F1984*$H1984</f>
        <v/>
      </c>
      <c r="M1984" s="306" t="n"/>
      <c r="N1984" s="306" t="n"/>
      <c r="O1984" s="306" t="n"/>
      <c r="P1984" s="306" t="n"/>
      <c r="Q1984" s="306" t="n"/>
    </row>
    <row r="1985" ht="18.75" customHeight="1">
      <c r="B1985" s="288" t="n">
        <v>45561</v>
      </c>
      <c r="C1985" s="289" t="n">
        <v>1278</v>
      </c>
      <c r="D1985" s="290" t="inlineStr">
        <is>
          <t>Taxi+Tol Gambir - Serpong</t>
        </is>
      </c>
      <c r="E1985" s="306" t="inlineStr">
        <is>
          <t>-</t>
        </is>
      </c>
      <c r="F1985" s="307" t="n">
        <v>240000</v>
      </c>
      <c r="G1985" s="289" t="inlineStr">
        <is>
          <t>IDR</t>
        </is>
      </c>
      <c r="H1985" s="293" t="n">
        <v>1</v>
      </c>
      <c r="I1985" s="306" t="n"/>
      <c r="J1985" s="306" t="n"/>
      <c r="K1985" s="306" t="n"/>
      <c r="L1985" s="307">
        <f>$F1985*$H1985</f>
        <v/>
      </c>
      <c r="M1985" s="306" t="n"/>
      <c r="N1985" s="306" t="n"/>
      <c r="O1985" s="306" t="n"/>
      <c r="P1985" s="306" t="n"/>
      <c r="Q1985" s="306" t="n"/>
    </row>
    <row r="1986" ht="18.75" customHeight="1">
      <c r="B1986" s="288" t="n">
        <v>45561</v>
      </c>
      <c r="C1986" s="289" t="n">
        <v>1279</v>
      </c>
      <c r="D1986" s="290" t="inlineStr">
        <is>
          <t>Taxi+Tol Gambir - Serpong</t>
        </is>
      </c>
      <c r="E1986" s="306" t="inlineStr">
        <is>
          <t>-</t>
        </is>
      </c>
      <c r="F1986" s="307" t="n">
        <v>240000</v>
      </c>
      <c r="G1986" s="289" t="inlineStr">
        <is>
          <t>IDR</t>
        </is>
      </c>
      <c r="H1986" s="293" t="n">
        <v>1</v>
      </c>
      <c r="I1986" s="306" t="n"/>
      <c r="J1986" s="306" t="n"/>
      <c r="K1986" s="306" t="n"/>
      <c r="L1986" s="307">
        <f>$F1986*$H1986</f>
        <v/>
      </c>
      <c r="M1986" s="306" t="n"/>
      <c r="N1986" s="306" t="n"/>
      <c r="O1986" s="306" t="n"/>
      <c r="P1986" s="306" t="n"/>
      <c r="Q1986" s="306" t="n"/>
    </row>
    <row r="1987" ht="18.75" customHeight="1">
      <c r="B1987" s="288" t="n">
        <v>45561</v>
      </c>
      <c r="C1987" s="289" t="n">
        <v>1280</v>
      </c>
      <c r="D1987" s="290" t="inlineStr">
        <is>
          <t>Taxi+Tol Gambir - Serpong</t>
        </is>
      </c>
      <c r="E1987" s="306" t="inlineStr">
        <is>
          <t>-</t>
        </is>
      </c>
      <c r="F1987" s="307" t="n">
        <v>240000</v>
      </c>
      <c r="G1987" s="289" t="inlineStr">
        <is>
          <t>IDR</t>
        </is>
      </c>
      <c r="H1987" s="293" t="n">
        <v>1</v>
      </c>
      <c r="I1987" s="306" t="n"/>
      <c r="J1987" s="306" t="n"/>
      <c r="K1987" s="306" t="n"/>
      <c r="L1987" s="307">
        <f>$F1987*$H1987</f>
        <v/>
      </c>
      <c r="M1987" s="306" t="n"/>
      <c r="N1987" s="306" t="n"/>
      <c r="O1987" s="306" t="n"/>
      <c r="P1987" s="306" t="n"/>
      <c r="Q1987" s="306" t="n"/>
    </row>
    <row r="1988">
      <c r="B1988" s="310" t="inlineStr">
        <is>
          <t>Expense#33</t>
        </is>
      </c>
      <c r="C1988" s="311" t="inlineStr">
        <is>
          <t>:</t>
        </is>
      </c>
      <c r="D1988" s="310" t="inlineStr">
        <is>
          <t>ALFA Job JRK-095 (Jirak) - IBR</t>
        </is>
      </c>
      <c r="E1988" s="311" t="n"/>
      <c r="F1988" s="311" t="n"/>
      <c r="G1988" s="311" t="n"/>
      <c r="H1988" s="311" t="n"/>
      <c r="I1988" s="311" t="n"/>
      <c r="J1988" s="311" t="n"/>
      <c r="K1988" s="311" t="n"/>
      <c r="L1988" s="311" t="n"/>
      <c r="M1988" s="311" t="n"/>
      <c r="N1988" s="311" t="n"/>
      <c r="O1988" s="311" t="n"/>
      <c r="P1988" s="311" t="n"/>
      <c r="Q1988" s="311" t="n"/>
    </row>
    <row r="1989">
      <c r="B1989" s="312" t="n"/>
      <c r="C1989" s="312" t="n"/>
      <c r="D1989" s="285" t="inlineStr">
        <is>
          <t>Accommodation</t>
        </is>
      </c>
      <c r="E1989" s="312" t="n"/>
      <c r="F1989" s="312" t="n"/>
      <c r="G1989" s="312" t="n"/>
      <c r="H1989" s="312" t="n"/>
      <c r="I1989" s="312" t="n"/>
      <c r="J1989" s="312" t="n"/>
      <c r="K1989" s="312" t="n"/>
      <c r="L1989" s="312" t="n"/>
      <c r="M1989" s="312" t="n"/>
      <c r="N1989" s="312" t="n"/>
      <c r="O1989" s="312" t="n"/>
      <c r="P1989" s="312" t="n"/>
      <c r="Q1989" s="312" t="n"/>
    </row>
    <row r="1990" ht="18.75" customHeight="1">
      <c r="B1990" s="288" t="n">
        <v>45563</v>
      </c>
      <c r="C1990" s="289" t="n">
        <v>1281</v>
      </c>
      <c r="D1990" s="290" t="inlineStr">
        <is>
          <t>Hotel 21 Sept - 27 Sept 2024 (6 days)</t>
        </is>
      </c>
      <c r="E1990" s="306" t="inlineStr">
        <is>
          <t>-</t>
        </is>
      </c>
      <c r="F1990" s="307" t="n">
        <v>1680000</v>
      </c>
      <c r="G1990" s="289" t="inlineStr">
        <is>
          <t>IDR</t>
        </is>
      </c>
      <c r="H1990" s="293" t="n">
        <v>1</v>
      </c>
      <c r="I1990" s="306" t="n"/>
      <c r="J1990" s="306" t="n"/>
      <c r="K1990" s="306" t="n"/>
      <c r="L1990" s="307">
        <f>$F1990*$H1990</f>
        <v/>
      </c>
      <c r="M1990" s="306" t="n"/>
      <c r="N1990" s="306" t="n"/>
      <c r="O1990" s="306" t="n"/>
      <c r="P1990" s="306" t="n"/>
      <c r="Q1990" s="306" t="n"/>
    </row>
    <row r="1991" ht="18.75" customHeight="1">
      <c r="B1991" s="288" t="n">
        <v>45563</v>
      </c>
      <c r="C1991" s="289" t="n">
        <v>1282</v>
      </c>
      <c r="D1991" s="290" t="inlineStr">
        <is>
          <t>Hotel 21 Sept - 27 Sept 2024 (6 days)</t>
        </is>
      </c>
      <c r="E1991" s="306" t="inlineStr">
        <is>
          <t>-</t>
        </is>
      </c>
      <c r="F1991" s="307" t="n">
        <v>1680000</v>
      </c>
      <c r="G1991" s="289" t="inlineStr">
        <is>
          <t>IDR</t>
        </is>
      </c>
      <c r="H1991" s="293" t="n">
        <v>1</v>
      </c>
      <c r="I1991" s="306" t="n"/>
      <c r="J1991" s="306" t="n"/>
      <c r="K1991" s="306" t="n"/>
      <c r="L1991" s="307">
        <f>$F1991*$H1991</f>
        <v/>
      </c>
      <c r="M1991" s="306" t="n"/>
      <c r="N1991" s="306" t="n"/>
      <c r="O1991" s="306" t="n"/>
      <c r="P1991" s="306" t="n"/>
      <c r="Q1991" s="306" t="n"/>
    </row>
    <row r="1992" ht="18.75" customHeight="1">
      <c r="B1992" s="288" t="n">
        <v>45563</v>
      </c>
      <c r="C1992" s="289" t="n">
        <v>1283</v>
      </c>
      <c r="D1992" s="290" t="inlineStr">
        <is>
          <t>Hotel 21 Sept - 27 Sept 2024 (6 days)</t>
        </is>
      </c>
      <c r="E1992" s="306" t="inlineStr">
        <is>
          <t>-</t>
        </is>
      </c>
      <c r="F1992" s="307" t="n">
        <v>1680000</v>
      </c>
      <c r="G1992" s="289" t="inlineStr">
        <is>
          <t>IDR</t>
        </is>
      </c>
      <c r="H1992" s="293" t="n">
        <v>1</v>
      </c>
      <c r="I1992" s="306" t="n"/>
      <c r="J1992" s="306" t="n"/>
      <c r="K1992" s="306" t="n"/>
      <c r="L1992" s="307">
        <f>$F1992*$H1992</f>
        <v/>
      </c>
      <c r="M1992" s="306" t="n"/>
      <c r="N1992" s="306" t="n"/>
      <c r="O1992" s="306" t="n"/>
      <c r="P1992" s="306" t="n"/>
      <c r="Q1992" s="306" t="n"/>
    </row>
    <row r="1993" ht="18.75" customHeight="1">
      <c r="B1993" s="288" t="n">
        <v>45563</v>
      </c>
      <c r="C1993" s="289" t="n">
        <v>1284</v>
      </c>
      <c r="D1993" s="290" t="inlineStr">
        <is>
          <t>Hotel 21 Sept - 27 Sept 2024 (6 days)</t>
        </is>
      </c>
      <c r="E1993" s="306" t="inlineStr">
        <is>
          <t>-</t>
        </is>
      </c>
      <c r="F1993" s="307" t="n">
        <v>1680000</v>
      </c>
      <c r="G1993" s="289" t="inlineStr">
        <is>
          <t>IDR</t>
        </is>
      </c>
      <c r="H1993" s="293" t="n">
        <v>1</v>
      </c>
      <c r="I1993" s="306" t="n"/>
      <c r="J1993" s="306" t="n"/>
      <c r="K1993" s="306" t="n"/>
      <c r="L1993" s="307">
        <f>$F1993*$H1993</f>
        <v/>
      </c>
      <c r="M1993" s="306" t="n"/>
      <c r="N1993" s="306" t="n"/>
      <c r="O1993" s="306" t="n"/>
      <c r="P1993" s="306" t="n"/>
      <c r="Q1993" s="306" t="n"/>
    </row>
    <row r="1994">
      <c r="B1994" s="312" t="n"/>
      <c r="C1994" s="312" t="n"/>
      <c r="D1994" s="285" t="inlineStr">
        <is>
          <t>Allowance</t>
        </is>
      </c>
      <c r="E1994" s="312" t="n"/>
      <c r="F1994" s="312" t="n"/>
      <c r="G1994" s="312" t="n"/>
      <c r="H1994" s="312" t="n"/>
      <c r="I1994" s="312" t="n"/>
      <c r="J1994" s="312" t="n"/>
      <c r="K1994" s="312" t="n"/>
      <c r="L1994" s="312" t="n"/>
      <c r="M1994" s="312" t="n"/>
      <c r="N1994" s="312" t="n"/>
      <c r="O1994" s="312" t="n"/>
      <c r="P1994" s="312" t="n"/>
      <c r="Q1994" s="312" t="n"/>
    </row>
    <row r="1995" ht="18.75" customHeight="1">
      <c r="B1995" s="288" t="n">
        <v>45563</v>
      </c>
      <c r="C1995" s="289" t="n">
        <v>1285</v>
      </c>
      <c r="D1995" s="290" t="inlineStr">
        <is>
          <t>Field Allowance 20 Sept - 27 Sept 2024</t>
        </is>
      </c>
      <c r="E1995" s="306" t="inlineStr">
        <is>
          <t>-</t>
        </is>
      </c>
      <c r="F1995" s="307" t="n">
        <v>175</v>
      </c>
      <c r="G1995" s="289" t="inlineStr">
        <is>
          <t>USD</t>
        </is>
      </c>
      <c r="H1995" s="293" t="n">
        <v>15250</v>
      </c>
      <c r="I1995" s="306" t="n"/>
      <c r="J1995" s="306" t="n"/>
      <c r="K1995" s="306" t="n"/>
      <c r="L1995" s="307">
        <f>$F1995*$H1995</f>
        <v/>
      </c>
      <c r="M1995" s="306" t="n"/>
      <c r="N1995" s="306" t="n"/>
      <c r="O1995" s="306" t="n"/>
      <c r="P1995" s="306" t="n"/>
      <c r="Q1995" s="306" t="n"/>
    </row>
    <row r="1996" ht="18.75" customHeight="1">
      <c r="B1996" s="288" t="n">
        <v>45563</v>
      </c>
      <c r="C1996" s="289" t="n">
        <v>1286</v>
      </c>
      <c r="D1996" s="290" t="inlineStr">
        <is>
          <t>Field Allowance 20 Sept - 27 Sept 2024</t>
        </is>
      </c>
      <c r="E1996" s="306" t="inlineStr">
        <is>
          <t>-</t>
        </is>
      </c>
      <c r="F1996" s="307" t="n">
        <v>175</v>
      </c>
      <c r="G1996" s="289" t="inlineStr">
        <is>
          <t>USD</t>
        </is>
      </c>
      <c r="H1996" s="293" t="n">
        <v>15250</v>
      </c>
      <c r="I1996" s="306" t="n"/>
      <c r="J1996" s="306" t="n"/>
      <c r="K1996" s="306" t="n"/>
      <c r="L1996" s="307">
        <f>$F1996*$H1996</f>
        <v/>
      </c>
      <c r="M1996" s="306" t="n"/>
      <c r="N1996" s="306" t="n"/>
      <c r="O1996" s="306" t="n"/>
      <c r="P1996" s="306" t="n"/>
      <c r="Q1996" s="306" t="n"/>
    </row>
    <row r="1997" ht="18.75" customHeight="1">
      <c r="B1997" s="288" t="n">
        <v>45563</v>
      </c>
      <c r="C1997" s="289" t="n">
        <v>1287</v>
      </c>
      <c r="D1997" s="290" t="inlineStr">
        <is>
          <t>Field Allowance 20 Sept - 27 Sept 2024</t>
        </is>
      </c>
      <c r="E1997" s="306" t="inlineStr">
        <is>
          <t>-</t>
        </is>
      </c>
      <c r="F1997" s="307" t="n">
        <v>175</v>
      </c>
      <c r="G1997" s="289" t="inlineStr">
        <is>
          <t>USD</t>
        </is>
      </c>
      <c r="H1997" s="293" t="n">
        <v>15250</v>
      </c>
      <c r="I1997" s="306" t="n"/>
      <c r="J1997" s="306" t="n"/>
      <c r="K1997" s="306" t="n"/>
      <c r="L1997" s="307">
        <f>$F1997*$H1997</f>
        <v/>
      </c>
      <c r="M1997" s="306" t="n"/>
      <c r="N1997" s="306" t="n"/>
      <c r="O1997" s="306" t="n"/>
      <c r="P1997" s="306" t="n"/>
      <c r="Q1997" s="306" t="n"/>
    </row>
    <row r="1998" ht="18.75" customHeight="1">
      <c r="B1998" s="288" t="n">
        <v>45563</v>
      </c>
      <c r="C1998" s="289" t="n">
        <v>1288</v>
      </c>
      <c r="D1998" s="290" t="inlineStr">
        <is>
          <t>Field Allowance 20 Sept - 27 Sept 2024</t>
        </is>
      </c>
      <c r="E1998" s="306" t="inlineStr">
        <is>
          <t>-</t>
        </is>
      </c>
      <c r="F1998" s="307" t="n">
        <v>175</v>
      </c>
      <c r="G1998" s="289" t="inlineStr">
        <is>
          <t>USD</t>
        </is>
      </c>
      <c r="H1998" s="293" t="n">
        <v>15250</v>
      </c>
      <c r="I1998" s="306" t="n"/>
      <c r="J1998" s="306" t="n"/>
      <c r="K1998" s="306" t="n"/>
      <c r="L1998" s="307">
        <f>$F1998*$H1998</f>
        <v/>
      </c>
      <c r="M1998" s="306" t="n"/>
      <c r="N1998" s="306" t="n"/>
      <c r="O1998" s="306" t="n"/>
      <c r="P1998" s="306" t="n"/>
      <c r="Q1998" s="306" t="n"/>
    </row>
    <row r="1999">
      <c r="B1999" s="312" t="n"/>
      <c r="C1999" s="312" t="n"/>
      <c r="D1999" s="285" t="inlineStr">
        <is>
          <t>Laundry</t>
        </is>
      </c>
      <c r="E1999" s="312" t="n"/>
      <c r="F1999" s="312" t="n"/>
      <c r="G1999" s="312" t="n"/>
      <c r="H1999" s="312" t="n"/>
      <c r="I1999" s="312" t="n"/>
      <c r="J1999" s="312" t="n"/>
      <c r="K1999" s="312" t="n"/>
      <c r="L1999" s="312" t="n"/>
      <c r="M1999" s="312" t="n"/>
      <c r="N1999" s="312" t="n"/>
      <c r="O1999" s="312" t="n"/>
      <c r="P1999" s="312" t="n"/>
      <c r="Q1999" s="312" t="n"/>
    </row>
    <row r="2000" ht="18.75" customHeight="1">
      <c r="B2000" s="288" t="n">
        <v>45563</v>
      </c>
      <c r="C2000" s="289" t="n">
        <v>1289</v>
      </c>
      <c r="D2000" s="290" t="inlineStr">
        <is>
          <t>Laundry 20 Sept - 27 Sept 2024 (7days) @ Rp. 50000</t>
        </is>
      </c>
      <c r="E2000" s="306" t="inlineStr">
        <is>
          <t>-</t>
        </is>
      </c>
      <c r="F2000" s="307" t="n">
        <v>350000</v>
      </c>
      <c r="G2000" s="289" t="inlineStr">
        <is>
          <t>IDR</t>
        </is>
      </c>
      <c r="H2000" s="293" t="n">
        <v>1</v>
      </c>
      <c r="I2000" s="306" t="n"/>
      <c r="J2000" s="306" t="n"/>
      <c r="K2000" s="306" t="n"/>
      <c r="L2000" s="307">
        <f>$F2000*$H2000</f>
        <v/>
      </c>
      <c r="M2000" s="306" t="n"/>
      <c r="N2000" s="306" t="n"/>
      <c r="O2000" s="306" t="n"/>
      <c r="P2000" s="306" t="n"/>
      <c r="Q2000" s="306" t="n"/>
    </row>
    <row r="2001" ht="18.75" customHeight="1">
      <c r="B2001" s="288" t="n">
        <v>45563</v>
      </c>
      <c r="C2001" s="289" t="n">
        <v>1290</v>
      </c>
      <c r="D2001" s="290" t="inlineStr">
        <is>
          <t>Laundry 20 Sept - 27 Sept 2024 (7days) @ Rp. 50000</t>
        </is>
      </c>
      <c r="E2001" s="306" t="inlineStr">
        <is>
          <t>-</t>
        </is>
      </c>
      <c r="F2001" s="307" t="n">
        <v>350000</v>
      </c>
      <c r="G2001" s="289" t="inlineStr">
        <is>
          <t>IDR</t>
        </is>
      </c>
      <c r="H2001" s="293" t="n">
        <v>1</v>
      </c>
      <c r="I2001" s="306" t="n"/>
      <c r="J2001" s="306" t="n"/>
      <c r="K2001" s="306" t="n"/>
      <c r="L2001" s="307">
        <f>$F2001*$H2001</f>
        <v/>
      </c>
      <c r="M2001" s="306" t="n"/>
      <c r="N2001" s="306" t="n"/>
      <c r="O2001" s="306" t="n"/>
      <c r="P2001" s="306" t="n"/>
      <c r="Q2001" s="306" t="n"/>
    </row>
    <row r="2002" ht="18.75" customHeight="1">
      <c r="B2002" s="288" t="n">
        <v>45563</v>
      </c>
      <c r="C2002" s="289" t="n">
        <v>1291</v>
      </c>
      <c r="D2002" s="290" t="inlineStr">
        <is>
          <t>Laundry 20 Sept - 27 Sept 2024 (7days) @ Rp. 50000</t>
        </is>
      </c>
      <c r="E2002" s="306" t="inlineStr">
        <is>
          <t>-</t>
        </is>
      </c>
      <c r="F2002" s="307" t="n">
        <v>350000</v>
      </c>
      <c r="G2002" s="289" t="inlineStr">
        <is>
          <t>IDR</t>
        </is>
      </c>
      <c r="H2002" s="293" t="n">
        <v>1</v>
      </c>
      <c r="I2002" s="306" t="n"/>
      <c r="J2002" s="306" t="n"/>
      <c r="K2002" s="306" t="n"/>
      <c r="L2002" s="307">
        <f>$F2002*$H2002</f>
        <v/>
      </c>
      <c r="M2002" s="306" t="n"/>
      <c r="N2002" s="306" t="n"/>
      <c r="O2002" s="306" t="n"/>
      <c r="P2002" s="306" t="n"/>
      <c r="Q2002" s="306" t="n"/>
    </row>
    <row r="2003" ht="18.75" customHeight="1">
      <c r="B2003" s="288" t="n">
        <v>45563</v>
      </c>
      <c r="C2003" s="289" t="n">
        <v>1292</v>
      </c>
      <c r="D2003" s="290" t="inlineStr">
        <is>
          <t>Laundry 20 Sept - 27 Sept 2024 (7days) @ Rp. 50000</t>
        </is>
      </c>
      <c r="E2003" s="306" t="inlineStr">
        <is>
          <t>-</t>
        </is>
      </c>
      <c r="F2003" s="307" t="n">
        <v>350000</v>
      </c>
      <c r="G2003" s="289" t="inlineStr">
        <is>
          <t>IDR</t>
        </is>
      </c>
      <c r="H2003" s="293" t="n">
        <v>1</v>
      </c>
      <c r="I2003" s="306" t="n"/>
      <c r="J2003" s="306" t="n"/>
      <c r="K2003" s="306" t="n"/>
      <c r="L2003" s="307">
        <f>$F2003*$H2003</f>
        <v/>
      </c>
      <c r="M2003" s="306" t="n"/>
      <c r="N2003" s="306" t="n"/>
      <c r="O2003" s="306" t="n"/>
      <c r="P2003" s="306" t="n"/>
      <c r="Q2003" s="306" t="n"/>
    </row>
    <row r="2004">
      <c r="B2004" s="312" t="n"/>
      <c r="C2004" s="312" t="n"/>
      <c r="D2004" s="285" t="inlineStr">
        <is>
          <t>Maintenance</t>
        </is>
      </c>
      <c r="E2004" s="312" t="n"/>
      <c r="F2004" s="312" t="n"/>
      <c r="G2004" s="312" t="n"/>
      <c r="H2004" s="312" t="n"/>
      <c r="I2004" s="312" t="n"/>
      <c r="J2004" s="312" t="n"/>
      <c r="K2004" s="312" t="n"/>
      <c r="L2004" s="312" t="n"/>
      <c r="M2004" s="312" t="n"/>
      <c r="N2004" s="312" t="n"/>
      <c r="O2004" s="312" t="n"/>
      <c r="P2004" s="312" t="n"/>
      <c r="Q2004" s="312" t="n"/>
    </row>
    <row r="2005" ht="18.75" customHeight="1">
      <c r="B2005" s="288" t="n">
        <v>45563</v>
      </c>
      <c r="C2005" s="289" t="n">
        <v>1293</v>
      </c>
      <c r="D2005" s="290" t="inlineStr">
        <is>
          <t>Car Wash</t>
        </is>
      </c>
      <c r="E2005" s="306" t="inlineStr">
        <is>
          <t>-</t>
        </is>
      </c>
      <c r="F2005" s="307" t="n">
        <v>40000</v>
      </c>
      <c r="G2005" s="289" t="inlineStr">
        <is>
          <t>IDR</t>
        </is>
      </c>
      <c r="H2005" s="293" t="n">
        <v>1</v>
      </c>
      <c r="I2005" s="306" t="n"/>
      <c r="J2005" s="306" t="n"/>
      <c r="K2005" s="306" t="n"/>
      <c r="L2005" s="307">
        <f>$F2005*$H2005</f>
        <v/>
      </c>
      <c r="M2005" s="306" t="n"/>
      <c r="N2005" s="306" t="n"/>
      <c r="O2005" s="306" t="n"/>
      <c r="P2005" s="306" t="n"/>
      <c r="Q2005" s="306" t="n"/>
    </row>
    <row r="2006" ht="18.75" customHeight="1">
      <c r="B2006" s="288" t="n">
        <v>45563</v>
      </c>
      <c r="C2006" s="289" t="n">
        <v>1294</v>
      </c>
      <c r="D2006" s="290" t="inlineStr">
        <is>
          <t>Car Wash</t>
        </is>
      </c>
      <c r="E2006" s="306" t="inlineStr">
        <is>
          <t>-</t>
        </is>
      </c>
      <c r="F2006" s="307" t="n">
        <v>40000</v>
      </c>
      <c r="G2006" s="289" t="inlineStr">
        <is>
          <t>IDR</t>
        </is>
      </c>
      <c r="H2006" s="293" t="n">
        <v>1</v>
      </c>
      <c r="I2006" s="306" t="n"/>
      <c r="J2006" s="306" t="n"/>
      <c r="K2006" s="306" t="n"/>
      <c r="L2006" s="307">
        <f>$F2006*$H2006</f>
        <v/>
      </c>
      <c r="M2006" s="306" t="n"/>
      <c r="N2006" s="306" t="n"/>
      <c r="O2006" s="306" t="n"/>
      <c r="P2006" s="306" t="n"/>
      <c r="Q2006" s="306" t="n"/>
    </row>
    <row r="2007" ht="18.75" customHeight="1">
      <c r="B2007" s="288" t="n">
        <v>45563</v>
      </c>
      <c r="C2007" s="289" t="n">
        <v>1295</v>
      </c>
      <c r="D2007" s="290" t="inlineStr">
        <is>
          <t>Car Wash</t>
        </is>
      </c>
      <c r="E2007" s="306" t="inlineStr">
        <is>
          <t>-</t>
        </is>
      </c>
      <c r="F2007" s="307" t="n">
        <v>40000</v>
      </c>
      <c r="G2007" s="289" t="inlineStr">
        <is>
          <t>IDR</t>
        </is>
      </c>
      <c r="H2007" s="293" t="n">
        <v>1</v>
      </c>
      <c r="I2007" s="306" t="n"/>
      <c r="J2007" s="306" t="n"/>
      <c r="K2007" s="306" t="n"/>
      <c r="L2007" s="307">
        <f>$F2007*$H2007</f>
        <v/>
      </c>
      <c r="M2007" s="306" t="n"/>
      <c r="N2007" s="306" t="n"/>
      <c r="O2007" s="306" t="n"/>
      <c r="P2007" s="306" t="n"/>
      <c r="Q2007" s="306" t="n"/>
    </row>
    <row r="2008" ht="18.75" customHeight="1">
      <c r="B2008" s="288" t="n">
        <v>45563</v>
      </c>
      <c r="C2008" s="289" t="n">
        <v>1296</v>
      </c>
      <c r="D2008" s="290" t="inlineStr">
        <is>
          <t>Car Wash</t>
        </is>
      </c>
      <c r="E2008" s="306" t="inlineStr">
        <is>
          <t>-</t>
        </is>
      </c>
      <c r="F2008" s="307" t="n">
        <v>40000</v>
      </c>
      <c r="G2008" s="289" t="inlineStr">
        <is>
          <t>IDR</t>
        </is>
      </c>
      <c r="H2008" s="293" t="n">
        <v>1</v>
      </c>
      <c r="I2008" s="306" t="n"/>
      <c r="J2008" s="306" t="n"/>
      <c r="K2008" s="306" t="n"/>
      <c r="L2008" s="307">
        <f>$F2008*$H2008</f>
        <v/>
      </c>
      <c r="M2008" s="306" t="n"/>
      <c r="N2008" s="306" t="n"/>
      <c r="O2008" s="306" t="n"/>
      <c r="P2008" s="306" t="n"/>
      <c r="Q2008" s="306" t="n"/>
    </row>
    <row r="2009">
      <c r="B2009" s="312" t="n"/>
      <c r="C2009" s="312" t="n"/>
      <c r="D2009" s="285" t="inlineStr">
        <is>
          <t>Meal</t>
        </is>
      </c>
      <c r="E2009" s="312" t="n"/>
      <c r="F2009" s="312" t="n"/>
      <c r="G2009" s="312" t="n"/>
      <c r="H2009" s="312" t="n"/>
      <c r="I2009" s="312" t="n"/>
      <c r="J2009" s="312" t="n"/>
      <c r="K2009" s="312" t="n"/>
      <c r="L2009" s="312" t="n"/>
      <c r="M2009" s="312" t="n"/>
      <c r="N2009" s="312" t="n"/>
      <c r="O2009" s="312" t="n"/>
      <c r="P2009" s="312" t="n"/>
      <c r="Q2009" s="312" t="n"/>
    </row>
    <row r="2010" ht="18.75" customHeight="1">
      <c r="B2010" s="288" t="n">
        <v>45563</v>
      </c>
      <c r="C2010" s="289" t="n">
        <v>1297</v>
      </c>
      <c r="D2010" s="290" t="inlineStr">
        <is>
          <t>Aqua 600 ML + Sunlight</t>
        </is>
      </c>
      <c r="E2010" s="306" t="inlineStr">
        <is>
          <t>-</t>
        </is>
      </c>
      <c r="F2010" s="307" t="n">
        <v>65000</v>
      </c>
      <c r="G2010" s="289" t="inlineStr">
        <is>
          <t>IDR</t>
        </is>
      </c>
      <c r="H2010" s="293" t="n">
        <v>1</v>
      </c>
      <c r="I2010" s="306" t="n"/>
      <c r="J2010" s="306" t="n"/>
      <c r="K2010" s="306" t="n"/>
      <c r="L2010" s="307">
        <f>$F2010*$H2010</f>
        <v/>
      </c>
      <c r="M2010" s="306" t="n"/>
      <c r="N2010" s="306" t="n"/>
      <c r="O2010" s="306" t="n"/>
      <c r="P2010" s="306" t="n"/>
      <c r="Q2010" s="306" t="n"/>
    </row>
    <row r="2011" ht="18.75" customHeight="1">
      <c r="B2011" s="288" t="n">
        <v>45563</v>
      </c>
      <c r="C2011" s="289" t="n">
        <v>1298</v>
      </c>
      <c r="D2011" s="290" t="inlineStr">
        <is>
          <t>Fried Food + Soft Drink</t>
        </is>
      </c>
      <c r="E2011" s="306" t="inlineStr">
        <is>
          <t>-</t>
        </is>
      </c>
      <c r="F2011" s="307" t="n">
        <v>150000</v>
      </c>
      <c r="G2011" s="289" t="inlineStr">
        <is>
          <t>IDR</t>
        </is>
      </c>
      <c r="H2011" s="293" t="n">
        <v>1</v>
      </c>
      <c r="I2011" s="306" t="n"/>
      <c r="J2011" s="306" t="n"/>
      <c r="K2011" s="306" t="n"/>
      <c r="L2011" s="307">
        <f>$F2011*$H2011</f>
        <v/>
      </c>
      <c r="M2011" s="306" t="n"/>
      <c r="N2011" s="306" t="n"/>
      <c r="O2011" s="306" t="n"/>
      <c r="P2011" s="306" t="n"/>
      <c r="Q2011" s="306" t="n"/>
    </row>
    <row r="2012" ht="18.75" customHeight="1">
      <c r="B2012" s="288" t="n">
        <v>45563</v>
      </c>
      <c r="C2012" s="289" t="n">
        <v>1299</v>
      </c>
      <c r="D2012" s="290" t="inlineStr">
        <is>
          <t>Meal's Crew</t>
        </is>
      </c>
      <c r="E2012" s="306" t="inlineStr">
        <is>
          <t>-</t>
        </is>
      </c>
      <c r="F2012" s="307" t="n">
        <v>120000</v>
      </c>
      <c r="G2012" s="289" t="inlineStr">
        <is>
          <t>IDR</t>
        </is>
      </c>
      <c r="H2012" s="293" t="n">
        <v>1</v>
      </c>
      <c r="I2012" s="306" t="n"/>
      <c r="J2012" s="306" t="n"/>
      <c r="K2012" s="306" t="n"/>
      <c r="L2012" s="307">
        <f>$F2012*$H2012</f>
        <v/>
      </c>
      <c r="M2012" s="306" t="n"/>
      <c r="N2012" s="306" t="n"/>
      <c r="O2012" s="306" t="n"/>
      <c r="P2012" s="306" t="n"/>
      <c r="Q2012" s="306" t="n"/>
    </row>
    <row r="2013" ht="18.75" customHeight="1">
      <c r="B2013" s="288" t="n">
        <v>45563</v>
      </c>
      <c r="C2013" s="289" t="n">
        <v>1300</v>
      </c>
      <c r="D2013" s="290" t="inlineStr">
        <is>
          <t>Snack's Crew</t>
        </is>
      </c>
      <c r="E2013" s="306" t="inlineStr">
        <is>
          <t>-</t>
        </is>
      </c>
      <c r="F2013" s="307" t="n">
        <v>172000</v>
      </c>
      <c r="G2013" s="289" t="inlineStr">
        <is>
          <t>IDR</t>
        </is>
      </c>
      <c r="H2013" s="293" t="n">
        <v>1</v>
      </c>
      <c r="I2013" s="306" t="n"/>
      <c r="J2013" s="306" t="n"/>
      <c r="K2013" s="306" t="n"/>
      <c r="L2013" s="307">
        <f>$F2013*$H2013</f>
        <v/>
      </c>
      <c r="M2013" s="306" t="n"/>
      <c r="N2013" s="306" t="n"/>
      <c r="O2013" s="306" t="n"/>
      <c r="P2013" s="306" t="n"/>
      <c r="Q2013" s="306" t="n"/>
    </row>
    <row r="2014" ht="18.75" customHeight="1">
      <c r="B2014" s="288" t="n">
        <v>45563</v>
      </c>
      <c r="C2014" s="289" t="n">
        <v>1301</v>
      </c>
      <c r="D2014" s="290" t="inlineStr">
        <is>
          <t>Meal's + Soft Drink Crew</t>
        </is>
      </c>
      <c r="E2014" s="306" t="inlineStr">
        <is>
          <t>-</t>
        </is>
      </c>
      <c r="F2014" s="307" t="n">
        <v>300000</v>
      </c>
      <c r="G2014" s="289" t="inlineStr">
        <is>
          <t>IDR</t>
        </is>
      </c>
      <c r="H2014" s="293" t="n">
        <v>1</v>
      </c>
      <c r="I2014" s="306" t="n"/>
      <c r="J2014" s="306" t="n"/>
      <c r="K2014" s="306" t="n"/>
      <c r="L2014" s="307">
        <f>$F2014*$H2014</f>
        <v/>
      </c>
      <c r="M2014" s="306" t="n"/>
      <c r="N2014" s="306" t="n"/>
      <c r="O2014" s="306" t="n"/>
      <c r="P2014" s="306" t="n"/>
      <c r="Q2014" s="306" t="n"/>
    </row>
    <row r="2015" ht="18.75" customHeight="1">
      <c r="B2015" s="288" t="n">
        <v>45563</v>
      </c>
      <c r="C2015" s="289" t="n">
        <v>1302</v>
      </c>
      <c r="D2015" s="290" t="inlineStr">
        <is>
          <t>Aqua 600 ML</t>
        </is>
      </c>
      <c r="E2015" s="306" t="inlineStr">
        <is>
          <t>-</t>
        </is>
      </c>
      <c r="F2015" s="307" t="n">
        <v>65000</v>
      </c>
      <c r="G2015" s="289" t="inlineStr">
        <is>
          <t>IDR</t>
        </is>
      </c>
      <c r="H2015" s="293" t="n">
        <v>1</v>
      </c>
      <c r="I2015" s="306" t="n"/>
      <c r="J2015" s="306" t="n"/>
      <c r="K2015" s="306" t="n"/>
      <c r="L2015" s="307">
        <f>$F2015*$H2015</f>
        <v/>
      </c>
      <c r="M2015" s="306" t="n"/>
      <c r="N2015" s="306" t="n"/>
      <c r="O2015" s="306" t="n"/>
      <c r="P2015" s="306" t="n"/>
      <c r="Q2015" s="306" t="n"/>
    </row>
    <row r="2016" ht="18.75" customHeight="1">
      <c r="B2016" s="288" t="n">
        <v>45563</v>
      </c>
      <c r="C2016" s="289" t="n">
        <v>1303</v>
      </c>
      <c r="D2016" s="290" t="inlineStr">
        <is>
          <t>Meal's Crws + Ice Tea</t>
        </is>
      </c>
      <c r="E2016" s="306" t="inlineStr">
        <is>
          <t>-</t>
        </is>
      </c>
      <c r="F2016" s="307" t="n">
        <v>200000</v>
      </c>
      <c r="G2016" s="289" t="inlineStr">
        <is>
          <t>IDR</t>
        </is>
      </c>
      <c r="H2016" s="293" t="n">
        <v>1</v>
      </c>
      <c r="I2016" s="306" t="n"/>
      <c r="J2016" s="306" t="n"/>
      <c r="K2016" s="306" t="n"/>
      <c r="L2016" s="307">
        <f>$F2016*$H2016</f>
        <v/>
      </c>
      <c r="M2016" s="306" t="n"/>
      <c r="N2016" s="306" t="n"/>
      <c r="O2016" s="306" t="n"/>
      <c r="P2016" s="306" t="n"/>
      <c r="Q2016" s="306" t="n"/>
    </row>
    <row r="2017" ht="18.75" customHeight="1">
      <c r="B2017" s="288" t="n">
        <v>45563</v>
      </c>
      <c r="C2017" s="289" t="n">
        <v>1304</v>
      </c>
      <c r="D2017" s="290" t="inlineStr">
        <is>
          <t>Snack's Crew</t>
        </is>
      </c>
      <c r="E2017" s="306" t="inlineStr">
        <is>
          <t>-</t>
        </is>
      </c>
      <c r="F2017" s="307" t="n">
        <v>240000</v>
      </c>
      <c r="G2017" s="289" t="inlineStr">
        <is>
          <t>IDR</t>
        </is>
      </c>
      <c r="H2017" s="293" t="n">
        <v>1</v>
      </c>
      <c r="I2017" s="306" t="n"/>
      <c r="J2017" s="306" t="n"/>
      <c r="K2017" s="306" t="n"/>
      <c r="L2017" s="307">
        <f>$F2017*$H2017</f>
        <v/>
      </c>
      <c r="M2017" s="306" t="n"/>
      <c r="N2017" s="306" t="n"/>
      <c r="O2017" s="306" t="n"/>
      <c r="P2017" s="306" t="n"/>
      <c r="Q2017" s="306" t="n"/>
    </row>
    <row r="2018" ht="18.75" customHeight="1">
      <c r="B2018" s="288" t="n">
        <v>45563</v>
      </c>
      <c r="C2018" s="289" t="n">
        <v>1305</v>
      </c>
      <c r="D2018" s="290" t="inlineStr">
        <is>
          <t>Meal's + Soft Drink Crew</t>
        </is>
      </c>
      <c r="E2018" s="306" t="inlineStr">
        <is>
          <t>-</t>
        </is>
      </c>
      <c r="F2018" s="307" t="n">
        <v>230000</v>
      </c>
      <c r="G2018" s="289" t="inlineStr">
        <is>
          <t>IDR</t>
        </is>
      </c>
      <c r="H2018" s="293" t="n">
        <v>1</v>
      </c>
      <c r="I2018" s="306" t="n"/>
      <c r="J2018" s="306" t="n"/>
      <c r="K2018" s="306" t="n"/>
      <c r="L2018" s="307">
        <f>$F2018*$H2018</f>
        <v/>
      </c>
      <c r="M2018" s="306" t="n"/>
      <c r="N2018" s="306" t="n"/>
      <c r="O2018" s="306" t="n"/>
      <c r="P2018" s="306" t="n"/>
      <c r="Q2018" s="306" t="n"/>
    </row>
    <row r="2019" ht="18.75" customHeight="1">
      <c r="B2019" s="288" t="n">
        <v>45563</v>
      </c>
      <c r="C2019" s="289" t="n">
        <v>1306</v>
      </c>
      <c r="D2019" s="290" t="inlineStr">
        <is>
          <t>Soft Drink</t>
        </is>
      </c>
      <c r="E2019" s="306" t="inlineStr">
        <is>
          <t>-</t>
        </is>
      </c>
      <c r="F2019" s="307" t="n">
        <v>110000</v>
      </c>
      <c r="G2019" s="289" t="inlineStr">
        <is>
          <t>IDR</t>
        </is>
      </c>
      <c r="H2019" s="293" t="n">
        <v>1</v>
      </c>
      <c r="I2019" s="306" t="n"/>
      <c r="J2019" s="306" t="n"/>
      <c r="K2019" s="306" t="n"/>
      <c r="L2019" s="307">
        <f>$F2019*$H2019</f>
        <v/>
      </c>
      <c r="M2019" s="306" t="n"/>
      <c r="N2019" s="306" t="n"/>
      <c r="O2019" s="306" t="n"/>
      <c r="P2019" s="306" t="n"/>
      <c r="Q2019" s="306" t="n"/>
    </row>
    <row r="2020" ht="18.75" customHeight="1">
      <c r="B2020" s="288" t="n">
        <v>45563</v>
      </c>
      <c r="C2020" s="289" t="n">
        <v>1307</v>
      </c>
      <c r="D2020" s="290" t="inlineStr">
        <is>
          <t>Black Coffe</t>
        </is>
      </c>
      <c r="E2020" s="306" t="inlineStr">
        <is>
          <t>-</t>
        </is>
      </c>
      <c r="F2020" s="307" t="n">
        <v>47000</v>
      </c>
      <c r="G2020" s="289" t="inlineStr">
        <is>
          <t>IDR</t>
        </is>
      </c>
      <c r="H2020" s="293" t="n">
        <v>1</v>
      </c>
      <c r="I2020" s="306" t="n"/>
      <c r="J2020" s="306" t="n"/>
      <c r="K2020" s="306" t="n"/>
      <c r="L2020" s="307">
        <f>$F2020*$H2020</f>
        <v/>
      </c>
      <c r="M2020" s="306" t="n"/>
      <c r="N2020" s="306" t="n"/>
      <c r="O2020" s="306" t="n"/>
      <c r="P2020" s="306" t="n"/>
      <c r="Q2020" s="306" t="n"/>
    </row>
    <row r="2021" ht="18.75" customHeight="1">
      <c r="B2021" s="288" t="n">
        <v>45563</v>
      </c>
      <c r="C2021" s="289" t="n">
        <v>1308</v>
      </c>
      <c r="D2021" s="290" t="inlineStr">
        <is>
          <t>Meals 20 Sept - 27 Sept 2024 7 days</t>
        </is>
      </c>
      <c r="E2021" s="306" t="inlineStr">
        <is>
          <t>-</t>
        </is>
      </c>
      <c r="F2021" s="307" t="n">
        <v>1050000</v>
      </c>
      <c r="G2021" s="289" t="inlineStr">
        <is>
          <t>IDR</t>
        </is>
      </c>
      <c r="H2021" s="293" t="n">
        <v>1</v>
      </c>
      <c r="I2021" s="306" t="n"/>
      <c r="J2021" s="306" t="n"/>
      <c r="K2021" s="306" t="n"/>
      <c r="L2021" s="307">
        <f>$F2021*$H2021</f>
        <v/>
      </c>
      <c r="M2021" s="306" t="n"/>
      <c r="N2021" s="306" t="n"/>
      <c r="O2021" s="306" t="n"/>
      <c r="P2021" s="306" t="n"/>
      <c r="Q2021" s="306" t="n"/>
    </row>
    <row r="2022" ht="18.75" customHeight="1">
      <c r="B2022" s="288" t="n">
        <v>45563</v>
      </c>
      <c r="C2022" s="289" t="n">
        <v>1309</v>
      </c>
      <c r="D2022" s="290" t="inlineStr">
        <is>
          <t>Black Coffe</t>
        </is>
      </c>
      <c r="E2022" s="306" t="inlineStr">
        <is>
          <t>-</t>
        </is>
      </c>
      <c r="F2022" s="307" t="n">
        <v>47000</v>
      </c>
      <c r="G2022" s="289" t="inlineStr">
        <is>
          <t>IDR</t>
        </is>
      </c>
      <c r="H2022" s="293" t="n">
        <v>1</v>
      </c>
      <c r="I2022" s="306" t="n"/>
      <c r="J2022" s="306" t="n"/>
      <c r="K2022" s="306" t="n"/>
      <c r="L2022" s="307">
        <f>$F2022*$H2022</f>
        <v/>
      </c>
      <c r="M2022" s="306" t="n"/>
      <c r="N2022" s="306" t="n"/>
      <c r="O2022" s="306" t="n"/>
      <c r="P2022" s="306" t="n"/>
      <c r="Q2022" s="306" t="n"/>
    </row>
    <row r="2023" ht="18.75" customHeight="1">
      <c r="B2023" s="288" t="n">
        <v>45563</v>
      </c>
      <c r="C2023" s="289" t="n">
        <v>1310</v>
      </c>
      <c r="D2023" s="290" t="inlineStr">
        <is>
          <t>Aqua 600 ML + Sunlight</t>
        </is>
      </c>
      <c r="E2023" s="306" t="inlineStr">
        <is>
          <t>-</t>
        </is>
      </c>
      <c r="F2023" s="307" t="n">
        <v>65000</v>
      </c>
      <c r="G2023" s="289" t="inlineStr">
        <is>
          <t>IDR</t>
        </is>
      </c>
      <c r="H2023" s="293" t="n">
        <v>1</v>
      </c>
      <c r="I2023" s="306" t="n"/>
      <c r="J2023" s="306" t="n"/>
      <c r="K2023" s="306" t="n"/>
      <c r="L2023" s="307">
        <f>$F2023*$H2023</f>
        <v/>
      </c>
      <c r="M2023" s="306" t="n"/>
      <c r="N2023" s="306" t="n"/>
      <c r="O2023" s="306" t="n"/>
      <c r="P2023" s="306" t="n"/>
      <c r="Q2023" s="306" t="n"/>
    </row>
    <row r="2024" ht="18.75" customHeight="1">
      <c r="B2024" s="288" t="n">
        <v>45563</v>
      </c>
      <c r="C2024" s="289" t="n">
        <v>1311</v>
      </c>
      <c r="D2024" s="290" t="inlineStr">
        <is>
          <t>Fried Food + Soft Drink</t>
        </is>
      </c>
      <c r="E2024" s="306" t="inlineStr">
        <is>
          <t>-</t>
        </is>
      </c>
      <c r="F2024" s="307" t="n">
        <v>150000</v>
      </c>
      <c r="G2024" s="289" t="inlineStr">
        <is>
          <t>IDR</t>
        </is>
      </c>
      <c r="H2024" s="293" t="n">
        <v>1</v>
      </c>
      <c r="I2024" s="306" t="n"/>
      <c r="J2024" s="306" t="n"/>
      <c r="K2024" s="306" t="n"/>
      <c r="L2024" s="307">
        <f>$F2024*$H2024</f>
        <v/>
      </c>
      <c r="M2024" s="306" t="n"/>
      <c r="N2024" s="306" t="n"/>
      <c r="O2024" s="306" t="n"/>
      <c r="P2024" s="306" t="n"/>
      <c r="Q2024" s="306" t="n"/>
    </row>
    <row r="2025" ht="18.75" customHeight="1">
      <c r="B2025" s="288" t="n">
        <v>45563</v>
      </c>
      <c r="C2025" s="289" t="n">
        <v>1312</v>
      </c>
      <c r="D2025" s="290" t="inlineStr">
        <is>
          <t>Meal's Crew</t>
        </is>
      </c>
      <c r="E2025" s="306" t="inlineStr">
        <is>
          <t>-</t>
        </is>
      </c>
      <c r="F2025" s="307" t="n">
        <v>120000</v>
      </c>
      <c r="G2025" s="289" t="inlineStr">
        <is>
          <t>IDR</t>
        </is>
      </c>
      <c r="H2025" s="293" t="n">
        <v>1</v>
      </c>
      <c r="I2025" s="306" t="n"/>
      <c r="J2025" s="306" t="n"/>
      <c r="K2025" s="306" t="n"/>
      <c r="L2025" s="307">
        <f>$F2025*$H2025</f>
        <v/>
      </c>
      <c r="M2025" s="306" t="n"/>
      <c r="N2025" s="306" t="n"/>
      <c r="O2025" s="306" t="n"/>
      <c r="P2025" s="306" t="n"/>
      <c r="Q2025" s="306" t="n"/>
    </row>
    <row r="2026" ht="18.75" customHeight="1">
      <c r="B2026" s="288" t="n">
        <v>45563</v>
      </c>
      <c r="C2026" s="289" t="n">
        <v>1313</v>
      </c>
      <c r="D2026" s="290" t="inlineStr">
        <is>
          <t>Snack's Crew</t>
        </is>
      </c>
      <c r="E2026" s="306" t="inlineStr">
        <is>
          <t>-</t>
        </is>
      </c>
      <c r="F2026" s="307" t="n">
        <v>172000</v>
      </c>
      <c r="G2026" s="289" t="inlineStr">
        <is>
          <t>IDR</t>
        </is>
      </c>
      <c r="H2026" s="293" t="n">
        <v>1</v>
      </c>
      <c r="I2026" s="306" t="n"/>
      <c r="J2026" s="306" t="n"/>
      <c r="K2026" s="306" t="n"/>
      <c r="L2026" s="307">
        <f>$F2026*$H2026</f>
        <v/>
      </c>
      <c r="M2026" s="306" t="n"/>
      <c r="N2026" s="306" t="n"/>
      <c r="O2026" s="306" t="n"/>
      <c r="P2026" s="306" t="n"/>
      <c r="Q2026" s="306" t="n"/>
    </row>
    <row r="2027" ht="18.75" customHeight="1">
      <c r="B2027" s="288" t="n">
        <v>45563</v>
      </c>
      <c r="C2027" s="289" t="n">
        <v>1314</v>
      </c>
      <c r="D2027" s="290" t="inlineStr">
        <is>
          <t>Meal's + Soft Drink Crew</t>
        </is>
      </c>
      <c r="E2027" s="306" t="inlineStr">
        <is>
          <t>-</t>
        </is>
      </c>
      <c r="F2027" s="307" t="n">
        <v>300000</v>
      </c>
      <c r="G2027" s="289" t="inlineStr">
        <is>
          <t>IDR</t>
        </is>
      </c>
      <c r="H2027" s="293" t="n">
        <v>1</v>
      </c>
      <c r="I2027" s="306" t="n"/>
      <c r="J2027" s="306" t="n"/>
      <c r="K2027" s="306" t="n"/>
      <c r="L2027" s="307">
        <f>$F2027*$H2027</f>
        <v/>
      </c>
      <c r="M2027" s="306" t="n"/>
      <c r="N2027" s="306" t="n"/>
      <c r="O2027" s="306" t="n"/>
      <c r="P2027" s="306" t="n"/>
      <c r="Q2027" s="306" t="n"/>
    </row>
    <row r="2028" ht="18.75" customHeight="1">
      <c r="B2028" s="288" t="n">
        <v>45563</v>
      </c>
      <c r="C2028" s="289" t="n">
        <v>1315</v>
      </c>
      <c r="D2028" s="290" t="inlineStr">
        <is>
          <t>Aqua 600 ML</t>
        </is>
      </c>
      <c r="E2028" s="306" t="inlineStr">
        <is>
          <t>-</t>
        </is>
      </c>
      <c r="F2028" s="307" t="n">
        <v>65000</v>
      </c>
      <c r="G2028" s="289" t="inlineStr">
        <is>
          <t>IDR</t>
        </is>
      </c>
      <c r="H2028" s="293" t="n">
        <v>1</v>
      </c>
      <c r="I2028" s="306" t="n"/>
      <c r="J2028" s="306" t="n"/>
      <c r="K2028" s="306" t="n"/>
      <c r="L2028" s="307">
        <f>$F2028*$H2028</f>
        <v/>
      </c>
      <c r="M2028" s="306" t="n"/>
      <c r="N2028" s="306" t="n"/>
      <c r="O2028" s="306" t="n"/>
      <c r="P2028" s="306" t="n"/>
      <c r="Q2028" s="306" t="n"/>
    </row>
    <row r="2029" ht="18.75" customHeight="1">
      <c r="B2029" s="288" t="n">
        <v>45563</v>
      </c>
      <c r="C2029" s="289" t="n">
        <v>1316</v>
      </c>
      <c r="D2029" s="290" t="inlineStr">
        <is>
          <t>Meal's Crws + Ice Tea</t>
        </is>
      </c>
      <c r="E2029" s="306" t="inlineStr">
        <is>
          <t>-</t>
        </is>
      </c>
      <c r="F2029" s="307" t="n">
        <v>200000</v>
      </c>
      <c r="G2029" s="289" t="inlineStr">
        <is>
          <t>IDR</t>
        </is>
      </c>
      <c r="H2029" s="293" t="n">
        <v>1</v>
      </c>
      <c r="I2029" s="306" t="n"/>
      <c r="J2029" s="306" t="n"/>
      <c r="K2029" s="306" t="n"/>
      <c r="L2029" s="307">
        <f>$F2029*$H2029</f>
        <v/>
      </c>
      <c r="M2029" s="306" t="n"/>
      <c r="N2029" s="306" t="n"/>
      <c r="O2029" s="306" t="n"/>
      <c r="P2029" s="306" t="n"/>
      <c r="Q2029" s="306" t="n"/>
    </row>
    <row r="2030" ht="18.75" customHeight="1">
      <c r="B2030" s="288" t="n">
        <v>45563</v>
      </c>
      <c r="C2030" s="289" t="n">
        <v>1317</v>
      </c>
      <c r="D2030" s="290" t="inlineStr">
        <is>
          <t>Snack's Crew</t>
        </is>
      </c>
      <c r="E2030" s="306" t="inlineStr">
        <is>
          <t>-</t>
        </is>
      </c>
      <c r="F2030" s="307" t="n">
        <v>240000</v>
      </c>
      <c r="G2030" s="289" t="inlineStr">
        <is>
          <t>IDR</t>
        </is>
      </c>
      <c r="H2030" s="293" t="n">
        <v>1</v>
      </c>
      <c r="I2030" s="306" t="n"/>
      <c r="J2030" s="306" t="n"/>
      <c r="K2030" s="306" t="n"/>
      <c r="L2030" s="307">
        <f>$F2030*$H2030</f>
        <v/>
      </c>
      <c r="M2030" s="306" t="n"/>
      <c r="N2030" s="306" t="n"/>
      <c r="O2030" s="306" t="n"/>
      <c r="P2030" s="306" t="n"/>
      <c r="Q2030" s="306" t="n"/>
    </row>
    <row r="2031" ht="18.75" customHeight="1">
      <c r="B2031" s="288" t="n">
        <v>45563</v>
      </c>
      <c r="C2031" s="289" t="n">
        <v>1318</v>
      </c>
      <c r="D2031" s="290" t="inlineStr">
        <is>
          <t>Meal's + Soft Drink Crew</t>
        </is>
      </c>
      <c r="E2031" s="306" t="inlineStr">
        <is>
          <t>-</t>
        </is>
      </c>
      <c r="F2031" s="307" t="n">
        <v>230000</v>
      </c>
      <c r="G2031" s="289" t="inlineStr">
        <is>
          <t>IDR</t>
        </is>
      </c>
      <c r="H2031" s="293" t="n">
        <v>1</v>
      </c>
      <c r="I2031" s="306" t="n"/>
      <c r="J2031" s="306" t="n"/>
      <c r="K2031" s="306" t="n"/>
      <c r="L2031" s="307">
        <f>$F2031*$H2031</f>
        <v/>
      </c>
      <c r="M2031" s="306" t="n"/>
      <c r="N2031" s="306" t="n"/>
      <c r="O2031" s="306" t="n"/>
      <c r="P2031" s="306" t="n"/>
      <c r="Q2031" s="306" t="n"/>
    </row>
    <row r="2032" ht="18.75" customHeight="1">
      <c r="B2032" s="288" t="n">
        <v>45563</v>
      </c>
      <c r="C2032" s="289" t="n">
        <v>1319</v>
      </c>
      <c r="D2032" s="290" t="inlineStr">
        <is>
          <t>Soft Drink</t>
        </is>
      </c>
      <c r="E2032" s="306" t="inlineStr">
        <is>
          <t>-</t>
        </is>
      </c>
      <c r="F2032" s="307" t="n">
        <v>110000</v>
      </c>
      <c r="G2032" s="289" t="inlineStr">
        <is>
          <t>IDR</t>
        </is>
      </c>
      <c r="H2032" s="293" t="n">
        <v>1</v>
      </c>
      <c r="I2032" s="306" t="n"/>
      <c r="J2032" s="306" t="n"/>
      <c r="K2032" s="306" t="n"/>
      <c r="L2032" s="307">
        <f>$F2032*$H2032</f>
        <v/>
      </c>
      <c r="M2032" s="306" t="n"/>
      <c r="N2032" s="306" t="n"/>
      <c r="O2032" s="306" t="n"/>
      <c r="P2032" s="306" t="n"/>
      <c r="Q2032" s="306" t="n"/>
    </row>
    <row r="2033" ht="18.75" customHeight="1">
      <c r="B2033" s="288" t="n">
        <v>45563</v>
      </c>
      <c r="C2033" s="289" t="n">
        <v>1320</v>
      </c>
      <c r="D2033" s="290" t="inlineStr">
        <is>
          <t>Meals 20 Sept - 27 Sept 2024 7 days</t>
        </is>
      </c>
      <c r="E2033" s="306" t="inlineStr">
        <is>
          <t>-</t>
        </is>
      </c>
      <c r="F2033" s="307" t="n">
        <v>1050000</v>
      </c>
      <c r="G2033" s="289" t="inlineStr">
        <is>
          <t>IDR</t>
        </is>
      </c>
      <c r="H2033" s="293" t="n">
        <v>1</v>
      </c>
      <c r="I2033" s="306" t="n"/>
      <c r="J2033" s="306" t="n"/>
      <c r="K2033" s="306" t="n"/>
      <c r="L2033" s="307">
        <f>$F2033*$H2033</f>
        <v/>
      </c>
      <c r="M2033" s="306" t="n"/>
      <c r="N2033" s="306" t="n"/>
      <c r="O2033" s="306" t="n"/>
      <c r="P2033" s="306" t="n"/>
      <c r="Q2033" s="306" t="n"/>
    </row>
    <row r="2034" ht="18.75" customHeight="1">
      <c r="B2034" s="288" t="n">
        <v>45563</v>
      </c>
      <c r="C2034" s="289" t="n">
        <v>1321</v>
      </c>
      <c r="D2034" s="290" t="inlineStr">
        <is>
          <t>Black Coffe</t>
        </is>
      </c>
      <c r="E2034" s="306" t="inlineStr">
        <is>
          <t>-</t>
        </is>
      </c>
      <c r="F2034" s="307" t="n">
        <v>47000</v>
      </c>
      <c r="G2034" s="289" t="inlineStr">
        <is>
          <t>IDR</t>
        </is>
      </c>
      <c r="H2034" s="293" t="n">
        <v>1</v>
      </c>
      <c r="I2034" s="306" t="n"/>
      <c r="J2034" s="306" t="n"/>
      <c r="K2034" s="306" t="n"/>
      <c r="L2034" s="307">
        <f>$F2034*$H2034</f>
        <v/>
      </c>
      <c r="M2034" s="306" t="n"/>
      <c r="N2034" s="306" t="n"/>
      <c r="O2034" s="306" t="n"/>
      <c r="P2034" s="306" t="n"/>
      <c r="Q2034" s="306" t="n"/>
    </row>
    <row r="2035" ht="18.75" customHeight="1">
      <c r="B2035" s="288" t="n">
        <v>45563</v>
      </c>
      <c r="C2035" s="289" t="n">
        <v>1322</v>
      </c>
      <c r="D2035" s="290" t="inlineStr">
        <is>
          <t>Aqua 600 ML + Sunlight</t>
        </is>
      </c>
      <c r="E2035" s="306" t="inlineStr">
        <is>
          <t>-</t>
        </is>
      </c>
      <c r="F2035" s="307" t="n">
        <v>65000</v>
      </c>
      <c r="G2035" s="289" t="inlineStr">
        <is>
          <t>IDR</t>
        </is>
      </c>
      <c r="H2035" s="293" t="n">
        <v>1</v>
      </c>
      <c r="I2035" s="306" t="n"/>
      <c r="J2035" s="306" t="n"/>
      <c r="K2035" s="306" t="n"/>
      <c r="L2035" s="307">
        <f>$F2035*$H2035</f>
        <v/>
      </c>
      <c r="M2035" s="306" t="n"/>
      <c r="N2035" s="306" t="n"/>
      <c r="O2035" s="306" t="n"/>
      <c r="P2035" s="306" t="n"/>
      <c r="Q2035" s="306" t="n"/>
    </row>
    <row r="2036" ht="18.75" customHeight="1">
      <c r="B2036" s="288" t="n">
        <v>45563</v>
      </c>
      <c r="C2036" s="289" t="n">
        <v>1323</v>
      </c>
      <c r="D2036" s="290" t="inlineStr">
        <is>
          <t>Fried Food + Soft Drink</t>
        </is>
      </c>
      <c r="E2036" s="306" t="inlineStr">
        <is>
          <t>-</t>
        </is>
      </c>
      <c r="F2036" s="307" t="n">
        <v>150000</v>
      </c>
      <c r="G2036" s="289" t="inlineStr">
        <is>
          <t>IDR</t>
        </is>
      </c>
      <c r="H2036" s="293" t="n">
        <v>1</v>
      </c>
      <c r="I2036" s="306" t="n"/>
      <c r="J2036" s="306" t="n"/>
      <c r="K2036" s="306" t="n"/>
      <c r="L2036" s="307">
        <f>$F2036*$H2036</f>
        <v/>
      </c>
      <c r="M2036" s="306" t="n"/>
      <c r="N2036" s="306" t="n"/>
      <c r="O2036" s="306" t="n"/>
      <c r="P2036" s="306" t="n"/>
      <c r="Q2036" s="306" t="n"/>
    </row>
    <row r="2037" ht="18.75" customHeight="1">
      <c r="B2037" s="288" t="n">
        <v>45563</v>
      </c>
      <c r="C2037" s="289" t="n">
        <v>1324</v>
      </c>
      <c r="D2037" s="290" t="inlineStr">
        <is>
          <t>Meal's Crew</t>
        </is>
      </c>
      <c r="E2037" s="306" t="inlineStr">
        <is>
          <t>-</t>
        </is>
      </c>
      <c r="F2037" s="307" t="n">
        <v>120000</v>
      </c>
      <c r="G2037" s="289" t="inlineStr">
        <is>
          <t>IDR</t>
        </is>
      </c>
      <c r="H2037" s="293" t="n">
        <v>1</v>
      </c>
      <c r="I2037" s="306" t="n"/>
      <c r="J2037" s="306" t="n"/>
      <c r="K2037" s="306" t="n"/>
      <c r="L2037" s="307">
        <f>$F2037*$H2037</f>
        <v/>
      </c>
      <c r="M2037" s="306" t="n"/>
      <c r="N2037" s="306" t="n"/>
      <c r="O2037" s="306" t="n"/>
      <c r="P2037" s="306" t="n"/>
      <c r="Q2037" s="306" t="n"/>
    </row>
    <row r="2038" ht="18.75" customHeight="1">
      <c r="B2038" s="288" t="n">
        <v>45563</v>
      </c>
      <c r="C2038" s="289" t="n">
        <v>1325</v>
      </c>
      <c r="D2038" s="290" t="inlineStr">
        <is>
          <t>Snack's Crew</t>
        </is>
      </c>
      <c r="E2038" s="306" t="inlineStr">
        <is>
          <t>-</t>
        </is>
      </c>
      <c r="F2038" s="307" t="n">
        <v>172000</v>
      </c>
      <c r="G2038" s="289" t="inlineStr">
        <is>
          <t>IDR</t>
        </is>
      </c>
      <c r="H2038" s="293" t="n">
        <v>1</v>
      </c>
      <c r="I2038" s="306" t="n"/>
      <c r="J2038" s="306" t="n"/>
      <c r="K2038" s="306" t="n"/>
      <c r="L2038" s="307">
        <f>$F2038*$H2038</f>
        <v/>
      </c>
      <c r="M2038" s="306" t="n"/>
      <c r="N2038" s="306" t="n"/>
      <c r="O2038" s="306" t="n"/>
      <c r="P2038" s="306" t="n"/>
      <c r="Q2038" s="306" t="n"/>
    </row>
    <row r="2039" ht="18.75" customHeight="1">
      <c r="B2039" s="288" t="n">
        <v>45563</v>
      </c>
      <c r="C2039" s="289" t="n">
        <v>1326</v>
      </c>
      <c r="D2039" s="290" t="inlineStr">
        <is>
          <t>Meal's + Soft Drink Crew</t>
        </is>
      </c>
      <c r="E2039" s="306" t="inlineStr">
        <is>
          <t>-</t>
        </is>
      </c>
      <c r="F2039" s="307" t="n">
        <v>300000</v>
      </c>
      <c r="G2039" s="289" t="inlineStr">
        <is>
          <t>IDR</t>
        </is>
      </c>
      <c r="H2039" s="293" t="n">
        <v>1</v>
      </c>
      <c r="I2039" s="306" t="n"/>
      <c r="J2039" s="306" t="n"/>
      <c r="K2039" s="306" t="n"/>
      <c r="L2039" s="307">
        <f>$F2039*$H2039</f>
        <v/>
      </c>
      <c r="M2039" s="306" t="n"/>
      <c r="N2039" s="306" t="n"/>
      <c r="O2039" s="306" t="n"/>
      <c r="P2039" s="306" t="n"/>
      <c r="Q2039" s="306" t="n"/>
    </row>
    <row r="2040" ht="18.75" customHeight="1">
      <c r="B2040" s="288" t="n">
        <v>45563</v>
      </c>
      <c r="C2040" s="289" t="n">
        <v>1327</v>
      </c>
      <c r="D2040" s="290" t="inlineStr">
        <is>
          <t>Aqua 600 ML</t>
        </is>
      </c>
      <c r="E2040" s="306" t="inlineStr">
        <is>
          <t>-</t>
        </is>
      </c>
      <c r="F2040" s="307" t="n">
        <v>65000</v>
      </c>
      <c r="G2040" s="289" t="inlineStr">
        <is>
          <t>IDR</t>
        </is>
      </c>
      <c r="H2040" s="293" t="n">
        <v>1</v>
      </c>
      <c r="I2040" s="306" t="n"/>
      <c r="J2040" s="306" t="n"/>
      <c r="K2040" s="306" t="n"/>
      <c r="L2040" s="307">
        <f>$F2040*$H2040</f>
        <v/>
      </c>
      <c r="M2040" s="306" t="n"/>
      <c r="N2040" s="306" t="n"/>
      <c r="O2040" s="306" t="n"/>
      <c r="P2040" s="306" t="n"/>
      <c r="Q2040" s="306" t="n"/>
    </row>
    <row r="2041" ht="18.75" customHeight="1">
      <c r="B2041" s="288" t="n">
        <v>45563</v>
      </c>
      <c r="C2041" s="289" t="n">
        <v>1328</v>
      </c>
      <c r="D2041" s="290" t="inlineStr">
        <is>
          <t>Meal's Crws + Ice Tea</t>
        </is>
      </c>
      <c r="E2041" s="306" t="inlineStr">
        <is>
          <t>-</t>
        </is>
      </c>
      <c r="F2041" s="307" t="n">
        <v>200000</v>
      </c>
      <c r="G2041" s="289" t="inlineStr">
        <is>
          <t>IDR</t>
        </is>
      </c>
      <c r="H2041" s="293" t="n">
        <v>1</v>
      </c>
      <c r="I2041" s="306" t="n"/>
      <c r="J2041" s="306" t="n"/>
      <c r="K2041" s="306" t="n"/>
      <c r="L2041" s="307">
        <f>$F2041*$H2041</f>
        <v/>
      </c>
      <c r="M2041" s="306" t="n"/>
      <c r="N2041" s="306" t="n"/>
      <c r="O2041" s="306" t="n"/>
      <c r="P2041" s="306" t="n"/>
      <c r="Q2041" s="306" t="n"/>
    </row>
    <row r="2042" ht="18.75" customHeight="1">
      <c r="B2042" s="288" t="n">
        <v>45563</v>
      </c>
      <c r="C2042" s="289" t="n">
        <v>1329</v>
      </c>
      <c r="D2042" s="290" t="inlineStr">
        <is>
          <t>Snack's Crew</t>
        </is>
      </c>
      <c r="E2042" s="306" t="inlineStr">
        <is>
          <t>-</t>
        </is>
      </c>
      <c r="F2042" s="307" t="n">
        <v>240000</v>
      </c>
      <c r="G2042" s="289" t="inlineStr">
        <is>
          <t>IDR</t>
        </is>
      </c>
      <c r="H2042" s="293" t="n">
        <v>1</v>
      </c>
      <c r="I2042" s="306" t="n"/>
      <c r="J2042" s="306" t="n"/>
      <c r="K2042" s="306" t="n"/>
      <c r="L2042" s="307">
        <f>$F2042*$H2042</f>
        <v/>
      </c>
      <c r="M2042" s="306" t="n"/>
      <c r="N2042" s="306" t="n"/>
      <c r="O2042" s="306" t="n"/>
      <c r="P2042" s="306" t="n"/>
      <c r="Q2042" s="306" t="n"/>
    </row>
    <row r="2043" ht="18.75" customHeight="1">
      <c r="B2043" s="288" t="n">
        <v>45563</v>
      </c>
      <c r="C2043" s="289" t="n">
        <v>1330</v>
      </c>
      <c r="D2043" s="290" t="inlineStr">
        <is>
          <t>Meal's + Soft Drink Crew</t>
        </is>
      </c>
      <c r="E2043" s="306" t="inlineStr">
        <is>
          <t>-</t>
        </is>
      </c>
      <c r="F2043" s="307" t="n">
        <v>230000</v>
      </c>
      <c r="G2043" s="289" t="inlineStr">
        <is>
          <t>IDR</t>
        </is>
      </c>
      <c r="H2043" s="293" t="n">
        <v>1</v>
      </c>
      <c r="I2043" s="306" t="n"/>
      <c r="J2043" s="306" t="n"/>
      <c r="K2043" s="306" t="n"/>
      <c r="L2043" s="307">
        <f>$F2043*$H2043</f>
        <v/>
      </c>
      <c r="M2043" s="306" t="n"/>
      <c r="N2043" s="306" t="n"/>
      <c r="O2043" s="306" t="n"/>
      <c r="P2043" s="306" t="n"/>
      <c r="Q2043" s="306" t="n"/>
    </row>
    <row r="2044" ht="18.75" customHeight="1">
      <c r="B2044" s="288" t="n">
        <v>45563</v>
      </c>
      <c r="C2044" s="289" t="n">
        <v>1331</v>
      </c>
      <c r="D2044" s="290" t="inlineStr">
        <is>
          <t>Soft Drink</t>
        </is>
      </c>
      <c r="E2044" s="306" t="inlineStr">
        <is>
          <t>-</t>
        </is>
      </c>
      <c r="F2044" s="307" t="n">
        <v>110000</v>
      </c>
      <c r="G2044" s="289" t="inlineStr">
        <is>
          <t>IDR</t>
        </is>
      </c>
      <c r="H2044" s="293" t="n">
        <v>1</v>
      </c>
      <c r="I2044" s="306" t="n"/>
      <c r="J2044" s="306" t="n"/>
      <c r="K2044" s="306" t="n"/>
      <c r="L2044" s="307">
        <f>$F2044*$H2044</f>
        <v/>
      </c>
      <c r="M2044" s="306" t="n"/>
      <c r="N2044" s="306" t="n"/>
      <c r="O2044" s="306" t="n"/>
      <c r="P2044" s="306" t="n"/>
      <c r="Q2044" s="306" t="n"/>
    </row>
    <row r="2045" ht="18.75" customHeight="1">
      <c r="B2045" s="288" t="n">
        <v>45563</v>
      </c>
      <c r="C2045" s="289" t="n">
        <v>1332</v>
      </c>
      <c r="D2045" s="290" t="inlineStr">
        <is>
          <t>Meals 20 Sept - 27 Sept 2024 7 days</t>
        </is>
      </c>
      <c r="E2045" s="306" t="inlineStr">
        <is>
          <t>-</t>
        </is>
      </c>
      <c r="F2045" s="307" t="n">
        <v>1050000</v>
      </c>
      <c r="G2045" s="289" t="inlineStr">
        <is>
          <t>IDR</t>
        </is>
      </c>
      <c r="H2045" s="293" t="n">
        <v>1</v>
      </c>
      <c r="I2045" s="306" t="n"/>
      <c r="J2045" s="306" t="n"/>
      <c r="K2045" s="306" t="n"/>
      <c r="L2045" s="307">
        <f>$F2045*$H2045</f>
        <v/>
      </c>
      <c r="M2045" s="306" t="n"/>
      <c r="N2045" s="306" t="n"/>
      <c r="O2045" s="306" t="n"/>
      <c r="P2045" s="306" t="n"/>
      <c r="Q2045" s="306" t="n"/>
    </row>
    <row r="2046" ht="18.75" customHeight="1">
      <c r="B2046" s="288" t="n">
        <v>45563</v>
      </c>
      <c r="C2046" s="289" t="n">
        <v>1333</v>
      </c>
      <c r="D2046" s="290" t="inlineStr">
        <is>
          <t>Black Coffe</t>
        </is>
      </c>
      <c r="E2046" s="306" t="inlineStr">
        <is>
          <t>-</t>
        </is>
      </c>
      <c r="F2046" s="307" t="n">
        <v>47000</v>
      </c>
      <c r="G2046" s="289" t="inlineStr">
        <is>
          <t>IDR</t>
        </is>
      </c>
      <c r="H2046" s="293" t="n">
        <v>1</v>
      </c>
      <c r="I2046" s="306" t="n"/>
      <c r="J2046" s="306" t="n"/>
      <c r="K2046" s="306" t="n"/>
      <c r="L2046" s="307">
        <f>$F2046*$H2046</f>
        <v/>
      </c>
      <c r="M2046" s="306" t="n"/>
      <c r="N2046" s="306" t="n"/>
      <c r="O2046" s="306" t="n"/>
      <c r="P2046" s="306" t="n"/>
      <c r="Q2046" s="306" t="n"/>
    </row>
    <row r="2047" ht="18.75" customHeight="1">
      <c r="B2047" s="288" t="n">
        <v>45563</v>
      </c>
      <c r="C2047" s="289" t="n">
        <v>1334</v>
      </c>
      <c r="D2047" s="290" t="inlineStr">
        <is>
          <t>Aqua 600 ML + Sunlight</t>
        </is>
      </c>
      <c r="E2047" s="306" t="inlineStr">
        <is>
          <t>-</t>
        </is>
      </c>
      <c r="F2047" s="307" t="n">
        <v>65000</v>
      </c>
      <c r="G2047" s="289" t="inlineStr">
        <is>
          <t>IDR</t>
        </is>
      </c>
      <c r="H2047" s="293" t="n">
        <v>1</v>
      </c>
      <c r="I2047" s="306" t="n"/>
      <c r="J2047" s="306" t="n"/>
      <c r="K2047" s="306" t="n"/>
      <c r="L2047" s="307">
        <f>$F2047*$H2047</f>
        <v/>
      </c>
      <c r="M2047" s="306" t="n"/>
      <c r="N2047" s="306" t="n"/>
      <c r="O2047" s="306" t="n"/>
      <c r="P2047" s="306" t="n"/>
      <c r="Q2047" s="306" t="n"/>
    </row>
    <row r="2048" ht="18.75" customHeight="1">
      <c r="B2048" s="288" t="n">
        <v>45563</v>
      </c>
      <c r="C2048" s="289" t="n">
        <v>1335</v>
      </c>
      <c r="D2048" s="290" t="inlineStr">
        <is>
          <t>Fried Food + Soft Drink</t>
        </is>
      </c>
      <c r="E2048" s="306" t="inlineStr">
        <is>
          <t>-</t>
        </is>
      </c>
      <c r="F2048" s="307" t="n">
        <v>150000</v>
      </c>
      <c r="G2048" s="289" t="inlineStr">
        <is>
          <t>IDR</t>
        </is>
      </c>
      <c r="H2048" s="293" t="n">
        <v>1</v>
      </c>
      <c r="I2048" s="306" t="n"/>
      <c r="J2048" s="306" t="n"/>
      <c r="K2048" s="306" t="n"/>
      <c r="L2048" s="307">
        <f>$F2048*$H2048</f>
        <v/>
      </c>
      <c r="M2048" s="306" t="n"/>
      <c r="N2048" s="306" t="n"/>
      <c r="O2048" s="306" t="n"/>
      <c r="P2048" s="306" t="n"/>
      <c r="Q2048" s="306" t="n"/>
    </row>
    <row r="2049" ht="18.75" customHeight="1">
      <c r="B2049" s="288" t="n">
        <v>45563</v>
      </c>
      <c r="C2049" s="289" t="n">
        <v>1336</v>
      </c>
      <c r="D2049" s="290" t="inlineStr">
        <is>
          <t>Meal's Crew</t>
        </is>
      </c>
      <c r="E2049" s="306" t="inlineStr">
        <is>
          <t>-</t>
        </is>
      </c>
      <c r="F2049" s="307" t="n">
        <v>120000</v>
      </c>
      <c r="G2049" s="289" t="inlineStr">
        <is>
          <t>IDR</t>
        </is>
      </c>
      <c r="H2049" s="293" t="n">
        <v>1</v>
      </c>
      <c r="I2049" s="306" t="n"/>
      <c r="J2049" s="306" t="n"/>
      <c r="K2049" s="306" t="n"/>
      <c r="L2049" s="307">
        <f>$F2049*$H2049</f>
        <v/>
      </c>
      <c r="M2049" s="306" t="n"/>
      <c r="N2049" s="306" t="n"/>
      <c r="O2049" s="306" t="n"/>
      <c r="P2049" s="306" t="n"/>
      <c r="Q2049" s="306" t="n"/>
    </row>
    <row r="2050" ht="18.75" customHeight="1">
      <c r="B2050" s="288" t="n">
        <v>45563</v>
      </c>
      <c r="C2050" s="289" t="n">
        <v>1337</v>
      </c>
      <c r="D2050" s="290" t="inlineStr">
        <is>
          <t>Snack's Crew</t>
        </is>
      </c>
      <c r="E2050" s="306" t="inlineStr">
        <is>
          <t>-</t>
        </is>
      </c>
      <c r="F2050" s="307" t="n">
        <v>172000</v>
      </c>
      <c r="G2050" s="289" t="inlineStr">
        <is>
          <t>IDR</t>
        </is>
      </c>
      <c r="H2050" s="293" t="n">
        <v>1</v>
      </c>
      <c r="I2050" s="306" t="n"/>
      <c r="J2050" s="306" t="n"/>
      <c r="K2050" s="306" t="n"/>
      <c r="L2050" s="307">
        <f>$F2050*$H2050</f>
        <v/>
      </c>
      <c r="M2050" s="306" t="n"/>
      <c r="N2050" s="306" t="n"/>
      <c r="O2050" s="306" t="n"/>
      <c r="P2050" s="306" t="n"/>
      <c r="Q2050" s="306" t="n"/>
    </row>
    <row r="2051" ht="18.75" customHeight="1">
      <c r="B2051" s="288" t="n">
        <v>45563</v>
      </c>
      <c r="C2051" s="289" t="n">
        <v>1338</v>
      </c>
      <c r="D2051" s="290" t="inlineStr">
        <is>
          <t>Meal's + Soft Drink Crew</t>
        </is>
      </c>
      <c r="E2051" s="306" t="inlineStr">
        <is>
          <t>-</t>
        </is>
      </c>
      <c r="F2051" s="307" t="n">
        <v>300000</v>
      </c>
      <c r="G2051" s="289" t="inlineStr">
        <is>
          <t>IDR</t>
        </is>
      </c>
      <c r="H2051" s="293" t="n">
        <v>1</v>
      </c>
      <c r="I2051" s="306" t="n"/>
      <c r="J2051" s="306" t="n"/>
      <c r="K2051" s="306" t="n"/>
      <c r="L2051" s="307">
        <f>$F2051*$H2051</f>
        <v/>
      </c>
      <c r="M2051" s="306" t="n"/>
      <c r="N2051" s="306" t="n"/>
      <c r="O2051" s="306" t="n"/>
      <c r="P2051" s="306" t="n"/>
      <c r="Q2051" s="306" t="n"/>
    </row>
    <row r="2052" ht="18.75" customHeight="1">
      <c r="B2052" s="288" t="n">
        <v>45563</v>
      </c>
      <c r="C2052" s="289" t="n">
        <v>1339</v>
      </c>
      <c r="D2052" s="290" t="inlineStr">
        <is>
          <t>Aqua 600 ML</t>
        </is>
      </c>
      <c r="E2052" s="306" t="inlineStr">
        <is>
          <t>-</t>
        </is>
      </c>
      <c r="F2052" s="307" t="n">
        <v>65000</v>
      </c>
      <c r="G2052" s="289" t="inlineStr">
        <is>
          <t>IDR</t>
        </is>
      </c>
      <c r="H2052" s="293" t="n">
        <v>1</v>
      </c>
      <c r="I2052" s="306" t="n"/>
      <c r="J2052" s="306" t="n"/>
      <c r="K2052" s="306" t="n"/>
      <c r="L2052" s="307">
        <f>$F2052*$H2052</f>
        <v/>
      </c>
      <c r="M2052" s="306" t="n"/>
      <c r="N2052" s="306" t="n"/>
      <c r="O2052" s="306" t="n"/>
      <c r="P2052" s="306" t="n"/>
      <c r="Q2052" s="306" t="n"/>
    </row>
    <row r="2053" ht="18.75" customHeight="1">
      <c r="B2053" s="288" t="n">
        <v>45563</v>
      </c>
      <c r="C2053" s="289" t="n">
        <v>1340</v>
      </c>
      <c r="D2053" s="290" t="inlineStr">
        <is>
          <t>Meal's Crws + Ice Tea</t>
        </is>
      </c>
      <c r="E2053" s="306" t="inlineStr">
        <is>
          <t>-</t>
        </is>
      </c>
      <c r="F2053" s="307" t="n">
        <v>200000</v>
      </c>
      <c r="G2053" s="289" t="inlineStr">
        <is>
          <t>IDR</t>
        </is>
      </c>
      <c r="H2053" s="293" t="n">
        <v>1</v>
      </c>
      <c r="I2053" s="306" t="n"/>
      <c r="J2053" s="306" t="n"/>
      <c r="K2053" s="306" t="n"/>
      <c r="L2053" s="307">
        <f>$F2053*$H2053</f>
        <v/>
      </c>
      <c r="M2053" s="306" t="n"/>
      <c r="N2053" s="306" t="n"/>
      <c r="O2053" s="306" t="n"/>
      <c r="P2053" s="306" t="n"/>
      <c r="Q2053" s="306" t="n"/>
    </row>
    <row r="2054" ht="18.75" customHeight="1">
      <c r="B2054" s="288" t="n">
        <v>45563</v>
      </c>
      <c r="C2054" s="289" t="n">
        <v>1341</v>
      </c>
      <c r="D2054" s="290" t="inlineStr">
        <is>
          <t>Snack's Crew</t>
        </is>
      </c>
      <c r="E2054" s="306" t="inlineStr">
        <is>
          <t>-</t>
        </is>
      </c>
      <c r="F2054" s="307" t="n">
        <v>240000</v>
      </c>
      <c r="G2054" s="289" t="inlineStr">
        <is>
          <t>IDR</t>
        </is>
      </c>
      <c r="H2054" s="293" t="n">
        <v>1</v>
      </c>
      <c r="I2054" s="306" t="n"/>
      <c r="J2054" s="306" t="n"/>
      <c r="K2054" s="306" t="n"/>
      <c r="L2054" s="307">
        <f>$F2054*$H2054</f>
        <v/>
      </c>
      <c r="M2054" s="306" t="n"/>
      <c r="N2054" s="306" t="n"/>
      <c r="O2054" s="306" t="n"/>
      <c r="P2054" s="306" t="n"/>
      <c r="Q2054" s="306" t="n"/>
    </row>
    <row r="2055" ht="18.75" customHeight="1">
      <c r="B2055" s="288" t="n">
        <v>45563</v>
      </c>
      <c r="C2055" s="289" t="n">
        <v>1342</v>
      </c>
      <c r="D2055" s="290" t="inlineStr">
        <is>
          <t>Meal's + Soft Drink Crew</t>
        </is>
      </c>
      <c r="E2055" s="306" t="inlineStr">
        <is>
          <t>-</t>
        </is>
      </c>
      <c r="F2055" s="307" t="n">
        <v>230000</v>
      </c>
      <c r="G2055" s="289" t="inlineStr">
        <is>
          <t>IDR</t>
        </is>
      </c>
      <c r="H2055" s="293" t="n">
        <v>1</v>
      </c>
      <c r="I2055" s="306" t="n"/>
      <c r="J2055" s="306" t="n"/>
      <c r="K2055" s="306" t="n"/>
      <c r="L2055" s="307">
        <f>$F2055*$H2055</f>
        <v/>
      </c>
      <c r="M2055" s="306" t="n"/>
      <c r="N2055" s="306" t="n"/>
      <c r="O2055" s="306" t="n"/>
      <c r="P2055" s="306" t="n"/>
      <c r="Q2055" s="306" t="n"/>
    </row>
    <row r="2056" ht="18.75" customHeight="1">
      <c r="B2056" s="288" t="n">
        <v>45563</v>
      </c>
      <c r="C2056" s="289" t="n">
        <v>1343</v>
      </c>
      <c r="D2056" s="290" t="inlineStr">
        <is>
          <t>Soft Drink</t>
        </is>
      </c>
      <c r="E2056" s="306" t="inlineStr">
        <is>
          <t>-</t>
        </is>
      </c>
      <c r="F2056" s="307" t="n">
        <v>110000</v>
      </c>
      <c r="G2056" s="289" t="inlineStr">
        <is>
          <t>IDR</t>
        </is>
      </c>
      <c r="H2056" s="293" t="n">
        <v>1</v>
      </c>
      <c r="I2056" s="306" t="n"/>
      <c r="J2056" s="306" t="n"/>
      <c r="K2056" s="306" t="n"/>
      <c r="L2056" s="307">
        <f>$F2056*$H2056</f>
        <v/>
      </c>
      <c r="M2056" s="306" t="n"/>
      <c r="N2056" s="306" t="n"/>
      <c r="O2056" s="306" t="n"/>
      <c r="P2056" s="306" t="n"/>
      <c r="Q2056" s="306" t="n"/>
    </row>
    <row r="2057" ht="18.75" customHeight="1">
      <c r="B2057" s="288" t="n">
        <v>45563</v>
      </c>
      <c r="C2057" s="289" t="n">
        <v>1344</v>
      </c>
      <c r="D2057" s="290" t="inlineStr">
        <is>
          <t>Meals 20 Sept - 27 Sept 2024 7 days</t>
        </is>
      </c>
      <c r="E2057" s="306" t="inlineStr">
        <is>
          <t>-</t>
        </is>
      </c>
      <c r="F2057" s="307" t="n">
        <v>1050000</v>
      </c>
      <c r="G2057" s="289" t="inlineStr">
        <is>
          <t>IDR</t>
        </is>
      </c>
      <c r="H2057" s="293" t="n">
        <v>1</v>
      </c>
      <c r="I2057" s="306" t="n"/>
      <c r="J2057" s="306" t="n"/>
      <c r="K2057" s="306" t="n"/>
      <c r="L2057" s="307">
        <f>$F2057*$H2057</f>
        <v/>
      </c>
      <c r="M2057" s="306" t="n"/>
      <c r="N2057" s="306" t="n"/>
      <c r="O2057" s="306" t="n"/>
      <c r="P2057" s="306" t="n"/>
      <c r="Q2057" s="306" t="n"/>
    </row>
    <row r="2058">
      <c r="B2058" s="312" t="n"/>
      <c r="C2058" s="312" t="n"/>
      <c r="D2058" s="285" t="inlineStr">
        <is>
          <t>Transportation</t>
        </is>
      </c>
      <c r="E2058" s="312" t="n"/>
      <c r="F2058" s="312" t="n"/>
      <c r="G2058" s="312" t="n"/>
      <c r="H2058" s="312" t="n"/>
      <c r="I2058" s="312" t="n"/>
      <c r="J2058" s="312" t="n"/>
      <c r="K2058" s="312" t="n"/>
      <c r="L2058" s="312" t="n"/>
      <c r="M2058" s="312" t="n"/>
      <c r="N2058" s="312" t="n"/>
      <c r="O2058" s="312" t="n"/>
      <c r="P2058" s="312" t="n"/>
      <c r="Q2058" s="312" t="n"/>
    </row>
    <row r="2059" ht="18.75" customHeight="1">
      <c r="B2059" s="288" t="n">
        <v>45563</v>
      </c>
      <c r="C2059" s="289" t="n">
        <v>1345</v>
      </c>
      <c r="D2059" s="290" t="inlineStr">
        <is>
          <t>Gasoline</t>
        </is>
      </c>
      <c r="E2059" s="306" t="inlineStr">
        <is>
          <t>-</t>
        </is>
      </c>
      <c r="F2059" s="307" t="n">
        <v>200000</v>
      </c>
      <c r="G2059" s="289" t="inlineStr">
        <is>
          <t>IDR</t>
        </is>
      </c>
      <c r="H2059" s="293" t="n">
        <v>1</v>
      </c>
      <c r="I2059" s="306" t="n"/>
      <c r="J2059" s="306" t="n"/>
      <c r="K2059" s="306" t="n"/>
      <c r="L2059" s="307">
        <f>$F2059*$H2059</f>
        <v/>
      </c>
      <c r="M2059" s="306" t="n"/>
      <c r="N2059" s="306" t="n"/>
      <c r="O2059" s="306" t="n"/>
      <c r="P2059" s="306" t="n"/>
      <c r="Q2059" s="306" t="n"/>
    </row>
    <row r="2060" ht="18.75" customHeight="1">
      <c r="B2060" s="288" t="n">
        <v>45563</v>
      </c>
      <c r="C2060" s="289" t="n">
        <v>1346</v>
      </c>
      <c r="D2060" s="290" t="inlineStr">
        <is>
          <t>Gasoline</t>
        </is>
      </c>
      <c r="E2060" s="306" t="inlineStr">
        <is>
          <t>-</t>
        </is>
      </c>
      <c r="F2060" s="307" t="n">
        <v>215000</v>
      </c>
      <c r="G2060" s="289" t="inlineStr">
        <is>
          <t>IDR</t>
        </is>
      </c>
      <c r="H2060" s="293" t="n">
        <v>1</v>
      </c>
      <c r="I2060" s="306" t="n"/>
      <c r="J2060" s="306" t="n"/>
      <c r="K2060" s="306" t="n"/>
      <c r="L2060" s="307">
        <f>$F2060*$H2060</f>
        <v/>
      </c>
      <c r="M2060" s="306" t="n"/>
      <c r="N2060" s="306" t="n"/>
      <c r="O2060" s="306" t="n"/>
      <c r="P2060" s="306" t="n"/>
      <c r="Q2060" s="306" t="n"/>
    </row>
    <row r="2061" ht="18.75" customHeight="1">
      <c r="B2061" s="288" t="n">
        <v>45563</v>
      </c>
      <c r="C2061" s="289" t="n">
        <v>1347</v>
      </c>
      <c r="D2061" s="290" t="inlineStr">
        <is>
          <t>Gasoline</t>
        </is>
      </c>
      <c r="E2061" s="306" t="inlineStr">
        <is>
          <t>-</t>
        </is>
      </c>
      <c r="F2061" s="307" t="n">
        <v>197000</v>
      </c>
      <c r="G2061" s="289" t="inlineStr">
        <is>
          <t>IDR</t>
        </is>
      </c>
      <c r="H2061" s="293" t="n">
        <v>1</v>
      </c>
      <c r="I2061" s="306" t="n"/>
      <c r="J2061" s="306" t="n"/>
      <c r="K2061" s="306" t="n"/>
      <c r="L2061" s="307">
        <f>$F2061*$H2061</f>
        <v/>
      </c>
      <c r="M2061" s="306" t="n"/>
      <c r="N2061" s="306" t="n"/>
      <c r="O2061" s="306" t="n"/>
      <c r="P2061" s="306" t="n"/>
      <c r="Q2061" s="306" t="n"/>
    </row>
    <row r="2062" ht="18.75" customHeight="1">
      <c r="B2062" s="288" t="n">
        <v>45563</v>
      </c>
      <c r="C2062" s="289" t="n">
        <v>1348</v>
      </c>
      <c r="D2062" s="290" t="inlineStr">
        <is>
          <t>Gasoline</t>
        </is>
      </c>
      <c r="E2062" s="306" t="inlineStr">
        <is>
          <t>-</t>
        </is>
      </c>
      <c r="F2062" s="307" t="n">
        <v>200000</v>
      </c>
      <c r="G2062" s="289" t="inlineStr">
        <is>
          <t>IDR</t>
        </is>
      </c>
      <c r="H2062" s="293" t="n">
        <v>1</v>
      </c>
      <c r="I2062" s="306" t="n"/>
      <c r="J2062" s="306" t="n"/>
      <c r="K2062" s="306" t="n"/>
      <c r="L2062" s="307">
        <f>$F2062*$H2062</f>
        <v/>
      </c>
      <c r="M2062" s="306" t="n"/>
      <c r="N2062" s="306" t="n"/>
      <c r="O2062" s="306" t="n"/>
      <c r="P2062" s="306" t="n"/>
      <c r="Q2062" s="306" t="n"/>
    </row>
    <row r="2063" ht="18.75" customHeight="1">
      <c r="B2063" s="288" t="n">
        <v>45563</v>
      </c>
      <c r="C2063" s="289" t="n">
        <v>1349</v>
      </c>
      <c r="D2063" s="290" t="inlineStr">
        <is>
          <t>Gasoline</t>
        </is>
      </c>
      <c r="E2063" s="306" t="inlineStr">
        <is>
          <t>-</t>
        </is>
      </c>
      <c r="F2063" s="307" t="n">
        <v>220000</v>
      </c>
      <c r="G2063" s="289" t="inlineStr">
        <is>
          <t>IDR</t>
        </is>
      </c>
      <c r="H2063" s="293" t="n">
        <v>1</v>
      </c>
      <c r="I2063" s="306" t="n"/>
      <c r="J2063" s="306" t="n"/>
      <c r="K2063" s="306" t="n"/>
      <c r="L2063" s="307">
        <f>$F2063*$H2063</f>
        <v/>
      </c>
      <c r="M2063" s="306" t="n"/>
      <c r="N2063" s="306" t="n"/>
      <c r="O2063" s="306" t="n"/>
      <c r="P2063" s="306" t="n"/>
      <c r="Q2063" s="306" t="n"/>
    </row>
    <row r="2064" ht="18.75" customHeight="1">
      <c r="B2064" s="288" t="n">
        <v>45563</v>
      </c>
      <c r="C2064" s="289" t="n">
        <v>1350</v>
      </c>
      <c r="D2064" s="290" t="inlineStr">
        <is>
          <t>Toll (PLM-Prabumulih)</t>
        </is>
      </c>
      <c r="E2064" s="306" t="inlineStr">
        <is>
          <t>-</t>
        </is>
      </c>
      <c r="F2064" s="307" t="n">
        <v>112000</v>
      </c>
      <c r="G2064" s="289" t="inlineStr">
        <is>
          <t>IDR</t>
        </is>
      </c>
      <c r="H2064" s="293" t="n">
        <v>1</v>
      </c>
      <c r="I2064" s="306" t="n"/>
      <c r="J2064" s="306" t="n"/>
      <c r="K2064" s="306" t="n"/>
      <c r="L2064" s="307">
        <f>$F2064*$H2064</f>
        <v/>
      </c>
      <c r="M2064" s="306" t="n"/>
      <c r="N2064" s="306" t="n"/>
      <c r="O2064" s="306" t="n"/>
      <c r="P2064" s="306" t="n"/>
      <c r="Q2064" s="306" t="n"/>
    </row>
    <row r="2065" ht="18.75" customHeight="1">
      <c r="B2065" s="288" t="n">
        <v>45563</v>
      </c>
      <c r="C2065" s="289" t="n">
        <v>1351</v>
      </c>
      <c r="D2065" s="290" t="inlineStr">
        <is>
          <t>Toll (Prabumulih-PLM)</t>
        </is>
      </c>
      <c r="E2065" s="306" t="inlineStr">
        <is>
          <t>-</t>
        </is>
      </c>
      <c r="F2065" s="307" t="n">
        <v>117000</v>
      </c>
      <c r="G2065" s="289" t="inlineStr">
        <is>
          <t>IDR</t>
        </is>
      </c>
      <c r="H2065" s="293" t="n">
        <v>1</v>
      </c>
      <c r="I2065" s="306" t="n"/>
      <c r="J2065" s="306" t="n"/>
      <c r="K2065" s="306" t="n"/>
      <c r="L2065" s="307">
        <f>$F2065*$H2065</f>
        <v/>
      </c>
      <c r="M2065" s="306" t="n"/>
      <c r="N2065" s="306" t="n"/>
      <c r="O2065" s="306" t="n"/>
      <c r="P2065" s="306" t="n"/>
      <c r="Q2065" s="306" t="n"/>
    </row>
    <row r="2066" ht="18.75" customHeight="1">
      <c r="B2066" s="288" t="n">
        <v>45563</v>
      </c>
      <c r="C2066" s="289" t="n">
        <v>1352</v>
      </c>
      <c r="D2066" s="290" t="inlineStr">
        <is>
          <t>Gasoline</t>
        </is>
      </c>
      <c r="E2066" s="306" t="inlineStr">
        <is>
          <t>-</t>
        </is>
      </c>
      <c r="F2066" s="307" t="n">
        <v>200000</v>
      </c>
      <c r="G2066" s="289" t="inlineStr">
        <is>
          <t>IDR</t>
        </is>
      </c>
      <c r="H2066" s="293" t="n">
        <v>1</v>
      </c>
      <c r="I2066" s="306" t="n"/>
      <c r="J2066" s="306" t="n"/>
      <c r="K2066" s="306" t="n"/>
      <c r="L2066" s="307">
        <f>$F2066*$H2066</f>
        <v/>
      </c>
      <c r="M2066" s="306" t="n"/>
      <c r="N2066" s="306" t="n"/>
      <c r="O2066" s="306" t="n"/>
      <c r="P2066" s="306" t="n"/>
      <c r="Q2066" s="306" t="n"/>
    </row>
    <row r="2067" ht="18.75" customHeight="1">
      <c r="B2067" s="288" t="n">
        <v>45563</v>
      </c>
      <c r="C2067" s="289" t="n">
        <v>1353</v>
      </c>
      <c r="D2067" s="290" t="inlineStr">
        <is>
          <t>Gasoline</t>
        </is>
      </c>
      <c r="E2067" s="306" t="inlineStr">
        <is>
          <t>-</t>
        </is>
      </c>
      <c r="F2067" s="307" t="n">
        <v>215000</v>
      </c>
      <c r="G2067" s="289" t="inlineStr">
        <is>
          <t>IDR</t>
        </is>
      </c>
      <c r="H2067" s="293" t="n">
        <v>1</v>
      </c>
      <c r="I2067" s="306" t="n"/>
      <c r="J2067" s="306" t="n"/>
      <c r="K2067" s="306" t="n"/>
      <c r="L2067" s="307">
        <f>$F2067*$H2067</f>
        <v/>
      </c>
      <c r="M2067" s="306" t="n"/>
      <c r="N2067" s="306" t="n"/>
      <c r="O2067" s="306" t="n"/>
      <c r="P2067" s="306" t="n"/>
      <c r="Q2067" s="306" t="n"/>
    </row>
    <row r="2068" ht="18.75" customHeight="1">
      <c r="B2068" s="288" t="n">
        <v>45563</v>
      </c>
      <c r="C2068" s="289" t="n">
        <v>1354</v>
      </c>
      <c r="D2068" s="290" t="inlineStr">
        <is>
          <t>Gasoline</t>
        </is>
      </c>
      <c r="E2068" s="306" t="inlineStr">
        <is>
          <t>-</t>
        </is>
      </c>
      <c r="F2068" s="307" t="n">
        <v>197000</v>
      </c>
      <c r="G2068" s="289" t="inlineStr">
        <is>
          <t>IDR</t>
        </is>
      </c>
      <c r="H2068" s="293" t="n">
        <v>1</v>
      </c>
      <c r="I2068" s="306" t="n"/>
      <c r="J2068" s="306" t="n"/>
      <c r="K2068" s="306" t="n"/>
      <c r="L2068" s="307">
        <f>$F2068*$H2068</f>
        <v/>
      </c>
      <c r="M2068" s="306" t="n"/>
      <c r="N2068" s="306" t="n"/>
      <c r="O2068" s="306" t="n"/>
      <c r="P2068" s="306" t="n"/>
      <c r="Q2068" s="306" t="n"/>
    </row>
    <row r="2069" ht="18.75" customHeight="1">
      <c r="B2069" s="288" t="n">
        <v>45563</v>
      </c>
      <c r="C2069" s="289" t="n">
        <v>1355</v>
      </c>
      <c r="D2069" s="290" t="inlineStr">
        <is>
          <t>Gasoline</t>
        </is>
      </c>
      <c r="E2069" s="306" t="inlineStr">
        <is>
          <t>-</t>
        </is>
      </c>
      <c r="F2069" s="307" t="n">
        <v>200000</v>
      </c>
      <c r="G2069" s="289" t="inlineStr">
        <is>
          <t>IDR</t>
        </is>
      </c>
      <c r="H2069" s="293" t="n">
        <v>1</v>
      </c>
      <c r="I2069" s="306" t="n"/>
      <c r="J2069" s="306" t="n"/>
      <c r="K2069" s="306" t="n"/>
      <c r="L2069" s="307">
        <f>$F2069*$H2069</f>
        <v/>
      </c>
      <c r="M2069" s="306" t="n"/>
      <c r="N2069" s="306" t="n"/>
      <c r="O2069" s="306" t="n"/>
      <c r="P2069" s="306" t="n"/>
      <c r="Q2069" s="306" t="n"/>
    </row>
    <row r="2070" ht="18.75" customHeight="1">
      <c r="B2070" s="288" t="n">
        <v>45563</v>
      </c>
      <c r="C2070" s="289" t="n">
        <v>1356</v>
      </c>
      <c r="D2070" s="290" t="inlineStr">
        <is>
          <t>Gasoline</t>
        </is>
      </c>
      <c r="E2070" s="306" t="inlineStr">
        <is>
          <t>-</t>
        </is>
      </c>
      <c r="F2070" s="307" t="n">
        <v>220000</v>
      </c>
      <c r="G2070" s="289" t="inlineStr">
        <is>
          <t>IDR</t>
        </is>
      </c>
      <c r="H2070" s="293" t="n">
        <v>1</v>
      </c>
      <c r="I2070" s="306" t="n"/>
      <c r="J2070" s="306" t="n"/>
      <c r="K2070" s="306" t="n"/>
      <c r="L2070" s="307">
        <f>$F2070*$H2070</f>
        <v/>
      </c>
      <c r="M2070" s="306" t="n"/>
      <c r="N2070" s="306" t="n"/>
      <c r="O2070" s="306" t="n"/>
      <c r="P2070" s="306" t="n"/>
      <c r="Q2070" s="306" t="n"/>
    </row>
    <row r="2071" ht="18.75" customHeight="1">
      <c r="B2071" s="288" t="n">
        <v>45563</v>
      </c>
      <c r="C2071" s="289" t="n">
        <v>1357</v>
      </c>
      <c r="D2071" s="290" t="inlineStr">
        <is>
          <t>Toll (PLM-Prabumulih)</t>
        </is>
      </c>
      <c r="E2071" s="306" t="inlineStr">
        <is>
          <t>-</t>
        </is>
      </c>
      <c r="F2071" s="307" t="n">
        <v>112000</v>
      </c>
      <c r="G2071" s="289" t="inlineStr">
        <is>
          <t>IDR</t>
        </is>
      </c>
      <c r="H2071" s="293" t="n">
        <v>1</v>
      </c>
      <c r="I2071" s="306" t="n"/>
      <c r="J2071" s="306" t="n"/>
      <c r="K2071" s="306" t="n"/>
      <c r="L2071" s="307">
        <f>$F2071*$H2071</f>
        <v/>
      </c>
      <c r="M2071" s="306" t="n"/>
      <c r="N2071" s="306" t="n"/>
      <c r="O2071" s="306" t="n"/>
      <c r="P2071" s="306" t="n"/>
      <c r="Q2071" s="306" t="n"/>
    </row>
    <row r="2072" ht="18.75" customHeight="1">
      <c r="B2072" s="288" t="n">
        <v>45563</v>
      </c>
      <c r="C2072" s="289" t="n">
        <v>1358</v>
      </c>
      <c r="D2072" s="290" t="inlineStr">
        <is>
          <t>Toll (Prabumulih-PLM)</t>
        </is>
      </c>
      <c r="E2072" s="306" t="inlineStr">
        <is>
          <t>-</t>
        </is>
      </c>
      <c r="F2072" s="307" t="n">
        <v>117000</v>
      </c>
      <c r="G2072" s="289" t="inlineStr">
        <is>
          <t>IDR</t>
        </is>
      </c>
      <c r="H2072" s="293" t="n">
        <v>1</v>
      </c>
      <c r="I2072" s="306" t="n"/>
      <c r="J2072" s="306" t="n"/>
      <c r="K2072" s="306" t="n"/>
      <c r="L2072" s="307">
        <f>$F2072*$H2072</f>
        <v/>
      </c>
      <c r="M2072" s="306" t="n"/>
      <c r="N2072" s="306" t="n"/>
      <c r="O2072" s="306" t="n"/>
      <c r="P2072" s="306" t="n"/>
      <c r="Q2072" s="306" t="n"/>
    </row>
    <row r="2073" ht="18.75" customHeight="1">
      <c r="B2073" s="288" t="n">
        <v>45563</v>
      </c>
      <c r="C2073" s="289" t="n">
        <v>1359</v>
      </c>
      <c r="D2073" s="290" t="inlineStr">
        <is>
          <t>Gasoline</t>
        </is>
      </c>
      <c r="E2073" s="306" t="inlineStr">
        <is>
          <t>-</t>
        </is>
      </c>
      <c r="F2073" s="307" t="n">
        <v>200000</v>
      </c>
      <c r="G2073" s="289" t="inlineStr">
        <is>
          <t>IDR</t>
        </is>
      </c>
      <c r="H2073" s="293" t="n">
        <v>1</v>
      </c>
      <c r="I2073" s="306" t="n"/>
      <c r="J2073" s="306" t="n"/>
      <c r="K2073" s="306" t="n"/>
      <c r="L2073" s="307">
        <f>$F2073*$H2073</f>
        <v/>
      </c>
      <c r="M2073" s="306" t="n"/>
      <c r="N2073" s="306" t="n"/>
      <c r="O2073" s="306" t="n"/>
      <c r="P2073" s="306" t="n"/>
      <c r="Q2073" s="306" t="n"/>
    </row>
    <row r="2074" ht="18.75" customHeight="1">
      <c r="B2074" s="288" t="n">
        <v>45563</v>
      </c>
      <c r="C2074" s="289" t="n">
        <v>1360</v>
      </c>
      <c r="D2074" s="290" t="inlineStr">
        <is>
          <t>Gasoline</t>
        </is>
      </c>
      <c r="E2074" s="306" t="inlineStr">
        <is>
          <t>-</t>
        </is>
      </c>
      <c r="F2074" s="307" t="n">
        <v>215000</v>
      </c>
      <c r="G2074" s="289" t="inlineStr">
        <is>
          <t>IDR</t>
        </is>
      </c>
      <c r="H2074" s="293" t="n">
        <v>1</v>
      </c>
      <c r="I2074" s="306" t="n"/>
      <c r="J2074" s="306" t="n"/>
      <c r="K2074" s="306" t="n"/>
      <c r="L2074" s="307">
        <f>$F2074*$H2074</f>
        <v/>
      </c>
      <c r="M2074" s="306" t="n"/>
      <c r="N2074" s="306" t="n"/>
      <c r="O2074" s="306" t="n"/>
      <c r="P2074" s="306" t="n"/>
      <c r="Q2074" s="306" t="n"/>
    </row>
    <row r="2075" ht="18.75" customHeight="1">
      <c r="B2075" s="288" t="n">
        <v>45563</v>
      </c>
      <c r="C2075" s="289" t="n">
        <v>1361</v>
      </c>
      <c r="D2075" s="290" t="inlineStr">
        <is>
          <t>Gasoline</t>
        </is>
      </c>
      <c r="E2075" s="306" t="inlineStr">
        <is>
          <t>-</t>
        </is>
      </c>
      <c r="F2075" s="307" t="n">
        <v>197000</v>
      </c>
      <c r="G2075" s="289" t="inlineStr">
        <is>
          <t>IDR</t>
        </is>
      </c>
      <c r="H2075" s="293" t="n">
        <v>1</v>
      </c>
      <c r="I2075" s="306" t="n"/>
      <c r="J2075" s="306" t="n"/>
      <c r="K2075" s="306" t="n"/>
      <c r="L2075" s="307">
        <f>$F2075*$H2075</f>
        <v/>
      </c>
      <c r="M2075" s="306" t="n"/>
      <c r="N2075" s="306" t="n"/>
      <c r="O2075" s="306" t="n"/>
      <c r="P2075" s="306" t="n"/>
      <c r="Q2075" s="306" t="n"/>
    </row>
    <row r="2076" ht="18.75" customHeight="1">
      <c r="B2076" s="288" t="n">
        <v>45563</v>
      </c>
      <c r="C2076" s="289" t="n">
        <v>1362</v>
      </c>
      <c r="D2076" s="290" t="inlineStr">
        <is>
          <t>Gasoline</t>
        </is>
      </c>
      <c r="E2076" s="306" t="inlineStr">
        <is>
          <t>-</t>
        </is>
      </c>
      <c r="F2076" s="307" t="n">
        <v>200000</v>
      </c>
      <c r="G2076" s="289" t="inlineStr">
        <is>
          <t>IDR</t>
        </is>
      </c>
      <c r="H2076" s="293" t="n">
        <v>1</v>
      </c>
      <c r="I2076" s="306" t="n"/>
      <c r="J2076" s="306" t="n"/>
      <c r="K2076" s="306" t="n"/>
      <c r="L2076" s="307">
        <f>$F2076*$H2076</f>
        <v/>
      </c>
      <c r="M2076" s="306" t="n"/>
      <c r="N2076" s="306" t="n"/>
      <c r="O2076" s="306" t="n"/>
      <c r="P2076" s="306" t="n"/>
      <c r="Q2076" s="306" t="n"/>
    </row>
    <row r="2077" ht="18.75" customHeight="1">
      <c r="B2077" s="288" t="n">
        <v>45563</v>
      </c>
      <c r="C2077" s="289" t="n">
        <v>1363</v>
      </c>
      <c r="D2077" s="290" t="inlineStr">
        <is>
          <t>Gasoline</t>
        </is>
      </c>
      <c r="E2077" s="306" t="inlineStr">
        <is>
          <t>-</t>
        </is>
      </c>
      <c r="F2077" s="307" t="n">
        <v>220000</v>
      </c>
      <c r="G2077" s="289" t="inlineStr">
        <is>
          <t>IDR</t>
        </is>
      </c>
      <c r="H2077" s="293" t="n">
        <v>1</v>
      </c>
      <c r="I2077" s="306" t="n"/>
      <c r="J2077" s="306" t="n"/>
      <c r="K2077" s="306" t="n"/>
      <c r="L2077" s="307">
        <f>$F2077*$H2077</f>
        <v/>
      </c>
      <c r="M2077" s="306" t="n"/>
      <c r="N2077" s="306" t="n"/>
      <c r="O2077" s="306" t="n"/>
      <c r="P2077" s="306" t="n"/>
      <c r="Q2077" s="306" t="n"/>
    </row>
    <row r="2078" ht="18.75" customHeight="1">
      <c r="B2078" s="288" t="n">
        <v>45563</v>
      </c>
      <c r="C2078" s="289" t="n">
        <v>1364</v>
      </c>
      <c r="D2078" s="290" t="inlineStr">
        <is>
          <t>Toll (PLM-Prabumulih)</t>
        </is>
      </c>
      <c r="E2078" s="306" t="inlineStr">
        <is>
          <t>-</t>
        </is>
      </c>
      <c r="F2078" s="307" t="n">
        <v>112000</v>
      </c>
      <c r="G2078" s="289" t="inlineStr">
        <is>
          <t>IDR</t>
        </is>
      </c>
      <c r="H2078" s="293" t="n">
        <v>1</v>
      </c>
      <c r="I2078" s="306" t="n"/>
      <c r="J2078" s="306" t="n"/>
      <c r="K2078" s="306" t="n"/>
      <c r="L2078" s="307">
        <f>$F2078*$H2078</f>
        <v/>
      </c>
      <c r="M2078" s="306" t="n"/>
      <c r="N2078" s="306" t="n"/>
      <c r="O2078" s="306" t="n"/>
      <c r="P2078" s="306" t="n"/>
      <c r="Q2078" s="306" t="n"/>
    </row>
    <row r="2079" ht="18.75" customHeight="1">
      <c r="B2079" s="288" t="n">
        <v>45563</v>
      </c>
      <c r="C2079" s="289" t="n">
        <v>1365</v>
      </c>
      <c r="D2079" s="290" t="inlineStr">
        <is>
          <t>Toll (Prabumulih-PLM)</t>
        </is>
      </c>
      <c r="E2079" s="306" t="inlineStr">
        <is>
          <t>-</t>
        </is>
      </c>
      <c r="F2079" s="307" t="n">
        <v>117000</v>
      </c>
      <c r="G2079" s="289" t="inlineStr">
        <is>
          <t>IDR</t>
        </is>
      </c>
      <c r="H2079" s="293" t="n">
        <v>1</v>
      </c>
      <c r="I2079" s="306" t="n"/>
      <c r="J2079" s="306" t="n"/>
      <c r="K2079" s="306" t="n"/>
      <c r="L2079" s="307">
        <f>$F2079*$H2079</f>
        <v/>
      </c>
      <c r="M2079" s="306" t="n"/>
      <c r="N2079" s="306" t="n"/>
      <c r="O2079" s="306" t="n"/>
      <c r="P2079" s="306" t="n"/>
      <c r="Q2079" s="306" t="n"/>
    </row>
    <row r="2080" ht="18.75" customHeight="1">
      <c r="B2080" s="288" t="n">
        <v>45563</v>
      </c>
      <c r="C2080" s="289" t="n">
        <v>1366</v>
      </c>
      <c r="D2080" s="290" t="inlineStr">
        <is>
          <t>Gasoline</t>
        </is>
      </c>
      <c r="E2080" s="306" t="inlineStr">
        <is>
          <t>-</t>
        </is>
      </c>
      <c r="F2080" s="307" t="n">
        <v>200000</v>
      </c>
      <c r="G2080" s="289" t="inlineStr">
        <is>
          <t>IDR</t>
        </is>
      </c>
      <c r="H2080" s="293" t="n">
        <v>1</v>
      </c>
      <c r="I2080" s="306" t="n"/>
      <c r="J2080" s="306" t="n"/>
      <c r="K2080" s="306" t="n"/>
      <c r="L2080" s="307">
        <f>$F2080*$H2080</f>
        <v/>
      </c>
      <c r="M2080" s="306" t="n"/>
      <c r="N2080" s="306" t="n"/>
      <c r="O2080" s="306" t="n"/>
      <c r="P2080" s="306" t="n"/>
      <c r="Q2080" s="306" t="n"/>
    </row>
    <row r="2081" ht="18.75" customHeight="1">
      <c r="B2081" s="288" t="n">
        <v>45563</v>
      </c>
      <c r="C2081" s="289" t="n">
        <v>1367</v>
      </c>
      <c r="D2081" s="290" t="inlineStr">
        <is>
          <t>Gasoline</t>
        </is>
      </c>
      <c r="E2081" s="306" t="inlineStr">
        <is>
          <t>-</t>
        </is>
      </c>
      <c r="F2081" s="307" t="n">
        <v>215000</v>
      </c>
      <c r="G2081" s="289" t="inlineStr">
        <is>
          <t>IDR</t>
        </is>
      </c>
      <c r="H2081" s="293" t="n">
        <v>1</v>
      </c>
      <c r="I2081" s="306" t="n"/>
      <c r="J2081" s="306" t="n"/>
      <c r="K2081" s="306" t="n"/>
      <c r="L2081" s="307">
        <f>$F2081*$H2081</f>
        <v/>
      </c>
      <c r="M2081" s="306" t="n"/>
      <c r="N2081" s="306" t="n"/>
      <c r="O2081" s="306" t="n"/>
      <c r="P2081" s="306" t="n"/>
      <c r="Q2081" s="306" t="n"/>
    </row>
    <row r="2082" ht="18.75" customHeight="1">
      <c r="B2082" s="288" t="n">
        <v>45563</v>
      </c>
      <c r="C2082" s="289" t="n">
        <v>1368</v>
      </c>
      <c r="D2082" s="290" t="inlineStr">
        <is>
          <t>Gasoline</t>
        </is>
      </c>
      <c r="E2082" s="306" t="inlineStr">
        <is>
          <t>-</t>
        </is>
      </c>
      <c r="F2082" s="307" t="n">
        <v>197000</v>
      </c>
      <c r="G2082" s="289" t="inlineStr">
        <is>
          <t>IDR</t>
        </is>
      </c>
      <c r="H2082" s="293" t="n">
        <v>1</v>
      </c>
      <c r="I2082" s="306" t="n"/>
      <c r="J2082" s="306" t="n"/>
      <c r="K2082" s="306" t="n"/>
      <c r="L2082" s="307">
        <f>$F2082*$H2082</f>
        <v/>
      </c>
      <c r="M2082" s="306" t="n"/>
      <c r="N2082" s="306" t="n"/>
      <c r="O2082" s="306" t="n"/>
      <c r="P2082" s="306" t="n"/>
      <c r="Q2082" s="306" t="n"/>
    </row>
    <row r="2083" ht="18.75" customHeight="1">
      <c r="B2083" s="288" t="n">
        <v>45563</v>
      </c>
      <c r="C2083" s="289" t="n">
        <v>1369</v>
      </c>
      <c r="D2083" s="290" t="inlineStr">
        <is>
          <t>Gasoline</t>
        </is>
      </c>
      <c r="E2083" s="306" t="inlineStr">
        <is>
          <t>-</t>
        </is>
      </c>
      <c r="F2083" s="307" t="n">
        <v>200000</v>
      </c>
      <c r="G2083" s="289" t="inlineStr">
        <is>
          <t>IDR</t>
        </is>
      </c>
      <c r="H2083" s="293" t="n">
        <v>1</v>
      </c>
      <c r="I2083" s="306" t="n"/>
      <c r="J2083" s="306" t="n"/>
      <c r="K2083" s="306" t="n"/>
      <c r="L2083" s="307">
        <f>$F2083*$H2083</f>
        <v/>
      </c>
      <c r="M2083" s="306" t="n"/>
      <c r="N2083" s="306" t="n"/>
      <c r="O2083" s="306" t="n"/>
      <c r="P2083" s="306" t="n"/>
      <c r="Q2083" s="306" t="n"/>
    </row>
    <row r="2084" ht="18.75" customHeight="1">
      <c r="B2084" s="288" t="n">
        <v>45563</v>
      </c>
      <c r="C2084" s="289" t="n">
        <v>1370</v>
      </c>
      <c r="D2084" s="290" t="inlineStr">
        <is>
          <t>Gasoline</t>
        </is>
      </c>
      <c r="E2084" s="306" t="inlineStr">
        <is>
          <t>-</t>
        </is>
      </c>
      <c r="F2084" s="307" t="n">
        <v>220000</v>
      </c>
      <c r="G2084" s="289" t="inlineStr">
        <is>
          <t>IDR</t>
        </is>
      </c>
      <c r="H2084" s="293" t="n">
        <v>1</v>
      </c>
      <c r="I2084" s="306" t="n"/>
      <c r="J2084" s="306" t="n"/>
      <c r="K2084" s="306" t="n"/>
      <c r="L2084" s="307">
        <f>$F2084*$H2084</f>
        <v/>
      </c>
      <c r="M2084" s="306" t="n"/>
      <c r="N2084" s="306" t="n"/>
      <c r="O2084" s="306" t="n"/>
      <c r="P2084" s="306" t="n"/>
      <c r="Q2084" s="306" t="n"/>
    </row>
    <row r="2085" ht="18.75" customHeight="1">
      <c r="B2085" s="288" t="n">
        <v>45563</v>
      </c>
      <c r="C2085" s="289" t="n">
        <v>1371</v>
      </c>
      <c r="D2085" s="290" t="inlineStr">
        <is>
          <t>Toll (PLM-Prabumulih)</t>
        </is>
      </c>
      <c r="E2085" s="306" t="inlineStr">
        <is>
          <t>-</t>
        </is>
      </c>
      <c r="F2085" s="307" t="n">
        <v>112000</v>
      </c>
      <c r="G2085" s="289" t="inlineStr">
        <is>
          <t>IDR</t>
        </is>
      </c>
      <c r="H2085" s="293" t="n">
        <v>1</v>
      </c>
      <c r="I2085" s="306" t="n"/>
      <c r="J2085" s="306" t="n"/>
      <c r="K2085" s="306" t="n"/>
      <c r="L2085" s="307">
        <f>$F2085*$H2085</f>
        <v/>
      </c>
      <c r="M2085" s="306" t="n"/>
      <c r="N2085" s="306" t="n"/>
      <c r="O2085" s="306" t="n"/>
      <c r="P2085" s="306" t="n"/>
      <c r="Q2085" s="306" t="n"/>
    </row>
    <row r="2086" ht="18.75" customHeight="1">
      <c r="B2086" s="288" t="n">
        <v>45563</v>
      </c>
      <c r="C2086" s="289" t="n">
        <v>1372</v>
      </c>
      <c r="D2086" s="290" t="inlineStr">
        <is>
          <t>Toll (Prabumulih-PLM)</t>
        </is>
      </c>
      <c r="E2086" s="306" t="inlineStr">
        <is>
          <t>-</t>
        </is>
      </c>
      <c r="F2086" s="307" t="n">
        <v>117000</v>
      </c>
      <c r="G2086" s="289" t="inlineStr">
        <is>
          <t>IDR</t>
        </is>
      </c>
      <c r="H2086" s="293" t="n">
        <v>1</v>
      </c>
      <c r="I2086" s="306" t="n"/>
      <c r="J2086" s="306" t="n"/>
      <c r="K2086" s="306" t="n"/>
      <c r="L2086" s="307">
        <f>$F2086*$H2086</f>
        <v/>
      </c>
      <c r="M2086" s="306" t="n"/>
      <c r="N2086" s="306" t="n"/>
      <c r="O2086" s="306" t="n"/>
      <c r="P2086" s="306" t="n"/>
      <c r="Q2086" s="306" t="n"/>
    </row>
    <row r="2087">
      <c r="B2087" s="310" t="inlineStr">
        <is>
          <t>Expense#34</t>
        </is>
      </c>
      <c r="C2087" s="311" t="inlineStr">
        <is>
          <t>:</t>
        </is>
      </c>
      <c r="D2087" s="310" t="inlineStr">
        <is>
          <t>ALFA_JRK-095 well (PEPZ4-PEndopo field) SI jakarta _ AC</t>
        </is>
      </c>
      <c r="E2087" s="311" t="n"/>
      <c r="F2087" s="311" t="n"/>
      <c r="G2087" s="311" t="n"/>
      <c r="H2087" s="311" t="n"/>
      <c r="I2087" s="311" t="n"/>
      <c r="J2087" s="311" t="n"/>
      <c r="K2087" s="311" t="n"/>
      <c r="L2087" s="311" t="n"/>
      <c r="M2087" s="311" t="n"/>
      <c r="N2087" s="311" t="n"/>
      <c r="O2087" s="311" t="n"/>
      <c r="P2087" s="311" t="n"/>
      <c r="Q2087" s="311" t="n"/>
    </row>
    <row r="2088">
      <c r="B2088" s="312" t="n"/>
      <c r="C2088" s="312" t="n"/>
      <c r="D2088" s="285" t="inlineStr">
        <is>
          <t>Allowance</t>
        </is>
      </c>
      <c r="E2088" s="312" t="n"/>
      <c r="F2088" s="312" t="n"/>
      <c r="G2088" s="312" t="n"/>
      <c r="H2088" s="312" t="n"/>
      <c r="I2088" s="312" t="n"/>
      <c r="J2088" s="312" t="n"/>
      <c r="K2088" s="312" t="n"/>
      <c r="L2088" s="312" t="n"/>
      <c r="M2088" s="312" t="n"/>
      <c r="N2088" s="312" t="n"/>
      <c r="O2088" s="312" t="n"/>
      <c r="P2088" s="312" t="n"/>
      <c r="Q2088" s="312" t="n"/>
    </row>
    <row r="2089" ht="18.75" customHeight="1">
      <c r="B2089" s="288" t="n">
        <v>45565</v>
      </c>
      <c r="C2089" s="289" t="n">
        <v>1373</v>
      </c>
      <c r="D2089" s="290" t="inlineStr">
        <is>
          <t>Tunjangan lapaangan for 8 days- (job at JRK-095)</t>
        </is>
      </c>
      <c r="E2089" s="306" t="inlineStr">
        <is>
          <t>-</t>
        </is>
      </c>
      <c r="F2089" s="307" t="n">
        <v>800</v>
      </c>
      <c r="G2089" s="289" t="inlineStr">
        <is>
          <t>USD</t>
        </is>
      </c>
      <c r="H2089" s="293" t="n">
        <v>15200</v>
      </c>
      <c r="I2089" s="306" t="n"/>
      <c r="J2089" s="306" t="n"/>
      <c r="K2089" s="306" t="n"/>
      <c r="L2089" s="307">
        <f>$F2089*$H2089</f>
        <v/>
      </c>
      <c r="M2089" s="306" t="n"/>
      <c r="N2089" s="306" t="n"/>
      <c r="O2089" s="306" t="n"/>
      <c r="P2089" s="306" t="n"/>
      <c r="Q2089" s="306" t="n"/>
    </row>
    <row r="2090" ht="18.75" customHeight="1">
      <c r="B2090" s="288" t="n">
        <v>45565</v>
      </c>
      <c r="C2090" s="289" t="n">
        <v>1374</v>
      </c>
      <c r="D2090" s="290" t="inlineStr">
        <is>
          <t>Tunjangan lapaangan for 8 days- (job at JRK-095)</t>
        </is>
      </c>
      <c r="E2090" s="306" t="inlineStr">
        <is>
          <t>-</t>
        </is>
      </c>
      <c r="F2090" s="307" t="n">
        <v>800</v>
      </c>
      <c r="G2090" s="289" t="inlineStr">
        <is>
          <t>USD</t>
        </is>
      </c>
      <c r="H2090" s="293" t="n">
        <v>15200</v>
      </c>
      <c r="I2090" s="306" t="n"/>
      <c r="J2090" s="306" t="n"/>
      <c r="K2090" s="306" t="n"/>
      <c r="L2090" s="307">
        <f>$F2090*$H2090</f>
        <v/>
      </c>
      <c r="M2090" s="306" t="n"/>
      <c r="N2090" s="306" t="n"/>
      <c r="O2090" s="306" t="n"/>
      <c r="P2090" s="306" t="n"/>
      <c r="Q2090" s="306" t="n"/>
    </row>
    <row r="2091" ht="18.75" customHeight="1">
      <c r="B2091" s="288" t="n">
        <v>45565</v>
      </c>
      <c r="C2091" s="289" t="n">
        <v>1375</v>
      </c>
      <c r="D2091" s="290" t="inlineStr">
        <is>
          <t>Tunjangan lapaangan for 8 days- (job at JRK-095)</t>
        </is>
      </c>
      <c r="E2091" s="306" t="inlineStr">
        <is>
          <t>-</t>
        </is>
      </c>
      <c r="F2091" s="307" t="n">
        <v>800</v>
      </c>
      <c r="G2091" s="289" t="inlineStr">
        <is>
          <t>USD</t>
        </is>
      </c>
      <c r="H2091" s="293" t="n">
        <v>15200</v>
      </c>
      <c r="I2091" s="306" t="n"/>
      <c r="J2091" s="306" t="n"/>
      <c r="K2091" s="306" t="n"/>
      <c r="L2091" s="307">
        <f>$F2091*$H2091</f>
        <v/>
      </c>
      <c r="M2091" s="306" t="n"/>
      <c r="N2091" s="306" t="n"/>
      <c r="O2091" s="306" t="n"/>
      <c r="P2091" s="306" t="n"/>
      <c r="Q2091" s="306" t="n"/>
    </row>
    <row r="2092" ht="18.75" customHeight="1">
      <c r="B2092" s="288" t="n">
        <v>45565</v>
      </c>
      <c r="C2092" s="289" t="n">
        <v>1376</v>
      </c>
      <c r="D2092" s="290" t="inlineStr">
        <is>
          <t>Tunjangan lapaangan for 8 days- (job at JRK-095)</t>
        </is>
      </c>
      <c r="E2092" s="306" t="inlineStr">
        <is>
          <t>-</t>
        </is>
      </c>
      <c r="F2092" s="307" t="n">
        <v>800</v>
      </c>
      <c r="G2092" s="289" t="inlineStr">
        <is>
          <t>USD</t>
        </is>
      </c>
      <c r="H2092" s="293" t="n">
        <v>15200</v>
      </c>
      <c r="I2092" s="306" t="n"/>
      <c r="J2092" s="306" t="n"/>
      <c r="K2092" s="306" t="n"/>
      <c r="L2092" s="307">
        <f>$F2092*$H2092</f>
        <v/>
      </c>
      <c r="M2092" s="306" t="n"/>
      <c r="N2092" s="306" t="n"/>
      <c r="O2092" s="306" t="n"/>
      <c r="P2092" s="306" t="n"/>
      <c r="Q2092" s="306" t="n"/>
    </row>
    <row r="2093">
      <c r="B2093" s="312" t="n"/>
      <c r="C2093" s="312" t="n"/>
      <c r="D2093" s="285" t="inlineStr">
        <is>
          <t>Laundry</t>
        </is>
      </c>
      <c r="E2093" s="312" t="n"/>
      <c r="F2093" s="312" t="n"/>
      <c r="G2093" s="312" t="n"/>
      <c r="H2093" s="312" t="n"/>
      <c r="I2093" s="312" t="n"/>
      <c r="J2093" s="312" t="n"/>
      <c r="K2093" s="312" t="n"/>
      <c r="L2093" s="312" t="n"/>
      <c r="M2093" s="312" t="n"/>
      <c r="N2093" s="312" t="n"/>
      <c r="O2093" s="312" t="n"/>
      <c r="P2093" s="312" t="n"/>
      <c r="Q2093" s="312" t="n"/>
    </row>
    <row r="2094" ht="18.75" customHeight="1">
      <c r="B2094" s="288" t="n">
        <v>45564</v>
      </c>
      <c r="C2094" s="289" t="n">
        <v>1377</v>
      </c>
      <c r="D2094" s="290" t="inlineStr">
        <is>
          <t>Laundry 8 days @ 50K IDR/day</t>
        </is>
      </c>
      <c r="E2094" s="306" t="inlineStr">
        <is>
          <t>-</t>
        </is>
      </c>
      <c r="F2094" s="307" t="n">
        <v>400000</v>
      </c>
      <c r="G2094" s="289" t="inlineStr">
        <is>
          <t>IDR</t>
        </is>
      </c>
      <c r="H2094" s="293" t="n">
        <v>1</v>
      </c>
      <c r="I2094" s="306" t="n"/>
      <c r="J2094" s="306" t="n"/>
      <c r="K2094" s="306" t="n"/>
      <c r="L2094" s="307">
        <f>$F2094*$H2094</f>
        <v/>
      </c>
      <c r="M2094" s="306" t="n"/>
      <c r="N2094" s="306" t="n"/>
      <c r="O2094" s="306" t="n"/>
      <c r="P2094" s="306" t="n"/>
      <c r="Q2094" s="306" t="n"/>
    </row>
    <row r="2095" ht="18.75" customHeight="1">
      <c r="B2095" s="288" t="n">
        <v>45564</v>
      </c>
      <c r="C2095" s="289" t="n">
        <v>1378</v>
      </c>
      <c r="D2095" s="290" t="inlineStr">
        <is>
          <t>Laundry 8 days @ 50K IDR/day</t>
        </is>
      </c>
      <c r="E2095" s="306" t="inlineStr">
        <is>
          <t>-</t>
        </is>
      </c>
      <c r="F2095" s="307" t="n">
        <v>400000</v>
      </c>
      <c r="G2095" s="289" t="inlineStr">
        <is>
          <t>IDR</t>
        </is>
      </c>
      <c r="H2095" s="293" t="n">
        <v>1</v>
      </c>
      <c r="I2095" s="306" t="n"/>
      <c r="J2095" s="306" t="n"/>
      <c r="K2095" s="306" t="n"/>
      <c r="L2095" s="307">
        <f>$F2095*$H2095</f>
        <v/>
      </c>
      <c r="M2095" s="306" t="n"/>
      <c r="N2095" s="306" t="n"/>
      <c r="O2095" s="306" t="n"/>
      <c r="P2095" s="306" t="n"/>
      <c r="Q2095" s="306" t="n"/>
    </row>
    <row r="2096" ht="18.75" customHeight="1">
      <c r="B2096" s="288" t="n">
        <v>45564</v>
      </c>
      <c r="C2096" s="289" t="n">
        <v>1379</v>
      </c>
      <c r="D2096" s="290" t="inlineStr">
        <is>
          <t>Laundry 8 days @ 50K IDR/day</t>
        </is>
      </c>
      <c r="E2096" s="306" t="inlineStr">
        <is>
          <t>-</t>
        </is>
      </c>
      <c r="F2096" s="307" t="n">
        <v>400000</v>
      </c>
      <c r="G2096" s="289" t="inlineStr">
        <is>
          <t>IDR</t>
        </is>
      </c>
      <c r="H2096" s="293" t="n">
        <v>1</v>
      </c>
      <c r="I2096" s="306" t="n"/>
      <c r="J2096" s="306" t="n"/>
      <c r="K2096" s="306" t="n"/>
      <c r="L2096" s="307">
        <f>$F2096*$H2096</f>
        <v/>
      </c>
      <c r="M2096" s="306" t="n"/>
      <c r="N2096" s="306" t="n"/>
      <c r="O2096" s="306" t="n"/>
      <c r="P2096" s="306" t="n"/>
      <c r="Q2096" s="306" t="n"/>
    </row>
    <row r="2097" ht="18.75" customHeight="1">
      <c r="B2097" s="288" t="n">
        <v>45564</v>
      </c>
      <c r="C2097" s="289" t="n">
        <v>1380</v>
      </c>
      <c r="D2097" s="290" t="inlineStr">
        <is>
          <t>Laundry 8 days @ 50K IDR/day</t>
        </is>
      </c>
      <c r="E2097" s="306" t="inlineStr">
        <is>
          <t>-</t>
        </is>
      </c>
      <c r="F2097" s="307" t="n">
        <v>400000</v>
      </c>
      <c r="G2097" s="289" t="inlineStr">
        <is>
          <t>IDR</t>
        </is>
      </c>
      <c r="H2097" s="293" t="n">
        <v>1</v>
      </c>
      <c r="I2097" s="306" t="n"/>
      <c r="J2097" s="306" t="n"/>
      <c r="K2097" s="306" t="n"/>
      <c r="L2097" s="307">
        <f>$F2097*$H2097</f>
        <v/>
      </c>
      <c r="M2097" s="306" t="n"/>
      <c r="N2097" s="306" t="n"/>
      <c r="O2097" s="306" t="n"/>
      <c r="P2097" s="306" t="n"/>
      <c r="Q2097" s="306" t="n"/>
    </row>
    <row r="2098">
      <c r="B2098" s="312" t="n"/>
      <c r="C2098" s="312" t="n"/>
      <c r="D2098" s="285" t="inlineStr">
        <is>
          <t>Meal</t>
        </is>
      </c>
      <c r="E2098" s="312" t="n"/>
      <c r="F2098" s="312" t="n"/>
      <c r="G2098" s="312" t="n"/>
      <c r="H2098" s="312" t="n"/>
      <c r="I2098" s="312" t="n"/>
      <c r="J2098" s="312" t="n"/>
      <c r="K2098" s="312" t="n"/>
      <c r="L2098" s="312" t="n"/>
      <c r="M2098" s="312" t="n"/>
      <c r="N2098" s="312" t="n"/>
      <c r="O2098" s="312" t="n"/>
      <c r="P2098" s="312" t="n"/>
      <c r="Q2098" s="312" t="n"/>
    </row>
    <row r="2099" ht="18.75" customHeight="1">
      <c r="B2099" s="288" t="n">
        <v>45564</v>
      </c>
      <c r="C2099" s="289" t="n">
        <v>1381</v>
      </c>
      <c r="D2099" s="290" t="inlineStr">
        <is>
          <t>Meals 8 days @ 150K IDR/day</t>
        </is>
      </c>
      <c r="E2099" s="306" t="inlineStr">
        <is>
          <t>-</t>
        </is>
      </c>
      <c r="F2099" s="307" t="n">
        <v>900000</v>
      </c>
      <c r="G2099" s="289" t="inlineStr">
        <is>
          <t>IDR</t>
        </is>
      </c>
      <c r="H2099" s="293" t="n">
        <v>1</v>
      </c>
      <c r="I2099" s="306" t="n"/>
      <c r="J2099" s="306" t="n"/>
      <c r="K2099" s="306" t="n"/>
      <c r="L2099" s="307">
        <f>$F2099*$H2099</f>
        <v/>
      </c>
      <c r="M2099" s="306" t="n"/>
      <c r="N2099" s="306" t="n"/>
      <c r="O2099" s="306" t="n"/>
      <c r="P2099" s="306" t="n"/>
      <c r="Q2099" s="306" t="n"/>
    </row>
    <row r="2100" ht="18.75" customHeight="1">
      <c r="B2100" s="288" t="n">
        <v>45564</v>
      </c>
      <c r="C2100" s="289" t="n">
        <v>1382</v>
      </c>
      <c r="D2100" s="290" t="inlineStr">
        <is>
          <t>Meals 8 days @ 150K IDR/day</t>
        </is>
      </c>
      <c r="E2100" s="306" t="inlineStr">
        <is>
          <t>-</t>
        </is>
      </c>
      <c r="F2100" s="307" t="n">
        <v>900000</v>
      </c>
      <c r="G2100" s="289" t="inlineStr">
        <is>
          <t>IDR</t>
        </is>
      </c>
      <c r="H2100" s="293" t="n">
        <v>1</v>
      </c>
      <c r="I2100" s="306" t="n"/>
      <c r="J2100" s="306" t="n"/>
      <c r="K2100" s="306" t="n"/>
      <c r="L2100" s="307">
        <f>$F2100*$H2100</f>
        <v/>
      </c>
      <c r="M2100" s="306" t="n"/>
      <c r="N2100" s="306" t="n"/>
      <c r="O2100" s="306" t="n"/>
      <c r="P2100" s="306" t="n"/>
      <c r="Q2100" s="306" t="n"/>
    </row>
    <row r="2101" ht="18.75" customHeight="1">
      <c r="B2101" s="288" t="n">
        <v>45564</v>
      </c>
      <c r="C2101" s="289" t="n">
        <v>1383</v>
      </c>
      <c r="D2101" s="290" t="inlineStr">
        <is>
          <t>Meals 8 days @ 150K IDR/day</t>
        </is>
      </c>
      <c r="E2101" s="306" t="inlineStr">
        <is>
          <t>-</t>
        </is>
      </c>
      <c r="F2101" s="307" t="n">
        <v>900000</v>
      </c>
      <c r="G2101" s="289" t="inlineStr">
        <is>
          <t>IDR</t>
        </is>
      </c>
      <c r="H2101" s="293" t="n">
        <v>1</v>
      </c>
      <c r="I2101" s="306" t="n"/>
      <c r="J2101" s="306" t="n"/>
      <c r="K2101" s="306" t="n"/>
      <c r="L2101" s="307">
        <f>$F2101*$H2101</f>
        <v/>
      </c>
      <c r="M2101" s="306" t="n"/>
      <c r="N2101" s="306" t="n"/>
      <c r="O2101" s="306" t="n"/>
      <c r="P2101" s="306" t="n"/>
      <c r="Q2101" s="306" t="n"/>
    </row>
    <row r="2102" ht="18.75" customHeight="1">
      <c r="B2102" s="288" t="n">
        <v>45564</v>
      </c>
      <c r="C2102" s="289" t="n">
        <v>1384</v>
      </c>
      <c r="D2102" s="290" t="inlineStr">
        <is>
          <t>Meals 8 days @ 150K IDR/day</t>
        </is>
      </c>
      <c r="E2102" s="306" t="inlineStr">
        <is>
          <t>-</t>
        </is>
      </c>
      <c r="F2102" s="307" t="n">
        <v>900000</v>
      </c>
      <c r="G2102" s="289" t="inlineStr">
        <is>
          <t>IDR</t>
        </is>
      </c>
      <c r="H2102" s="293" t="n">
        <v>1</v>
      </c>
      <c r="I2102" s="306" t="n"/>
      <c r="J2102" s="306" t="n"/>
      <c r="K2102" s="306" t="n"/>
      <c r="L2102" s="307">
        <f>$F2102*$H2102</f>
        <v/>
      </c>
      <c r="M2102" s="306" t="n"/>
      <c r="N2102" s="306" t="n"/>
      <c r="O2102" s="306" t="n"/>
      <c r="P2102" s="306" t="n"/>
      <c r="Q2102" s="306" t="n"/>
    </row>
    <row r="2103">
      <c r="B2103" s="312" t="n"/>
      <c r="C2103" s="312" t="n"/>
      <c r="D2103" s="285" t="inlineStr">
        <is>
          <t>Transportation</t>
        </is>
      </c>
      <c r="E2103" s="312" t="n"/>
      <c r="F2103" s="312" t="n"/>
      <c r="G2103" s="312" t="n"/>
      <c r="H2103" s="312" t="n"/>
      <c r="I2103" s="312" t="n"/>
      <c r="J2103" s="312" t="n"/>
      <c r="K2103" s="312" t="n"/>
      <c r="L2103" s="312" t="n"/>
      <c r="M2103" s="312" t="n"/>
      <c r="N2103" s="312" t="n"/>
      <c r="O2103" s="312" t="n"/>
      <c r="P2103" s="312" t="n"/>
      <c r="Q2103" s="312" t="n"/>
    </row>
    <row r="2104" ht="18.75" customHeight="1">
      <c r="B2104" s="288" t="n">
        <v>45556</v>
      </c>
      <c r="C2104" s="289" t="n">
        <v>1385</v>
      </c>
      <c r="D2104" s="290" t="inlineStr">
        <is>
          <t>Air ticket Anevril JKT-Palembang</t>
        </is>
      </c>
      <c r="E2104" s="306" t="inlineStr">
        <is>
          <t>-</t>
        </is>
      </c>
      <c r="F2104" s="307" t="n">
        <v>796800</v>
      </c>
      <c r="G2104" s="289" t="inlineStr">
        <is>
          <t>IDR</t>
        </is>
      </c>
      <c r="H2104" s="293" t="n">
        <v>1</v>
      </c>
      <c r="I2104" s="306" t="n"/>
      <c r="J2104" s="306" t="n"/>
      <c r="K2104" s="306" t="n"/>
      <c r="L2104" s="307">
        <f>$F2104*$H2104</f>
        <v/>
      </c>
      <c r="M2104" s="306" t="n"/>
      <c r="N2104" s="306" t="n"/>
      <c r="O2104" s="306" t="n"/>
      <c r="P2104" s="306" t="n"/>
      <c r="Q2104" s="306" t="n"/>
    </row>
    <row r="2105" ht="18.75" customHeight="1">
      <c r="B2105" s="288" t="n">
        <v>45556</v>
      </c>
      <c r="C2105" s="289" t="n">
        <v>1386</v>
      </c>
      <c r="D2105" s="290" t="inlineStr">
        <is>
          <t>Taxi Anevril Home - CGK Airport</t>
        </is>
      </c>
      <c r="E2105" s="306" t="inlineStr">
        <is>
          <t>-</t>
        </is>
      </c>
      <c r="F2105" s="307" t="n">
        <v>250000</v>
      </c>
      <c r="G2105" s="289" t="inlineStr">
        <is>
          <t>IDR</t>
        </is>
      </c>
      <c r="H2105" s="293" t="n">
        <v>1</v>
      </c>
      <c r="I2105" s="306" t="n"/>
      <c r="J2105" s="306" t="n"/>
      <c r="K2105" s="306" t="n"/>
      <c r="L2105" s="307">
        <f>$F2105*$H2105</f>
        <v/>
      </c>
      <c r="M2105" s="306" t="n"/>
      <c r="N2105" s="306" t="n"/>
      <c r="O2105" s="306" t="n"/>
      <c r="P2105" s="306" t="n"/>
      <c r="Q2105" s="306" t="n"/>
    </row>
    <row r="2106" ht="18.75" customHeight="1">
      <c r="B2106" s="288" t="n">
        <v>45556</v>
      </c>
      <c r="C2106" s="289" t="n">
        <v>1387</v>
      </c>
      <c r="D2106" s="290" t="inlineStr">
        <is>
          <t>Air ticket Anevril JKT-Palembang</t>
        </is>
      </c>
      <c r="E2106" s="306" t="inlineStr">
        <is>
          <t>-</t>
        </is>
      </c>
      <c r="F2106" s="307" t="n">
        <v>796800</v>
      </c>
      <c r="G2106" s="289" t="inlineStr">
        <is>
          <t>IDR</t>
        </is>
      </c>
      <c r="H2106" s="293" t="n">
        <v>1</v>
      </c>
      <c r="I2106" s="306" t="n"/>
      <c r="J2106" s="306" t="n"/>
      <c r="K2106" s="306" t="n"/>
      <c r="L2106" s="307">
        <f>$F2106*$H2106</f>
        <v/>
      </c>
      <c r="M2106" s="306" t="n"/>
      <c r="N2106" s="306" t="n"/>
      <c r="O2106" s="306" t="n"/>
      <c r="P2106" s="306" t="n"/>
      <c r="Q2106" s="306" t="n"/>
    </row>
    <row r="2107" ht="18.75" customHeight="1">
      <c r="B2107" s="288" t="n">
        <v>45556</v>
      </c>
      <c r="C2107" s="289" t="n">
        <v>1388</v>
      </c>
      <c r="D2107" s="290" t="inlineStr">
        <is>
          <t>Taxi Anevril Home - CGK Airport</t>
        </is>
      </c>
      <c r="E2107" s="306" t="inlineStr">
        <is>
          <t>-</t>
        </is>
      </c>
      <c r="F2107" s="307" t="n">
        <v>250000</v>
      </c>
      <c r="G2107" s="289" t="inlineStr">
        <is>
          <t>IDR</t>
        </is>
      </c>
      <c r="H2107" s="293" t="n">
        <v>1</v>
      </c>
      <c r="I2107" s="306" t="n"/>
      <c r="J2107" s="306" t="n"/>
      <c r="K2107" s="306" t="n"/>
      <c r="L2107" s="307">
        <f>$F2107*$H2107</f>
        <v/>
      </c>
      <c r="M2107" s="306" t="n"/>
      <c r="N2107" s="306" t="n"/>
      <c r="O2107" s="306" t="n"/>
      <c r="P2107" s="306" t="n"/>
      <c r="Q2107" s="306" t="n"/>
    </row>
    <row r="2108" ht="18.75" customHeight="1">
      <c r="B2108" s="288" t="n">
        <v>45556</v>
      </c>
      <c r="C2108" s="289" t="n">
        <v>1389</v>
      </c>
      <c r="D2108" s="290" t="inlineStr">
        <is>
          <t>Air ticket Anevril JKT-Palembang</t>
        </is>
      </c>
      <c r="E2108" s="306" t="inlineStr">
        <is>
          <t>-</t>
        </is>
      </c>
      <c r="F2108" s="307" t="n">
        <v>796800</v>
      </c>
      <c r="G2108" s="289" t="inlineStr">
        <is>
          <t>IDR</t>
        </is>
      </c>
      <c r="H2108" s="293" t="n">
        <v>1</v>
      </c>
      <c r="I2108" s="306" t="n"/>
      <c r="J2108" s="306" t="n"/>
      <c r="K2108" s="306" t="n"/>
      <c r="L2108" s="307">
        <f>$F2108*$H2108</f>
        <v/>
      </c>
      <c r="M2108" s="306" t="n"/>
      <c r="N2108" s="306" t="n"/>
      <c r="O2108" s="306" t="n"/>
      <c r="P2108" s="306" t="n"/>
      <c r="Q2108" s="306" t="n"/>
    </row>
    <row r="2109" ht="18.75" customHeight="1">
      <c r="B2109" s="288" t="n">
        <v>45556</v>
      </c>
      <c r="C2109" s="289" t="n">
        <v>1390</v>
      </c>
      <c r="D2109" s="290" t="inlineStr">
        <is>
          <t>Taxi Anevril Home - CGK Airport</t>
        </is>
      </c>
      <c r="E2109" s="306" t="inlineStr">
        <is>
          <t>-</t>
        </is>
      </c>
      <c r="F2109" s="307" t="n">
        <v>250000</v>
      </c>
      <c r="G2109" s="289" t="inlineStr">
        <is>
          <t>IDR</t>
        </is>
      </c>
      <c r="H2109" s="293" t="n">
        <v>1</v>
      </c>
      <c r="I2109" s="306" t="n"/>
      <c r="J2109" s="306" t="n"/>
      <c r="K2109" s="306" t="n"/>
      <c r="L2109" s="307">
        <f>$F2109*$H2109</f>
        <v/>
      </c>
      <c r="M2109" s="306" t="n"/>
      <c r="N2109" s="306" t="n"/>
      <c r="O2109" s="306" t="n"/>
      <c r="P2109" s="306" t="n"/>
      <c r="Q2109" s="306" t="n"/>
    </row>
    <row r="2110" ht="18.75" customHeight="1">
      <c r="B2110" s="288" t="n">
        <v>45556</v>
      </c>
      <c r="C2110" s="289" t="n">
        <v>1391</v>
      </c>
      <c r="D2110" s="290" t="inlineStr">
        <is>
          <t>Air ticket Anevril JKT-Palembang</t>
        </is>
      </c>
      <c r="E2110" s="306" t="inlineStr">
        <is>
          <t>-</t>
        </is>
      </c>
      <c r="F2110" s="307" t="n">
        <v>796800</v>
      </c>
      <c r="G2110" s="289" t="inlineStr">
        <is>
          <t>IDR</t>
        </is>
      </c>
      <c r="H2110" s="293" t="n">
        <v>1</v>
      </c>
      <c r="I2110" s="306" t="n"/>
      <c r="J2110" s="306" t="n"/>
      <c r="K2110" s="306" t="n"/>
      <c r="L2110" s="307">
        <f>$F2110*$H2110</f>
        <v/>
      </c>
      <c r="M2110" s="306" t="n"/>
      <c r="N2110" s="306" t="n"/>
      <c r="O2110" s="306" t="n"/>
      <c r="P2110" s="306" t="n"/>
      <c r="Q2110" s="306" t="n"/>
    </row>
    <row r="2111" ht="18.75" customHeight="1">
      <c r="B2111" s="288" t="n">
        <v>45556</v>
      </c>
      <c r="C2111" s="289" t="n">
        <v>1392</v>
      </c>
      <c r="D2111" s="290" t="inlineStr">
        <is>
          <t>Taxi Anevril Home - CGK Airport</t>
        </is>
      </c>
      <c r="E2111" s="306" t="inlineStr">
        <is>
          <t>-</t>
        </is>
      </c>
      <c r="F2111" s="307" t="n">
        <v>250000</v>
      </c>
      <c r="G2111" s="289" t="inlineStr">
        <is>
          <t>IDR</t>
        </is>
      </c>
      <c r="H2111" s="293" t="n">
        <v>1</v>
      </c>
      <c r="I2111" s="306" t="n"/>
      <c r="J2111" s="306" t="n"/>
      <c r="K2111" s="306" t="n"/>
      <c r="L2111" s="307">
        <f>$F2111*$H2111</f>
        <v/>
      </c>
      <c r="M2111" s="306" t="n"/>
      <c r="N2111" s="306" t="n"/>
      <c r="O2111" s="306" t="n"/>
      <c r="P2111" s="306" t="n"/>
      <c r="Q2111" s="306" t="n"/>
    </row>
    <row r="2112" ht="18.75" customHeight="1">
      <c r="B2112" s="288" t="n">
        <v>45564</v>
      </c>
      <c r="C2112" s="289" t="n">
        <v>1393</v>
      </c>
      <c r="D2112" s="290" t="inlineStr">
        <is>
          <t>Air ticket Anevril Palembang-JKT</t>
        </is>
      </c>
      <c r="E2112" s="306" t="inlineStr">
        <is>
          <t>-</t>
        </is>
      </c>
      <c r="F2112" s="307" t="n">
        <v>804500</v>
      </c>
      <c r="G2112" s="289" t="inlineStr">
        <is>
          <t>IDR</t>
        </is>
      </c>
      <c r="H2112" s="293" t="n">
        <v>1</v>
      </c>
      <c r="I2112" s="306" t="n"/>
      <c r="J2112" s="306" t="n"/>
      <c r="K2112" s="306" t="n"/>
      <c r="L2112" s="307">
        <f>$F2112*$H2112</f>
        <v/>
      </c>
      <c r="M2112" s="306" t="n"/>
      <c r="N2112" s="306" t="n"/>
      <c r="O2112" s="306" t="n"/>
      <c r="P2112" s="306" t="n"/>
      <c r="Q2112" s="306" t="n"/>
    </row>
    <row r="2113" ht="18.75" customHeight="1">
      <c r="B2113" s="288" t="n">
        <v>45564</v>
      </c>
      <c r="C2113" s="289" t="n">
        <v>1394</v>
      </c>
      <c r="D2113" s="290" t="inlineStr">
        <is>
          <t>Taxi Anevril CGK Airport - Home</t>
        </is>
      </c>
      <c r="E2113" s="306" t="inlineStr">
        <is>
          <t>-</t>
        </is>
      </c>
      <c r="F2113" s="307" t="n">
        <v>250000</v>
      </c>
      <c r="G2113" s="289" t="inlineStr">
        <is>
          <t>IDR</t>
        </is>
      </c>
      <c r="H2113" s="293" t="n">
        <v>1</v>
      </c>
      <c r="I2113" s="306" t="n"/>
      <c r="J2113" s="306" t="n"/>
      <c r="K2113" s="306" t="n"/>
      <c r="L2113" s="307">
        <f>$F2113*$H2113</f>
        <v/>
      </c>
      <c r="M2113" s="306" t="n"/>
      <c r="N2113" s="306" t="n"/>
      <c r="O2113" s="306" t="n"/>
      <c r="P2113" s="306" t="n"/>
      <c r="Q2113" s="306" t="n"/>
    </row>
    <row r="2114" ht="18.75" customHeight="1">
      <c r="B2114" s="288" t="n">
        <v>45564</v>
      </c>
      <c r="C2114" s="289" t="n">
        <v>1395</v>
      </c>
      <c r="D2114" s="290" t="inlineStr">
        <is>
          <t>Sewa mobil 8 hari (21/09/24 - 29/09/24)</t>
        </is>
      </c>
      <c r="E2114" s="306" t="inlineStr">
        <is>
          <t>-</t>
        </is>
      </c>
      <c r="F2114" s="307" t="n">
        <v>4000000</v>
      </c>
      <c r="G2114" s="289" t="inlineStr">
        <is>
          <t>IDR</t>
        </is>
      </c>
      <c r="H2114" s="293" t="n">
        <v>1</v>
      </c>
      <c r="I2114" s="306" t="n"/>
      <c r="J2114" s="306" t="n"/>
      <c r="K2114" s="306" t="n"/>
      <c r="L2114" s="307">
        <f>$F2114*$H2114</f>
        <v/>
      </c>
      <c r="M2114" s="306" t="n"/>
      <c r="N2114" s="306" t="n"/>
      <c r="O2114" s="306" t="n"/>
      <c r="P2114" s="306" t="n"/>
      <c r="Q2114" s="306" t="n"/>
    </row>
    <row r="2115" ht="18.75" customHeight="1">
      <c r="B2115" s="288" t="n">
        <v>45564</v>
      </c>
      <c r="C2115" s="289" t="n">
        <v>1396</v>
      </c>
      <c r="D2115" s="290" t="inlineStr">
        <is>
          <t>Air ticket Anevril Palembang-JKT</t>
        </is>
      </c>
      <c r="E2115" s="306" t="inlineStr">
        <is>
          <t>-</t>
        </is>
      </c>
      <c r="F2115" s="307" t="n">
        <v>804500</v>
      </c>
      <c r="G2115" s="289" t="inlineStr">
        <is>
          <t>IDR</t>
        </is>
      </c>
      <c r="H2115" s="293" t="n">
        <v>1</v>
      </c>
      <c r="I2115" s="306" t="n"/>
      <c r="J2115" s="306" t="n"/>
      <c r="K2115" s="306" t="n"/>
      <c r="L2115" s="307">
        <f>$F2115*$H2115</f>
        <v/>
      </c>
      <c r="M2115" s="306" t="n"/>
      <c r="N2115" s="306" t="n"/>
      <c r="O2115" s="306" t="n"/>
      <c r="P2115" s="306" t="n"/>
      <c r="Q2115" s="306" t="n"/>
    </row>
    <row r="2116" ht="18.75" customHeight="1">
      <c r="B2116" s="288" t="n">
        <v>45564</v>
      </c>
      <c r="C2116" s="289" t="n">
        <v>1397</v>
      </c>
      <c r="D2116" s="290" t="inlineStr">
        <is>
          <t>Taxi Anevril CGK Airport - Home</t>
        </is>
      </c>
      <c r="E2116" s="306" t="inlineStr">
        <is>
          <t>-</t>
        </is>
      </c>
      <c r="F2116" s="307" t="n">
        <v>250000</v>
      </c>
      <c r="G2116" s="289" t="inlineStr">
        <is>
          <t>IDR</t>
        </is>
      </c>
      <c r="H2116" s="293" t="n">
        <v>1</v>
      </c>
      <c r="I2116" s="306" t="n"/>
      <c r="J2116" s="306" t="n"/>
      <c r="K2116" s="306" t="n"/>
      <c r="L2116" s="307">
        <f>$F2116*$H2116</f>
        <v/>
      </c>
      <c r="M2116" s="306" t="n"/>
      <c r="N2116" s="306" t="n"/>
      <c r="O2116" s="306" t="n"/>
      <c r="P2116" s="306" t="n"/>
      <c r="Q2116" s="306" t="n"/>
    </row>
    <row r="2117" ht="18.75" customHeight="1">
      <c r="B2117" s="288" t="n">
        <v>45564</v>
      </c>
      <c r="C2117" s="289" t="n">
        <v>1398</v>
      </c>
      <c r="D2117" s="290" t="inlineStr">
        <is>
          <t>Sewa mobil 8 hari (21/09/24 - 29/09/24)</t>
        </is>
      </c>
      <c r="E2117" s="306" t="inlineStr">
        <is>
          <t>-</t>
        </is>
      </c>
      <c r="F2117" s="307" t="n">
        <v>4000000</v>
      </c>
      <c r="G2117" s="289" t="inlineStr">
        <is>
          <t>IDR</t>
        </is>
      </c>
      <c r="H2117" s="293" t="n">
        <v>1</v>
      </c>
      <c r="I2117" s="306" t="n"/>
      <c r="J2117" s="306" t="n"/>
      <c r="K2117" s="306" t="n"/>
      <c r="L2117" s="307">
        <f>$F2117*$H2117</f>
        <v/>
      </c>
      <c r="M2117" s="306" t="n"/>
      <c r="N2117" s="306" t="n"/>
      <c r="O2117" s="306" t="n"/>
      <c r="P2117" s="306" t="n"/>
      <c r="Q2117" s="306" t="n"/>
    </row>
    <row r="2118" ht="18.75" customHeight="1">
      <c r="B2118" s="288" t="n">
        <v>45564</v>
      </c>
      <c r="C2118" s="289" t="n">
        <v>1399</v>
      </c>
      <c r="D2118" s="290" t="inlineStr">
        <is>
          <t>Air ticket Anevril Palembang-JKT</t>
        </is>
      </c>
      <c r="E2118" s="306" t="inlineStr">
        <is>
          <t>-</t>
        </is>
      </c>
      <c r="F2118" s="307" t="n">
        <v>804500</v>
      </c>
      <c r="G2118" s="289" t="inlineStr">
        <is>
          <t>IDR</t>
        </is>
      </c>
      <c r="H2118" s="293" t="n">
        <v>1</v>
      </c>
      <c r="I2118" s="306" t="n"/>
      <c r="J2118" s="306" t="n"/>
      <c r="K2118" s="306" t="n"/>
      <c r="L2118" s="307">
        <f>$F2118*$H2118</f>
        <v/>
      </c>
      <c r="M2118" s="306" t="n"/>
      <c r="N2118" s="306" t="n"/>
      <c r="O2118" s="306" t="n"/>
      <c r="P2118" s="306" t="n"/>
      <c r="Q2118" s="306" t="n"/>
    </row>
    <row r="2119" ht="18.75" customHeight="1">
      <c r="B2119" s="288" t="n">
        <v>45564</v>
      </c>
      <c r="C2119" s="289" t="n">
        <v>1400</v>
      </c>
      <c r="D2119" s="290" t="inlineStr">
        <is>
          <t>Taxi Anevril CGK Airport - Home</t>
        </is>
      </c>
      <c r="E2119" s="306" t="inlineStr">
        <is>
          <t>-</t>
        </is>
      </c>
      <c r="F2119" s="307" t="n">
        <v>250000</v>
      </c>
      <c r="G2119" s="289" t="inlineStr">
        <is>
          <t>IDR</t>
        </is>
      </c>
      <c r="H2119" s="293" t="n">
        <v>1</v>
      </c>
      <c r="I2119" s="306" t="n"/>
      <c r="J2119" s="306" t="n"/>
      <c r="K2119" s="306" t="n"/>
      <c r="L2119" s="307">
        <f>$F2119*$H2119</f>
        <v/>
      </c>
      <c r="M2119" s="306" t="n"/>
      <c r="N2119" s="306" t="n"/>
      <c r="O2119" s="306" t="n"/>
      <c r="P2119" s="306" t="n"/>
      <c r="Q2119" s="306" t="n"/>
    </row>
    <row r="2120" ht="18.75" customHeight="1">
      <c r="B2120" s="288" t="n">
        <v>45564</v>
      </c>
      <c r="C2120" s="289" t="n">
        <v>1401</v>
      </c>
      <c r="D2120" s="290" t="inlineStr">
        <is>
          <t>Sewa mobil 8 hari (21/09/24 - 29/09/24)</t>
        </is>
      </c>
      <c r="E2120" s="306" t="inlineStr">
        <is>
          <t>-</t>
        </is>
      </c>
      <c r="F2120" s="307" t="n">
        <v>4000000</v>
      </c>
      <c r="G2120" s="289" t="inlineStr">
        <is>
          <t>IDR</t>
        </is>
      </c>
      <c r="H2120" s="293" t="n">
        <v>1</v>
      </c>
      <c r="I2120" s="306" t="n"/>
      <c r="J2120" s="306" t="n"/>
      <c r="K2120" s="306" t="n"/>
      <c r="L2120" s="307">
        <f>$F2120*$H2120</f>
        <v/>
      </c>
      <c r="M2120" s="306" t="n"/>
      <c r="N2120" s="306" t="n"/>
      <c r="O2120" s="306" t="n"/>
      <c r="P2120" s="306" t="n"/>
      <c r="Q2120" s="306" t="n"/>
    </row>
    <row r="2121" ht="18.75" customHeight="1">
      <c r="B2121" s="288" t="n">
        <v>45564</v>
      </c>
      <c r="C2121" s="289" t="n">
        <v>1402</v>
      </c>
      <c r="D2121" s="290" t="inlineStr">
        <is>
          <t>Air ticket Anevril Palembang-JKT</t>
        </is>
      </c>
      <c r="E2121" s="306" t="inlineStr">
        <is>
          <t>-</t>
        </is>
      </c>
      <c r="F2121" s="307" t="n">
        <v>804500</v>
      </c>
      <c r="G2121" s="289" t="inlineStr">
        <is>
          <t>IDR</t>
        </is>
      </c>
      <c r="H2121" s="293" t="n">
        <v>1</v>
      </c>
      <c r="I2121" s="306" t="n"/>
      <c r="J2121" s="306" t="n"/>
      <c r="K2121" s="306" t="n"/>
      <c r="L2121" s="307">
        <f>$F2121*$H2121</f>
        <v/>
      </c>
      <c r="M2121" s="306" t="n"/>
      <c r="N2121" s="306" t="n"/>
      <c r="O2121" s="306" t="n"/>
      <c r="P2121" s="306" t="n"/>
      <c r="Q2121" s="306" t="n"/>
    </row>
    <row r="2122" ht="18.75" customHeight="1">
      <c r="B2122" s="288" t="n">
        <v>45564</v>
      </c>
      <c r="C2122" s="289" t="n">
        <v>1403</v>
      </c>
      <c r="D2122" s="290" t="inlineStr">
        <is>
          <t>Taxi Anevril CGK Airport - Home</t>
        </is>
      </c>
      <c r="E2122" s="306" t="inlineStr">
        <is>
          <t>-</t>
        </is>
      </c>
      <c r="F2122" s="307" t="n">
        <v>250000</v>
      </c>
      <c r="G2122" s="289" t="inlineStr">
        <is>
          <t>IDR</t>
        </is>
      </c>
      <c r="H2122" s="293" t="n">
        <v>1</v>
      </c>
      <c r="I2122" s="306" t="n"/>
      <c r="J2122" s="306" t="n"/>
      <c r="K2122" s="306" t="n"/>
      <c r="L2122" s="307">
        <f>$F2122*$H2122</f>
        <v/>
      </c>
      <c r="M2122" s="306" t="n"/>
      <c r="N2122" s="306" t="n"/>
      <c r="O2122" s="306" t="n"/>
      <c r="P2122" s="306" t="n"/>
      <c r="Q2122" s="306" t="n"/>
    </row>
    <row r="2123" ht="18.75" customHeight="1">
      <c r="B2123" s="288" t="n">
        <v>45564</v>
      </c>
      <c r="C2123" s="289" t="n">
        <v>1404</v>
      </c>
      <c r="D2123" s="290" t="inlineStr">
        <is>
          <t>Sewa mobil 8 hari (21/09/24 - 29/09/24)</t>
        </is>
      </c>
      <c r="E2123" s="306" t="inlineStr">
        <is>
          <t>-</t>
        </is>
      </c>
      <c r="F2123" s="307" t="n">
        <v>4000000</v>
      </c>
      <c r="G2123" s="289" t="inlineStr">
        <is>
          <t>IDR</t>
        </is>
      </c>
      <c r="H2123" s="293" t="n">
        <v>1</v>
      </c>
      <c r="I2123" s="306" t="n"/>
      <c r="J2123" s="306" t="n"/>
      <c r="K2123" s="306" t="n"/>
      <c r="L2123" s="307">
        <f>$F2123*$H2123</f>
        <v/>
      </c>
      <c r="M2123" s="306" t="n"/>
      <c r="N2123" s="306" t="n"/>
      <c r="O2123" s="306" t="n"/>
      <c r="P2123" s="306" t="n"/>
      <c r="Q2123" s="306" t="n"/>
    </row>
    <row r="2124">
      <c r="B2124" s="310" t="inlineStr">
        <is>
          <t>Expense#35</t>
        </is>
      </c>
      <c r="C2124" s="311" t="inlineStr">
        <is>
          <t>:</t>
        </is>
      </c>
      <c r="D2124" s="310" t="inlineStr">
        <is>
          <t>Trip to Cirebon Meeting MTD job X-ray field with PEP Zona 7 Region2_AC</t>
        </is>
      </c>
      <c r="E2124" s="311" t="n"/>
      <c r="F2124" s="311" t="n"/>
      <c r="G2124" s="311" t="n"/>
      <c r="H2124" s="311" t="n"/>
      <c r="I2124" s="311" t="n"/>
      <c r="J2124" s="311" t="n"/>
      <c r="K2124" s="311" t="n"/>
      <c r="L2124" s="311" t="n"/>
      <c r="M2124" s="311" t="n"/>
      <c r="N2124" s="311" t="n"/>
      <c r="O2124" s="311" t="n"/>
      <c r="P2124" s="311" t="n"/>
      <c r="Q2124" s="311" t="n"/>
    </row>
    <row r="2125">
      <c r="B2125" s="312" t="n"/>
      <c r="C2125" s="312" t="n"/>
      <c r="D2125" s="285" t="inlineStr">
        <is>
          <t>Accommodation</t>
        </is>
      </c>
      <c r="E2125" s="312" t="n"/>
      <c r="F2125" s="312" t="n"/>
      <c r="G2125" s="312" t="n"/>
      <c r="H2125" s="312" t="n"/>
      <c r="I2125" s="312" t="n"/>
      <c r="J2125" s="312" t="n"/>
      <c r="K2125" s="312" t="n"/>
      <c r="L2125" s="312" t="n"/>
      <c r="M2125" s="312" t="n"/>
      <c r="N2125" s="312" t="n"/>
      <c r="O2125" s="312" t="n"/>
      <c r="P2125" s="312" t="n"/>
      <c r="Q2125" s="312" t="n"/>
    </row>
    <row r="2126" ht="18.75" customHeight="1">
      <c r="B2126" s="288" t="n">
        <v>45552</v>
      </c>
      <c r="C2126" s="289" t="n">
        <v>1405</v>
      </c>
      <c r="D2126" s="290" t="inlineStr">
        <is>
          <t>Hotel</t>
        </is>
      </c>
      <c r="E2126" s="306" t="inlineStr">
        <is>
          <t>-</t>
        </is>
      </c>
      <c r="F2126" s="307" t="n">
        <v>700000</v>
      </c>
      <c r="G2126" s="289" t="inlineStr">
        <is>
          <t>IDR</t>
        </is>
      </c>
      <c r="H2126" s="293" t="n">
        <v>1</v>
      </c>
      <c r="I2126" s="306" t="n"/>
      <c r="J2126" s="306" t="n"/>
      <c r="K2126" s="306" t="n"/>
      <c r="L2126" s="307">
        <f>$F2126*$H2126</f>
        <v/>
      </c>
      <c r="M2126" s="306" t="n"/>
      <c r="N2126" s="306" t="n"/>
      <c r="O2126" s="306" t="n"/>
      <c r="P2126" s="306" t="n"/>
      <c r="Q2126" s="306" t="n"/>
    </row>
    <row r="2127" ht="18.75" customHeight="1">
      <c r="B2127" s="288" t="n">
        <v>45552</v>
      </c>
      <c r="C2127" s="289" t="n">
        <v>1406</v>
      </c>
      <c r="D2127" s="290" t="inlineStr">
        <is>
          <t>Hotel</t>
        </is>
      </c>
      <c r="E2127" s="306" t="inlineStr">
        <is>
          <t>-</t>
        </is>
      </c>
      <c r="F2127" s="307" t="n">
        <v>700000</v>
      </c>
      <c r="G2127" s="289" t="inlineStr">
        <is>
          <t>IDR</t>
        </is>
      </c>
      <c r="H2127" s="293" t="n">
        <v>1</v>
      </c>
      <c r="I2127" s="306" t="n"/>
      <c r="J2127" s="306" t="n"/>
      <c r="K2127" s="306" t="n"/>
      <c r="L2127" s="307">
        <f>$F2127*$H2127</f>
        <v/>
      </c>
      <c r="M2127" s="306" t="n"/>
      <c r="N2127" s="306" t="n"/>
      <c r="O2127" s="306" t="n"/>
      <c r="P2127" s="306" t="n"/>
      <c r="Q2127" s="306" t="n"/>
    </row>
    <row r="2128" ht="18.75" customHeight="1">
      <c r="B2128" s="288" t="n">
        <v>45552</v>
      </c>
      <c r="C2128" s="289" t="n">
        <v>1407</v>
      </c>
      <c r="D2128" s="290" t="inlineStr">
        <is>
          <t>Hotel</t>
        </is>
      </c>
      <c r="E2128" s="306" t="inlineStr">
        <is>
          <t>-</t>
        </is>
      </c>
      <c r="F2128" s="307" t="n">
        <v>700000</v>
      </c>
      <c r="G2128" s="289" t="inlineStr">
        <is>
          <t>IDR</t>
        </is>
      </c>
      <c r="H2128" s="293" t="n">
        <v>1</v>
      </c>
      <c r="I2128" s="306" t="n"/>
      <c r="J2128" s="306" t="n"/>
      <c r="K2128" s="306" t="n"/>
      <c r="L2128" s="307">
        <f>$F2128*$H2128</f>
        <v/>
      </c>
      <c r="M2128" s="306" t="n"/>
      <c r="N2128" s="306" t="n"/>
      <c r="O2128" s="306" t="n"/>
      <c r="P2128" s="306" t="n"/>
      <c r="Q2128" s="306" t="n"/>
    </row>
    <row r="2129" ht="18.75" customHeight="1">
      <c r="B2129" s="288" t="n">
        <v>45552</v>
      </c>
      <c r="C2129" s="289" t="n">
        <v>1408</v>
      </c>
      <c r="D2129" s="290" t="inlineStr">
        <is>
          <t>Hotel</t>
        </is>
      </c>
      <c r="E2129" s="306" t="inlineStr">
        <is>
          <t>-</t>
        </is>
      </c>
      <c r="F2129" s="307" t="n">
        <v>700000</v>
      </c>
      <c r="G2129" s="289" t="inlineStr">
        <is>
          <t>IDR</t>
        </is>
      </c>
      <c r="H2129" s="293" t="n">
        <v>1</v>
      </c>
      <c r="I2129" s="306" t="n"/>
      <c r="J2129" s="306" t="n"/>
      <c r="K2129" s="306" t="n"/>
      <c r="L2129" s="307">
        <f>$F2129*$H2129</f>
        <v/>
      </c>
      <c r="M2129" s="306" t="n"/>
      <c r="N2129" s="306" t="n"/>
      <c r="O2129" s="306" t="n"/>
      <c r="P2129" s="306" t="n"/>
      <c r="Q2129" s="306" t="n"/>
    </row>
    <row r="2130">
      <c r="B2130" s="312" t="n"/>
      <c r="C2130" s="312" t="n"/>
      <c r="D2130" s="285" t="inlineStr">
        <is>
          <t>Laundry</t>
        </is>
      </c>
      <c r="E2130" s="312" t="n"/>
      <c r="F2130" s="312" t="n"/>
      <c r="G2130" s="312" t="n"/>
      <c r="H2130" s="312" t="n"/>
      <c r="I2130" s="312" t="n"/>
      <c r="J2130" s="312" t="n"/>
      <c r="K2130" s="312" t="n"/>
      <c r="L2130" s="312" t="n"/>
      <c r="M2130" s="312" t="n"/>
      <c r="N2130" s="312" t="n"/>
      <c r="O2130" s="312" t="n"/>
      <c r="P2130" s="312" t="n"/>
      <c r="Q2130" s="312" t="n"/>
    </row>
    <row r="2131" ht="18.75" customHeight="1">
      <c r="B2131" s="288" t="n">
        <v>45553</v>
      </c>
      <c r="C2131" s="289" t="n">
        <v>1409</v>
      </c>
      <c r="D2131" s="290" t="inlineStr">
        <is>
          <t>Loundry 2 days @Rp. 50.000</t>
        </is>
      </c>
      <c r="E2131" s="306" t="inlineStr">
        <is>
          <t>-</t>
        </is>
      </c>
      <c r="F2131" s="307" t="n">
        <v>100000</v>
      </c>
      <c r="G2131" s="289" t="inlineStr">
        <is>
          <t>IDR</t>
        </is>
      </c>
      <c r="H2131" s="293" t="n">
        <v>1</v>
      </c>
      <c r="I2131" s="306" t="n"/>
      <c r="J2131" s="306" t="n"/>
      <c r="K2131" s="306" t="n"/>
      <c r="L2131" s="307">
        <f>$F2131*$H2131</f>
        <v/>
      </c>
      <c r="M2131" s="306" t="n"/>
      <c r="N2131" s="306" t="n"/>
      <c r="O2131" s="306" t="n"/>
      <c r="P2131" s="306" t="n"/>
      <c r="Q2131" s="306" t="n"/>
    </row>
    <row r="2132" ht="18.75" customHeight="1">
      <c r="B2132" s="288" t="n">
        <v>45553</v>
      </c>
      <c r="C2132" s="289" t="n">
        <v>1410</v>
      </c>
      <c r="D2132" s="290" t="inlineStr">
        <is>
          <t>Loundry 2 days @Rp. 50.000</t>
        </is>
      </c>
      <c r="E2132" s="306" t="inlineStr">
        <is>
          <t>-</t>
        </is>
      </c>
      <c r="F2132" s="307" t="n">
        <v>100000</v>
      </c>
      <c r="G2132" s="289" t="inlineStr">
        <is>
          <t>IDR</t>
        </is>
      </c>
      <c r="H2132" s="293" t="n">
        <v>1</v>
      </c>
      <c r="I2132" s="306" t="n"/>
      <c r="J2132" s="306" t="n"/>
      <c r="K2132" s="306" t="n"/>
      <c r="L2132" s="307">
        <f>$F2132*$H2132</f>
        <v/>
      </c>
      <c r="M2132" s="306" t="n"/>
      <c r="N2132" s="306" t="n"/>
      <c r="O2132" s="306" t="n"/>
      <c r="P2132" s="306" t="n"/>
      <c r="Q2132" s="306" t="n"/>
    </row>
    <row r="2133" ht="18.75" customHeight="1">
      <c r="B2133" s="288" t="n">
        <v>45553</v>
      </c>
      <c r="C2133" s="289" t="n">
        <v>1411</v>
      </c>
      <c r="D2133" s="290" t="inlineStr">
        <is>
          <t>Loundry 2 days @Rp. 50.000</t>
        </is>
      </c>
      <c r="E2133" s="306" t="inlineStr">
        <is>
          <t>-</t>
        </is>
      </c>
      <c r="F2133" s="307" t="n">
        <v>100000</v>
      </c>
      <c r="G2133" s="289" t="inlineStr">
        <is>
          <t>IDR</t>
        </is>
      </c>
      <c r="H2133" s="293" t="n">
        <v>1</v>
      </c>
      <c r="I2133" s="306" t="n"/>
      <c r="J2133" s="306" t="n"/>
      <c r="K2133" s="306" t="n"/>
      <c r="L2133" s="307">
        <f>$F2133*$H2133</f>
        <v/>
      </c>
      <c r="M2133" s="306" t="n"/>
      <c r="N2133" s="306" t="n"/>
      <c r="O2133" s="306" t="n"/>
      <c r="P2133" s="306" t="n"/>
      <c r="Q2133" s="306" t="n"/>
    </row>
    <row r="2134" ht="18.75" customHeight="1">
      <c r="B2134" s="288" t="n">
        <v>45553</v>
      </c>
      <c r="C2134" s="289" t="n">
        <v>1412</v>
      </c>
      <c r="D2134" s="290" t="inlineStr">
        <is>
          <t>Loundry 2 days @Rp. 50.000</t>
        </is>
      </c>
      <c r="E2134" s="306" t="inlineStr">
        <is>
          <t>-</t>
        </is>
      </c>
      <c r="F2134" s="307" t="n">
        <v>100000</v>
      </c>
      <c r="G2134" s="289" t="inlineStr">
        <is>
          <t>IDR</t>
        </is>
      </c>
      <c r="H2134" s="293" t="n">
        <v>1</v>
      </c>
      <c r="I2134" s="306" t="n"/>
      <c r="J2134" s="306" t="n"/>
      <c r="K2134" s="306" t="n"/>
      <c r="L2134" s="307">
        <f>$F2134*$H2134</f>
        <v/>
      </c>
      <c r="M2134" s="306" t="n"/>
      <c r="N2134" s="306" t="n"/>
      <c r="O2134" s="306" t="n"/>
      <c r="P2134" s="306" t="n"/>
      <c r="Q2134" s="306" t="n"/>
    </row>
    <row r="2135">
      <c r="B2135" s="312" t="n"/>
      <c r="C2135" s="312" t="n"/>
      <c r="D2135" s="285" t="inlineStr">
        <is>
          <t>Meal</t>
        </is>
      </c>
      <c r="E2135" s="312" t="n"/>
      <c r="F2135" s="312" t="n"/>
      <c r="G2135" s="312" t="n"/>
      <c r="H2135" s="312" t="n"/>
      <c r="I2135" s="312" t="n"/>
      <c r="J2135" s="312" t="n"/>
      <c r="K2135" s="312" t="n"/>
      <c r="L2135" s="312" t="n"/>
      <c r="M2135" s="312" t="n"/>
      <c r="N2135" s="312" t="n"/>
      <c r="O2135" s="312" t="n"/>
      <c r="P2135" s="312" t="n"/>
      <c r="Q2135" s="312" t="n"/>
    </row>
    <row r="2136" ht="18.75" customHeight="1">
      <c r="B2136" s="288" t="n">
        <v>45546</v>
      </c>
      <c r="C2136" s="289" t="n">
        <v>1413</v>
      </c>
      <c r="D2136" s="290" t="inlineStr">
        <is>
          <t>lunch when check MTD tool at workshop Gowell</t>
        </is>
      </c>
      <c r="E2136" s="306" t="inlineStr">
        <is>
          <t>-</t>
        </is>
      </c>
      <c r="F2136" s="307" t="n">
        <v>171000</v>
      </c>
      <c r="G2136" s="289" t="inlineStr">
        <is>
          <t>IDR</t>
        </is>
      </c>
      <c r="H2136" s="293" t="n">
        <v>1</v>
      </c>
      <c r="I2136" s="306" t="n"/>
      <c r="J2136" s="306" t="n"/>
      <c r="K2136" s="306" t="n"/>
      <c r="L2136" s="307">
        <f>$F2136*$H2136</f>
        <v/>
      </c>
      <c r="M2136" s="306" t="n"/>
      <c r="N2136" s="306" t="n"/>
      <c r="O2136" s="306" t="n"/>
      <c r="P2136" s="306" t="n"/>
      <c r="Q2136" s="306" t="n"/>
    </row>
    <row r="2137" ht="18.75" customHeight="1">
      <c r="B2137" s="288" t="n">
        <v>45546</v>
      </c>
      <c r="C2137" s="289" t="n">
        <v>1414</v>
      </c>
      <c r="D2137" s="290" t="inlineStr">
        <is>
          <t>lunch when check MTD tool at workshop Gowell</t>
        </is>
      </c>
      <c r="E2137" s="306" t="inlineStr">
        <is>
          <t>-</t>
        </is>
      </c>
      <c r="F2137" s="307" t="n">
        <v>171000</v>
      </c>
      <c r="G2137" s="289" t="inlineStr">
        <is>
          <t>IDR</t>
        </is>
      </c>
      <c r="H2137" s="293" t="n">
        <v>1</v>
      </c>
      <c r="I2137" s="306" t="n"/>
      <c r="J2137" s="306" t="n"/>
      <c r="K2137" s="306" t="n"/>
      <c r="L2137" s="307">
        <f>$F2137*$H2137</f>
        <v/>
      </c>
      <c r="M2137" s="306" t="n"/>
      <c r="N2137" s="306" t="n"/>
      <c r="O2137" s="306" t="n"/>
      <c r="P2137" s="306" t="n"/>
      <c r="Q2137" s="306" t="n"/>
    </row>
    <row r="2138" ht="18.75" customHeight="1">
      <c r="B2138" s="288" t="n">
        <v>45546</v>
      </c>
      <c r="C2138" s="289" t="n">
        <v>1415</v>
      </c>
      <c r="D2138" s="290" t="inlineStr">
        <is>
          <t>lunch when check MTD tool at workshop Gowell</t>
        </is>
      </c>
      <c r="E2138" s="306" t="inlineStr">
        <is>
          <t>-</t>
        </is>
      </c>
      <c r="F2138" s="307" t="n">
        <v>171000</v>
      </c>
      <c r="G2138" s="289" t="inlineStr">
        <is>
          <t>IDR</t>
        </is>
      </c>
      <c r="H2138" s="293" t="n">
        <v>1</v>
      </c>
      <c r="I2138" s="306" t="n"/>
      <c r="J2138" s="306" t="n"/>
      <c r="K2138" s="306" t="n"/>
      <c r="L2138" s="307">
        <f>$F2138*$H2138</f>
        <v/>
      </c>
      <c r="M2138" s="306" t="n"/>
      <c r="N2138" s="306" t="n"/>
      <c r="O2138" s="306" t="n"/>
      <c r="P2138" s="306" t="n"/>
      <c r="Q2138" s="306" t="n"/>
    </row>
    <row r="2139" ht="18.75" customHeight="1">
      <c r="B2139" s="288" t="n">
        <v>45546</v>
      </c>
      <c r="C2139" s="289" t="n">
        <v>1416</v>
      </c>
      <c r="D2139" s="290" t="inlineStr">
        <is>
          <t>lunch when check MTD tool at workshop Gowell</t>
        </is>
      </c>
      <c r="E2139" s="306" t="inlineStr">
        <is>
          <t>-</t>
        </is>
      </c>
      <c r="F2139" s="307" t="n">
        <v>171000</v>
      </c>
      <c r="G2139" s="289" t="inlineStr">
        <is>
          <t>IDR</t>
        </is>
      </c>
      <c r="H2139" s="293" t="n">
        <v>1</v>
      </c>
      <c r="I2139" s="306" t="n"/>
      <c r="J2139" s="306" t="n"/>
      <c r="K2139" s="306" t="n"/>
      <c r="L2139" s="307">
        <f>$F2139*$H2139</f>
        <v/>
      </c>
      <c r="M2139" s="306" t="n"/>
      <c r="N2139" s="306" t="n"/>
      <c r="O2139" s="306" t="n"/>
      <c r="P2139" s="306" t="n"/>
      <c r="Q2139" s="306" t="n"/>
    </row>
    <row r="2140" ht="18.75" customHeight="1">
      <c r="B2140" s="288" t="n">
        <v>45553</v>
      </c>
      <c r="C2140" s="289" t="n">
        <v>1417</v>
      </c>
      <c r="D2140" s="290" t="inlineStr">
        <is>
          <t>Uang makan utk 3 hari (17-18 Sept-24) @150.000</t>
        </is>
      </c>
      <c r="E2140" s="306" t="inlineStr">
        <is>
          <t>-</t>
        </is>
      </c>
      <c r="F2140" s="307" t="n">
        <v>300000</v>
      </c>
      <c r="G2140" s="289" t="inlineStr">
        <is>
          <t>IDR</t>
        </is>
      </c>
      <c r="H2140" s="293" t="n">
        <v>1</v>
      </c>
      <c r="I2140" s="306" t="n"/>
      <c r="J2140" s="306" t="n"/>
      <c r="K2140" s="306" t="n"/>
      <c r="L2140" s="307">
        <f>$F2140*$H2140</f>
        <v/>
      </c>
      <c r="M2140" s="306" t="n"/>
      <c r="N2140" s="306" t="n"/>
      <c r="O2140" s="306" t="n"/>
      <c r="P2140" s="306" t="n"/>
      <c r="Q2140" s="306" t="n"/>
    </row>
    <row r="2141" ht="18.75" customHeight="1">
      <c r="B2141" s="288" t="n">
        <v>45553</v>
      </c>
      <c r="C2141" s="289" t="n">
        <v>1418</v>
      </c>
      <c r="D2141" s="290" t="inlineStr">
        <is>
          <t>Uang makan utk 3 hari (17-18 Sept-24) @150.000</t>
        </is>
      </c>
      <c r="E2141" s="306" t="inlineStr">
        <is>
          <t>-</t>
        </is>
      </c>
      <c r="F2141" s="307" t="n">
        <v>300000</v>
      </c>
      <c r="G2141" s="289" t="inlineStr">
        <is>
          <t>IDR</t>
        </is>
      </c>
      <c r="H2141" s="293" t="n">
        <v>1</v>
      </c>
      <c r="I2141" s="306" t="n"/>
      <c r="J2141" s="306" t="n"/>
      <c r="K2141" s="306" t="n"/>
      <c r="L2141" s="307">
        <f>$F2141*$H2141</f>
        <v/>
      </c>
      <c r="M2141" s="306" t="n"/>
      <c r="N2141" s="306" t="n"/>
      <c r="O2141" s="306" t="n"/>
      <c r="P2141" s="306" t="n"/>
      <c r="Q2141" s="306" t="n"/>
    </row>
    <row r="2142" ht="18.75" customHeight="1">
      <c r="B2142" s="288" t="n">
        <v>45553</v>
      </c>
      <c r="C2142" s="289" t="n">
        <v>1419</v>
      </c>
      <c r="D2142" s="290" t="inlineStr">
        <is>
          <t>Uang makan utk 3 hari (17-18 Sept-24) @150.000</t>
        </is>
      </c>
      <c r="E2142" s="306" t="inlineStr">
        <is>
          <t>-</t>
        </is>
      </c>
      <c r="F2142" s="307" t="n">
        <v>300000</v>
      </c>
      <c r="G2142" s="289" t="inlineStr">
        <is>
          <t>IDR</t>
        </is>
      </c>
      <c r="H2142" s="293" t="n">
        <v>1</v>
      </c>
      <c r="I2142" s="306" t="n"/>
      <c r="J2142" s="306" t="n"/>
      <c r="K2142" s="306" t="n"/>
      <c r="L2142" s="307">
        <f>$F2142*$H2142</f>
        <v/>
      </c>
      <c r="M2142" s="306" t="n"/>
      <c r="N2142" s="306" t="n"/>
      <c r="O2142" s="306" t="n"/>
      <c r="P2142" s="306" t="n"/>
      <c r="Q2142" s="306" t="n"/>
    </row>
    <row r="2143" ht="18.75" customHeight="1">
      <c r="B2143" s="288" t="n">
        <v>45553</v>
      </c>
      <c r="C2143" s="289" t="n">
        <v>1420</v>
      </c>
      <c r="D2143" s="290" t="inlineStr">
        <is>
          <t>Uang makan utk 3 hari (17-18 Sept-24) @150.000</t>
        </is>
      </c>
      <c r="E2143" s="306" t="inlineStr">
        <is>
          <t>-</t>
        </is>
      </c>
      <c r="F2143" s="307" t="n">
        <v>300000</v>
      </c>
      <c r="G2143" s="289" t="inlineStr">
        <is>
          <t>IDR</t>
        </is>
      </c>
      <c r="H2143" s="293" t="n">
        <v>1</v>
      </c>
      <c r="I2143" s="306" t="n"/>
      <c r="J2143" s="306" t="n"/>
      <c r="K2143" s="306" t="n"/>
      <c r="L2143" s="307">
        <f>$F2143*$H2143</f>
        <v/>
      </c>
      <c r="M2143" s="306" t="n"/>
      <c r="N2143" s="306" t="n"/>
      <c r="O2143" s="306" t="n"/>
      <c r="P2143" s="306" t="n"/>
      <c r="Q2143" s="306" t="n"/>
    </row>
    <row r="2144">
      <c r="B2144" s="312" t="n"/>
      <c r="C2144" s="312" t="n"/>
      <c r="D2144" s="285" t="inlineStr">
        <is>
          <t>Transportation</t>
        </is>
      </c>
      <c r="E2144" s="312" t="n"/>
      <c r="F2144" s="312" t="n"/>
      <c r="G2144" s="312" t="n"/>
      <c r="H2144" s="312" t="n"/>
      <c r="I2144" s="312" t="n"/>
      <c r="J2144" s="312" t="n"/>
      <c r="K2144" s="312" t="n"/>
      <c r="L2144" s="312" t="n"/>
      <c r="M2144" s="312" t="n"/>
      <c r="N2144" s="312" t="n"/>
      <c r="O2144" s="312" t="n"/>
      <c r="P2144" s="312" t="n"/>
      <c r="Q2144" s="312" t="n"/>
    </row>
    <row r="2145" ht="18.75" customHeight="1">
      <c r="B2145" s="288" t="n">
        <v>45526</v>
      </c>
      <c r="C2145" s="289" t="n">
        <v>1421</v>
      </c>
      <c r="D2145" s="290" t="inlineStr">
        <is>
          <t>Fuel ( trip modified tool Sampler to Mr suby)</t>
        </is>
      </c>
      <c r="E2145" s="306" t="inlineStr">
        <is>
          <t>-</t>
        </is>
      </c>
      <c r="F2145" s="307" t="n">
        <v>274000</v>
      </c>
      <c r="G2145" s="289" t="inlineStr">
        <is>
          <t>IDR</t>
        </is>
      </c>
      <c r="H2145" s="293" t="n">
        <v>1</v>
      </c>
      <c r="I2145" s="306" t="n"/>
      <c r="J2145" s="306" t="n"/>
      <c r="K2145" s="306" t="n"/>
      <c r="L2145" s="307">
        <f>$F2145*$H2145</f>
        <v/>
      </c>
      <c r="M2145" s="306" t="n"/>
      <c r="N2145" s="306" t="n"/>
      <c r="O2145" s="306" t="n"/>
      <c r="P2145" s="306" t="n"/>
      <c r="Q2145" s="306" t="n"/>
    </row>
    <row r="2146" ht="18.75" customHeight="1">
      <c r="B2146" s="288" t="n">
        <v>45526</v>
      </c>
      <c r="C2146" s="289" t="n">
        <v>1422</v>
      </c>
      <c r="D2146" s="290" t="inlineStr">
        <is>
          <t>Fuel ( trip modified tool Sampler to Mr suby)</t>
        </is>
      </c>
      <c r="E2146" s="306" t="inlineStr">
        <is>
          <t>-</t>
        </is>
      </c>
      <c r="F2146" s="307" t="n">
        <v>274000</v>
      </c>
      <c r="G2146" s="289" t="inlineStr">
        <is>
          <t>IDR</t>
        </is>
      </c>
      <c r="H2146" s="293" t="n">
        <v>1</v>
      </c>
      <c r="I2146" s="306" t="n"/>
      <c r="J2146" s="306" t="n"/>
      <c r="K2146" s="306" t="n"/>
      <c r="L2146" s="307">
        <f>$F2146*$H2146</f>
        <v/>
      </c>
      <c r="M2146" s="306" t="n"/>
      <c r="N2146" s="306" t="n"/>
      <c r="O2146" s="306" t="n"/>
      <c r="P2146" s="306" t="n"/>
      <c r="Q2146" s="306" t="n"/>
    </row>
    <row r="2147" ht="18.75" customHeight="1">
      <c r="B2147" s="288" t="n">
        <v>45526</v>
      </c>
      <c r="C2147" s="289" t="n">
        <v>1423</v>
      </c>
      <c r="D2147" s="290" t="inlineStr">
        <is>
          <t>Fuel ( trip modified tool Sampler to Mr suby)</t>
        </is>
      </c>
      <c r="E2147" s="306" t="inlineStr">
        <is>
          <t>-</t>
        </is>
      </c>
      <c r="F2147" s="307" t="n">
        <v>274000</v>
      </c>
      <c r="G2147" s="289" t="inlineStr">
        <is>
          <t>IDR</t>
        </is>
      </c>
      <c r="H2147" s="293" t="n">
        <v>1</v>
      </c>
      <c r="I2147" s="306" t="n"/>
      <c r="J2147" s="306" t="n"/>
      <c r="K2147" s="306" t="n"/>
      <c r="L2147" s="307">
        <f>$F2147*$H2147</f>
        <v/>
      </c>
      <c r="M2147" s="306" t="n"/>
      <c r="N2147" s="306" t="n"/>
      <c r="O2147" s="306" t="n"/>
      <c r="P2147" s="306" t="n"/>
      <c r="Q2147" s="306" t="n"/>
    </row>
    <row r="2148" ht="18.75" customHeight="1">
      <c r="B2148" s="288" t="n">
        <v>45526</v>
      </c>
      <c r="C2148" s="289" t="n">
        <v>1424</v>
      </c>
      <c r="D2148" s="290" t="inlineStr">
        <is>
          <t>Fuel ( trip modified tool Sampler to Mr suby)</t>
        </is>
      </c>
      <c r="E2148" s="306" t="inlineStr">
        <is>
          <t>-</t>
        </is>
      </c>
      <c r="F2148" s="307" t="n">
        <v>274000</v>
      </c>
      <c r="G2148" s="289" t="inlineStr">
        <is>
          <t>IDR</t>
        </is>
      </c>
      <c r="H2148" s="293" t="n">
        <v>1</v>
      </c>
      <c r="I2148" s="306" t="n"/>
      <c r="J2148" s="306" t="n"/>
      <c r="K2148" s="306" t="n"/>
      <c r="L2148" s="307">
        <f>$F2148*$H2148</f>
        <v/>
      </c>
      <c r="M2148" s="306" t="n"/>
      <c r="N2148" s="306" t="n"/>
      <c r="O2148" s="306" t="n"/>
      <c r="P2148" s="306" t="n"/>
      <c r="Q2148" s="306" t="n"/>
    </row>
    <row r="2149" ht="18.75" customHeight="1">
      <c r="B2149" s="288" t="n">
        <v>45544</v>
      </c>
      <c r="C2149" s="289" t="n">
        <v>1425</v>
      </c>
      <c r="D2149" s="290" t="inlineStr">
        <is>
          <t>Gocar ( trip Bintaro - Instrutek solusindo)</t>
        </is>
      </c>
      <c r="E2149" s="306" t="inlineStr">
        <is>
          <t>-</t>
        </is>
      </c>
      <c r="F2149" s="307" t="n">
        <v>144500</v>
      </c>
      <c r="G2149" s="289" t="inlineStr">
        <is>
          <t>IDR</t>
        </is>
      </c>
      <c r="H2149" s="293" t="n">
        <v>1</v>
      </c>
      <c r="I2149" s="306" t="n"/>
      <c r="J2149" s="306" t="n"/>
      <c r="K2149" s="306" t="n"/>
      <c r="L2149" s="307">
        <f>$F2149*$H2149</f>
        <v/>
      </c>
      <c r="M2149" s="306" t="n"/>
      <c r="N2149" s="306" t="n"/>
      <c r="O2149" s="306" t="n"/>
      <c r="P2149" s="306" t="n"/>
      <c r="Q2149" s="306" t="n"/>
    </row>
    <row r="2150" ht="18.75" customHeight="1">
      <c r="B2150" s="288" t="n">
        <v>45544</v>
      </c>
      <c r="C2150" s="289" t="n">
        <v>1426</v>
      </c>
      <c r="D2150" s="290" t="inlineStr">
        <is>
          <t>Gocar ( trip Instrutek solusindo - Bintaro)</t>
        </is>
      </c>
      <c r="E2150" s="306" t="inlineStr">
        <is>
          <t>-</t>
        </is>
      </c>
      <c r="F2150" s="307" t="n">
        <v>160000</v>
      </c>
      <c r="G2150" s="289" t="inlineStr">
        <is>
          <t>IDR</t>
        </is>
      </c>
      <c r="H2150" s="293" t="n">
        <v>1</v>
      </c>
      <c r="I2150" s="306" t="n"/>
      <c r="J2150" s="306" t="n"/>
      <c r="K2150" s="306" t="n"/>
      <c r="L2150" s="307">
        <f>$F2150*$H2150</f>
        <v/>
      </c>
      <c r="M2150" s="306" t="n"/>
      <c r="N2150" s="306" t="n"/>
      <c r="O2150" s="306" t="n"/>
      <c r="P2150" s="306" t="n"/>
      <c r="Q2150" s="306" t="n"/>
    </row>
    <row r="2151" ht="34.5" customHeight="1">
      <c r="B2151" s="288" t="n">
        <v>45544</v>
      </c>
      <c r="C2151" s="289" t="n">
        <v>1427</v>
      </c>
      <c r="D2151" s="290" t="inlineStr">
        <is>
          <t>Tol ( trip Bintaro - Instrutek solusindo) No reciept</t>
        </is>
      </c>
      <c r="E2151" s="306" t="inlineStr">
        <is>
          <t>-</t>
        </is>
      </c>
      <c r="F2151" s="307" t="n">
        <v>64500</v>
      </c>
      <c r="G2151" s="289" t="inlineStr">
        <is>
          <t>IDR</t>
        </is>
      </c>
      <c r="H2151" s="293" t="n">
        <v>1</v>
      </c>
      <c r="I2151" s="306" t="n"/>
      <c r="J2151" s="306" t="n"/>
      <c r="K2151" s="306" t="n"/>
      <c r="L2151" s="307">
        <f>$F2151*$H2151</f>
        <v/>
      </c>
      <c r="M2151" s="306" t="n"/>
      <c r="N2151" s="306" t="n"/>
      <c r="O2151" s="306" t="n"/>
      <c r="P2151" s="306" t="n"/>
      <c r="Q2151" s="306" t="n"/>
    </row>
    <row r="2152" ht="34.5" customHeight="1">
      <c r="B2152" s="288" t="n">
        <v>45544</v>
      </c>
      <c r="C2152" s="289" t="n">
        <v>1428</v>
      </c>
      <c r="D2152" s="290" t="inlineStr">
        <is>
          <t>Tol ( trip Instrutek solusindo - Bintaro) No Reciept</t>
        </is>
      </c>
      <c r="E2152" s="306" t="inlineStr">
        <is>
          <t>-</t>
        </is>
      </c>
      <c r="F2152" s="307" t="n">
        <v>64500</v>
      </c>
      <c r="G2152" s="289" t="inlineStr">
        <is>
          <t>IDR</t>
        </is>
      </c>
      <c r="H2152" s="293" t="n">
        <v>1</v>
      </c>
      <c r="I2152" s="306" t="n"/>
      <c r="J2152" s="306" t="n"/>
      <c r="K2152" s="306" t="n"/>
      <c r="L2152" s="307">
        <f>$F2152*$H2152</f>
        <v/>
      </c>
      <c r="M2152" s="306" t="n"/>
      <c r="N2152" s="306" t="n"/>
      <c r="O2152" s="306" t="n"/>
      <c r="P2152" s="306" t="n"/>
      <c r="Q2152" s="306" t="n"/>
    </row>
    <row r="2153" ht="34.5" customHeight="1">
      <c r="B2153" s="288" t="n">
        <v>45544</v>
      </c>
      <c r="C2153" s="289" t="n">
        <v>1429</v>
      </c>
      <c r="D2153" s="290" t="inlineStr">
        <is>
          <t>Tol ( trip Bintaro - Instrutek solusindo) No reciept</t>
        </is>
      </c>
      <c r="E2153" s="306" t="inlineStr">
        <is>
          <t>-</t>
        </is>
      </c>
      <c r="F2153" s="307" t="n">
        <v>64500</v>
      </c>
      <c r="G2153" s="289" t="inlineStr">
        <is>
          <t>IDR</t>
        </is>
      </c>
      <c r="H2153" s="293" t="n">
        <v>1</v>
      </c>
      <c r="I2153" s="306" t="n"/>
      <c r="J2153" s="306" t="n"/>
      <c r="K2153" s="306" t="n"/>
      <c r="L2153" s="307">
        <f>$F2153*$H2153</f>
        <v/>
      </c>
      <c r="M2153" s="306" t="n"/>
      <c r="N2153" s="306" t="n"/>
      <c r="O2153" s="306" t="n"/>
      <c r="P2153" s="306" t="n"/>
      <c r="Q2153" s="306" t="n"/>
    </row>
    <row r="2154" ht="34.5" customHeight="1">
      <c r="B2154" s="288" t="n">
        <v>45544</v>
      </c>
      <c r="C2154" s="289" t="n">
        <v>1430</v>
      </c>
      <c r="D2154" s="290" t="inlineStr">
        <is>
          <t>Tol ( trip Instrutek solusindo - Bintaro) No Reciept</t>
        </is>
      </c>
      <c r="E2154" s="306" t="inlineStr">
        <is>
          <t>-</t>
        </is>
      </c>
      <c r="F2154" s="307" t="n">
        <v>64500</v>
      </c>
      <c r="G2154" s="289" t="inlineStr">
        <is>
          <t>IDR</t>
        </is>
      </c>
      <c r="H2154" s="293" t="n">
        <v>1</v>
      </c>
      <c r="I2154" s="306" t="n"/>
      <c r="J2154" s="306" t="n"/>
      <c r="K2154" s="306" t="n"/>
      <c r="L2154" s="307">
        <f>$F2154*$H2154</f>
        <v/>
      </c>
      <c r="M2154" s="306" t="n"/>
      <c r="N2154" s="306" t="n"/>
      <c r="O2154" s="306" t="n"/>
      <c r="P2154" s="306" t="n"/>
      <c r="Q2154" s="306" t="n"/>
    </row>
    <row r="2155" ht="18.75" customHeight="1">
      <c r="B2155" s="288" t="n">
        <v>45544</v>
      </c>
      <c r="C2155" s="289" t="n">
        <v>1431</v>
      </c>
      <c r="D2155" s="290" t="inlineStr">
        <is>
          <t>Gocar ( trip Bintaro - Instrutek solusindo)</t>
        </is>
      </c>
      <c r="E2155" s="306" t="inlineStr">
        <is>
          <t>-</t>
        </is>
      </c>
      <c r="F2155" s="307" t="n">
        <v>144500</v>
      </c>
      <c r="G2155" s="289" t="inlineStr">
        <is>
          <t>IDR</t>
        </is>
      </c>
      <c r="H2155" s="293" t="n">
        <v>1</v>
      </c>
      <c r="I2155" s="306" t="n"/>
      <c r="J2155" s="306" t="n"/>
      <c r="K2155" s="306" t="n"/>
      <c r="L2155" s="307">
        <f>$F2155*$H2155</f>
        <v/>
      </c>
      <c r="M2155" s="306" t="n"/>
      <c r="N2155" s="306" t="n"/>
      <c r="O2155" s="306" t="n"/>
      <c r="P2155" s="306" t="n"/>
      <c r="Q2155" s="306" t="n"/>
    </row>
    <row r="2156" ht="18.75" customHeight="1">
      <c r="B2156" s="288" t="n">
        <v>45544</v>
      </c>
      <c r="C2156" s="289" t="n">
        <v>1432</v>
      </c>
      <c r="D2156" s="290" t="inlineStr">
        <is>
          <t>Gocar ( trip Instrutek solusindo - Bintaro)</t>
        </is>
      </c>
      <c r="E2156" s="306" t="inlineStr">
        <is>
          <t>-</t>
        </is>
      </c>
      <c r="F2156" s="307" t="n">
        <v>160000</v>
      </c>
      <c r="G2156" s="289" t="inlineStr">
        <is>
          <t>IDR</t>
        </is>
      </c>
      <c r="H2156" s="293" t="n">
        <v>1</v>
      </c>
      <c r="I2156" s="306" t="n"/>
      <c r="J2156" s="306" t="n"/>
      <c r="K2156" s="306" t="n"/>
      <c r="L2156" s="307">
        <f>$F2156*$H2156</f>
        <v/>
      </c>
      <c r="M2156" s="306" t="n"/>
      <c r="N2156" s="306" t="n"/>
      <c r="O2156" s="306" t="n"/>
      <c r="P2156" s="306" t="n"/>
      <c r="Q2156" s="306" t="n"/>
    </row>
    <row r="2157" ht="34.5" customHeight="1">
      <c r="B2157" s="288" t="n">
        <v>45544</v>
      </c>
      <c r="C2157" s="289" t="n">
        <v>1433</v>
      </c>
      <c r="D2157" s="290" t="inlineStr">
        <is>
          <t>Tol ( trip Bintaro - Instrutek solusindo) No reciept</t>
        </is>
      </c>
      <c r="E2157" s="306" t="inlineStr">
        <is>
          <t>-</t>
        </is>
      </c>
      <c r="F2157" s="307" t="n">
        <v>64500</v>
      </c>
      <c r="G2157" s="289" t="inlineStr">
        <is>
          <t>IDR</t>
        </is>
      </c>
      <c r="H2157" s="293" t="n">
        <v>1</v>
      </c>
      <c r="I2157" s="306" t="n"/>
      <c r="J2157" s="306" t="n"/>
      <c r="K2157" s="306" t="n"/>
      <c r="L2157" s="307">
        <f>$F2157*$H2157</f>
        <v/>
      </c>
      <c r="M2157" s="306" t="n"/>
      <c r="N2157" s="306" t="n"/>
      <c r="O2157" s="306" t="n"/>
      <c r="P2157" s="306" t="n"/>
      <c r="Q2157" s="306" t="n"/>
    </row>
    <row r="2158" ht="34.5" customHeight="1">
      <c r="B2158" s="288" t="n">
        <v>45544</v>
      </c>
      <c r="C2158" s="289" t="n">
        <v>1434</v>
      </c>
      <c r="D2158" s="290" t="inlineStr">
        <is>
          <t>Tol ( trip Instrutek solusindo - Bintaro) No Reciept</t>
        </is>
      </c>
      <c r="E2158" s="306" t="inlineStr">
        <is>
          <t>-</t>
        </is>
      </c>
      <c r="F2158" s="307" t="n">
        <v>64500</v>
      </c>
      <c r="G2158" s="289" t="inlineStr">
        <is>
          <t>IDR</t>
        </is>
      </c>
      <c r="H2158" s="293" t="n">
        <v>1</v>
      </c>
      <c r="I2158" s="306" t="n"/>
      <c r="J2158" s="306" t="n"/>
      <c r="K2158" s="306" t="n"/>
      <c r="L2158" s="307">
        <f>$F2158*$H2158</f>
        <v/>
      </c>
      <c r="M2158" s="306" t="n"/>
      <c r="N2158" s="306" t="n"/>
      <c r="O2158" s="306" t="n"/>
      <c r="P2158" s="306" t="n"/>
      <c r="Q2158" s="306" t="n"/>
    </row>
    <row r="2159" ht="18.75" customHeight="1">
      <c r="B2159" s="288" t="n">
        <v>45544</v>
      </c>
      <c r="C2159" s="289" t="n">
        <v>1435</v>
      </c>
      <c r="D2159" s="290" t="inlineStr">
        <is>
          <t>Gocar ( trip Bintaro - Instrutek solusindo)</t>
        </is>
      </c>
      <c r="E2159" s="306" t="inlineStr">
        <is>
          <t>-</t>
        </is>
      </c>
      <c r="F2159" s="307" t="n">
        <v>144500</v>
      </c>
      <c r="G2159" s="289" t="inlineStr">
        <is>
          <t>IDR</t>
        </is>
      </c>
      <c r="H2159" s="293" t="n">
        <v>1</v>
      </c>
      <c r="I2159" s="306" t="n"/>
      <c r="J2159" s="306" t="n"/>
      <c r="K2159" s="306" t="n"/>
      <c r="L2159" s="307">
        <f>$F2159*$H2159</f>
        <v/>
      </c>
      <c r="M2159" s="306" t="n"/>
      <c r="N2159" s="306" t="n"/>
      <c r="O2159" s="306" t="n"/>
      <c r="P2159" s="306" t="n"/>
      <c r="Q2159" s="306" t="n"/>
    </row>
    <row r="2160" ht="18.75" customHeight="1">
      <c r="B2160" s="288" t="n">
        <v>45544</v>
      </c>
      <c r="C2160" s="289" t="n">
        <v>1436</v>
      </c>
      <c r="D2160" s="290" t="inlineStr">
        <is>
          <t>Gocar ( trip Instrutek solusindo - Bintaro)</t>
        </is>
      </c>
      <c r="E2160" s="306" t="inlineStr">
        <is>
          <t>-</t>
        </is>
      </c>
      <c r="F2160" s="307" t="n">
        <v>160000</v>
      </c>
      <c r="G2160" s="289" t="inlineStr">
        <is>
          <t>IDR</t>
        </is>
      </c>
      <c r="H2160" s="293" t="n">
        <v>1</v>
      </c>
      <c r="I2160" s="306" t="n"/>
      <c r="J2160" s="306" t="n"/>
      <c r="K2160" s="306" t="n"/>
      <c r="L2160" s="307">
        <f>$F2160*$H2160</f>
        <v/>
      </c>
      <c r="M2160" s="306" t="n"/>
      <c r="N2160" s="306" t="n"/>
      <c r="O2160" s="306" t="n"/>
      <c r="P2160" s="306" t="n"/>
      <c r="Q2160" s="306" t="n"/>
    </row>
    <row r="2161" ht="34.5" customHeight="1">
      <c r="B2161" s="288" t="n">
        <v>45544</v>
      </c>
      <c r="C2161" s="289" t="n">
        <v>1437</v>
      </c>
      <c r="D2161" s="290" t="inlineStr">
        <is>
          <t>Tol ( trip Bintaro - Instrutek solusindo) No reciept</t>
        </is>
      </c>
      <c r="E2161" s="306" t="inlineStr">
        <is>
          <t>-</t>
        </is>
      </c>
      <c r="F2161" s="307" t="n">
        <v>64500</v>
      </c>
      <c r="G2161" s="289" t="inlineStr">
        <is>
          <t>IDR</t>
        </is>
      </c>
      <c r="H2161" s="293" t="n">
        <v>1</v>
      </c>
      <c r="I2161" s="306" t="n"/>
      <c r="J2161" s="306" t="n"/>
      <c r="K2161" s="306" t="n"/>
      <c r="L2161" s="307">
        <f>$F2161*$H2161</f>
        <v/>
      </c>
      <c r="M2161" s="306" t="n"/>
      <c r="N2161" s="306" t="n"/>
      <c r="O2161" s="306" t="n"/>
      <c r="P2161" s="306" t="n"/>
      <c r="Q2161" s="306" t="n"/>
    </row>
    <row r="2162" ht="34.5" customHeight="1">
      <c r="B2162" s="288" t="n">
        <v>45544</v>
      </c>
      <c r="C2162" s="289" t="n">
        <v>1438</v>
      </c>
      <c r="D2162" s="290" t="inlineStr">
        <is>
          <t>Tol ( trip Instrutek solusindo - Bintaro) No Reciept</t>
        </is>
      </c>
      <c r="E2162" s="306" t="inlineStr">
        <is>
          <t>-</t>
        </is>
      </c>
      <c r="F2162" s="307" t="n">
        <v>64500</v>
      </c>
      <c r="G2162" s="289" t="inlineStr">
        <is>
          <t>IDR</t>
        </is>
      </c>
      <c r="H2162" s="293" t="n">
        <v>1</v>
      </c>
      <c r="I2162" s="306" t="n"/>
      <c r="J2162" s="306" t="n"/>
      <c r="K2162" s="306" t="n"/>
      <c r="L2162" s="307">
        <f>$F2162*$H2162</f>
        <v/>
      </c>
      <c r="M2162" s="306" t="n"/>
      <c r="N2162" s="306" t="n"/>
      <c r="O2162" s="306" t="n"/>
      <c r="P2162" s="306" t="n"/>
      <c r="Q2162" s="306" t="n"/>
    </row>
    <row r="2163" ht="18.75" customHeight="1">
      <c r="B2163" s="288" t="n">
        <v>45544</v>
      </c>
      <c r="C2163" s="289" t="n">
        <v>1439</v>
      </c>
      <c r="D2163" s="290" t="inlineStr">
        <is>
          <t>Gocar ( trip Bintaro - Instrutek solusindo)</t>
        </is>
      </c>
      <c r="E2163" s="306" t="inlineStr">
        <is>
          <t>-</t>
        </is>
      </c>
      <c r="F2163" s="307" t="n">
        <v>144500</v>
      </c>
      <c r="G2163" s="289" t="inlineStr">
        <is>
          <t>IDR</t>
        </is>
      </c>
      <c r="H2163" s="293" t="n">
        <v>1</v>
      </c>
      <c r="I2163" s="306" t="n"/>
      <c r="J2163" s="306" t="n"/>
      <c r="K2163" s="306" t="n"/>
      <c r="L2163" s="307">
        <f>$F2163*$H2163</f>
        <v/>
      </c>
      <c r="M2163" s="306" t="n"/>
      <c r="N2163" s="306" t="n"/>
      <c r="O2163" s="306" t="n"/>
      <c r="P2163" s="306" t="n"/>
      <c r="Q2163" s="306" t="n"/>
    </row>
    <row r="2164" ht="18.75" customHeight="1">
      <c r="B2164" s="288" t="n">
        <v>45544</v>
      </c>
      <c r="C2164" s="289" t="n">
        <v>1440</v>
      </c>
      <c r="D2164" s="290" t="inlineStr">
        <is>
          <t>Gocar ( trip Instrutek solusindo - Bintaro)</t>
        </is>
      </c>
      <c r="E2164" s="306" t="inlineStr">
        <is>
          <t>-</t>
        </is>
      </c>
      <c r="F2164" s="307" t="n">
        <v>160000</v>
      </c>
      <c r="G2164" s="289" t="inlineStr">
        <is>
          <t>IDR</t>
        </is>
      </c>
      <c r="H2164" s="293" t="n">
        <v>1</v>
      </c>
      <c r="I2164" s="306" t="n"/>
      <c r="J2164" s="306" t="n"/>
      <c r="K2164" s="306" t="n"/>
      <c r="L2164" s="307">
        <f>$F2164*$H2164</f>
        <v/>
      </c>
      <c r="M2164" s="306" t="n"/>
      <c r="N2164" s="306" t="n"/>
      <c r="O2164" s="306" t="n"/>
      <c r="P2164" s="306" t="n"/>
      <c r="Q2164" s="306" t="n"/>
    </row>
    <row r="2165" ht="34.5" customHeight="1">
      <c r="B2165" s="288" t="n">
        <v>45545</v>
      </c>
      <c r="C2165" s="289" t="n">
        <v>1441</v>
      </c>
      <c r="D2165" s="290" t="inlineStr">
        <is>
          <t>Fuel ( trip to Sclumberger Cikaranga,SIT seeting tool )</t>
        </is>
      </c>
      <c r="E2165" s="306" t="inlineStr">
        <is>
          <t>-</t>
        </is>
      </c>
      <c r="F2165" s="307" t="n">
        <v>232500</v>
      </c>
      <c r="G2165" s="289" t="inlineStr">
        <is>
          <t>IDR</t>
        </is>
      </c>
      <c r="H2165" s="293" t="n">
        <v>1</v>
      </c>
      <c r="I2165" s="306" t="n"/>
      <c r="J2165" s="306" t="n"/>
      <c r="K2165" s="306" t="n"/>
      <c r="L2165" s="307">
        <f>$F2165*$H2165</f>
        <v/>
      </c>
      <c r="M2165" s="306" t="n"/>
      <c r="N2165" s="306" t="n"/>
      <c r="O2165" s="306" t="n"/>
      <c r="P2165" s="306" t="n"/>
      <c r="Q2165" s="306" t="n"/>
    </row>
    <row r="2166" ht="18.75" customHeight="1">
      <c r="B2166" s="288" t="n">
        <v>45545</v>
      </c>
      <c r="C2166" s="289" t="n">
        <v>1442</v>
      </c>
      <c r="D2166" s="290" t="inlineStr">
        <is>
          <t>tol (Bintaro - Cikarang)</t>
        </is>
      </c>
      <c r="E2166" s="306" t="inlineStr">
        <is>
          <t>-</t>
        </is>
      </c>
      <c r="F2166" s="307" t="n">
        <v>112500</v>
      </c>
      <c r="G2166" s="289" t="inlineStr">
        <is>
          <t>IDR</t>
        </is>
      </c>
      <c r="H2166" s="293" t="n">
        <v>1</v>
      </c>
      <c r="I2166" s="306" t="n"/>
      <c r="J2166" s="306" t="n"/>
      <c r="K2166" s="306" t="n"/>
      <c r="L2166" s="307">
        <f>$F2166*$H2166</f>
        <v/>
      </c>
      <c r="M2166" s="306" t="n"/>
      <c r="N2166" s="306" t="n"/>
      <c r="O2166" s="306" t="n"/>
      <c r="P2166" s="306" t="n"/>
      <c r="Q2166" s="306" t="n"/>
    </row>
    <row r="2167" ht="18.75" customHeight="1">
      <c r="B2167" s="288" t="n">
        <v>45545</v>
      </c>
      <c r="C2167" s="289" t="n">
        <v>1443</v>
      </c>
      <c r="D2167" s="290" t="inlineStr">
        <is>
          <t>tol (Cikarang - Bekasi -Bintaro)</t>
        </is>
      </c>
      <c r="E2167" s="306" t="inlineStr">
        <is>
          <t>-</t>
        </is>
      </c>
      <c r="F2167" s="307" t="n">
        <v>50500</v>
      </c>
      <c r="G2167" s="289" t="inlineStr">
        <is>
          <t>IDR</t>
        </is>
      </c>
      <c r="H2167" s="293" t="n">
        <v>1</v>
      </c>
      <c r="I2167" s="306" t="n"/>
      <c r="J2167" s="306" t="n"/>
      <c r="K2167" s="306" t="n"/>
      <c r="L2167" s="307">
        <f>$F2167*$H2167</f>
        <v/>
      </c>
      <c r="M2167" s="306" t="n"/>
      <c r="N2167" s="306" t="n"/>
      <c r="O2167" s="306" t="n"/>
      <c r="P2167" s="306" t="n"/>
      <c r="Q2167" s="306" t="n"/>
    </row>
    <row r="2168" ht="18.75" customHeight="1">
      <c r="B2168" s="288" t="n">
        <v>45545</v>
      </c>
      <c r="C2168" s="289" t="n">
        <v>1444</v>
      </c>
      <c r="D2168" s="290" t="inlineStr">
        <is>
          <t>tol (Bintaro - Cikarang)</t>
        </is>
      </c>
      <c r="E2168" s="306" t="inlineStr">
        <is>
          <t>-</t>
        </is>
      </c>
      <c r="F2168" s="307" t="n">
        <v>112500</v>
      </c>
      <c r="G2168" s="289" t="inlineStr">
        <is>
          <t>IDR</t>
        </is>
      </c>
      <c r="H2168" s="293" t="n">
        <v>1</v>
      </c>
      <c r="I2168" s="306" t="n"/>
      <c r="J2168" s="306" t="n"/>
      <c r="K2168" s="306" t="n"/>
      <c r="L2168" s="307">
        <f>$F2168*$H2168</f>
        <v/>
      </c>
      <c r="M2168" s="306" t="n"/>
      <c r="N2168" s="306" t="n"/>
      <c r="O2168" s="306" t="n"/>
      <c r="P2168" s="306" t="n"/>
      <c r="Q2168" s="306" t="n"/>
    </row>
    <row r="2169" ht="18.75" customHeight="1">
      <c r="B2169" s="288" t="n">
        <v>45545</v>
      </c>
      <c r="C2169" s="289" t="n">
        <v>1445</v>
      </c>
      <c r="D2169" s="290" t="inlineStr">
        <is>
          <t>tol (Cikarang - Bekasi -Bintaro)</t>
        </is>
      </c>
      <c r="E2169" s="306" t="inlineStr">
        <is>
          <t>-</t>
        </is>
      </c>
      <c r="F2169" s="307" t="n">
        <v>50500</v>
      </c>
      <c r="G2169" s="289" t="inlineStr">
        <is>
          <t>IDR</t>
        </is>
      </c>
      <c r="H2169" s="293" t="n">
        <v>1</v>
      </c>
      <c r="I2169" s="306" t="n"/>
      <c r="J2169" s="306" t="n"/>
      <c r="K2169" s="306" t="n"/>
      <c r="L2169" s="307">
        <f>$F2169*$H2169</f>
        <v/>
      </c>
      <c r="M2169" s="306" t="n"/>
      <c r="N2169" s="306" t="n"/>
      <c r="O2169" s="306" t="n"/>
      <c r="P2169" s="306" t="n"/>
      <c r="Q2169" s="306" t="n"/>
    </row>
    <row r="2170" ht="34.5" customHeight="1">
      <c r="B2170" s="288" t="n">
        <v>45545</v>
      </c>
      <c r="C2170" s="289" t="n">
        <v>1446</v>
      </c>
      <c r="D2170" s="290" t="inlineStr">
        <is>
          <t>Fuel ( trip to Sclumberger Cikaranga,SIT seeting tool )</t>
        </is>
      </c>
      <c r="E2170" s="306" t="inlineStr">
        <is>
          <t>-</t>
        </is>
      </c>
      <c r="F2170" s="307" t="n">
        <v>232500</v>
      </c>
      <c r="G2170" s="289" t="inlineStr">
        <is>
          <t>IDR</t>
        </is>
      </c>
      <c r="H2170" s="293" t="n">
        <v>1</v>
      </c>
      <c r="I2170" s="306" t="n"/>
      <c r="J2170" s="306" t="n"/>
      <c r="K2170" s="306" t="n"/>
      <c r="L2170" s="307">
        <f>$F2170*$H2170</f>
        <v/>
      </c>
      <c r="M2170" s="306" t="n"/>
      <c r="N2170" s="306" t="n"/>
      <c r="O2170" s="306" t="n"/>
      <c r="P2170" s="306" t="n"/>
      <c r="Q2170" s="306" t="n"/>
    </row>
    <row r="2171" ht="18.75" customHeight="1">
      <c r="B2171" s="288" t="n">
        <v>45545</v>
      </c>
      <c r="C2171" s="289" t="n">
        <v>1447</v>
      </c>
      <c r="D2171" s="290" t="inlineStr">
        <is>
          <t>tol (Bintaro - Cikarang)</t>
        </is>
      </c>
      <c r="E2171" s="306" t="inlineStr">
        <is>
          <t>-</t>
        </is>
      </c>
      <c r="F2171" s="307" t="n">
        <v>112500</v>
      </c>
      <c r="G2171" s="289" t="inlineStr">
        <is>
          <t>IDR</t>
        </is>
      </c>
      <c r="H2171" s="293" t="n">
        <v>1</v>
      </c>
      <c r="I2171" s="306" t="n"/>
      <c r="J2171" s="306" t="n"/>
      <c r="K2171" s="306" t="n"/>
      <c r="L2171" s="307">
        <f>$F2171*$H2171</f>
        <v/>
      </c>
      <c r="M2171" s="306" t="n"/>
      <c r="N2171" s="306" t="n"/>
      <c r="O2171" s="306" t="n"/>
      <c r="P2171" s="306" t="n"/>
      <c r="Q2171" s="306" t="n"/>
    </row>
    <row r="2172" ht="18.75" customHeight="1">
      <c r="B2172" s="288" t="n">
        <v>45545</v>
      </c>
      <c r="C2172" s="289" t="n">
        <v>1448</v>
      </c>
      <c r="D2172" s="290" t="inlineStr">
        <is>
          <t>tol (Cikarang - Bekasi -Bintaro)</t>
        </is>
      </c>
      <c r="E2172" s="306" t="inlineStr">
        <is>
          <t>-</t>
        </is>
      </c>
      <c r="F2172" s="307" t="n">
        <v>50500</v>
      </c>
      <c r="G2172" s="289" t="inlineStr">
        <is>
          <t>IDR</t>
        </is>
      </c>
      <c r="H2172" s="293" t="n">
        <v>1</v>
      </c>
      <c r="I2172" s="306" t="n"/>
      <c r="J2172" s="306" t="n"/>
      <c r="K2172" s="306" t="n"/>
      <c r="L2172" s="307">
        <f>$F2172*$H2172</f>
        <v/>
      </c>
      <c r="M2172" s="306" t="n"/>
      <c r="N2172" s="306" t="n"/>
      <c r="O2172" s="306" t="n"/>
      <c r="P2172" s="306" t="n"/>
      <c r="Q2172" s="306" t="n"/>
    </row>
    <row r="2173" ht="34.5" customHeight="1">
      <c r="B2173" s="288" t="n">
        <v>45545</v>
      </c>
      <c r="C2173" s="289" t="n">
        <v>1449</v>
      </c>
      <c r="D2173" s="290" t="inlineStr">
        <is>
          <t>Fuel ( trip to Sclumberger Cikaranga,SIT seeting tool )</t>
        </is>
      </c>
      <c r="E2173" s="306" t="inlineStr">
        <is>
          <t>-</t>
        </is>
      </c>
      <c r="F2173" s="307" t="n">
        <v>232500</v>
      </c>
      <c r="G2173" s="289" t="inlineStr">
        <is>
          <t>IDR</t>
        </is>
      </c>
      <c r="H2173" s="293" t="n">
        <v>1</v>
      </c>
      <c r="I2173" s="306" t="n"/>
      <c r="J2173" s="306" t="n"/>
      <c r="K2173" s="306" t="n"/>
      <c r="L2173" s="307">
        <f>$F2173*$H2173</f>
        <v/>
      </c>
      <c r="M2173" s="306" t="n"/>
      <c r="N2173" s="306" t="n"/>
      <c r="O2173" s="306" t="n"/>
      <c r="P2173" s="306" t="n"/>
      <c r="Q2173" s="306" t="n"/>
    </row>
    <row r="2174" ht="18.75" customHeight="1">
      <c r="B2174" s="288" t="n">
        <v>45545</v>
      </c>
      <c r="C2174" s="289" t="n">
        <v>1450</v>
      </c>
      <c r="D2174" s="290" t="inlineStr">
        <is>
          <t>tol (Bintaro - Cikarang)</t>
        </is>
      </c>
      <c r="E2174" s="306" t="inlineStr">
        <is>
          <t>-</t>
        </is>
      </c>
      <c r="F2174" s="307" t="n">
        <v>112500</v>
      </c>
      <c r="G2174" s="289" t="inlineStr">
        <is>
          <t>IDR</t>
        </is>
      </c>
      <c r="H2174" s="293" t="n">
        <v>1</v>
      </c>
      <c r="I2174" s="306" t="n"/>
      <c r="J2174" s="306" t="n"/>
      <c r="K2174" s="306" t="n"/>
      <c r="L2174" s="307">
        <f>$F2174*$H2174</f>
        <v/>
      </c>
      <c r="M2174" s="306" t="n"/>
      <c r="N2174" s="306" t="n"/>
      <c r="O2174" s="306" t="n"/>
      <c r="P2174" s="306" t="n"/>
      <c r="Q2174" s="306" t="n"/>
    </row>
    <row r="2175" ht="18.75" customHeight="1">
      <c r="B2175" s="288" t="n">
        <v>45545</v>
      </c>
      <c r="C2175" s="289" t="n">
        <v>1451</v>
      </c>
      <c r="D2175" s="290" t="inlineStr">
        <is>
          <t>tol (Cikarang - Bekasi -Bintaro)</t>
        </is>
      </c>
      <c r="E2175" s="306" t="inlineStr">
        <is>
          <t>-</t>
        </is>
      </c>
      <c r="F2175" s="307" t="n">
        <v>50500</v>
      </c>
      <c r="G2175" s="289" t="inlineStr">
        <is>
          <t>IDR</t>
        </is>
      </c>
      <c r="H2175" s="293" t="n">
        <v>1</v>
      </c>
      <c r="I2175" s="306" t="n"/>
      <c r="J2175" s="306" t="n"/>
      <c r="K2175" s="306" t="n"/>
      <c r="L2175" s="307">
        <f>$F2175*$H2175</f>
        <v/>
      </c>
      <c r="M2175" s="306" t="n"/>
      <c r="N2175" s="306" t="n"/>
      <c r="O2175" s="306" t="n"/>
      <c r="P2175" s="306" t="n"/>
      <c r="Q2175" s="306" t="n"/>
    </row>
    <row r="2176" ht="34.5" customHeight="1">
      <c r="B2176" s="288" t="n">
        <v>45545</v>
      </c>
      <c r="C2176" s="289" t="n">
        <v>1452</v>
      </c>
      <c r="D2176" s="290" t="inlineStr">
        <is>
          <t>Fuel ( trip to Sclumberger Cikaranga,SIT seeting tool )</t>
        </is>
      </c>
      <c r="E2176" s="306" t="inlineStr">
        <is>
          <t>-</t>
        </is>
      </c>
      <c r="F2176" s="307" t="n">
        <v>232500</v>
      </c>
      <c r="G2176" s="289" t="inlineStr">
        <is>
          <t>IDR</t>
        </is>
      </c>
      <c r="H2176" s="293" t="n">
        <v>1</v>
      </c>
      <c r="I2176" s="306" t="n"/>
      <c r="J2176" s="306" t="n"/>
      <c r="K2176" s="306" t="n"/>
      <c r="L2176" s="307">
        <f>$F2176*$H2176</f>
        <v/>
      </c>
      <c r="M2176" s="306" t="n"/>
      <c r="N2176" s="306" t="n"/>
      <c r="O2176" s="306" t="n"/>
      <c r="P2176" s="306" t="n"/>
      <c r="Q2176" s="306" t="n"/>
    </row>
    <row r="2177" ht="18.75" customHeight="1">
      <c r="B2177" s="288" t="n">
        <v>45546</v>
      </c>
      <c r="C2177" s="289" t="n">
        <v>1453</v>
      </c>
      <c r="D2177" s="290" t="inlineStr">
        <is>
          <t>tol (Bintaro - Cinere)</t>
        </is>
      </c>
      <c r="E2177" s="306" t="inlineStr">
        <is>
          <t>-</t>
        </is>
      </c>
      <c r="F2177" s="307" t="n">
        <v>59000</v>
      </c>
      <c r="G2177" s="289" t="inlineStr">
        <is>
          <t>IDR</t>
        </is>
      </c>
      <c r="H2177" s="293" t="n">
        <v>1</v>
      </c>
      <c r="I2177" s="306" t="n"/>
      <c r="J2177" s="306" t="n"/>
      <c r="K2177" s="306" t="n"/>
      <c r="L2177" s="307">
        <f>$F2177*$H2177</f>
        <v/>
      </c>
      <c r="M2177" s="306" t="n"/>
      <c r="N2177" s="306" t="n"/>
      <c r="O2177" s="306" t="n"/>
      <c r="P2177" s="306" t="n"/>
      <c r="Q2177" s="306" t="n"/>
    </row>
    <row r="2178" ht="18.75" customHeight="1">
      <c r="B2178" s="288" t="n">
        <v>45546</v>
      </c>
      <c r="C2178" s="289" t="n">
        <v>1454</v>
      </c>
      <c r="D2178" s="290" t="inlineStr">
        <is>
          <t>tol (Bintaro - Cinere)</t>
        </is>
      </c>
      <c r="E2178" s="306" t="inlineStr">
        <is>
          <t>-</t>
        </is>
      </c>
      <c r="F2178" s="307" t="n">
        <v>59000</v>
      </c>
      <c r="G2178" s="289" t="inlineStr">
        <is>
          <t>IDR</t>
        </is>
      </c>
      <c r="H2178" s="293" t="n">
        <v>1</v>
      </c>
      <c r="I2178" s="306" t="n"/>
      <c r="J2178" s="306" t="n"/>
      <c r="K2178" s="306" t="n"/>
      <c r="L2178" s="307">
        <f>$F2178*$H2178</f>
        <v/>
      </c>
      <c r="M2178" s="306" t="n"/>
      <c r="N2178" s="306" t="n"/>
      <c r="O2178" s="306" t="n"/>
      <c r="P2178" s="306" t="n"/>
      <c r="Q2178" s="306" t="n"/>
    </row>
    <row r="2179" ht="18.75" customHeight="1">
      <c r="B2179" s="288" t="n">
        <v>45546</v>
      </c>
      <c r="C2179" s="289" t="n">
        <v>1455</v>
      </c>
      <c r="D2179" s="290" t="inlineStr">
        <is>
          <t>tol (Bintaro - Cinere)</t>
        </is>
      </c>
      <c r="E2179" s="306" t="inlineStr">
        <is>
          <t>-</t>
        </is>
      </c>
      <c r="F2179" s="307" t="n">
        <v>59000</v>
      </c>
      <c r="G2179" s="289" t="inlineStr">
        <is>
          <t>IDR</t>
        </is>
      </c>
      <c r="H2179" s="293" t="n">
        <v>1</v>
      </c>
      <c r="I2179" s="306" t="n"/>
      <c r="J2179" s="306" t="n"/>
      <c r="K2179" s="306" t="n"/>
      <c r="L2179" s="307">
        <f>$F2179*$H2179</f>
        <v/>
      </c>
      <c r="M2179" s="306" t="n"/>
      <c r="N2179" s="306" t="n"/>
      <c r="O2179" s="306" t="n"/>
      <c r="P2179" s="306" t="n"/>
      <c r="Q2179" s="306" t="n"/>
    </row>
    <row r="2180" ht="18.75" customHeight="1">
      <c r="B2180" s="288" t="n">
        <v>45546</v>
      </c>
      <c r="C2180" s="289" t="n">
        <v>1456</v>
      </c>
      <c r="D2180" s="290" t="inlineStr">
        <is>
          <t>tol (Bintaro - Cinere)</t>
        </is>
      </c>
      <c r="E2180" s="306" t="inlineStr">
        <is>
          <t>-</t>
        </is>
      </c>
      <c r="F2180" s="307" t="n">
        <v>59000</v>
      </c>
      <c r="G2180" s="289" t="inlineStr">
        <is>
          <t>IDR</t>
        </is>
      </c>
      <c r="H2180" s="293" t="n">
        <v>1</v>
      </c>
      <c r="I2180" s="306" t="n"/>
      <c r="J2180" s="306" t="n"/>
      <c r="K2180" s="306" t="n"/>
      <c r="L2180" s="307">
        <f>$F2180*$H2180</f>
        <v/>
      </c>
      <c r="M2180" s="306" t="n"/>
      <c r="N2180" s="306" t="n"/>
      <c r="O2180" s="306" t="n"/>
      <c r="P2180" s="306" t="n"/>
      <c r="Q2180" s="306" t="n"/>
    </row>
    <row r="2181" ht="18.75" customHeight="1">
      <c r="B2181" s="288" t="n">
        <v>45548</v>
      </c>
      <c r="C2181" s="289" t="n">
        <v>1457</v>
      </c>
      <c r="D2181" s="290" t="inlineStr">
        <is>
          <t>Fuel ( trip to workshop Gowell &amp; ktr Pajak)</t>
        </is>
      </c>
      <c r="E2181" s="306" t="inlineStr">
        <is>
          <t>-</t>
        </is>
      </c>
      <c r="F2181" s="307" t="n">
        <v>256800</v>
      </c>
      <c r="G2181" s="289" t="inlineStr">
        <is>
          <t>IDR</t>
        </is>
      </c>
      <c r="H2181" s="293" t="n">
        <v>1</v>
      </c>
      <c r="I2181" s="306" t="n"/>
      <c r="J2181" s="306" t="n"/>
      <c r="K2181" s="306" t="n"/>
      <c r="L2181" s="307">
        <f>$F2181*$H2181</f>
        <v/>
      </c>
      <c r="M2181" s="306" t="n"/>
      <c r="N2181" s="306" t="n"/>
      <c r="O2181" s="306" t="n"/>
      <c r="P2181" s="306" t="n"/>
      <c r="Q2181" s="306" t="n"/>
    </row>
    <row r="2182" ht="18.75" customHeight="1">
      <c r="B2182" s="288" t="n">
        <v>45548</v>
      </c>
      <c r="C2182" s="289" t="n">
        <v>1458</v>
      </c>
      <c r="D2182" s="290" t="inlineStr">
        <is>
          <t>Fuel ( trip to workshop Gowell &amp; ktr Pajak)</t>
        </is>
      </c>
      <c r="E2182" s="306" t="inlineStr">
        <is>
          <t>-</t>
        </is>
      </c>
      <c r="F2182" s="307" t="n">
        <v>256800</v>
      </c>
      <c r="G2182" s="289" t="inlineStr">
        <is>
          <t>IDR</t>
        </is>
      </c>
      <c r="H2182" s="293" t="n">
        <v>1</v>
      </c>
      <c r="I2182" s="306" t="n"/>
      <c r="J2182" s="306" t="n"/>
      <c r="K2182" s="306" t="n"/>
      <c r="L2182" s="307">
        <f>$F2182*$H2182</f>
        <v/>
      </c>
      <c r="M2182" s="306" t="n"/>
      <c r="N2182" s="306" t="n"/>
      <c r="O2182" s="306" t="n"/>
      <c r="P2182" s="306" t="n"/>
      <c r="Q2182" s="306" t="n"/>
    </row>
    <row r="2183" ht="18.75" customHeight="1">
      <c r="B2183" s="288" t="n">
        <v>45548</v>
      </c>
      <c r="C2183" s="289" t="n">
        <v>1459</v>
      </c>
      <c r="D2183" s="290" t="inlineStr">
        <is>
          <t>Fuel ( trip to workshop Gowell &amp; ktr Pajak)</t>
        </is>
      </c>
      <c r="E2183" s="306" t="inlineStr">
        <is>
          <t>-</t>
        </is>
      </c>
      <c r="F2183" s="307" t="n">
        <v>256800</v>
      </c>
      <c r="G2183" s="289" t="inlineStr">
        <is>
          <t>IDR</t>
        </is>
      </c>
      <c r="H2183" s="293" t="n">
        <v>1</v>
      </c>
      <c r="I2183" s="306" t="n"/>
      <c r="J2183" s="306" t="n"/>
      <c r="K2183" s="306" t="n"/>
      <c r="L2183" s="307">
        <f>$F2183*$H2183</f>
        <v/>
      </c>
      <c r="M2183" s="306" t="n"/>
      <c r="N2183" s="306" t="n"/>
      <c r="O2183" s="306" t="n"/>
      <c r="P2183" s="306" t="n"/>
      <c r="Q2183" s="306" t="n"/>
    </row>
    <row r="2184" ht="18.75" customHeight="1">
      <c r="B2184" s="288" t="n">
        <v>45548</v>
      </c>
      <c r="C2184" s="289" t="n">
        <v>1460</v>
      </c>
      <c r="D2184" s="290" t="inlineStr">
        <is>
          <t>Fuel ( trip to workshop Gowell &amp; ktr Pajak)</t>
        </is>
      </c>
      <c r="E2184" s="306" t="inlineStr">
        <is>
          <t>-</t>
        </is>
      </c>
      <c r="F2184" s="307" t="n">
        <v>256800</v>
      </c>
      <c r="G2184" s="289" t="inlineStr">
        <is>
          <t>IDR</t>
        </is>
      </c>
      <c r="H2184" s="293" t="n">
        <v>1</v>
      </c>
      <c r="I2184" s="306" t="n"/>
      <c r="J2184" s="306" t="n"/>
      <c r="K2184" s="306" t="n"/>
      <c r="L2184" s="307">
        <f>$F2184*$H2184</f>
        <v/>
      </c>
      <c r="M2184" s="306" t="n"/>
      <c r="N2184" s="306" t="n"/>
      <c r="O2184" s="306" t="n"/>
      <c r="P2184" s="306" t="n"/>
      <c r="Q2184" s="306" t="n"/>
    </row>
    <row r="2185" ht="18.75" customHeight="1">
      <c r="B2185" s="288" t="n">
        <v>45552</v>
      </c>
      <c r="C2185" s="289" t="n">
        <v>1461</v>
      </c>
      <c r="D2185" s="290" t="inlineStr">
        <is>
          <t>Tol  Jakarta - Cirebon</t>
        </is>
      </c>
      <c r="E2185" s="306" t="inlineStr">
        <is>
          <t>-</t>
        </is>
      </c>
      <c r="F2185" s="307" t="n">
        <v>245000</v>
      </c>
      <c r="G2185" s="289" t="inlineStr">
        <is>
          <t>IDR</t>
        </is>
      </c>
      <c r="H2185" s="293" t="n">
        <v>1</v>
      </c>
      <c r="I2185" s="306" t="n"/>
      <c r="J2185" s="306" t="n"/>
      <c r="K2185" s="306" t="n"/>
      <c r="L2185" s="307">
        <f>$F2185*$H2185</f>
        <v/>
      </c>
      <c r="M2185" s="306" t="n"/>
      <c r="N2185" s="306" t="n"/>
      <c r="O2185" s="306" t="n"/>
      <c r="P2185" s="306" t="n"/>
      <c r="Q2185" s="306" t="n"/>
    </row>
    <row r="2186" ht="18.75" customHeight="1">
      <c r="B2186" s="288" t="n">
        <v>45552</v>
      </c>
      <c r="C2186" s="289" t="n">
        <v>1462</v>
      </c>
      <c r="D2186" s="290" t="inlineStr">
        <is>
          <t>Fuel</t>
        </is>
      </c>
      <c r="E2186" s="306" t="inlineStr">
        <is>
          <t>-</t>
        </is>
      </c>
      <c r="F2186" s="307" t="n">
        <v>180000</v>
      </c>
      <c r="G2186" s="289" t="inlineStr">
        <is>
          <t>IDR</t>
        </is>
      </c>
      <c r="H2186" s="293" t="n">
        <v>1</v>
      </c>
      <c r="I2186" s="306" t="n"/>
      <c r="J2186" s="306" t="n"/>
      <c r="K2186" s="306" t="n"/>
      <c r="L2186" s="307">
        <f>$F2186*$H2186</f>
        <v/>
      </c>
      <c r="M2186" s="306" t="n"/>
      <c r="N2186" s="306" t="n"/>
      <c r="O2186" s="306" t="n"/>
      <c r="P2186" s="306" t="n"/>
      <c r="Q2186" s="306" t="n"/>
    </row>
    <row r="2187" ht="18.75" customHeight="1">
      <c r="B2187" s="288" t="n">
        <v>45552</v>
      </c>
      <c r="C2187" s="289" t="n">
        <v>1463</v>
      </c>
      <c r="D2187" s="290" t="inlineStr">
        <is>
          <t>Tol  Jakarta - Cirebon</t>
        </is>
      </c>
      <c r="E2187" s="306" t="inlineStr">
        <is>
          <t>-</t>
        </is>
      </c>
      <c r="F2187" s="307" t="n">
        <v>245000</v>
      </c>
      <c r="G2187" s="289" t="inlineStr">
        <is>
          <t>IDR</t>
        </is>
      </c>
      <c r="H2187" s="293" t="n">
        <v>1</v>
      </c>
      <c r="I2187" s="306" t="n"/>
      <c r="J2187" s="306" t="n"/>
      <c r="K2187" s="306" t="n"/>
      <c r="L2187" s="307">
        <f>$F2187*$H2187</f>
        <v/>
      </c>
      <c r="M2187" s="306" t="n"/>
      <c r="N2187" s="306" t="n"/>
      <c r="O2187" s="306" t="n"/>
      <c r="P2187" s="306" t="n"/>
      <c r="Q2187" s="306" t="n"/>
    </row>
    <row r="2188" ht="18.75" customHeight="1">
      <c r="B2188" s="288" t="n">
        <v>45552</v>
      </c>
      <c r="C2188" s="289" t="n">
        <v>1464</v>
      </c>
      <c r="D2188" s="290" t="inlineStr">
        <is>
          <t>Fuel</t>
        </is>
      </c>
      <c r="E2188" s="306" t="inlineStr">
        <is>
          <t>-</t>
        </is>
      </c>
      <c r="F2188" s="307" t="n">
        <v>180000</v>
      </c>
      <c r="G2188" s="289" t="inlineStr">
        <is>
          <t>IDR</t>
        </is>
      </c>
      <c r="H2188" s="293" t="n">
        <v>1</v>
      </c>
      <c r="I2188" s="306" t="n"/>
      <c r="J2188" s="306" t="n"/>
      <c r="K2188" s="306" t="n"/>
      <c r="L2188" s="307">
        <f>$F2188*$H2188</f>
        <v/>
      </c>
      <c r="M2188" s="306" t="n"/>
      <c r="N2188" s="306" t="n"/>
      <c r="O2188" s="306" t="n"/>
      <c r="P2188" s="306" t="n"/>
      <c r="Q2188" s="306" t="n"/>
    </row>
    <row r="2189" ht="18.75" customHeight="1">
      <c r="B2189" s="288" t="n">
        <v>45552</v>
      </c>
      <c r="C2189" s="289" t="n">
        <v>1465</v>
      </c>
      <c r="D2189" s="290" t="inlineStr">
        <is>
          <t>Tol  Jakarta - Cirebon</t>
        </is>
      </c>
      <c r="E2189" s="306" t="inlineStr">
        <is>
          <t>-</t>
        </is>
      </c>
      <c r="F2189" s="307" t="n">
        <v>245000</v>
      </c>
      <c r="G2189" s="289" t="inlineStr">
        <is>
          <t>IDR</t>
        </is>
      </c>
      <c r="H2189" s="293" t="n">
        <v>1</v>
      </c>
      <c r="I2189" s="306" t="n"/>
      <c r="J2189" s="306" t="n"/>
      <c r="K2189" s="306" t="n"/>
      <c r="L2189" s="307">
        <f>$F2189*$H2189</f>
        <v/>
      </c>
      <c r="M2189" s="306" t="n"/>
      <c r="N2189" s="306" t="n"/>
      <c r="O2189" s="306" t="n"/>
      <c r="P2189" s="306" t="n"/>
      <c r="Q2189" s="306" t="n"/>
    </row>
    <row r="2190" ht="18.75" customHeight="1">
      <c r="B2190" s="288" t="n">
        <v>45552</v>
      </c>
      <c r="C2190" s="289" t="n">
        <v>1466</v>
      </c>
      <c r="D2190" s="290" t="inlineStr">
        <is>
          <t>Fuel</t>
        </is>
      </c>
      <c r="E2190" s="306" t="inlineStr">
        <is>
          <t>-</t>
        </is>
      </c>
      <c r="F2190" s="307" t="n">
        <v>180000</v>
      </c>
      <c r="G2190" s="289" t="inlineStr">
        <is>
          <t>IDR</t>
        </is>
      </c>
      <c r="H2190" s="293" t="n">
        <v>1</v>
      </c>
      <c r="I2190" s="306" t="n"/>
      <c r="J2190" s="306" t="n"/>
      <c r="K2190" s="306" t="n"/>
      <c r="L2190" s="307">
        <f>$F2190*$H2190</f>
        <v/>
      </c>
      <c r="M2190" s="306" t="n"/>
      <c r="N2190" s="306" t="n"/>
      <c r="O2190" s="306" t="n"/>
      <c r="P2190" s="306" t="n"/>
      <c r="Q2190" s="306" t="n"/>
    </row>
    <row r="2191" ht="18.75" customHeight="1">
      <c r="B2191" s="288" t="n">
        <v>45552</v>
      </c>
      <c r="C2191" s="289" t="n">
        <v>1467</v>
      </c>
      <c r="D2191" s="290" t="inlineStr">
        <is>
          <t>Tol  Jakarta - Cirebon</t>
        </is>
      </c>
      <c r="E2191" s="306" t="inlineStr">
        <is>
          <t>-</t>
        </is>
      </c>
      <c r="F2191" s="307" t="n">
        <v>245000</v>
      </c>
      <c r="G2191" s="289" t="inlineStr">
        <is>
          <t>IDR</t>
        </is>
      </c>
      <c r="H2191" s="293" t="n">
        <v>1</v>
      </c>
      <c r="I2191" s="306" t="n"/>
      <c r="J2191" s="306" t="n"/>
      <c r="K2191" s="306" t="n"/>
      <c r="L2191" s="307">
        <f>$F2191*$H2191</f>
        <v/>
      </c>
      <c r="M2191" s="306" t="n"/>
      <c r="N2191" s="306" t="n"/>
      <c r="O2191" s="306" t="n"/>
      <c r="P2191" s="306" t="n"/>
      <c r="Q2191" s="306" t="n"/>
    </row>
    <row r="2192" ht="18.75" customHeight="1">
      <c r="B2192" s="288" t="n">
        <v>45552</v>
      </c>
      <c r="C2192" s="289" t="n">
        <v>1468</v>
      </c>
      <c r="D2192" s="290" t="inlineStr">
        <is>
          <t>Fuel</t>
        </is>
      </c>
      <c r="E2192" s="306" t="inlineStr">
        <is>
          <t>-</t>
        </is>
      </c>
      <c r="F2192" s="307" t="n">
        <v>180000</v>
      </c>
      <c r="G2192" s="289" t="inlineStr">
        <is>
          <t>IDR</t>
        </is>
      </c>
      <c r="H2192" s="293" t="n">
        <v>1</v>
      </c>
      <c r="I2192" s="306" t="n"/>
      <c r="J2192" s="306" t="n"/>
      <c r="K2192" s="306" t="n"/>
      <c r="L2192" s="307">
        <f>$F2192*$H2192</f>
        <v/>
      </c>
      <c r="M2192" s="306" t="n"/>
      <c r="N2192" s="306" t="n"/>
      <c r="O2192" s="306" t="n"/>
      <c r="P2192" s="306" t="n"/>
      <c r="Q2192" s="306" t="n"/>
    </row>
    <row r="2193" ht="18.75" customHeight="1">
      <c r="B2193" s="288" t="n">
        <v>45553</v>
      </c>
      <c r="C2193" s="289" t="n">
        <v>1469</v>
      </c>
      <c r="D2193" s="290" t="inlineStr">
        <is>
          <t>Tol  Cirebon - Jakarta</t>
        </is>
      </c>
      <c r="E2193" s="306" t="inlineStr">
        <is>
          <t>-</t>
        </is>
      </c>
      <c r="F2193" s="307" t="n">
        <v>166000</v>
      </c>
      <c r="G2193" s="289" t="inlineStr">
        <is>
          <t>IDR</t>
        </is>
      </c>
      <c r="H2193" s="293" t="n">
        <v>1</v>
      </c>
      <c r="I2193" s="306" t="n"/>
      <c r="J2193" s="306" t="n"/>
      <c r="K2193" s="306" t="n"/>
      <c r="L2193" s="307">
        <f>$F2193*$H2193</f>
        <v/>
      </c>
      <c r="M2193" s="306" t="n"/>
      <c r="N2193" s="306" t="n"/>
      <c r="O2193" s="306" t="n"/>
      <c r="P2193" s="306" t="n"/>
      <c r="Q2193" s="306" t="n"/>
    </row>
    <row r="2194" ht="18.75" customHeight="1">
      <c r="B2194" s="288" t="n">
        <v>45553</v>
      </c>
      <c r="C2194" s="289" t="n">
        <v>1470</v>
      </c>
      <c r="D2194" s="290" t="inlineStr">
        <is>
          <t>Fuel</t>
        </is>
      </c>
      <c r="E2194" s="306" t="inlineStr">
        <is>
          <t>-</t>
        </is>
      </c>
      <c r="F2194" s="307" t="n">
        <v>222650</v>
      </c>
      <c r="G2194" s="289" t="inlineStr">
        <is>
          <t>IDR</t>
        </is>
      </c>
      <c r="H2194" s="293" t="n">
        <v>1</v>
      </c>
      <c r="I2194" s="306" t="n"/>
      <c r="J2194" s="306" t="n"/>
      <c r="K2194" s="306" t="n"/>
      <c r="L2194" s="307">
        <f>$F2194*$H2194</f>
        <v/>
      </c>
      <c r="M2194" s="306" t="n"/>
      <c r="N2194" s="306" t="n"/>
      <c r="O2194" s="306" t="n"/>
      <c r="P2194" s="306" t="n"/>
      <c r="Q2194" s="306" t="n"/>
    </row>
    <row r="2195" ht="18.75" customHeight="1">
      <c r="B2195" s="288" t="n">
        <v>45553</v>
      </c>
      <c r="C2195" s="289" t="n">
        <v>1471</v>
      </c>
      <c r="D2195" s="290" t="inlineStr">
        <is>
          <t>Tol  Cirebon - Jakarta</t>
        </is>
      </c>
      <c r="E2195" s="306" t="inlineStr">
        <is>
          <t>-</t>
        </is>
      </c>
      <c r="F2195" s="307" t="n">
        <v>166000</v>
      </c>
      <c r="G2195" s="289" t="inlineStr">
        <is>
          <t>IDR</t>
        </is>
      </c>
      <c r="H2195" s="293" t="n">
        <v>1</v>
      </c>
      <c r="I2195" s="306" t="n"/>
      <c r="J2195" s="306" t="n"/>
      <c r="K2195" s="306" t="n"/>
      <c r="L2195" s="307">
        <f>$F2195*$H2195</f>
        <v/>
      </c>
      <c r="M2195" s="306" t="n"/>
      <c r="N2195" s="306" t="n"/>
      <c r="O2195" s="306" t="n"/>
      <c r="P2195" s="306" t="n"/>
      <c r="Q2195" s="306" t="n"/>
    </row>
    <row r="2196" ht="18.75" customHeight="1">
      <c r="B2196" s="288" t="n">
        <v>45553</v>
      </c>
      <c r="C2196" s="289" t="n">
        <v>1472</v>
      </c>
      <c r="D2196" s="290" t="inlineStr">
        <is>
          <t>Fuel</t>
        </is>
      </c>
      <c r="E2196" s="306" t="inlineStr">
        <is>
          <t>-</t>
        </is>
      </c>
      <c r="F2196" s="307" t="n">
        <v>222650</v>
      </c>
      <c r="G2196" s="289" t="inlineStr">
        <is>
          <t>IDR</t>
        </is>
      </c>
      <c r="H2196" s="293" t="n">
        <v>1</v>
      </c>
      <c r="I2196" s="306" t="n"/>
      <c r="J2196" s="306" t="n"/>
      <c r="K2196" s="306" t="n"/>
      <c r="L2196" s="307">
        <f>$F2196*$H2196</f>
        <v/>
      </c>
      <c r="M2196" s="306" t="n"/>
      <c r="N2196" s="306" t="n"/>
      <c r="O2196" s="306" t="n"/>
      <c r="P2196" s="306" t="n"/>
      <c r="Q2196" s="306" t="n"/>
    </row>
    <row r="2197" ht="18.75" customHeight="1">
      <c r="B2197" s="288" t="n">
        <v>45553</v>
      </c>
      <c r="C2197" s="289" t="n">
        <v>1473</v>
      </c>
      <c r="D2197" s="290" t="inlineStr">
        <is>
          <t>Tol  Cirebon - Jakarta</t>
        </is>
      </c>
      <c r="E2197" s="306" t="inlineStr">
        <is>
          <t>-</t>
        </is>
      </c>
      <c r="F2197" s="307" t="n">
        <v>166000</v>
      </c>
      <c r="G2197" s="289" t="inlineStr">
        <is>
          <t>IDR</t>
        </is>
      </c>
      <c r="H2197" s="293" t="n">
        <v>1</v>
      </c>
      <c r="I2197" s="306" t="n"/>
      <c r="J2197" s="306" t="n"/>
      <c r="K2197" s="306" t="n"/>
      <c r="L2197" s="307">
        <f>$F2197*$H2197</f>
        <v/>
      </c>
      <c r="M2197" s="306" t="n"/>
      <c r="N2197" s="306" t="n"/>
      <c r="O2197" s="306" t="n"/>
      <c r="P2197" s="306" t="n"/>
      <c r="Q2197" s="306" t="n"/>
    </row>
    <row r="2198" ht="18.75" customHeight="1">
      <c r="B2198" s="288" t="n">
        <v>45553</v>
      </c>
      <c r="C2198" s="289" t="n">
        <v>1474</v>
      </c>
      <c r="D2198" s="290" t="inlineStr">
        <is>
          <t>Fuel</t>
        </is>
      </c>
      <c r="E2198" s="306" t="inlineStr">
        <is>
          <t>-</t>
        </is>
      </c>
      <c r="F2198" s="307" t="n">
        <v>222650</v>
      </c>
      <c r="G2198" s="289" t="inlineStr">
        <is>
          <t>IDR</t>
        </is>
      </c>
      <c r="H2198" s="293" t="n">
        <v>1</v>
      </c>
      <c r="I2198" s="306" t="n"/>
      <c r="J2198" s="306" t="n"/>
      <c r="K2198" s="306" t="n"/>
      <c r="L2198" s="307">
        <f>$F2198*$H2198</f>
        <v/>
      </c>
      <c r="M2198" s="306" t="n"/>
      <c r="N2198" s="306" t="n"/>
      <c r="O2198" s="306" t="n"/>
      <c r="P2198" s="306" t="n"/>
      <c r="Q2198" s="306" t="n"/>
    </row>
    <row r="2199" ht="18.75" customHeight="1">
      <c r="B2199" s="288" t="n">
        <v>45553</v>
      </c>
      <c r="C2199" s="289" t="n">
        <v>1475</v>
      </c>
      <c r="D2199" s="290" t="inlineStr">
        <is>
          <t>Tol  Cirebon - Jakarta</t>
        </is>
      </c>
      <c r="E2199" s="306" t="inlineStr">
        <is>
          <t>-</t>
        </is>
      </c>
      <c r="F2199" s="307" t="n">
        <v>166000</v>
      </c>
      <c r="G2199" s="289" t="inlineStr">
        <is>
          <t>IDR</t>
        </is>
      </c>
      <c r="H2199" s="293" t="n">
        <v>1</v>
      </c>
      <c r="I2199" s="306" t="n"/>
      <c r="J2199" s="306" t="n"/>
      <c r="K2199" s="306" t="n"/>
      <c r="L2199" s="307">
        <f>$F2199*$H2199</f>
        <v/>
      </c>
      <c r="M2199" s="306" t="n"/>
      <c r="N2199" s="306" t="n"/>
      <c r="O2199" s="306" t="n"/>
      <c r="P2199" s="306" t="n"/>
      <c r="Q2199" s="306" t="n"/>
    </row>
    <row r="2200" ht="18.75" customHeight="1">
      <c r="B2200" s="288" t="n">
        <v>45553</v>
      </c>
      <c r="C2200" s="289" t="n">
        <v>1476</v>
      </c>
      <c r="D2200" s="290" t="inlineStr">
        <is>
          <t>Fuel</t>
        </is>
      </c>
      <c r="E2200" s="306" t="inlineStr">
        <is>
          <t>-</t>
        </is>
      </c>
      <c r="F2200" s="307" t="n">
        <v>222650</v>
      </c>
      <c r="G2200" s="289" t="inlineStr">
        <is>
          <t>IDR</t>
        </is>
      </c>
      <c r="H2200" s="293" t="n">
        <v>1</v>
      </c>
      <c r="I2200" s="306" t="n"/>
      <c r="J2200" s="306" t="n"/>
      <c r="K2200" s="306" t="n"/>
      <c r="L2200" s="307">
        <f>$F2200*$H2200</f>
        <v/>
      </c>
      <c r="M2200" s="306" t="n"/>
      <c r="N2200" s="306" t="n"/>
      <c r="O2200" s="306" t="n"/>
      <c r="P2200" s="306" t="n"/>
      <c r="Q2200" s="306" t="n"/>
    </row>
    <row r="2201">
      <c r="B2201" s="310" t="inlineStr">
        <is>
          <t>Expense#36</t>
        </is>
      </c>
      <c r="C2201" s="311" t="inlineStr">
        <is>
          <t>:</t>
        </is>
      </c>
      <c r="D2201" s="310" t="inlineStr">
        <is>
          <t>Non project (follow up MCU concul &amp; inspection tool)_AC_ 2 nd</t>
        </is>
      </c>
      <c r="E2201" s="311" t="n"/>
      <c r="F2201" s="311" t="n"/>
      <c r="G2201" s="311" t="n"/>
      <c r="H2201" s="311" t="n"/>
      <c r="I2201" s="311" t="n"/>
      <c r="J2201" s="311" t="n"/>
      <c r="K2201" s="311" t="n"/>
      <c r="L2201" s="311" t="n"/>
      <c r="M2201" s="311" t="n"/>
      <c r="N2201" s="311" t="n"/>
      <c r="O2201" s="311" t="n"/>
      <c r="P2201" s="311" t="n"/>
      <c r="Q2201" s="311" t="n"/>
    </row>
    <row r="2202">
      <c r="B2202" s="312" t="n"/>
      <c r="C2202" s="312" t="n"/>
      <c r="D2202" s="285" t="inlineStr">
        <is>
          <t>Biaya Operasi Lain-lain</t>
        </is>
      </c>
      <c r="E2202" s="312" t="n"/>
      <c r="F2202" s="312" t="n"/>
      <c r="G2202" s="312" t="n"/>
      <c r="H2202" s="312" t="n"/>
      <c r="I2202" s="312" t="n"/>
      <c r="J2202" s="312" t="n"/>
      <c r="K2202" s="312" t="n"/>
      <c r="L2202" s="312" t="n"/>
      <c r="M2202" s="312" t="n"/>
      <c r="N2202" s="312" t="n"/>
      <c r="O2202" s="312" t="n"/>
      <c r="P2202" s="312" t="n"/>
      <c r="Q2202" s="312" t="n"/>
    </row>
    <row r="2203" ht="18.75" customHeight="1">
      <c r="B2203" s="288" t="n">
        <v>45436</v>
      </c>
      <c r="C2203" s="289" t="n">
        <v>1477</v>
      </c>
      <c r="D2203" s="290" t="inlineStr">
        <is>
          <t>Buy lag ban 2 ea</t>
        </is>
      </c>
      <c r="E2203" s="306" t="inlineStr">
        <is>
          <t>-</t>
        </is>
      </c>
      <c r="F2203" s="307" t="n">
        <v>25000</v>
      </c>
      <c r="G2203" s="289" t="inlineStr">
        <is>
          <t>IDR</t>
        </is>
      </c>
      <c r="H2203" s="293" t="n">
        <v>1</v>
      </c>
      <c r="I2203" s="306" t="n"/>
      <c r="J2203" s="306" t="n"/>
      <c r="K2203" s="306" t="n"/>
      <c r="L2203" s="307">
        <f>$F2203*$H2203</f>
        <v/>
      </c>
      <c r="M2203" s="306" t="n"/>
      <c r="N2203" s="306" t="n"/>
      <c r="O2203" s="306" t="n"/>
      <c r="P2203" s="306" t="n"/>
      <c r="Q2203" s="306" t="n"/>
    </row>
    <row r="2204" ht="18.75" customHeight="1">
      <c r="B2204" s="288" t="n">
        <v>45436</v>
      </c>
      <c r="C2204" s="289" t="n">
        <v>1478</v>
      </c>
      <c r="D2204" s="290" t="inlineStr">
        <is>
          <t>Buy lag ban 2 ea</t>
        </is>
      </c>
      <c r="E2204" s="306" t="inlineStr">
        <is>
          <t>-</t>
        </is>
      </c>
      <c r="F2204" s="307" t="n">
        <v>25000</v>
      </c>
      <c r="G2204" s="289" t="inlineStr">
        <is>
          <t>IDR</t>
        </is>
      </c>
      <c r="H2204" s="293" t="n">
        <v>1</v>
      </c>
      <c r="I2204" s="306" t="n"/>
      <c r="J2204" s="306" t="n"/>
      <c r="K2204" s="306" t="n"/>
      <c r="L2204" s="307">
        <f>$F2204*$H2204</f>
        <v/>
      </c>
      <c r="M2204" s="306" t="n"/>
      <c r="N2204" s="306" t="n"/>
      <c r="O2204" s="306" t="n"/>
      <c r="P2204" s="306" t="n"/>
      <c r="Q2204" s="306" t="n"/>
    </row>
    <row r="2205" ht="18.75" customHeight="1">
      <c r="B2205" s="288" t="n">
        <v>45436</v>
      </c>
      <c r="C2205" s="289" t="n">
        <v>1479</v>
      </c>
      <c r="D2205" s="290" t="inlineStr">
        <is>
          <t>Buy lag ban 2 ea</t>
        </is>
      </c>
      <c r="E2205" s="306" t="inlineStr">
        <is>
          <t>-</t>
        </is>
      </c>
      <c r="F2205" s="307" t="n">
        <v>25000</v>
      </c>
      <c r="G2205" s="289" t="inlineStr">
        <is>
          <t>IDR</t>
        </is>
      </c>
      <c r="H2205" s="293" t="n">
        <v>1</v>
      </c>
      <c r="I2205" s="306" t="n"/>
      <c r="J2205" s="306" t="n"/>
      <c r="K2205" s="306" t="n"/>
      <c r="L2205" s="307">
        <f>$F2205*$H2205</f>
        <v/>
      </c>
      <c r="M2205" s="306" t="n"/>
      <c r="N2205" s="306" t="n"/>
      <c r="O2205" s="306" t="n"/>
      <c r="P2205" s="306" t="n"/>
      <c r="Q2205" s="306" t="n"/>
    </row>
    <row r="2206" ht="18.75" customHeight="1">
      <c r="B2206" s="288" t="n">
        <v>45436</v>
      </c>
      <c r="C2206" s="289" t="n">
        <v>1480</v>
      </c>
      <c r="D2206" s="290" t="inlineStr">
        <is>
          <t>Buy lag ban 2 ea</t>
        </is>
      </c>
      <c r="E2206" s="306" t="inlineStr">
        <is>
          <t>-</t>
        </is>
      </c>
      <c r="F2206" s="307" t="n">
        <v>25000</v>
      </c>
      <c r="G2206" s="289" t="inlineStr">
        <is>
          <t>IDR</t>
        </is>
      </c>
      <c r="H2206" s="293" t="n">
        <v>1</v>
      </c>
      <c r="I2206" s="306" t="n"/>
      <c r="J2206" s="306" t="n"/>
      <c r="K2206" s="306" t="n"/>
      <c r="L2206" s="307">
        <f>$F2206*$H2206</f>
        <v/>
      </c>
      <c r="M2206" s="306" t="n"/>
      <c r="N2206" s="306" t="n"/>
      <c r="O2206" s="306" t="n"/>
      <c r="P2206" s="306" t="n"/>
      <c r="Q2206" s="306" t="n"/>
    </row>
    <row r="2207" ht="18.75" customHeight="1">
      <c r="B2207" s="288" t="n">
        <v>45530</v>
      </c>
      <c r="C2207" s="289" t="n">
        <v>1481</v>
      </c>
      <c r="D2207" s="290" t="inlineStr">
        <is>
          <t>printing di snappy</t>
        </is>
      </c>
      <c r="E2207" s="306" t="inlineStr">
        <is>
          <t>-</t>
        </is>
      </c>
      <c r="F2207" s="307" t="n">
        <v>31000</v>
      </c>
      <c r="G2207" s="289" t="inlineStr">
        <is>
          <t>IDR</t>
        </is>
      </c>
      <c r="H2207" s="293" t="n">
        <v>1</v>
      </c>
      <c r="I2207" s="306" t="n"/>
      <c r="J2207" s="306" t="n"/>
      <c r="K2207" s="306" t="n"/>
      <c r="L2207" s="307">
        <f>$F2207*$H2207</f>
        <v/>
      </c>
      <c r="M2207" s="306" t="n"/>
      <c r="N2207" s="306" t="n"/>
      <c r="O2207" s="306" t="n"/>
      <c r="P2207" s="306" t="n"/>
      <c r="Q2207" s="306" t="n"/>
    </row>
    <row r="2208" ht="18.75" customHeight="1">
      <c r="B2208" s="288" t="n">
        <v>45530</v>
      </c>
      <c r="C2208" s="289" t="n">
        <v>1482</v>
      </c>
      <c r="D2208" s="290" t="inlineStr">
        <is>
          <t>printing di snappy</t>
        </is>
      </c>
      <c r="E2208" s="306" t="inlineStr">
        <is>
          <t>-</t>
        </is>
      </c>
      <c r="F2208" s="307" t="n">
        <v>31000</v>
      </c>
      <c r="G2208" s="289" t="inlineStr">
        <is>
          <t>IDR</t>
        </is>
      </c>
      <c r="H2208" s="293" t="n">
        <v>1</v>
      </c>
      <c r="I2208" s="306" t="n"/>
      <c r="J2208" s="306" t="n"/>
      <c r="K2208" s="306" t="n"/>
      <c r="L2208" s="307">
        <f>$F2208*$H2208</f>
        <v/>
      </c>
      <c r="M2208" s="306" t="n"/>
      <c r="N2208" s="306" t="n"/>
      <c r="O2208" s="306" t="n"/>
      <c r="P2208" s="306" t="n"/>
      <c r="Q2208" s="306" t="n"/>
    </row>
    <row r="2209" ht="18.75" customHeight="1">
      <c r="B2209" s="288" t="n">
        <v>45530</v>
      </c>
      <c r="C2209" s="289" t="n">
        <v>1483</v>
      </c>
      <c r="D2209" s="290" t="inlineStr">
        <is>
          <t>printing di snappy</t>
        </is>
      </c>
      <c r="E2209" s="306" t="inlineStr">
        <is>
          <t>-</t>
        </is>
      </c>
      <c r="F2209" s="307" t="n">
        <v>31000</v>
      </c>
      <c r="G2209" s="289" t="inlineStr">
        <is>
          <t>IDR</t>
        </is>
      </c>
      <c r="H2209" s="293" t="n">
        <v>1</v>
      </c>
      <c r="I2209" s="306" t="n"/>
      <c r="J2209" s="306" t="n"/>
      <c r="K2209" s="306" t="n"/>
      <c r="L2209" s="307">
        <f>$F2209*$H2209</f>
        <v/>
      </c>
      <c r="M2209" s="306" t="n"/>
      <c r="N2209" s="306" t="n"/>
      <c r="O2209" s="306" t="n"/>
      <c r="P2209" s="306" t="n"/>
      <c r="Q2209" s="306" t="n"/>
    </row>
    <row r="2210" ht="18.75" customHeight="1">
      <c r="B2210" s="288" t="n">
        <v>45530</v>
      </c>
      <c r="C2210" s="289" t="n">
        <v>1484</v>
      </c>
      <c r="D2210" s="290" t="inlineStr">
        <is>
          <t>printing di snappy</t>
        </is>
      </c>
      <c r="E2210" s="306" t="inlineStr">
        <is>
          <t>-</t>
        </is>
      </c>
      <c r="F2210" s="307" t="n">
        <v>31000</v>
      </c>
      <c r="G2210" s="289" t="inlineStr">
        <is>
          <t>IDR</t>
        </is>
      </c>
      <c r="H2210" s="293" t="n">
        <v>1</v>
      </c>
      <c r="I2210" s="306" t="n"/>
      <c r="J2210" s="306" t="n"/>
      <c r="K2210" s="306" t="n"/>
      <c r="L2210" s="307">
        <f>$F2210*$H2210</f>
        <v/>
      </c>
      <c r="M2210" s="306" t="n"/>
      <c r="N2210" s="306" t="n"/>
      <c r="O2210" s="306" t="n"/>
      <c r="P2210" s="306" t="n"/>
      <c r="Q2210" s="306" t="n"/>
    </row>
    <row r="2211">
      <c r="B2211" s="312" t="n"/>
      <c r="C2211" s="312" t="n"/>
      <c r="D2211" s="285" t="inlineStr">
        <is>
          <t>Medical</t>
        </is>
      </c>
      <c r="E2211" s="312" t="n"/>
      <c r="F2211" s="312" t="n"/>
      <c r="G2211" s="312" t="n"/>
      <c r="H2211" s="312" t="n"/>
      <c r="I2211" s="312" t="n"/>
      <c r="J2211" s="312" t="n"/>
      <c r="K2211" s="312" t="n"/>
      <c r="L2211" s="312" t="n"/>
      <c r="M2211" s="312" t="n"/>
      <c r="N2211" s="312" t="n"/>
      <c r="O2211" s="312" t="n"/>
      <c r="P2211" s="312" t="n"/>
      <c r="Q2211" s="312" t="n"/>
    </row>
    <row r="2212" ht="18.75" customHeight="1">
      <c r="B2212" s="288" t="n">
        <v>45528</v>
      </c>
      <c r="C2212" s="289" t="n">
        <v>1485</v>
      </c>
      <c r="D2212" s="290" t="inlineStr">
        <is>
          <t>Medicine</t>
        </is>
      </c>
      <c r="E2212" s="306" t="inlineStr">
        <is>
          <t>-</t>
        </is>
      </c>
      <c r="F2212" s="307" t="n">
        <v>36000</v>
      </c>
      <c r="G2212" s="289" t="inlineStr">
        <is>
          <t>IDR</t>
        </is>
      </c>
      <c r="H2212" s="293" t="n">
        <v>1</v>
      </c>
      <c r="I2212" s="306" t="n"/>
      <c r="J2212" s="306" t="n"/>
      <c r="K2212" s="306" t="n"/>
      <c r="L2212" s="306" t="n"/>
      <c r="M2212" s="306" t="n"/>
      <c r="N2212" s="306" t="n"/>
      <c r="O2212" s="306" t="n"/>
      <c r="P2212" s="307">
        <f>$F2212*$H2212</f>
        <v/>
      </c>
      <c r="Q2212" s="306" t="n"/>
    </row>
    <row r="2213" ht="18.75" customHeight="1">
      <c r="B2213" s="288" t="n">
        <v>45528</v>
      </c>
      <c r="C2213" s="289" t="n">
        <v>1486</v>
      </c>
      <c r="D2213" s="290" t="inlineStr">
        <is>
          <t>Medicine</t>
        </is>
      </c>
      <c r="E2213" s="306" t="inlineStr">
        <is>
          <t>-</t>
        </is>
      </c>
      <c r="F2213" s="307" t="n">
        <v>36000</v>
      </c>
      <c r="G2213" s="289" t="inlineStr">
        <is>
          <t>IDR</t>
        </is>
      </c>
      <c r="H2213" s="293" t="n">
        <v>1</v>
      </c>
      <c r="I2213" s="306" t="n"/>
      <c r="J2213" s="306" t="n"/>
      <c r="K2213" s="306" t="n"/>
      <c r="L2213" s="306" t="n"/>
      <c r="M2213" s="306" t="n"/>
      <c r="N2213" s="306" t="n"/>
      <c r="O2213" s="306" t="n"/>
      <c r="P2213" s="307">
        <f>$F2213*$H2213</f>
        <v/>
      </c>
      <c r="Q2213" s="306" t="n"/>
    </row>
    <row r="2214" ht="18.75" customHeight="1">
      <c r="B2214" s="288" t="n">
        <v>45528</v>
      </c>
      <c r="C2214" s="289" t="n">
        <v>1487</v>
      </c>
      <c r="D2214" s="290" t="inlineStr">
        <is>
          <t>Medicine</t>
        </is>
      </c>
      <c r="E2214" s="306" t="inlineStr">
        <is>
          <t>-</t>
        </is>
      </c>
      <c r="F2214" s="307" t="n">
        <v>36000</v>
      </c>
      <c r="G2214" s="289" t="inlineStr">
        <is>
          <t>IDR</t>
        </is>
      </c>
      <c r="H2214" s="293" t="n">
        <v>1</v>
      </c>
      <c r="I2214" s="306" t="n"/>
      <c r="J2214" s="306" t="n"/>
      <c r="K2214" s="306" t="n"/>
      <c r="L2214" s="306" t="n"/>
      <c r="M2214" s="306" t="n"/>
      <c r="N2214" s="306" t="n"/>
      <c r="O2214" s="306" t="n"/>
      <c r="P2214" s="307">
        <f>$F2214*$H2214</f>
        <v/>
      </c>
      <c r="Q2214" s="306" t="n"/>
    </row>
    <row r="2215" ht="18.75" customHeight="1">
      <c r="B2215" s="288" t="n">
        <v>45528</v>
      </c>
      <c r="C2215" s="289" t="n">
        <v>1488</v>
      </c>
      <c r="D2215" s="290" t="inlineStr">
        <is>
          <t>Medicine</t>
        </is>
      </c>
      <c r="E2215" s="306" t="inlineStr">
        <is>
          <t>-</t>
        </is>
      </c>
      <c r="F2215" s="307" t="n">
        <v>36000</v>
      </c>
      <c r="G2215" s="289" t="inlineStr">
        <is>
          <t>IDR</t>
        </is>
      </c>
      <c r="H2215" s="293" t="n">
        <v>1</v>
      </c>
      <c r="I2215" s="306" t="n"/>
      <c r="J2215" s="306" t="n"/>
      <c r="K2215" s="306" t="n"/>
      <c r="L2215" s="306" t="n"/>
      <c r="M2215" s="306" t="n"/>
      <c r="N2215" s="306" t="n"/>
      <c r="O2215" s="306" t="n"/>
      <c r="P2215" s="307">
        <f>$F2215*$H2215</f>
        <v/>
      </c>
      <c r="Q2215" s="306" t="n"/>
    </row>
    <row r="2216" ht="18.75" customHeight="1">
      <c r="B2216" s="288" t="n">
        <v>45530</v>
      </c>
      <c r="C2216" s="289" t="n">
        <v>1489</v>
      </c>
      <c r="D2216" s="290" t="inlineStr">
        <is>
          <t>Biaya Konsul Dokter Penyakit dalam</t>
        </is>
      </c>
      <c r="E2216" s="306" t="inlineStr">
        <is>
          <t>-</t>
        </is>
      </c>
      <c r="F2216" s="307" t="n">
        <v>854100</v>
      </c>
      <c r="G2216" s="289" t="inlineStr">
        <is>
          <t>IDR</t>
        </is>
      </c>
      <c r="H2216" s="293" t="n">
        <v>1</v>
      </c>
      <c r="I2216" s="306" t="n"/>
      <c r="J2216" s="306" t="n"/>
      <c r="K2216" s="306" t="n"/>
      <c r="L2216" s="306" t="n"/>
      <c r="M2216" s="306" t="n"/>
      <c r="N2216" s="306" t="n"/>
      <c r="O2216" s="306" t="n"/>
      <c r="P2216" s="307">
        <f>$F2216*$H2216</f>
        <v/>
      </c>
      <c r="Q2216" s="306" t="n"/>
    </row>
    <row r="2217" ht="18.75" customHeight="1">
      <c r="B2217" s="288" t="n">
        <v>45530</v>
      </c>
      <c r="C2217" s="289" t="n">
        <v>1490</v>
      </c>
      <c r="D2217" s="290" t="inlineStr">
        <is>
          <t>Biaya Konsul Dokter Penyakit dalam</t>
        </is>
      </c>
      <c r="E2217" s="306" t="inlineStr">
        <is>
          <t>-</t>
        </is>
      </c>
      <c r="F2217" s="307" t="n">
        <v>854100</v>
      </c>
      <c r="G2217" s="289" t="inlineStr">
        <is>
          <t>IDR</t>
        </is>
      </c>
      <c r="H2217" s="293" t="n">
        <v>1</v>
      </c>
      <c r="I2217" s="306" t="n"/>
      <c r="J2217" s="306" t="n"/>
      <c r="K2217" s="306" t="n"/>
      <c r="L2217" s="306" t="n"/>
      <c r="M2217" s="306" t="n"/>
      <c r="N2217" s="306" t="n"/>
      <c r="O2217" s="306" t="n"/>
      <c r="P2217" s="307">
        <f>$F2217*$H2217</f>
        <v/>
      </c>
      <c r="Q2217" s="306" t="n"/>
    </row>
    <row r="2218" ht="18.75" customHeight="1">
      <c r="B2218" s="288" t="n">
        <v>45530</v>
      </c>
      <c r="C2218" s="289" t="n">
        <v>1491</v>
      </c>
      <c r="D2218" s="290" t="inlineStr">
        <is>
          <t>Biaya Konsul Dokter Penyakit dalam</t>
        </is>
      </c>
      <c r="E2218" s="306" t="inlineStr">
        <is>
          <t>-</t>
        </is>
      </c>
      <c r="F2218" s="307" t="n">
        <v>854100</v>
      </c>
      <c r="G2218" s="289" t="inlineStr">
        <is>
          <t>IDR</t>
        </is>
      </c>
      <c r="H2218" s="293" t="n">
        <v>1</v>
      </c>
      <c r="I2218" s="306" t="n"/>
      <c r="J2218" s="306" t="n"/>
      <c r="K2218" s="306" t="n"/>
      <c r="L2218" s="306" t="n"/>
      <c r="M2218" s="306" t="n"/>
      <c r="N2218" s="306" t="n"/>
      <c r="O2218" s="306" t="n"/>
      <c r="P2218" s="307">
        <f>$F2218*$H2218</f>
        <v/>
      </c>
      <c r="Q2218" s="306" t="n"/>
    </row>
    <row r="2219" ht="18.75" customHeight="1">
      <c r="B2219" s="288" t="n">
        <v>45530</v>
      </c>
      <c r="C2219" s="289" t="n">
        <v>1492</v>
      </c>
      <c r="D2219" s="290" t="inlineStr">
        <is>
          <t>Biaya Konsul Dokter Penyakit dalam</t>
        </is>
      </c>
      <c r="E2219" s="306" t="inlineStr">
        <is>
          <t>-</t>
        </is>
      </c>
      <c r="F2219" s="307" t="n">
        <v>854100</v>
      </c>
      <c r="G2219" s="289" t="inlineStr">
        <is>
          <t>IDR</t>
        </is>
      </c>
      <c r="H2219" s="293" t="n">
        <v>1</v>
      </c>
      <c r="I2219" s="306" t="n"/>
      <c r="J2219" s="306" t="n"/>
      <c r="K2219" s="306" t="n"/>
      <c r="L2219" s="306" t="n"/>
      <c r="M2219" s="306" t="n"/>
      <c r="N2219" s="306" t="n"/>
      <c r="O2219" s="306" t="n"/>
      <c r="P2219" s="307">
        <f>$F2219*$H2219</f>
        <v/>
      </c>
      <c r="Q2219" s="306" t="n"/>
    </row>
    <row r="2220" ht="18.75" customHeight="1">
      <c r="B2220" s="288" t="n">
        <v>45532</v>
      </c>
      <c r="C2220" s="289" t="n">
        <v>1493</v>
      </c>
      <c r="D2220" s="290" t="inlineStr">
        <is>
          <t>Fisioterapi 1st</t>
        </is>
      </c>
      <c r="E2220" s="306" t="inlineStr">
        <is>
          <t>-</t>
        </is>
      </c>
      <c r="F2220" s="307" t="n">
        <v>285000</v>
      </c>
      <c r="G2220" s="289" t="inlineStr">
        <is>
          <t>IDR</t>
        </is>
      </c>
      <c r="H2220" s="293" t="n">
        <v>1</v>
      </c>
      <c r="I2220" s="306" t="n"/>
      <c r="J2220" s="306" t="n"/>
      <c r="K2220" s="306" t="n"/>
      <c r="L2220" s="306" t="n"/>
      <c r="M2220" s="306" t="n"/>
      <c r="N2220" s="306" t="n"/>
      <c r="O2220" s="306" t="n"/>
      <c r="P2220" s="307">
        <f>$F2220*$H2220</f>
        <v/>
      </c>
      <c r="Q2220" s="306" t="n"/>
    </row>
    <row r="2221" ht="18.75" customHeight="1">
      <c r="B2221" s="288" t="n">
        <v>45532</v>
      </c>
      <c r="C2221" s="289" t="n">
        <v>1494</v>
      </c>
      <c r="D2221" s="290" t="inlineStr">
        <is>
          <t>Fisioterapi 1st</t>
        </is>
      </c>
      <c r="E2221" s="306" t="inlineStr">
        <is>
          <t>-</t>
        </is>
      </c>
      <c r="F2221" s="307" t="n">
        <v>285000</v>
      </c>
      <c r="G2221" s="289" t="inlineStr">
        <is>
          <t>IDR</t>
        </is>
      </c>
      <c r="H2221" s="293" t="n">
        <v>1</v>
      </c>
      <c r="I2221" s="306" t="n"/>
      <c r="J2221" s="306" t="n"/>
      <c r="K2221" s="306" t="n"/>
      <c r="L2221" s="306" t="n"/>
      <c r="M2221" s="306" t="n"/>
      <c r="N2221" s="306" t="n"/>
      <c r="O2221" s="306" t="n"/>
      <c r="P2221" s="307">
        <f>$F2221*$H2221</f>
        <v/>
      </c>
      <c r="Q2221" s="306" t="n"/>
    </row>
    <row r="2222" ht="18.75" customHeight="1">
      <c r="B2222" s="288" t="n">
        <v>45532</v>
      </c>
      <c r="C2222" s="289" t="n">
        <v>1495</v>
      </c>
      <c r="D2222" s="290" t="inlineStr">
        <is>
          <t>Fisioterapi 1st</t>
        </is>
      </c>
      <c r="E2222" s="306" t="inlineStr">
        <is>
          <t>-</t>
        </is>
      </c>
      <c r="F2222" s="307" t="n">
        <v>285000</v>
      </c>
      <c r="G2222" s="289" t="inlineStr">
        <is>
          <t>IDR</t>
        </is>
      </c>
      <c r="H2222" s="293" t="n">
        <v>1</v>
      </c>
      <c r="I2222" s="306" t="n"/>
      <c r="J2222" s="306" t="n"/>
      <c r="K2222" s="306" t="n"/>
      <c r="L2222" s="306" t="n"/>
      <c r="M2222" s="306" t="n"/>
      <c r="N2222" s="306" t="n"/>
      <c r="O2222" s="306" t="n"/>
      <c r="P2222" s="307">
        <f>$F2222*$H2222</f>
        <v/>
      </c>
      <c r="Q2222" s="306" t="n"/>
    </row>
    <row r="2223" ht="18.75" customHeight="1">
      <c r="B2223" s="288" t="n">
        <v>45532</v>
      </c>
      <c r="C2223" s="289" t="n">
        <v>1496</v>
      </c>
      <c r="D2223" s="290" t="inlineStr">
        <is>
          <t>Fisioterapi 1st</t>
        </is>
      </c>
      <c r="E2223" s="306" t="inlineStr">
        <is>
          <t>-</t>
        </is>
      </c>
      <c r="F2223" s="307" t="n">
        <v>285000</v>
      </c>
      <c r="G2223" s="289" t="inlineStr">
        <is>
          <t>IDR</t>
        </is>
      </c>
      <c r="H2223" s="293" t="n">
        <v>1</v>
      </c>
      <c r="I2223" s="306" t="n"/>
      <c r="J2223" s="306" t="n"/>
      <c r="K2223" s="306" t="n"/>
      <c r="L2223" s="306" t="n"/>
      <c r="M2223" s="306" t="n"/>
      <c r="N2223" s="306" t="n"/>
      <c r="O2223" s="306" t="n"/>
      <c r="P2223" s="307">
        <f>$F2223*$H2223</f>
        <v/>
      </c>
      <c r="Q2223" s="306" t="n"/>
    </row>
    <row r="2224" ht="18.75" customHeight="1">
      <c r="B2224" s="288" t="n">
        <v>45533</v>
      </c>
      <c r="C2224" s="289" t="n">
        <v>1497</v>
      </c>
      <c r="D2224" s="290" t="inlineStr">
        <is>
          <t>Fisioterapi 2nd</t>
        </is>
      </c>
      <c r="E2224" s="306" t="inlineStr">
        <is>
          <t>-</t>
        </is>
      </c>
      <c r="F2224" s="307" t="n">
        <v>285000</v>
      </c>
      <c r="G2224" s="289" t="inlineStr">
        <is>
          <t>IDR</t>
        </is>
      </c>
      <c r="H2224" s="293" t="n">
        <v>1</v>
      </c>
      <c r="I2224" s="306" t="n"/>
      <c r="J2224" s="306" t="n"/>
      <c r="K2224" s="306" t="n"/>
      <c r="L2224" s="306" t="n"/>
      <c r="M2224" s="306" t="n"/>
      <c r="N2224" s="306" t="n"/>
      <c r="O2224" s="306" t="n"/>
      <c r="P2224" s="307">
        <f>$F2224*$H2224</f>
        <v/>
      </c>
      <c r="Q2224" s="306" t="n"/>
    </row>
    <row r="2225" ht="18.75" customHeight="1">
      <c r="B2225" s="288" t="n">
        <v>45533</v>
      </c>
      <c r="C2225" s="289" t="n">
        <v>1498</v>
      </c>
      <c r="D2225" s="290" t="inlineStr">
        <is>
          <t>Fisioterapi 2nd</t>
        </is>
      </c>
      <c r="E2225" s="306" t="inlineStr">
        <is>
          <t>-</t>
        </is>
      </c>
      <c r="F2225" s="307" t="n">
        <v>285000</v>
      </c>
      <c r="G2225" s="289" t="inlineStr">
        <is>
          <t>IDR</t>
        </is>
      </c>
      <c r="H2225" s="293" t="n">
        <v>1</v>
      </c>
      <c r="I2225" s="306" t="n"/>
      <c r="J2225" s="306" t="n"/>
      <c r="K2225" s="306" t="n"/>
      <c r="L2225" s="306" t="n"/>
      <c r="M2225" s="306" t="n"/>
      <c r="N2225" s="306" t="n"/>
      <c r="O2225" s="306" t="n"/>
      <c r="P2225" s="307">
        <f>$F2225*$H2225</f>
        <v/>
      </c>
      <c r="Q2225" s="306" t="n"/>
    </row>
    <row r="2226" ht="18.75" customHeight="1">
      <c r="B2226" s="288" t="n">
        <v>45533</v>
      </c>
      <c r="C2226" s="289" t="n">
        <v>1499</v>
      </c>
      <c r="D2226" s="290" t="inlineStr">
        <is>
          <t>Fisioterapi 2nd</t>
        </is>
      </c>
      <c r="E2226" s="306" t="inlineStr">
        <is>
          <t>-</t>
        </is>
      </c>
      <c r="F2226" s="307" t="n">
        <v>285000</v>
      </c>
      <c r="G2226" s="289" t="inlineStr">
        <is>
          <t>IDR</t>
        </is>
      </c>
      <c r="H2226" s="293" t="n">
        <v>1</v>
      </c>
      <c r="I2226" s="306" t="n"/>
      <c r="J2226" s="306" t="n"/>
      <c r="K2226" s="306" t="n"/>
      <c r="L2226" s="306" t="n"/>
      <c r="M2226" s="306" t="n"/>
      <c r="N2226" s="306" t="n"/>
      <c r="O2226" s="306" t="n"/>
      <c r="P2226" s="307">
        <f>$F2226*$H2226</f>
        <v/>
      </c>
      <c r="Q2226" s="306" t="n"/>
    </row>
    <row r="2227" ht="18.75" customHeight="1">
      <c r="B2227" s="288" t="n">
        <v>45533</v>
      </c>
      <c r="C2227" s="289" t="n">
        <v>1500</v>
      </c>
      <c r="D2227" s="290" t="inlineStr">
        <is>
          <t>Fisioterapi 2nd</t>
        </is>
      </c>
      <c r="E2227" s="306" t="inlineStr">
        <is>
          <t>-</t>
        </is>
      </c>
      <c r="F2227" s="307" t="n">
        <v>285000</v>
      </c>
      <c r="G2227" s="289" t="inlineStr">
        <is>
          <t>IDR</t>
        </is>
      </c>
      <c r="H2227" s="293" t="n">
        <v>1</v>
      </c>
      <c r="I2227" s="306" t="n"/>
      <c r="J2227" s="306" t="n"/>
      <c r="K2227" s="306" t="n"/>
      <c r="L2227" s="306" t="n"/>
      <c r="M2227" s="306" t="n"/>
      <c r="N2227" s="306" t="n"/>
      <c r="O2227" s="306" t="n"/>
      <c r="P2227" s="307">
        <f>$F2227*$H2227</f>
        <v/>
      </c>
      <c r="Q2227" s="306" t="n"/>
    </row>
    <row r="2228" ht="18.75" customHeight="1">
      <c r="B2228" s="288" t="n">
        <v>45534</v>
      </c>
      <c r="C2228" s="289" t="n">
        <v>1501</v>
      </c>
      <c r="D2228" s="290" t="inlineStr">
        <is>
          <t>Fisioterapi 3rd</t>
        </is>
      </c>
      <c r="E2228" s="306" t="inlineStr">
        <is>
          <t>-</t>
        </is>
      </c>
      <c r="F2228" s="307" t="n">
        <v>285000</v>
      </c>
      <c r="G2228" s="289" t="inlineStr">
        <is>
          <t>IDR</t>
        </is>
      </c>
      <c r="H2228" s="293" t="n">
        <v>1</v>
      </c>
      <c r="I2228" s="306" t="n"/>
      <c r="J2228" s="306" t="n"/>
      <c r="K2228" s="306" t="n"/>
      <c r="L2228" s="306" t="n"/>
      <c r="M2228" s="306" t="n"/>
      <c r="N2228" s="306" t="n"/>
      <c r="O2228" s="306" t="n"/>
      <c r="P2228" s="307">
        <f>$F2228*$H2228</f>
        <v/>
      </c>
      <c r="Q2228" s="306" t="n"/>
    </row>
    <row r="2229" ht="18.75" customHeight="1">
      <c r="B2229" s="288" t="n">
        <v>45534</v>
      </c>
      <c r="C2229" s="289" t="n">
        <v>1502</v>
      </c>
      <c r="D2229" s="290" t="inlineStr">
        <is>
          <t>Fisioterapi 3rd</t>
        </is>
      </c>
      <c r="E2229" s="306" t="inlineStr">
        <is>
          <t>-</t>
        </is>
      </c>
      <c r="F2229" s="307" t="n">
        <v>285000</v>
      </c>
      <c r="G2229" s="289" t="inlineStr">
        <is>
          <t>IDR</t>
        </is>
      </c>
      <c r="H2229" s="293" t="n">
        <v>1</v>
      </c>
      <c r="I2229" s="306" t="n"/>
      <c r="J2229" s="306" t="n"/>
      <c r="K2229" s="306" t="n"/>
      <c r="L2229" s="306" t="n"/>
      <c r="M2229" s="306" t="n"/>
      <c r="N2229" s="306" t="n"/>
      <c r="O2229" s="306" t="n"/>
      <c r="P2229" s="307">
        <f>$F2229*$H2229</f>
        <v/>
      </c>
      <c r="Q2229" s="306" t="n"/>
    </row>
    <row r="2230" ht="18.75" customHeight="1">
      <c r="B2230" s="288" t="n">
        <v>45534</v>
      </c>
      <c r="C2230" s="289" t="n">
        <v>1503</v>
      </c>
      <c r="D2230" s="290" t="inlineStr">
        <is>
          <t>Fisioterapi 3rd</t>
        </is>
      </c>
      <c r="E2230" s="306" t="inlineStr">
        <is>
          <t>-</t>
        </is>
      </c>
      <c r="F2230" s="307" t="n">
        <v>285000</v>
      </c>
      <c r="G2230" s="289" t="inlineStr">
        <is>
          <t>IDR</t>
        </is>
      </c>
      <c r="H2230" s="293" t="n">
        <v>1</v>
      </c>
      <c r="I2230" s="306" t="n"/>
      <c r="J2230" s="306" t="n"/>
      <c r="K2230" s="306" t="n"/>
      <c r="L2230" s="306" t="n"/>
      <c r="M2230" s="306" t="n"/>
      <c r="N2230" s="306" t="n"/>
      <c r="O2230" s="306" t="n"/>
      <c r="P2230" s="307">
        <f>$F2230*$H2230</f>
        <v/>
      </c>
      <c r="Q2230" s="306" t="n"/>
    </row>
    <row r="2231" ht="18.75" customHeight="1">
      <c r="B2231" s="288" t="n">
        <v>45534</v>
      </c>
      <c r="C2231" s="289" t="n">
        <v>1504</v>
      </c>
      <c r="D2231" s="290" t="inlineStr">
        <is>
          <t>Fisioterapi 3rd</t>
        </is>
      </c>
      <c r="E2231" s="306" t="inlineStr">
        <is>
          <t>-</t>
        </is>
      </c>
      <c r="F2231" s="307" t="n">
        <v>285000</v>
      </c>
      <c r="G2231" s="289" t="inlineStr">
        <is>
          <t>IDR</t>
        </is>
      </c>
      <c r="H2231" s="293" t="n">
        <v>1</v>
      </c>
      <c r="I2231" s="306" t="n"/>
      <c r="J2231" s="306" t="n"/>
      <c r="K2231" s="306" t="n"/>
      <c r="L2231" s="306" t="n"/>
      <c r="M2231" s="306" t="n"/>
      <c r="N2231" s="306" t="n"/>
      <c r="O2231" s="306" t="n"/>
      <c r="P2231" s="307">
        <f>$F2231*$H2231</f>
        <v/>
      </c>
      <c r="Q2231" s="306" t="n"/>
    </row>
    <row r="2232" ht="18.75" customHeight="1">
      <c r="B2232" s="288" t="n">
        <v>45536</v>
      </c>
      <c r="C2232" s="289" t="n">
        <v>1505</v>
      </c>
      <c r="D2232" s="290" t="inlineStr">
        <is>
          <t>medicine</t>
        </is>
      </c>
      <c r="E2232" s="306" t="inlineStr">
        <is>
          <t>-</t>
        </is>
      </c>
      <c r="F2232" s="307" t="n">
        <v>45000</v>
      </c>
      <c r="G2232" s="289" t="inlineStr">
        <is>
          <t>IDR</t>
        </is>
      </c>
      <c r="H2232" s="293" t="n">
        <v>1</v>
      </c>
      <c r="I2232" s="306" t="n"/>
      <c r="J2232" s="306" t="n"/>
      <c r="K2232" s="306" t="n"/>
      <c r="L2232" s="306" t="n"/>
      <c r="M2232" s="306" t="n"/>
      <c r="N2232" s="306" t="n"/>
      <c r="O2232" s="306" t="n"/>
      <c r="P2232" s="307">
        <f>$F2232*$H2232</f>
        <v/>
      </c>
      <c r="Q2232" s="306" t="n"/>
    </row>
    <row r="2233" ht="18.75" customHeight="1">
      <c r="B2233" s="288" t="n">
        <v>45536</v>
      </c>
      <c r="C2233" s="289" t="n">
        <v>1506</v>
      </c>
      <c r="D2233" s="290" t="inlineStr">
        <is>
          <t>medicine</t>
        </is>
      </c>
      <c r="E2233" s="306" t="inlineStr">
        <is>
          <t>-</t>
        </is>
      </c>
      <c r="F2233" s="307" t="n">
        <v>45000</v>
      </c>
      <c r="G2233" s="289" t="inlineStr">
        <is>
          <t>IDR</t>
        </is>
      </c>
      <c r="H2233" s="293" t="n">
        <v>1</v>
      </c>
      <c r="I2233" s="306" t="n"/>
      <c r="J2233" s="306" t="n"/>
      <c r="K2233" s="306" t="n"/>
      <c r="L2233" s="306" t="n"/>
      <c r="M2233" s="306" t="n"/>
      <c r="N2233" s="306" t="n"/>
      <c r="O2233" s="306" t="n"/>
      <c r="P2233" s="307">
        <f>$F2233*$H2233</f>
        <v/>
      </c>
      <c r="Q2233" s="306" t="n"/>
    </row>
    <row r="2234" ht="18.75" customHeight="1">
      <c r="B2234" s="288" t="n">
        <v>45536</v>
      </c>
      <c r="C2234" s="289" t="n">
        <v>1507</v>
      </c>
      <c r="D2234" s="290" t="inlineStr">
        <is>
          <t>medicine</t>
        </is>
      </c>
      <c r="E2234" s="306" t="inlineStr">
        <is>
          <t>-</t>
        </is>
      </c>
      <c r="F2234" s="307" t="n">
        <v>45000</v>
      </c>
      <c r="G2234" s="289" t="inlineStr">
        <is>
          <t>IDR</t>
        </is>
      </c>
      <c r="H2234" s="293" t="n">
        <v>1</v>
      </c>
      <c r="I2234" s="306" t="n"/>
      <c r="J2234" s="306" t="n"/>
      <c r="K2234" s="306" t="n"/>
      <c r="L2234" s="306" t="n"/>
      <c r="M2234" s="306" t="n"/>
      <c r="N2234" s="306" t="n"/>
      <c r="O2234" s="306" t="n"/>
      <c r="P2234" s="307">
        <f>$F2234*$H2234</f>
        <v/>
      </c>
      <c r="Q2234" s="306" t="n"/>
    </row>
    <row r="2235" ht="18.75" customHeight="1">
      <c r="B2235" s="288" t="n">
        <v>45536</v>
      </c>
      <c r="C2235" s="289" t="n">
        <v>1508</v>
      </c>
      <c r="D2235" s="290" t="inlineStr">
        <is>
          <t>medicine</t>
        </is>
      </c>
      <c r="E2235" s="306" t="inlineStr">
        <is>
          <t>-</t>
        </is>
      </c>
      <c r="F2235" s="307" t="n">
        <v>45000</v>
      </c>
      <c r="G2235" s="289" t="inlineStr">
        <is>
          <t>IDR</t>
        </is>
      </c>
      <c r="H2235" s="293" t="n">
        <v>1</v>
      </c>
      <c r="I2235" s="306" t="n"/>
      <c r="J2235" s="306" t="n"/>
      <c r="K2235" s="306" t="n"/>
      <c r="L2235" s="306" t="n"/>
      <c r="M2235" s="306" t="n"/>
      <c r="N2235" s="306" t="n"/>
      <c r="O2235" s="306" t="n"/>
      <c r="P2235" s="307">
        <f>$F2235*$H2235</f>
        <v/>
      </c>
      <c r="Q2235" s="306" t="n"/>
    </row>
    <row r="2236" ht="18.75" customHeight="1">
      <c r="B2236" s="288" t="n">
        <v>45537</v>
      </c>
      <c r="C2236" s="289" t="n">
        <v>1509</v>
      </c>
      <c r="D2236" s="290" t="inlineStr">
        <is>
          <t>Biaya Konsul Dokter Syaraf</t>
        </is>
      </c>
      <c r="E2236" s="306" t="inlineStr">
        <is>
          <t>-</t>
        </is>
      </c>
      <c r="F2236" s="307" t="n">
        <v>2906650</v>
      </c>
      <c r="G2236" s="289" t="inlineStr">
        <is>
          <t>IDR</t>
        </is>
      </c>
      <c r="H2236" s="293" t="n">
        <v>1</v>
      </c>
      <c r="I2236" s="306" t="n"/>
      <c r="J2236" s="306" t="n"/>
      <c r="K2236" s="306" t="n"/>
      <c r="L2236" s="306" t="n"/>
      <c r="M2236" s="306" t="n"/>
      <c r="N2236" s="306" t="n"/>
      <c r="O2236" s="306" t="n"/>
      <c r="P2236" s="307">
        <f>$F2236*$H2236</f>
        <v/>
      </c>
      <c r="Q2236" s="306" t="n"/>
    </row>
    <row r="2237" ht="18.75" customHeight="1">
      <c r="B2237" s="288" t="n">
        <v>45537</v>
      </c>
      <c r="C2237" s="289" t="n">
        <v>1510</v>
      </c>
      <c r="D2237" s="290" t="inlineStr">
        <is>
          <t>Biaya Konsul Dokter Syaraf</t>
        </is>
      </c>
      <c r="E2237" s="306" t="inlineStr">
        <is>
          <t>-</t>
        </is>
      </c>
      <c r="F2237" s="307" t="n">
        <v>2906650</v>
      </c>
      <c r="G2237" s="289" t="inlineStr">
        <is>
          <t>IDR</t>
        </is>
      </c>
      <c r="H2237" s="293" t="n">
        <v>1</v>
      </c>
      <c r="I2237" s="306" t="n"/>
      <c r="J2237" s="306" t="n"/>
      <c r="K2237" s="306" t="n"/>
      <c r="L2237" s="306" t="n"/>
      <c r="M2237" s="306" t="n"/>
      <c r="N2237" s="306" t="n"/>
      <c r="O2237" s="306" t="n"/>
      <c r="P2237" s="307">
        <f>$F2237*$H2237</f>
        <v/>
      </c>
      <c r="Q2237" s="306" t="n"/>
    </row>
    <row r="2238" ht="18.75" customHeight="1">
      <c r="B2238" s="288" t="n">
        <v>45537</v>
      </c>
      <c r="C2238" s="289" t="n">
        <v>1511</v>
      </c>
      <c r="D2238" s="290" t="inlineStr">
        <is>
          <t>Biaya Konsul Dokter Syaraf</t>
        </is>
      </c>
      <c r="E2238" s="306" t="inlineStr">
        <is>
          <t>-</t>
        </is>
      </c>
      <c r="F2238" s="307" t="n">
        <v>2906650</v>
      </c>
      <c r="G2238" s="289" t="inlineStr">
        <is>
          <t>IDR</t>
        </is>
      </c>
      <c r="H2238" s="293" t="n">
        <v>1</v>
      </c>
      <c r="I2238" s="306" t="n"/>
      <c r="J2238" s="306" t="n"/>
      <c r="K2238" s="306" t="n"/>
      <c r="L2238" s="306" t="n"/>
      <c r="M2238" s="306" t="n"/>
      <c r="N2238" s="306" t="n"/>
      <c r="O2238" s="306" t="n"/>
      <c r="P2238" s="307">
        <f>$F2238*$H2238</f>
        <v/>
      </c>
      <c r="Q2238" s="306" t="n"/>
    </row>
    <row r="2239" ht="18.75" customHeight="1">
      <c r="B2239" s="288" t="n">
        <v>45537</v>
      </c>
      <c r="C2239" s="289" t="n">
        <v>1512</v>
      </c>
      <c r="D2239" s="290" t="inlineStr">
        <is>
          <t>Biaya Konsul Dokter Syaraf</t>
        </is>
      </c>
      <c r="E2239" s="306" t="inlineStr">
        <is>
          <t>-</t>
        </is>
      </c>
      <c r="F2239" s="307" t="n">
        <v>2906650</v>
      </c>
      <c r="G2239" s="289" t="inlineStr">
        <is>
          <t>IDR</t>
        </is>
      </c>
      <c r="H2239" s="293" t="n">
        <v>1</v>
      </c>
      <c r="I2239" s="306" t="n"/>
      <c r="J2239" s="306" t="n"/>
      <c r="K2239" s="306" t="n"/>
      <c r="L2239" s="306" t="n"/>
      <c r="M2239" s="306" t="n"/>
      <c r="N2239" s="306" t="n"/>
      <c r="O2239" s="306" t="n"/>
      <c r="P2239" s="307">
        <f>$F2239*$H2239</f>
        <v/>
      </c>
      <c r="Q2239" s="306" t="n"/>
    </row>
    <row r="2240" ht="18.75" customHeight="1">
      <c r="B2240" s="288" t="n">
        <v>45547</v>
      </c>
      <c r="C2240" s="289" t="n">
        <v>1513</v>
      </c>
      <c r="D2240" s="290" t="inlineStr">
        <is>
          <t>Medicine</t>
        </is>
      </c>
      <c r="E2240" s="306" t="inlineStr">
        <is>
          <t>-</t>
        </is>
      </c>
      <c r="F2240" s="307" t="n">
        <v>241100</v>
      </c>
      <c r="G2240" s="289" t="inlineStr">
        <is>
          <t>IDR</t>
        </is>
      </c>
      <c r="H2240" s="293" t="n">
        <v>1</v>
      </c>
      <c r="I2240" s="306" t="n"/>
      <c r="J2240" s="306" t="n"/>
      <c r="K2240" s="306" t="n"/>
      <c r="L2240" s="306" t="n"/>
      <c r="M2240" s="306" t="n"/>
      <c r="N2240" s="306" t="n"/>
      <c r="O2240" s="306" t="n"/>
      <c r="P2240" s="307">
        <f>$F2240*$H2240</f>
        <v/>
      </c>
      <c r="Q2240" s="306" t="n"/>
    </row>
    <row r="2241" ht="18.75" customHeight="1">
      <c r="B2241" s="288" t="n">
        <v>45547</v>
      </c>
      <c r="C2241" s="289" t="n">
        <v>1514</v>
      </c>
      <c r="D2241" s="290" t="inlineStr">
        <is>
          <t>Medicine</t>
        </is>
      </c>
      <c r="E2241" s="306" t="inlineStr">
        <is>
          <t>-</t>
        </is>
      </c>
      <c r="F2241" s="307" t="n">
        <v>241100</v>
      </c>
      <c r="G2241" s="289" t="inlineStr">
        <is>
          <t>IDR</t>
        </is>
      </c>
      <c r="H2241" s="293" t="n">
        <v>1</v>
      </c>
      <c r="I2241" s="306" t="n"/>
      <c r="J2241" s="306" t="n"/>
      <c r="K2241" s="306" t="n"/>
      <c r="L2241" s="306" t="n"/>
      <c r="M2241" s="306" t="n"/>
      <c r="N2241" s="306" t="n"/>
      <c r="O2241" s="306" t="n"/>
      <c r="P2241" s="307">
        <f>$F2241*$H2241</f>
        <v/>
      </c>
      <c r="Q2241" s="306" t="n"/>
    </row>
    <row r="2242" ht="18.75" customHeight="1">
      <c r="B2242" s="288" t="n">
        <v>45547</v>
      </c>
      <c r="C2242" s="289" t="n">
        <v>1515</v>
      </c>
      <c r="D2242" s="290" t="inlineStr">
        <is>
          <t>Medicine</t>
        </is>
      </c>
      <c r="E2242" s="306" t="inlineStr">
        <is>
          <t>-</t>
        </is>
      </c>
      <c r="F2242" s="307" t="n">
        <v>241100</v>
      </c>
      <c r="G2242" s="289" t="inlineStr">
        <is>
          <t>IDR</t>
        </is>
      </c>
      <c r="H2242" s="293" t="n">
        <v>1</v>
      </c>
      <c r="I2242" s="306" t="n"/>
      <c r="J2242" s="306" t="n"/>
      <c r="K2242" s="306" t="n"/>
      <c r="L2242" s="306" t="n"/>
      <c r="M2242" s="306" t="n"/>
      <c r="N2242" s="306" t="n"/>
      <c r="O2242" s="306" t="n"/>
      <c r="P2242" s="307">
        <f>$F2242*$H2242</f>
        <v/>
      </c>
      <c r="Q2242" s="306" t="n"/>
    </row>
    <row r="2243" ht="18.75" customHeight="1">
      <c r="B2243" s="288" t="n">
        <v>45547</v>
      </c>
      <c r="C2243" s="289" t="n">
        <v>1516</v>
      </c>
      <c r="D2243" s="290" t="inlineStr">
        <is>
          <t>Medicine</t>
        </is>
      </c>
      <c r="E2243" s="306" t="inlineStr">
        <is>
          <t>-</t>
        </is>
      </c>
      <c r="F2243" s="307" t="n">
        <v>241100</v>
      </c>
      <c r="G2243" s="289" t="inlineStr">
        <is>
          <t>IDR</t>
        </is>
      </c>
      <c r="H2243" s="293" t="n">
        <v>1</v>
      </c>
      <c r="I2243" s="306" t="n"/>
      <c r="J2243" s="306" t="n"/>
      <c r="K2243" s="306" t="n"/>
      <c r="L2243" s="306" t="n"/>
      <c r="M2243" s="306" t="n"/>
      <c r="N2243" s="306" t="n"/>
      <c r="O2243" s="306" t="n"/>
      <c r="P2243" s="307">
        <f>$F2243*$H2243</f>
        <v/>
      </c>
      <c r="Q2243" s="306" t="n"/>
    </row>
    <row r="2244" ht="18.75" customHeight="1">
      <c r="B2244" s="288" t="n">
        <v>45566</v>
      </c>
      <c r="C2244" s="289" t="n">
        <v>1517</v>
      </c>
      <c r="D2244" s="290" t="inlineStr">
        <is>
          <t>Biaya Konsul ke 2, Dokter Jantung</t>
        </is>
      </c>
      <c r="E2244" s="306" t="inlineStr">
        <is>
          <t>-</t>
        </is>
      </c>
      <c r="F2244" s="307" t="n">
        <v>1370000</v>
      </c>
      <c r="G2244" s="289" t="inlineStr">
        <is>
          <t>IDR</t>
        </is>
      </c>
      <c r="H2244" s="293" t="n">
        <v>1</v>
      </c>
      <c r="I2244" s="306" t="n"/>
      <c r="J2244" s="306" t="n"/>
      <c r="K2244" s="306" t="n"/>
      <c r="L2244" s="306" t="n"/>
      <c r="M2244" s="306" t="n"/>
      <c r="N2244" s="306" t="n"/>
      <c r="O2244" s="306" t="n"/>
      <c r="P2244" s="307">
        <f>$F2244*$H2244</f>
        <v/>
      </c>
      <c r="Q2244" s="306" t="n"/>
    </row>
    <row r="2245" ht="18.75" customHeight="1">
      <c r="B2245" s="288" t="n">
        <v>45566</v>
      </c>
      <c r="C2245" s="289" t="n">
        <v>1518</v>
      </c>
      <c r="D2245" s="290" t="inlineStr">
        <is>
          <t>Biaya Konsul ke 2, Dokter Jantung</t>
        </is>
      </c>
      <c r="E2245" s="306" t="inlineStr">
        <is>
          <t>-</t>
        </is>
      </c>
      <c r="F2245" s="307" t="n">
        <v>1370000</v>
      </c>
      <c r="G2245" s="289" t="inlineStr">
        <is>
          <t>IDR</t>
        </is>
      </c>
      <c r="H2245" s="293" t="n">
        <v>1</v>
      </c>
      <c r="I2245" s="306" t="n"/>
      <c r="J2245" s="306" t="n"/>
      <c r="K2245" s="306" t="n"/>
      <c r="L2245" s="306" t="n"/>
      <c r="M2245" s="306" t="n"/>
      <c r="N2245" s="306" t="n"/>
      <c r="O2245" s="306" t="n"/>
      <c r="P2245" s="307">
        <f>$F2245*$H2245</f>
        <v/>
      </c>
      <c r="Q2245" s="306" t="n"/>
    </row>
    <row r="2246" ht="18.75" customHeight="1">
      <c r="B2246" s="288" t="n">
        <v>45566</v>
      </c>
      <c r="C2246" s="289" t="n">
        <v>1519</v>
      </c>
      <c r="D2246" s="290" t="inlineStr">
        <is>
          <t>Biaya Konsul ke 2, Dokter Jantung</t>
        </is>
      </c>
      <c r="E2246" s="306" t="inlineStr">
        <is>
          <t>-</t>
        </is>
      </c>
      <c r="F2246" s="307" t="n">
        <v>1370000</v>
      </c>
      <c r="G2246" s="289" t="inlineStr">
        <is>
          <t>IDR</t>
        </is>
      </c>
      <c r="H2246" s="293" t="n">
        <v>1</v>
      </c>
      <c r="I2246" s="306" t="n"/>
      <c r="J2246" s="306" t="n"/>
      <c r="K2246" s="306" t="n"/>
      <c r="L2246" s="306" t="n"/>
      <c r="M2246" s="306" t="n"/>
      <c r="N2246" s="306" t="n"/>
      <c r="O2246" s="306" t="n"/>
      <c r="P2246" s="307">
        <f>$F2246*$H2246</f>
        <v/>
      </c>
      <c r="Q2246" s="306" t="n"/>
    </row>
    <row r="2247" ht="18.75" customHeight="1">
      <c r="B2247" s="288" t="n">
        <v>45566</v>
      </c>
      <c r="C2247" s="289" t="n">
        <v>1520</v>
      </c>
      <c r="D2247" s="290" t="inlineStr">
        <is>
          <t>Biaya Konsul ke 2, Dokter Jantung</t>
        </is>
      </c>
      <c r="E2247" s="306" t="inlineStr">
        <is>
          <t>-</t>
        </is>
      </c>
      <c r="F2247" s="307" t="n">
        <v>1370000</v>
      </c>
      <c r="G2247" s="289" t="inlineStr">
        <is>
          <t>IDR</t>
        </is>
      </c>
      <c r="H2247" s="293" t="n">
        <v>1</v>
      </c>
      <c r="I2247" s="306" t="n"/>
      <c r="J2247" s="306" t="n"/>
      <c r="K2247" s="306" t="n"/>
      <c r="L2247" s="306" t="n"/>
      <c r="M2247" s="306" t="n"/>
      <c r="N2247" s="306" t="n"/>
      <c r="O2247" s="306" t="n"/>
      <c r="P2247" s="307">
        <f>$F2247*$H2247</f>
        <v/>
      </c>
      <c r="Q2247" s="306" t="n"/>
    </row>
    <row r="2248">
      <c r="B2248" s="312" t="n"/>
      <c r="C2248" s="312" t="n"/>
      <c r="D2248" s="285" t="inlineStr">
        <is>
          <t>Transportation</t>
        </is>
      </c>
      <c r="E2248" s="312" t="n"/>
      <c r="F2248" s="312" t="n"/>
      <c r="G2248" s="312" t="n"/>
      <c r="H2248" s="312" t="n"/>
      <c r="I2248" s="312" t="n"/>
      <c r="J2248" s="312" t="n"/>
      <c r="K2248" s="312" t="n"/>
      <c r="L2248" s="312" t="n"/>
      <c r="M2248" s="312" t="n"/>
      <c r="N2248" s="312" t="n"/>
      <c r="O2248" s="312" t="n"/>
      <c r="P2248" s="312" t="n"/>
      <c r="Q2248" s="312" t="n"/>
    </row>
    <row r="2249" ht="18.75" customHeight="1">
      <c r="B2249" s="288" t="n">
        <v>45520</v>
      </c>
      <c r="C2249" s="289" t="n">
        <v>1521</v>
      </c>
      <c r="D2249" s="290" t="inlineStr">
        <is>
          <t>Pengiriman dokumen ke Yulia - LBU</t>
        </is>
      </c>
      <c r="E2249" s="306" t="inlineStr">
        <is>
          <t>-</t>
        </is>
      </c>
      <c r="F2249" s="307" t="n">
        <v>18000</v>
      </c>
      <c r="G2249" s="289" t="inlineStr">
        <is>
          <t>IDR</t>
        </is>
      </c>
      <c r="H2249" s="293" t="n">
        <v>1</v>
      </c>
      <c r="I2249" s="306" t="n"/>
      <c r="J2249" s="306" t="n"/>
      <c r="K2249" s="306" t="n"/>
      <c r="L2249" s="307">
        <f>$F2249*$H2249</f>
        <v/>
      </c>
      <c r="M2249" s="306" t="n"/>
      <c r="N2249" s="306" t="n"/>
      <c r="O2249" s="306" t="n"/>
      <c r="P2249" s="306" t="n"/>
      <c r="Q2249" s="306" t="n"/>
    </row>
    <row r="2250" ht="18.75" customHeight="1">
      <c r="B2250" s="288" t="n">
        <v>45520</v>
      </c>
      <c r="C2250" s="289" t="n">
        <v>1522</v>
      </c>
      <c r="D2250" s="290" t="inlineStr">
        <is>
          <t>Pengiriman dokumen ke Yulia - LBU</t>
        </is>
      </c>
      <c r="E2250" s="306" t="inlineStr">
        <is>
          <t>-</t>
        </is>
      </c>
      <c r="F2250" s="307" t="n">
        <v>18000</v>
      </c>
      <c r="G2250" s="289" t="inlineStr">
        <is>
          <t>IDR</t>
        </is>
      </c>
      <c r="H2250" s="293" t="n">
        <v>1</v>
      </c>
      <c r="I2250" s="306" t="n"/>
      <c r="J2250" s="306" t="n"/>
      <c r="K2250" s="306" t="n"/>
      <c r="L2250" s="307">
        <f>$F2250*$H2250</f>
        <v/>
      </c>
      <c r="M2250" s="306" t="n"/>
      <c r="N2250" s="306" t="n"/>
      <c r="O2250" s="306" t="n"/>
      <c r="P2250" s="306" t="n"/>
      <c r="Q2250" s="306" t="n"/>
    </row>
    <row r="2251" ht="18.75" customHeight="1">
      <c r="B2251" s="288" t="n">
        <v>45520</v>
      </c>
      <c r="C2251" s="289" t="n">
        <v>1523</v>
      </c>
      <c r="D2251" s="290" t="inlineStr">
        <is>
          <t>Pengiriman dokumen ke Yulia - LBU</t>
        </is>
      </c>
      <c r="E2251" s="306" t="inlineStr">
        <is>
          <t>-</t>
        </is>
      </c>
      <c r="F2251" s="307" t="n">
        <v>18000</v>
      </c>
      <c r="G2251" s="289" t="inlineStr">
        <is>
          <t>IDR</t>
        </is>
      </c>
      <c r="H2251" s="293" t="n">
        <v>1</v>
      </c>
      <c r="I2251" s="306" t="n"/>
      <c r="J2251" s="306" t="n"/>
      <c r="K2251" s="306" t="n"/>
      <c r="L2251" s="307">
        <f>$F2251*$H2251</f>
        <v/>
      </c>
      <c r="M2251" s="306" t="n"/>
      <c r="N2251" s="306" t="n"/>
      <c r="O2251" s="306" t="n"/>
      <c r="P2251" s="306" t="n"/>
      <c r="Q2251" s="306" t="n"/>
    </row>
    <row r="2252" ht="18.75" customHeight="1">
      <c r="B2252" s="288" t="n">
        <v>45520</v>
      </c>
      <c r="C2252" s="289" t="n">
        <v>1524</v>
      </c>
      <c r="D2252" s="290" t="inlineStr">
        <is>
          <t>Pengiriman dokumen ke Yulia - LBU</t>
        </is>
      </c>
      <c r="E2252" s="306" t="inlineStr">
        <is>
          <t>-</t>
        </is>
      </c>
      <c r="F2252" s="307" t="n">
        <v>18000</v>
      </c>
      <c r="G2252" s="289" t="inlineStr">
        <is>
          <t>IDR</t>
        </is>
      </c>
      <c r="H2252" s="293" t="n">
        <v>1</v>
      </c>
      <c r="I2252" s="306" t="n"/>
      <c r="J2252" s="306" t="n"/>
      <c r="K2252" s="306" t="n"/>
      <c r="L2252" s="307">
        <f>$F2252*$H2252</f>
        <v/>
      </c>
      <c r="M2252" s="306" t="n"/>
      <c r="N2252" s="306" t="n"/>
      <c r="O2252" s="306" t="n"/>
      <c r="P2252" s="306" t="n"/>
      <c r="Q2252" s="306" t="n"/>
    </row>
    <row r="2253" ht="18.75" customHeight="1">
      <c r="B2253" s="288" t="n">
        <v>45537</v>
      </c>
      <c r="C2253" s="289" t="n">
        <v>1525</v>
      </c>
      <c r="D2253" s="290" t="inlineStr">
        <is>
          <t>Pengiriman dokumen ke Yufitri</t>
        </is>
      </c>
      <c r="E2253" s="306" t="inlineStr">
        <is>
          <t>-</t>
        </is>
      </c>
      <c r="F2253" s="307" t="n">
        <v>10000</v>
      </c>
      <c r="G2253" s="289" t="inlineStr">
        <is>
          <t>IDR</t>
        </is>
      </c>
      <c r="H2253" s="293" t="n">
        <v>1</v>
      </c>
      <c r="I2253" s="306" t="n"/>
      <c r="J2253" s="306" t="n"/>
      <c r="K2253" s="306" t="n"/>
      <c r="L2253" s="307">
        <f>$F2253*$H2253</f>
        <v/>
      </c>
      <c r="M2253" s="306" t="n"/>
      <c r="N2253" s="306" t="n"/>
      <c r="O2253" s="306" t="n"/>
      <c r="P2253" s="306" t="n"/>
      <c r="Q2253" s="306" t="n"/>
    </row>
    <row r="2254" ht="18.75" customHeight="1">
      <c r="B2254" s="288" t="n">
        <v>45537</v>
      </c>
      <c r="C2254" s="289" t="n">
        <v>1526</v>
      </c>
      <c r="D2254" s="290" t="inlineStr">
        <is>
          <t>Pengiriman dokumen ke Rachmansyah-Sijak</t>
        </is>
      </c>
      <c r="E2254" s="306" t="inlineStr">
        <is>
          <t>-</t>
        </is>
      </c>
      <c r="F2254" s="307" t="n">
        <v>18000</v>
      </c>
      <c r="G2254" s="289" t="inlineStr">
        <is>
          <t>IDR</t>
        </is>
      </c>
      <c r="H2254" s="293" t="n">
        <v>1</v>
      </c>
      <c r="I2254" s="306" t="n"/>
      <c r="J2254" s="306" t="n"/>
      <c r="K2254" s="306" t="n"/>
      <c r="L2254" s="307">
        <f>$F2254*$H2254</f>
        <v/>
      </c>
      <c r="M2254" s="306" t="n"/>
      <c r="N2254" s="306" t="n"/>
      <c r="O2254" s="306" t="n"/>
      <c r="P2254" s="306" t="n"/>
      <c r="Q2254" s="306" t="n"/>
    </row>
    <row r="2255" ht="18.75" customHeight="1">
      <c r="B2255" s="288" t="n">
        <v>45537</v>
      </c>
      <c r="C2255" s="289" t="n">
        <v>1527</v>
      </c>
      <c r="D2255" s="290" t="inlineStr">
        <is>
          <t>Pengiriman dokumen ke Yufitri</t>
        </is>
      </c>
      <c r="E2255" s="306" t="inlineStr">
        <is>
          <t>-</t>
        </is>
      </c>
      <c r="F2255" s="307" t="n">
        <v>10000</v>
      </c>
      <c r="G2255" s="289" t="inlineStr">
        <is>
          <t>IDR</t>
        </is>
      </c>
      <c r="H2255" s="293" t="n">
        <v>1</v>
      </c>
      <c r="I2255" s="306" t="n"/>
      <c r="J2255" s="306" t="n"/>
      <c r="K2255" s="306" t="n"/>
      <c r="L2255" s="307">
        <f>$F2255*$H2255</f>
        <v/>
      </c>
      <c r="M2255" s="306" t="n"/>
      <c r="N2255" s="306" t="n"/>
      <c r="O2255" s="306" t="n"/>
      <c r="P2255" s="306" t="n"/>
      <c r="Q2255" s="306" t="n"/>
    </row>
    <row r="2256" ht="18.75" customHeight="1">
      <c r="B2256" s="288" t="n">
        <v>45537</v>
      </c>
      <c r="C2256" s="289" t="n">
        <v>1528</v>
      </c>
      <c r="D2256" s="290" t="inlineStr">
        <is>
          <t>Pengiriman dokumen ke Rachmansyah-Sijak</t>
        </is>
      </c>
      <c r="E2256" s="306" t="inlineStr">
        <is>
          <t>-</t>
        </is>
      </c>
      <c r="F2256" s="307" t="n">
        <v>18000</v>
      </c>
      <c r="G2256" s="289" t="inlineStr">
        <is>
          <t>IDR</t>
        </is>
      </c>
      <c r="H2256" s="293" t="n">
        <v>1</v>
      </c>
      <c r="I2256" s="306" t="n"/>
      <c r="J2256" s="306" t="n"/>
      <c r="K2256" s="306" t="n"/>
      <c r="L2256" s="307">
        <f>$F2256*$H2256</f>
        <v/>
      </c>
      <c r="M2256" s="306" t="n"/>
      <c r="N2256" s="306" t="n"/>
      <c r="O2256" s="306" t="n"/>
      <c r="P2256" s="306" t="n"/>
      <c r="Q2256" s="306" t="n"/>
    </row>
    <row r="2257" ht="18.75" customHeight="1">
      <c r="B2257" s="288" t="n">
        <v>45537</v>
      </c>
      <c r="C2257" s="289" t="n">
        <v>1529</v>
      </c>
      <c r="D2257" s="290" t="inlineStr">
        <is>
          <t>Pengiriman dokumen ke Yufitri</t>
        </is>
      </c>
      <c r="E2257" s="306" t="inlineStr">
        <is>
          <t>-</t>
        </is>
      </c>
      <c r="F2257" s="307" t="n">
        <v>10000</v>
      </c>
      <c r="G2257" s="289" t="inlineStr">
        <is>
          <t>IDR</t>
        </is>
      </c>
      <c r="H2257" s="293" t="n">
        <v>1</v>
      </c>
      <c r="I2257" s="306" t="n"/>
      <c r="J2257" s="306" t="n"/>
      <c r="K2257" s="306" t="n"/>
      <c r="L2257" s="307">
        <f>$F2257*$H2257</f>
        <v/>
      </c>
      <c r="M2257" s="306" t="n"/>
      <c r="N2257" s="306" t="n"/>
      <c r="O2257" s="306" t="n"/>
      <c r="P2257" s="306" t="n"/>
      <c r="Q2257" s="306" t="n"/>
    </row>
    <row r="2258" ht="18.75" customHeight="1">
      <c r="B2258" s="288" t="n">
        <v>45537</v>
      </c>
      <c r="C2258" s="289" t="n">
        <v>1530</v>
      </c>
      <c r="D2258" s="290" t="inlineStr">
        <is>
          <t>Pengiriman dokumen ke Rachmansyah-Sijak</t>
        </is>
      </c>
      <c r="E2258" s="306" t="inlineStr">
        <is>
          <t>-</t>
        </is>
      </c>
      <c r="F2258" s="307" t="n">
        <v>18000</v>
      </c>
      <c r="G2258" s="289" t="inlineStr">
        <is>
          <t>IDR</t>
        </is>
      </c>
      <c r="H2258" s="293" t="n">
        <v>1</v>
      </c>
      <c r="I2258" s="306" t="n"/>
      <c r="J2258" s="306" t="n"/>
      <c r="K2258" s="306" t="n"/>
      <c r="L2258" s="307">
        <f>$F2258*$H2258</f>
        <v/>
      </c>
      <c r="M2258" s="306" t="n"/>
      <c r="N2258" s="306" t="n"/>
      <c r="O2258" s="306" t="n"/>
      <c r="P2258" s="306" t="n"/>
      <c r="Q2258" s="306" t="n"/>
    </row>
    <row r="2259" ht="18.75" customHeight="1">
      <c r="B2259" s="288" t="n">
        <v>45537</v>
      </c>
      <c r="C2259" s="289" t="n">
        <v>1531</v>
      </c>
      <c r="D2259" s="290" t="inlineStr">
        <is>
          <t>Pengiriman dokumen ke Yufitri</t>
        </is>
      </c>
      <c r="E2259" s="306" t="inlineStr">
        <is>
          <t>-</t>
        </is>
      </c>
      <c r="F2259" s="307" t="n">
        <v>10000</v>
      </c>
      <c r="G2259" s="289" t="inlineStr">
        <is>
          <t>IDR</t>
        </is>
      </c>
      <c r="H2259" s="293" t="n">
        <v>1</v>
      </c>
      <c r="I2259" s="306" t="n"/>
      <c r="J2259" s="306" t="n"/>
      <c r="K2259" s="306" t="n"/>
      <c r="L2259" s="307">
        <f>$F2259*$H2259</f>
        <v/>
      </c>
      <c r="M2259" s="306" t="n"/>
      <c r="N2259" s="306" t="n"/>
      <c r="O2259" s="306" t="n"/>
      <c r="P2259" s="306" t="n"/>
      <c r="Q2259" s="306" t="n"/>
    </row>
    <row r="2260" ht="18.75" customHeight="1">
      <c r="B2260" s="288" t="n">
        <v>45537</v>
      </c>
      <c r="C2260" s="289" t="n">
        <v>1532</v>
      </c>
      <c r="D2260" s="290" t="inlineStr">
        <is>
          <t>Pengiriman dokumen ke Rachmansyah-Sijak</t>
        </is>
      </c>
      <c r="E2260" s="306" t="inlineStr">
        <is>
          <t>-</t>
        </is>
      </c>
      <c r="F2260" s="307" t="n">
        <v>18000</v>
      </c>
      <c r="G2260" s="289" t="inlineStr">
        <is>
          <t>IDR</t>
        </is>
      </c>
      <c r="H2260" s="293" t="n">
        <v>1</v>
      </c>
      <c r="I2260" s="306" t="n"/>
      <c r="J2260" s="306" t="n"/>
      <c r="K2260" s="306" t="n"/>
      <c r="L2260" s="307">
        <f>$F2260*$H2260</f>
        <v/>
      </c>
      <c r="M2260" s="306" t="n"/>
      <c r="N2260" s="306" t="n"/>
      <c r="O2260" s="306" t="n"/>
      <c r="P2260" s="306" t="n"/>
      <c r="Q2260" s="306" t="n"/>
    </row>
    <row r="2261">
      <c r="B2261" s="310" t="inlineStr">
        <is>
          <t>Expense#37</t>
        </is>
      </c>
      <c r="C2261" s="311" t="inlineStr">
        <is>
          <t>:</t>
        </is>
      </c>
      <c r="D2261" s="310" t="inlineStr">
        <is>
          <t>MTD SKW-26_sukowati_TMA</t>
        </is>
      </c>
      <c r="E2261" s="311" t="n"/>
      <c r="F2261" s="311" t="n"/>
      <c r="G2261" s="311" t="n"/>
      <c r="H2261" s="311" t="n"/>
      <c r="I2261" s="311" t="n"/>
      <c r="J2261" s="311" t="n"/>
      <c r="K2261" s="311" t="n"/>
      <c r="L2261" s="311" t="n"/>
      <c r="M2261" s="311" t="n"/>
      <c r="N2261" s="311" t="n"/>
      <c r="O2261" s="311" t="n"/>
      <c r="P2261" s="311" t="n"/>
      <c r="Q2261" s="311" t="n"/>
    </row>
    <row r="2262">
      <c r="B2262" s="312" t="n"/>
      <c r="C2262" s="312" t="n"/>
      <c r="D2262" s="285" t="inlineStr">
        <is>
          <t>Accommodation</t>
        </is>
      </c>
      <c r="E2262" s="312" t="n"/>
      <c r="F2262" s="312" t="n"/>
      <c r="G2262" s="312" t="n"/>
      <c r="H2262" s="312" t="n"/>
      <c r="I2262" s="312" t="n"/>
      <c r="J2262" s="312" t="n"/>
      <c r="K2262" s="312" t="n"/>
      <c r="L2262" s="312" t="n"/>
      <c r="M2262" s="312" t="n"/>
      <c r="N2262" s="312" t="n"/>
      <c r="O2262" s="312" t="n"/>
      <c r="P2262" s="312" t="n"/>
      <c r="Q2262" s="312" t="n"/>
    </row>
    <row r="2263" ht="18.75" customHeight="1">
      <c r="B2263" s="288" t="n">
        <v>45558</v>
      </c>
      <c r="C2263" s="289" t="n">
        <v>1533</v>
      </c>
      <c r="D2263" s="290" t="inlineStr">
        <is>
          <t>Hotel 23 Sept - 26 Sept (3 days)</t>
        </is>
      </c>
      <c r="E2263" s="306" t="inlineStr">
        <is>
          <t>-</t>
        </is>
      </c>
      <c r="F2263" s="307" t="n">
        <v>1584184</v>
      </c>
      <c r="G2263" s="289" t="inlineStr">
        <is>
          <t>IDR</t>
        </is>
      </c>
      <c r="H2263" s="293" t="n">
        <v>1</v>
      </c>
      <c r="I2263" s="306" t="n"/>
      <c r="J2263" s="306" t="n"/>
      <c r="K2263" s="306" t="n"/>
      <c r="L2263" s="307">
        <f>$F2263*$H2263</f>
        <v/>
      </c>
      <c r="M2263" s="306" t="n"/>
      <c r="N2263" s="306" t="n"/>
      <c r="O2263" s="306" t="n"/>
      <c r="P2263" s="306" t="n"/>
      <c r="Q2263" s="306" t="n"/>
    </row>
    <row r="2264" ht="18.75" customHeight="1">
      <c r="B2264" s="288" t="n">
        <v>45558</v>
      </c>
      <c r="C2264" s="289" t="n">
        <v>1534</v>
      </c>
      <c r="D2264" s="290" t="inlineStr">
        <is>
          <t>Hotel 23 Sept - 26 Sept (3 days)</t>
        </is>
      </c>
      <c r="E2264" s="306" t="inlineStr">
        <is>
          <t>-</t>
        </is>
      </c>
      <c r="F2264" s="307" t="n">
        <v>1584184</v>
      </c>
      <c r="G2264" s="289" t="inlineStr">
        <is>
          <t>IDR</t>
        </is>
      </c>
      <c r="H2264" s="293" t="n">
        <v>1</v>
      </c>
      <c r="I2264" s="306" t="n"/>
      <c r="J2264" s="306" t="n"/>
      <c r="K2264" s="306" t="n"/>
      <c r="L2264" s="307">
        <f>$F2264*$H2264</f>
        <v/>
      </c>
      <c r="M2264" s="306" t="n"/>
      <c r="N2264" s="306" t="n"/>
      <c r="O2264" s="306" t="n"/>
      <c r="P2264" s="306" t="n"/>
      <c r="Q2264" s="306" t="n"/>
    </row>
    <row r="2265" ht="18.75" customHeight="1">
      <c r="B2265" s="288" t="n">
        <v>45558</v>
      </c>
      <c r="C2265" s="289" t="n">
        <v>1535</v>
      </c>
      <c r="D2265" s="290" t="inlineStr">
        <is>
          <t>Hotel 23 Sept - 26 Sept (3 days)</t>
        </is>
      </c>
      <c r="E2265" s="306" t="inlineStr">
        <is>
          <t>-</t>
        </is>
      </c>
      <c r="F2265" s="307" t="n">
        <v>1584184</v>
      </c>
      <c r="G2265" s="289" t="inlineStr">
        <is>
          <t>IDR</t>
        </is>
      </c>
      <c r="H2265" s="293" t="n">
        <v>1</v>
      </c>
      <c r="I2265" s="306" t="n"/>
      <c r="J2265" s="306" t="n"/>
      <c r="K2265" s="306" t="n"/>
      <c r="L2265" s="307">
        <f>$F2265*$H2265</f>
        <v/>
      </c>
      <c r="M2265" s="306" t="n"/>
      <c r="N2265" s="306" t="n"/>
      <c r="O2265" s="306" t="n"/>
      <c r="P2265" s="306" t="n"/>
      <c r="Q2265" s="306" t="n"/>
    </row>
    <row r="2266" ht="18.75" customHeight="1">
      <c r="B2266" s="288" t="n">
        <v>45558</v>
      </c>
      <c r="C2266" s="289" t="n">
        <v>1536</v>
      </c>
      <c r="D2266" s="290" t="inlineStr">
        <is>
          <t>Hotel 23 Sept - 26 Sept (3 days)</t>
        </is>
      </c>
      <c r="E2266" s="306" t="inlineStr">
        <is>
          <t>-</t>
        </is>
      </c>
      <c r="F2266" s="307" t="n">
        <v>1584184</v>
      </c>
      <c r="G2266" s="289" t="inlineStr">
        <is>
          <t>IDR</t>
        </is>
      </c>
      <c r="H2266" s="293" t="n">
        <v>1</v>
      </c>
      <c r="I2266" s="306" t="n"/>
      <c r="J2266" s="306" t="n"/>
      <c r="K2266" s="306" t="n"/>
      <c r="L2266" s="307">
        <f>$F2266*$H2266</f>
        <v/>
      </c>
      <c r="M2266" s="306" t="n"/>
      <c r="N2266" s="306" t="n"/>
      <c r="O2266" s="306" t="n"/>
      <c r="P2266" s="306" t="n"/>
      <c r="Q2266" s="306" t="n"/>
    </row>
    <row r="2267">
      <c r="B2267" s="312" t="n"/>
      <c r="C2267" s="312" t="n"/>
      <c r="D2267" s="285" t="inlineStr">
        <is>
          <t>Allowance</t>
        </is>
      </c>
      <c r="E2267" s="312" t="n"/>
      <c r="F2267" s="312" t="n"/>
      <c r="G2267" s="312" t="n"/>
      <c r="H2267" s="312" t="n"/>
      <c r="I2267" s="312" t="n"/>
      <c r="J2267" s="312" t="n"/>
      <c r="K2267" s="312" t="n"/>
      <c r="L2267" s="312" t="n"/>
      <c r="M2267" s="312" t="n"/>
      <c r="N2267" s="312" t="n"/>
      <c r="O2267" s="312" t="n"/>
      <c r="P2267" s="312" t="n"/>
      <c r="Q2267" s="312" t="n"/>
    </row>
    <row r="2268" ht="18.75" customHeight="1">
      <c r="B2268" s="288" t="n">
        <v>45558</v>
      </c>
      <c r="C2268" s="289" t="n">
        <v>1537</v>
      </c>
      <c r="D2268" s="290" t="inlineStr">
        <is>
          <t>Field Allowance</t>
        </is>
      </c>
      <c r="E2268" s="306" t="inlineStr">
        <is>
          <t>-</t>
        </is>
      </c>
      <c r="F2268" s="307" t="n">
        <v>500</v>
      </c>
      <c r="G2268" s="289" t="inlineStr">
        <is>
          <t>USD</t>
        </is>
      </c>
      <c r="H2268" s="293" t="n">
        <v>15231</v>
      </c>
      <c r="I2268" s="306" t="n"/>
      <c r="J2268" s="306" t="n"/>
      <c r="K2268" s="306" t="n"/>
      <c r="L2268" s="307">
        <f>$F2268*$H2268</f>
        <v/>
      </c>
      <c r="M2268" s="306" t="n"/>
      <c r="N2268" s="306" t="n"/>
      <c r="O2268" s="306" t="n"/>
      <c r="P2268" s="306" t="n"/>
      <c r="Q2268" s="306" t="n"/>
    </row>
    <row r="2269" ht="18.75" customHeight="1">
      <c r="B2269" s="288" t="n">
        <v>45558</v>
      </c>
      <c r="C2269" s="289" t="n">
        <v>1538</v>
      </c>
      <c r="D2269" s="290" t="inlineStr">
        <is>
          <t>Field Allowance</t>
        </is>
      </c>
      <c r="E2269" s="306" t="inlineStr">
        <is>
          <t>-</t>
        </is>
      </c>
      <c r="F2269" s="307" t="n">
        <v>500</v>
      </c>
      <c r="G2269" s="289" t="inlineStr">
        <is>
          <t>USD</t>
        </is>
      </c>
      <c r="H2269" s="293" t="n">
        <v>15231</v>
      </c>
      <c r="I2269" s="306" t="n"/>
      <c r="J2269" s="306" t="n"/>
      <c r="K2269" s="306" t="n"/>
      <c r="L2269" s="307">
        <f>$F2269*$H2269</f>
        <v/>
      </c>
      <c r="M2269" s="306" t="n"/>
      <c r="N2269" s="306" t="n"/>
      <c r="O2269" s="306" t="n"/>
      <c r="P2269" s="306" t="n"/>
      <c r="Q2269" s="306" t="n"/>
    </row>
    <row r="2270" ht="18.75" customHeight="1">
      <c r="B2270" s="288" t="n">
        <v>45558</v>
      </c>
      <c r="C2270" s="289" t="n">
        <v>1539</v>
      </c>
      <c r="D2270" s="290" t="inlineStr">
        <is>
          <t>Field Allowance</t>
        </is>
      </c>
      <c r="E2270" s="306" t="inlineStr">
        <is>
          <t>-</t>
        </is>
      </c>
      <c r="F2270" s="307" t="n">
        <v>500</v>
      </c>
      <c r="G2270" s="289" t="inlineStr">
        <is>
          <t>USD</t>
        </is>
      </c>
      <c r="H2270" s="293" t="n">
        <v>15231</v>
      </c>
      <c r="I2270" s="306" t="n"/>
      <c r="J2270" s="306" t="n"/>
      <c r="K2270" s="306" t="n"/>
      <c r="L2270" s="307">
        <f>$F2270*$H2270</f>
        <v/>
      </c>
      <c r="M2270" s="306" t="n"/>
      <c r="N2270" s="306" t="n"/>
      <c r="O2270" s="306" t="n"/>
      <c r="P2270" s="306" t="n"/>
      <c r="Q2270" s="306" t="n"/>
    </row>
    <row r="2271" ht="18.75" customHeight="1">
      <c r="B2271" s="288" t="n">
        <v>45558</v>
      </c>
      <c r="C2271" s="289" t="n">
        <v>1540</v>
      </c>
      <c r="D2271" s="290" t="inlineStr">
        <is>
          <t>Field Allowance</t>
        </is>
      </c>
      <c r="E2271" s="306" t="inlineStr">
        <is>
          <t>-</t>
        </is>
      </c>
      <c r="F2271" s="307" t="n">
        <v>500</v>
      </c>
      <c r="G2271" s="289" t="inlineStr">
        <is>
          <t>USD</t>
        </is>
      </c>
      <c r="H2271" s="293" t="n">
        <v>15231</v>
      </c>
      <c r="I2271" s="306" t="n"/>
      <c r="J2271" s="306" t="n"/>
      <c r="K2271" s="306" t="n"/>
      <c r="L2271" s="307">
        <f>$F2271*$H2271</f>
        <v/>
      </c>
      <c r="M2271" s="306" t="n"/>
      <c r="N2271" s="306" t="n"/>
      <c r="O2271" s="306" t="n"/>
      <c r="P2271" s="306" t="n"/>
      <c r="Q2271" s="306" t="n"/>
    </row>
    <row r="2272">
      <c r="B2272" s="312" t="n"/>
      <c r="C2272" s="312" t="n"/>
      <c r="D2272" s="285" t="inlineStr">
        <is>
          <t>Laundry</t>
        </is>
      </c>
      <c r="E2272" s="312" t="n"/>
      <c r="F2272" s="312" t="n"/>
      <c r="G2272" s="312" t="n"/>
      <c r="H2272" s="312" t="n"/>
      <c r="I2272" s="312" t="n"/>
      <c r="J2272" s="312" t="n"/>
      <c r="K2272" s="312" t="n"/>
      <c r="L2272" s="312" t="n"/>
      <c r="M2272" s="312" t="n"/>
      <c r="N2272" s="312" t="n"/>
      <c r="O2272" s="312" t="n"/>
      <c r="P2272" s="312" t="n"/>
      <c r="Q2272" s="312" t="n"/>
    </row>
    <row r="2273" ht="18.75" customHeight="1">
      <c r="B2273" s="288" t="n">
        <v>45558</v>
      </c>
      <c r="C2273" s="289" t="n">
        <v>1541</v>
      </c>
      <c r="D2273" s="290" t="inlineStr">
        <is>
          <t>Laundry 6 days 1 Persons @ 50K IDR/day</t>
        </is>
      </c>
      <c r="E2273" s="306" t="inlineStr">
        <is>
          <t>-</t>
        </is>
      </c>
      <c r="F2273" s="307" t="n">
        <v>250000</v>
      </c>
      <c r="G2273" s="289" t="inlineStr">
        <is>
          <t>IDR</t>
        </is>
      </c>
      <c r="H2273" s="293" t="n">
        <v>1</v>
      </c>
      <c r="I2273" s="306" t="n"/>
      <c r="J2273" s="306" t="n"/>
      <c r="K2273" s="306" t="n"/>
      <c r="L2273" s="307">
        <f>$F2273*$H2273</f>
        <v/>
      </c>
      <c r="M2273" s="306" t="n"/>
      <c r="N2273" s="306" t="n"/>
      <c r="O2273" s="306" t="n"/>
      <c r="P2273" s="306" t="n"/>
      <c r="Q2273" s="306" t="n"/>
    </row>
    <row r="2274" ht="18.75" customHeight="1">
      <c r="B2274" s="288" t="n">
        <v>45558</v>
      </c>
      <c r="C2274" s="289" t="n">
        <v>1542</v>
      </c>
      <c r="D2274" s="290" t="inlineStr">
        <is>
          <t>Laundry 6 days 1 Persons @ 50K IDR/day</t>
        </is>
      </c>
      <c r="E2274" s="306" t="inlineStr">
        <is>
          <t>-</t>
        </is>
      </c>
      <c r="F2274" s="307" t="n">
        <v>250000</v>
      </c>
      <c r="G2274" s="289" t="inlineStr">
        <is>
          <t>IDR</t>
        </is>
      </c>
      <c r="H2274" s="293" t="n">
        <v>1</v>
      </c>
      <c r="I2274" s="306" t="n"/>
      <c r="J2274" s="306" t="n"/>
      <c r="K2274" s="306" t="n"/>
      <c r="L2274" s="307">
        <f>$F2274*$H2274</f>
        <v/>
      </c>
      <c r="M2274" s="306" t="n"/>
      <c r="N2274" s="306" t="n"/>
      <c r="O2274" s="306" t="n"/>
      <c r="P2274" s="306" t="n"/>
      <c r="Q2274" s="306" t="n"/>
    </row>
    <row r="2275" ht="18.75" customHeight="1">
      <c r="B2275" s="288" t="n">
        <v>45558</v>
      </c>
      <c r="C2275" s="289" t="n">
        <v>1543</v>
      </c>
      <c r="D2275" s="290" t="inlineStr">
        <is>
          <t>Laundry 6 days 1 Persons @ 50K IDR/day</t>
        </is>
      </c>
      <c r="E2275" s="306" t="inlineStr">
        <is>
          <t>-</t>
        </is>
      </c>
      <c r="F2275" s="307" t="n">
        <v>250000</v>
      </c>
      <c r="G2275" s="289" t="inlineStr">
        <is>
          <t>IDR</t>
        </is>
      </c>
      <c r="H2275" s="293" t="n">
        <v>1</v>
      </c>
      <c r="I2275" s="306" t="n"/>
      <c r="J2275" s="306" t="n"/>
      <c r="K2275" s="306" t="n"/>
      <c r="L2275" s="307">
        <f>$F2275*$H2275</f>
        <v/>
      </c>
      <c r="M2275" s="306" t="n"/>
      <c r="N2275" s="306" t="n"/>
      <c r="O2275" s="306" t="n"/>
      <c r="P2275" s="306" t="n"/>
      <c r="Q2275" s="306" t="n"/>
    </row>
    <row r="2276" ht="18.75" customHeight="1">
      <c r="B2276" s="288" t="n">
        <v>45558</v>
      </c>
      <c r="C2276" s="289" t="n">
        <v>1544</v>
      </c>
      <c r="D2276" s="290" t="inlineStr">
        <is>
          <t>Laundry 6 days 1 Persons @ 50K IDR/day</t>
        </is>
      </c>
      <c r="E2276" s="306" t="inlineStr">
        <is>
          <t>-</t>
        </is>
      </c>
      <c r="F2276" s="307" t="n">
        <v>250000</v>
      </c>
      <c r="G2276" s="289" t="inlineStr">
        <is>
          <t>IDR</t>
        </is>
      </c>
      <c r="H2276" s="293" t="n">
        <v>1</v>
      </c>
      <c r="I2276" s="306" t="n"/>
      <c r="J2276" s="306" t="n"/>
      <c r="K2276" s="306" t="n"/>
      <c r="L2276" s="307">
        <f>$F2276*$H2276</f>
        <v/>
      </c>
      <c r="M2276" s="306" t="n"/>
      <c r="N2276" s="306" t="n"/>
      <c r="O2276" s="306" t="n"/>
      <c r="P2276" s="306" t="n"/>
      <c r="Q2276" s="306" t="n"/>
    </row>
    <row r="2277">
      <c r="B2277" s="312" t="n"/>
      <c r="C2277" s="312" t="n"/>
      <c r="D2277" s="285" t="inlineStr">
        <is>
          <t>Meal</t>
        </is>
      </c>
      <c r="E2277" s="312" t="n"/>
      <c r="F2277" s="312" t="n"/>
      <c r="G2277" s="312" t="n"/>
      <c r="H2277" s="312" t="n"/>
      <c r="I2277" s="312" t="n"/>
      <c r="J2277" s="312" t="n"/>
      <c r="K2277" s="312" t="n"/>
      <c r="L2277" s="312" t="n"/>
      <c r="M2277" s="312" t="n"/>
      <c r="N2277" s="312" t="n"/>
      <c r="O2277" s="312" t="n"/>
      <c r="P2277" s="312" t="n"/>
      <c r="Q2277" s="312" t="n"/>
    </row>
    <row r="2278" ht="18.75" customHeight="1">
      <c r="B2278" s="288" t="n">
        <v>45558</v>
      </c>
      <c r="C2278" s="289" t="n">
        <v>1545</v>
      </c>
      <c r="D2278" s="290" t="inlineStr">
        <is>
          <t>Meals</t>
        </is>
      </c>
      <c r="E2278" s="306" t="inlineStr">
        <is>
          <t>-</t>
        </is>
      </c>
      <c r="F2278" s="307" t="n">
        <v>750000</v>
      </c>
      <c r="G2278" s="289" t="inlineStr">
        <is>
          <t>IDR</t>
        </is>
      </c>
      <c r="H2278" s="293" t="n">
        <v>1</v>
      </c>
      <c r="I2278" s="306" t="n"/>
      <c r="J2278" s="306" t="n"/>
      <c r="K2278" s="306" t="n"/>
      <c r="L2278" s="307">
        <f>$F2278*$H2278</f>
        <v/>
      </c>
      <c r="M2278" s="306" t="n"/>
      <c r="N2278" s="306" t="n"/>
      <c r="O2278" s="306" t="n"/>
      <c r="P2278" s="306" t="n"/>
      <c r="Q2278" s="306" t="n"/>
    </row>
    <row r="2279" ht="18.75" customHeight="1">
      <c r="B2279" s="288" t="n">
        <v>45558</v>
      </c>
      <c r="C2279" s="289" t="n">
        <v>1546</v>
      </c>
      <c r="D2279" s="290" t="inlineStr">
        <is>
          <t>Meals</t>
        </is>
      </c>
      <c r="E2279" s="306" t="inlineStr">
        <is>
          <t>-</t>
        </is>
      </c>
      <c r="F2279" s="307" t="n">
        <v>750000</v>
      </c>
      <c r="G2279" s="289" t="inlineStr">
        <is>
          <t>IDR</t>
        </is>
      </c>
      <c r="H2279" s="293" t="n">
        <v>1</v>
      </c>
      <c r="I2279" s="306" t="n"/>
      <c r="J2279" s="306" t="n"/>
      <c r="K2279" s="306" t="n"/>
      <c r="L2279" s="307">
        <f>$F2279*$H2279</f>
        <v/>
      </c>
      <c r="M2279" s="306" t="n"/>
      <c r="N2279" s="306" t="n"/>
      <c r="O2279" s="306" t="n"/>
      <c r="P2279" s="306" t="n"/>
      <c r="Q2279" s="306" t="n"/>
    </row>
    <row r="2280" ht="18.75" customHeight="1">
      <c r="B2280" s="288" t="n">
        <v>45558</v>
      </c>
      <c r="C2280" s="289" t="n">
        <v>1547</v>
      </c>
      <c r="D2280" s="290" t="inlineStr">
        <is>
          <t>Meals</t>
        </is>
      </c>
      <c r="E2280" s="306" t="inlineStr">
        <is>
          <t>-</t>
        </is>
      </c>
      <c r="F2280" s="307" t="n">
        <v>750000</v>
      </c>
      <c r="G2280" s="289" t="inlineStr">
        <is>
          <t>IDR</t>
        </is>
      </c>
      <c r="H2280" s="293" t="n">
        <v>1</v>
      </c>
      <c r="I2280" s="306" t="n"/>
      <c r="J2280" s="306" t="n"/>
      <c r="K2280" s="306" t="n"/>
      <c r="L2280" s="307">
        <f>$F2280*$H2280</f>
        <v/>
      </c>
      <c r="M2280" s="306" t="n"/>
      <c r="N2280" s="306" t="n"/>
      <c r="O2280" s="306" t="n"/>
      <c r="P2280" s="306" t="n"/>
      <c r="Q2280" s="306" t="n"/>
    </row>
    <row r="2281" ht="18.75" customHeight="1">
      <c r="B2281" s="288" t="n">
        <v>45558</v>
      </c>
      <c r="C2281" s="289" t="n">
        <v>1548</v>
      </c>
      <c r="D2281" s="290" t="inlineStr">
        <is>
          <t>Meals</t>
        </is>
      </c>
      <c r="E2281" s="306" t="inlineStr">
        <is>
          <t>-</t>
        </is>
      </c>
      <c r="F2281" s="307" t="n">
        <v>750000</v>
      </c>
      <c r="G2281" s="289" t="inlineStr">
        <is>
          <t>IDR</t>
        </is>
      </c>
      <c r="H2281" s="293" t="n">
        <v>1</v>
      </c>
      <c r="I2281" s="306" t="n"/>
      <c r="J2281" s="306" t="n"/>
      <c r="K2281" s="306" t="n"/>
      <c r="L2281" s="307">
        <f>$F2281*$H2281</f>
        <v/>
      </c>
      <c r="M2281" s="306" t="n"/>
      <c r="N2281" s="306" t="n"/>
      <c r="O2281" s="306" t="n"/>
      <c r="P2281" s="306" t="n"/>
      <c r="Q2281" s="306" t="n"/>
    </row>
    <row r="2282">
      <c r="B2282" s="312" t="n"/>
      <c r="C2282" s="312" t="n"/>
      <c r="D2282" s="285" t="inlineStr">
        <is>
          <t>Transportation</t>
        </is>
      </c>
      <c r="E2282" s="312" t="n"/>
      <c r="F2282" s="312" t="n"/>
      <c r="G2282" s="312" t="n"/>
      <c r="H2282" s="312" t="n"/>
      <c r="I2282" s="312" t="n"/>
      <c r="J2282" s="312" t="n"/>
      <c r="K2282" s="312" t="n"/>
      <c r="L2282" s="312" t="n"/>
      <c r="M2282" s="312" t="n"/>
      <c r="N2282" s="312" t="n"/>
      <c r="O2282" s="312" t="n"/>
      <c r="P2282" s="312" t="n"/>
      <c r="Q2282" s="312" t="n"/>
    </row>
    <row r="2283" ht="18.75" customHeight="1">
      <c r="B2283" s="288" t="n">
        <v>45558</v>
      </c>
      <c r="C2283" s="289" t="n">
        <v>1549</v>
      </c>
      <c r="D2283" s="290" t="inlineStr">
        <is>
          <t>Train Ticket Gambir-Cepu (2 pax)</t>
        </is>
      </c>
      <c r="E2283" s="306" t="inlineStr">
        <is>
          <t>-</t>
        </is>
      </c>
      <c r="F2283" s="307" t="n">
        <v>1213500</v>
      </c>
      <c r="G2283" s="289" t="inlineStr">
        <is>
          <t>IDR</t>
        </is>
      </c>
      <c r="H2283" s="293" t="n">
        <v>1</v>
      </c>
      <c r="I2283" s="306" t="n"/>
      <c r="J2283" s="306" t="n"/>
      <c r="K2283" s="306" t="n"/>
      <c r="L2283" s="307">
        <f>$F2283*$H2283</f>
        <v/>
      </c>
      <c r="M2283" s="306" t="n"/>
      <c r="N2283" s="306" t="n"/>
      <c r="O2283" s="306" t="n"/>
      <c r="P2283" s="306" t="n"/>
      <c r="Q2283" s="306" t="n"/>
    </row>
    <row r="2284" ht="18.75" customHeight="1">
      <c r="B2284" s="288" t="n">
        <v>45558</v>
      </c>
      <c r="C2284" s="289" t="n">
        <v>1550</v>
      </c>
      <c r="D2284" s="290" t="inlineStr">
        <is>
          <t>Taxi Pondok Cabe-Gambir</t>
        </is>
      </c>
      <c r="E2284" s="306" t="inlineStr">
        <is>
          <t>-</t>
        </is>
      </c>
      <c r="F2284" s="307" t="n">
        <v>132500</v>
      </c>
      <c r="G2284" s="289" t="inlineStr">
        <is>
          <t>IDR</t>
        </is>
      </c>
      <c r="H2284" s="293" t="n">
        <v>1</v>
      </c>
      <c r="I2284" s="306" t="n"/>
      <c r="J2284" s="306" t="n"/>
      <c r="K2284" s="306" t="n"/>
      <c r="L2284" s="307">
        <f>$F2284*$H2284</f>
        <v/>
      </c>
      <c r="M2284" s="306" t="n"/>
      <c r="N2284" s="306" t="n"/>
      <c r="O2284" s="306" t="n"/>
      <c r="P2284" s="306" t="n"/>
      <c r="Q2284" s="306" t="n"/>
    </row>
    <row r="2285" ht="18.75" customHeight="1">
      <c r="B2285" s="288" t="n">
        <v>45558</v>
      </c>
      <c r="C2285" s="289" t="n">
        <v>1551</v>
      </c>
      <c r="D2285" s="290" t="inlineStr">
        <is>
          <t>Demob Tools (Kalog)</t>
        </is>
      </c>
      <c r="E2285" s="306" t="inlineStr">
        <is>
          <t>-</t>
        </is>
      </c>
      <c r="F2285" s="307" t="n">
        <v>280400</v>
      </c>
      <c r="G2285" s="289" t="inlineStr">
        <is>
          <t>IDR</t>
        </is>
      </c>
      <c r="H2285" s="293" t="n">
        <v>1</v>
      </c>
      <c r="I2285" s="306" t="n"/>
      <c r="J2285" s="306" t="n"/>
      <c r="K2285" s="306" t="n"/>
      <c r="L2285" s="307">
        <f>$F2285*$H2285</f>
        <v/>
      </c>
      <c r="M2285" s="306" t="n"/>
      <c r="N2285" s="306" t="n"/>
      <c r="O2285" s="306" t="n"/>
      <c r="P2285" s="306" t="n"/>
      <c r="Q2285" s="306" t="n"/>
    </row>
    <row r="2286" ht="18.75" customHeight="1">
      <c r="B2286" s="288" t="n">
        <v>45558</v>
      </c>
      <c r="C2286" s="289" t="n">
        <v>1552</v>
      </c>
      <c r="D2286" s="290" t="inlineStr">
        <is>
          <t>Taxi Gambir-Pondok Cabe (inc Toll+Parking)</t>
        </is>
      </c>
      <c r="E2286" s="306" t="inlineStr">
        <is>
          <t>-</t>
        </is>
      </c>
      <c r="F2286" s="307" t="n">
        <v>326600</v>
      </c>
      <c r="G2286" s="289" t="inlineStr">
        <is>
          <t>IDR</t>
        </is>
      </c>
      <c r="H2286" s="293" t="n">
        <v>1</v>
      </c>
      <c r="I2286" s="306" t="n"/>
      <c r="J2286" s="306" t="n"/>
      <c r="K2286" s="306" t="n"/>
      <c r="L2286" s="307">
        <f>$F2286*$H2286</f>
        <v/>
      </c>
      <c r="M2286" s="306" t="n"/>
      <c r="N2286" s="306" t="n"/>
      <c r="O2286" s="306" t="n"/>
      <c r="P2286" s="306" t="n"/>
      <c r="Q2286" s="306" t="n"/>
    </row>
    <row r="2287" ht="18.75" customHeight="1">
      <c r="B2287" s="288" t="n">
        <v>45558</v>
      </c>
      <c r="C2287" s="289" t="n">
        <v>1553</v>
      </c>
      <c r="D2287" s="290" t="inlineStr">
        <is>
          <t>Train Ticket Bojonegoro-Gambir (2 pax)</t>
        </is>
      </c>
      <c r="E2287" s="306" t="inlineStr">
        <is>
          <t>-</t>
        </is>
      </c>
      <c r="F2287" s="307" t="n">
        <v>1653500</v>
      </c>
      <c r="G2287" s="289" t="inlineStr">
        <is>
          <t>IDR</t>
        </is>
      </c>
      <c r="H2287" s="293" t="n">
        <v>1</v>
      </c>
      <c r="I2287" s="306" t="n"/>
      <c r="J2287" s="306" t="n"/>
      <c r="K2287" s="306" t="n"/>
      <c r="L2287" s="307">
        <f>$F2287*$H2287</f>
        <v/>
      </c>
      <c r="M2287" s="306" t="n"/>
      <c r="N2287" s="306" t="n"/>
      <c r="O2287" s="306" t="n"/>
      <c r="P2287" s="306" t="n"/>
      <c r="Q2287" s="306" t="n"/>
    </row>
    <row r="2288" ht="18.75" customHeight="1">
      <c r="B2288" s="288" t="n">
        <v>45558</v>
      </c>
      <c r="C2288" s="289" t="n">
        <v>1554</v>
      </c>
      <c r="D2288" s="290" t="inlineStr">
        <is>
          <t>Lalamove Kalog-Gowell</t>
        </is>
      </c>
      <c r="E2288" s="306" t="inlineStr">
        <is>
          <t>-</t>
        </is>
      </c>
      <c r="F2288" s="307" t="n">
        <v>73584</v>
      </c>
      <c r="G2288" s="289" t="inlineStr">
        <is>
          <t>IDR</t>
        </is>
      </c>
      <c r="H2288" s="293" t="n">
        <v>1</v>
      </c>
      <c r="I2288" s="306" t="n"/>
      <c r="J2288" s="306" t="n"/>
      <c r="K2288" s="306" t="n"/>
      <c r="L2288" s="307">
        <f>$F2288*$H2288</f>
        <v/>
      </c>
      <c r="M2288" s="306" t="n"/>
      <c r="N2288" s="306" t="n"/>
      <c r="O2288" s="306" t="n"/>
      <c r="P2288" s="306" t="n"/>
      <c r="Q2288" s="306" t="n"/>
    </row>
    <row r="2289" ht="18.75" customHeight="1">
      <c r="B2289" s="288" t="n">
        <v>45558</v>
      </c>
      <c r="C2289" s="289" t="n">
        <v>1555</v>
      </c>
      <c r="D2289" s="290" t="inlineStr">
        <is>
          <t>Demob Tools (Kalog)</t>
        </is>
      </c>
      <c r="E2289" s="306" t="inlineStr">
        <is>
          <t>-</t>
        </is>
      </c>
      <c r="F2289" s="307" t="n">
        <v>280400</v>
      </c>
      <c r="G2289" s="289" t="inlineStr">
        <is>
          <t>IDR</t>
        </is>
      </c>
      <c r="H2289" s="293" t="n">
        <v>1</v>
      </c>
      <c r="I2289" s="306" t="n"/>
      <c r="J2289" s="306" t="n"/>
      <c r="K2289" s="306" t="n"/>
      <c r="L2289" s="307">
        <f>$F2289*$H2289</f>
        <v/>
      </c>
      <c r="M2289" s="306" t="n"/>
      <c r="N2289" s="306" t="n"/>
      <c r="O2289" s="306" t="n"/>
      <c r="P2289" s="306" t="n"/>
      <c r="Q2289" s="306" t="n"/>
    </row>
    <row r="2290" ht="18.75" customHeight="1">
      <c r="B2290" s="288" t="n">
        <v>45558</v>
      </c>
      <c r="C2290" s="289" t="n">
        <v>1556</v>
      </c>
      <c r="D2290" s="290" t="inlineStr">
        <is>
          <t>Lalamove Kalog-Gowell</t>
        </is>
      </c>
      <c r="E2290" s="306" t="inlineStr">
        <is>
          <t>-</t>
        </is>
      </c>
      <c r="F2290" s="307" t="n">
        <v>73584</v>
      </c>
      <c r="G2290" s="289" t="inlineStr">
        <is>
          <t>IDR</t>
        </is>
      </c>
      <c r="H2290" s="293" t="n">
        <v>1</v>
      </c>
      <c r="I2290" s="306" t="n"/>
      <c r="J2290" s="306" t="n"/>
      <c r="K2290" s="306" t="n"/>
      <c r="L2290" s="307">
        <f>$F2290*$H2290</f>
        <v/>
      </c>
      <c r="M2290" s="306" t="n"/>
      <c r="N2290" s="306" t="n"/>
      <c r="O2290" s="306" t="n"/>
      <c r="P2290" s="306" t="n"/>
      <c r="Q2290" s="306" t="n"/>
    </row>
    <row r="2291" ht="18.75" customHeight="1">
      <c r="B2291" s="288" t="n">
        <v>45558</v>
      </c>
      <c r="C2291" s="289" t="n">
        <v>1557</v>
      </c>
      <c r="D2291" s="290" t="inlineStr">
        <is>
          <t>Train Ticket Gambir-Cepu (2 pax)</t>
        </is>
      </c>
      <c r="E2291" s="306" t="inlineStr">
        <is>
          <t>-</t>
        </is>
      </c>
      <c r="F2291" s="307" t="n">
        <v>1213500</v>
      </c>
      <c r="G2291" s="289" t="inlineStr">
        <is>
          <t>IDR</t>
        </is>
      </c>
      <c r="H2291" s="293" t="n">
        <v>1</v>
      </c>
      <c r="I2291" s="306" t="n"/>
      <c r="J2291" s="306" t="n"/>
      <c r="K2291" s="306" t="n"/>
      <c r="L2291" s="307">
        <f>$F2291*$H2291</f>
        <v/>
      </c>
      <c r="M2291" s="306" t="n"/>
      <c r="N2291" s="306" t="n"/>
      <c r="O2291" s="306" t="n"/>
      <c r="P2291" s="306" t="n"/>
      <c r="Q2291" s="306" t="n"/>
    </row>
    <row r="2292" ht="18.75" customHeight="1">
      <c r="B2292" s="288" t="n">
        <v>45558</v>
      </c>
      <c r="C2292" s="289" t="n">
        <v>1558</v>
      </c>
      <c r="D2292" s="290" t="inlineStr">
        <is>
          <t>Taxi Pondok Cabe-Gambir</t>
        </is>
      </c>
      <c r="E2292" s="306" t="inlineStr">
        <is>
          <t>-</t>
        </is>
      </c>
      <c r="F2292" s="307" t="n">
        <v>132500</v>
      </c>
      <c r="G2292" s="289" t="inlineStr">
        <is>
          <t>IDR</t>
        </is>
      </c>
      <c r="H2292" s="293" t="n">
        <v>1</v>
      </c>
      <c r="I2292" s="306" t="n"/>
      <c r="J2292" s="306" t="n"/>
      <c r="K2292" s="306" t="n"/>
      <c r="L2292" s="307">
        <f>$F2292*$H2292</f>
        <v/>
      </c>
      <c r="M2292" s="306" t="n"/>
      <c r="N2292" s="306" t="n"/>
      <c r="O2292" s="306" t="n"/>
      <c r="P2292" s="306" t="n"/>
      <c r="Q2292" s="306" t="n"/>
    </row>
    <row r="2293" ht="18.75" customHeight="1">
      <c r="B2293" s="288" t="n">
        <v>45558</v>
      </c>
      <c r="C2293" s="289" t="n">
        <v>1559</v>
      </c>
      <c r="D2293" s="290" t="inlineStr">
        <is>
          <t>Taxi Gambir-Pondok Cabe (inc Toll+Parking)</t>
        </is>
      </c>
      <c r="E2293" s="306" t="inlineStr">
        <is>
          <t>-</t>
        </is>
      </c>
      <c r="F2293" s="307" t="n">
        <v>326600</v>
      </c>
      <c r="G2293" s="289" t="inlineStr">
        <is>
          <t>IDR</t>
        </is>
      </c>
      <c r="H2293" s="293" t="n">
        <v>1</v>
      </c>
      <c r="I2293" s="306" t="n"/>
      <c r="J2293" s="306" t="n"/>
      <c r="K2293" s="306" t="n"/>
      <c r="L2293" s="307">
        <f>$F2293*$H2293</f>
        <v/>
      </c>
      <c r="M2293" s="306" t="n"/>
      <c r="N2293" s="306" t="n"/>
      <c r="O2293" s="306" t="n"/>
      <c r="P2293" s="306" t="n"/>
      <c r="Q2293" s="306" t="n"/>
    </row>
    <row r="2294" ht="18.75" customHeight="1">
      <c r="B2294" s="288" t="n">
        <v>45558</v>
      </c>
      <c r="C2294" s="289" t="n">
        <v>1560</v>
      </c>
      <c r="D2294" s="290" t="inlineStr">
        <is>
          <t>Train Ticket Bojonegoro-Gambir (2 pax)</t>
        </is>
      </c>
      <c r="E2294" s="306" t="inlineStr">
        <is>
          <t>-</t>
        </is>
      </c>
      <c r="F2294" s="307" t="n">
        <v>1653500</v>
      </c>
      <c r="G2294" s="289" t="inlineStr">
        <is>
          <t>IDR</t>
        </is>
      </c>
      <c r="H2294" s="293" t="n">
        <v>1</v>
      </c>
      <c r="I2294" s="306" t="n"/>
      <c r="J2294" s="306" t="n"/>
      <c r="K2294" s="306" t="n"/>
      <c r="L2294" s="307">
        <f>$F2294*$H2294</f>
        <v/>
      </c>
      <c r="M2294" s="306" t="n"/>
      <c r="N2294" s="306" t="n"/>
      <c r="O2294" s="306" t="n"/>
      <c r="P2294" s="306" t="n"/>
      <c r="Q2294" s="306" t="n"/>
    </row>
    <row r="2295" ht="18.75" customHeight="1">
      <c r="B2295" s="288" t="n">
        <v>45558</v>
      </c>
      <c r="C2295" s="289" t="n">
        <v>1561</v>
      </c>
      <c r="D2295" s="290" t="inlineStr">
        <is>
          <t>Demob Tools (Kalog)</t>
        </is>
      </c>
      <c r="E2295" s="306" t="inlineStr">
        <is>
          <t>-</t>
        </is>
      </c>
      <c r="F2295" s="307" t="n">
        <v>280400</v>
      </c>
      <c r="G2295" s="289" t="inlineStr">
        <is>
          <t>IDR</t>
        </is>
      </c>
      <c r="H2295" s="293" t="n">
        <v>1</v>
      </c>
      <c r="I2295" s="306" t="n"/>
      <c r="J2295" s="306" t="n"/>
      <c r="K2295" s="306" t="n"/>
      <c r="L2295" s="307">
        <f>$F2295*$H2295</f>
        <v/>
      </c>
      <c r="M2295" s="306" t="n"/>
      <c r="N2295" s="306" t="n"/>
      <c r="O2295" s="306" t="n"/>
      <c r="P2295" s="306" t="n"/>
      <c r="Q2295" s="306" t="n"/>
    </row>
    <row r="2296" ht="18.75" customHeight="1">
      <c r="B2296" s="288" t="n">
        <v>45558</v>
      </c>
      <c r="C2296" s="289" t="n">
        <v>1562</v>
      </c>
      <c r="D2296" s="290" t="inlineStr">
        <is>
          <t>Lalamove Kalog-Gowell</t>
        </is>
      </c>
      <c r="E2296" s="306" t="inlineStr">
        <is>
          <t>-</t>
        </is>
      </c>
      <c r="F2296" s="307" t="n">
        <v>73584</v>
      </c>
      <c r="G2296" s="289" t="inlineStr">
        <is>
          <t>IDR</t>
        </is>
      </c>
      <c r="H2296" s="293" t="n">
        <v>1</v>
      </c>
      <c r="I2296" s="306" t="n"/>
      <c r="J2296" s="306" t="n"/>
      <c r="K2296" s="306" t="n"/>
      <c r="L2296" s="307">
        <f>$F2296*$H2296</f>
        <v/>
      </c>
      <c r="M2296" s="306" t="n"/>
      <c r="N2296" s="306" t="n"/>
      <c r="O2296" s="306" t="n"/>
      <c r="P2296" s="306" t="n"/>
      <c r="Q2296" s="306" t="n"/>
    </row>
    <row r="2297" ht="18.75" customHeight="1">
      <c r="B2297" s="288" t="n">
        <v>45558</v>
      </c>
      <c r="C2297" s="289" t="n">
        <v>1563</v>
      </c>
      <c r="D2297" s="290" t="inlineStr">
        <is>
          <t>Train Ticket Gambir-Cepu (2 pax)</t>
        </is>
      </c>
      <c r="E2297" s="306" t="inlineStr">
        <is>
          <t>-</t>
        </is>
      </c>
      <c r="F2297" s="307" t="n">
        <v>1213500</v>
      </c>
      <c r="G2297" s="289" t="inlineStr">
        <is>
          <t>IDR</t>
        </is>
      </c>
      <c r="H2297" s="293" t="n">
        <v>1</v>
      </c>
      <c r="I2297" s="306" t="n"/>
      <c r="J2297" s="306" t="n"/>
      <c r="K2297" s="306" t="n"/>
      <c r="L2297" s="307">
        <f>$F2297*$H2297</f>
        <v/>
      </c>
      <c r="M2297" s="306" t="n"/>
      <c r="N2297" s="306" t="n"/>
      <c r="O2297" s="306" t="n"/>
      <c r="P2297" s="306" t="n"/>
      <c r="Q2297" s="306" t="n"/>
    </row>
    <row r="2298" ht="18.75" customHeight="1">
      <c r="B2298" s="288" t="n">
        <v>45558</v>
      </c>
      <c r="C2298" s="289" t="n">
        <v>1564</v>
      </c>
      <c r="D2298" s="290" t="inlineStr">
        <is>
          <t>Taxi Pondok Cabe-Gambir</t>
        </is>
      </c>
      <c r="E2298" s="306" t="inlineStr">
        <is>
          <t>-</t>
        </is>
      </c>
      <c r="F2298" s="307" t="n">
        <v>132500</v>
      </c>
      <c r="G2298" s="289" t="inlineStr">
        <is>
          <t>IDR</t>
        </is>
      </c>
      <c r="H2298" s="293" t="n">
        <v>1</v>
      </c>
      <c r="I2298" s="306" t="n"/>
      <c r="J2298" s="306" t="n"/>
      <c r="K2298" s="306" t="n"/>
      <c r="L2298" s="307">
        <f>$F2298*$H2298</f>
        <v/>
      </c>
      <c r="M2298" s="306" t="n"/>
      <c r="N2298" s="306" t="n"/>
      <c r="O2298" s="306" t="n"/>
      <c r="P2298" s="306" t="n"/>
      <c r="Q2298" s="306" t="n"/>
    </row>
    <row r="2299" ht="18.75" customHeight="1">
      <c r="B2299" s="288" t="n">
        <v>45558</v>
      </c>
      <c r="C2299" s="289" t="n">
        <v>1565</v>
      </c>
      <c r="D2299" s="290" t="inlineStr">
        <is>
          <t>Taxi Gambir-Pondok Cabe (inc Toll+Parking)</t>
        </is>
      </c>
      <c r="E2299" s="306" t="inlineStr">
        <is>
          <t>-</t>
        </is>
      </c>
      <c r="F2299" s="307" t="n">
        <v>326600</v>
      </c>
      <c r="G2299" s="289" t="inlineStr">
        <is>
          <t>IDR</t>
        </is>
      </c>
      <c r="H2299" s="293" t="n">
        <v>1</v>
      </c>
      <c r="I2299" s="306" t="n"/>
      <c r="J2299" s="306" t="n"/>
      <c r="K2299" s="306" t="n"/>
      <c r="L2299" s="307">
        <f>$F2299*$H2299</f>
        <v/>
      </c>
      <c r="M2299" s="306" t="n"/>
      <c r="N2299" s="306" t="n"/>
      <c r="O2299" s="306" t="n"/>
      <c r="P2299" s="306" t="n"/>
      <c r="Q2299" s="306" t="n"/>
    </row>
    <row r="2300" ht="18.75" customHeight="1">
      <c r="B2300" s="288" t="n">
        <v>45558</v>
      </c>
      <c r="C2300" s="289" t="n">
        <v>1566</v>
      </c>
      <c r="D2300" s="290" t="inlineStr">
        <is>
          <t>Train Ticket Bojonegoro-Gambir (2 pax)</t>
        </is>
      </c>
      <c r="E2300" s="306" t="inlineStr">
        <is>
          <t>-</t>
        </is>
      </c>
      <c r="F2300" s="307" t="n">
        <v>1653500</v>
      </c>
      <c r="G2300" s="289" t="inlineStr">
        <is>
          <t>IDR</t>
        </is>
      </c>
      <c r="H2300" s="293" t="n">
        <v>1</v>
      </c>
      <c r="I2300" s="306" t="n"/>
      <c r="J2300" s="306" t="n"/>
      <c r="K2300" s="306" t="n"/>
      <c r="L2300" s="307">
        <f>$F2300*$H2300</f>
        <v/>
      </c>
      <c r="M2300" s="306" t="n"/>
      <c r="N2300" s="306" t="n"/>
      <c r="O2300" s="306" t="n"/>
      <c r="P2300" s="306" t="n"/>
      <c r="Q2300" s="306" t="n"/>
    </row>
    <row r="2301" ht="18.75" customHeight="1">
      <c r="B2301" s="288" t="n">
        <v>45558</v>
      </c>
      <c r="C2301" s="289" t="n">
        <v>1567</v>
      </c>
      <c r="D2301" s="290" t="inlineStr">
        <is>
          <t>Demob Tools (Kalog)</t>
        </is>
      </c>
      <c r="E2301" s="306" t="inlineStr">
        <is>
          <t>-</t>
        </is>
      </c>
      <c r="F2301" s="307" t="n">
        <v>280400</v>
      </c>
      <c r="G2301" s="289" t="inlineStr">
        <is>
          <t>IDR</t>
        </is>
      </c>
      <c r="H2301" s="293" t="n">
        <v>1</v>
      </c>
      <c r="I2301" s="306" t="n"/>
      <c r="J2301" s="306" t="n"/>
      <c r="K2301" s="306" t="n"/>
      <c r="L2301" s="307">
        <f>$F2301*$H2301</f>
        <v/>
      </c>
      <c r="M2301" s="306" t="n"/>
      <c r="N2301" s="306" t="n"/>
      <c r="O2301" s="306" t="n"/>
      <c r="P2301" s="306" t="n"/>
      <c r="Q2301" s="306" t="n"/>
    </row>
    <row r="2302" ht="18.75" customHeight="1">
      <c r="B2302" s="288" t="n">
        <v>45558</v>
      </c>
      <c r="C2302" s="289" t="n">
        <v>1568</v>
      </c>
      <c r="D2302" s="290" t="inlineStr">
        <is>
          <t>Lalamove Kalog-Gowell</t>
        </is>
      </c>
      <c r="E2302" s="306" t="inlineStr">
        <is>
          <t>-</t>
        </is>
      </c>
      <c r="F2302" s="307" t="n">
        <v>73584</v>
      </c>
      <c r="G2302" s="289" t="inlineStr">
        <is>
          <t>IDR</t>
        </is>
      </c>
      <c r="H2302" s="293" t="n">
        <v>1</v>
      </c>
      <c r="I2302" s="306" t="n"/>
      <c r="J2302" s="306" t="n"/>
      <c r="K2302" s="306" t="n"/>
      <c r="L2302" s="307">
        <f>$F2302*$H2302</f>
        <v/>
      </c>
      <c r="M2302" s="306" t="n"/>
      <c r="N2302" s="306" t="n"/>
      <c r="O2302" s="306" t="n"/>
      <c r="P2302" s="306" t="n"/>
      <c r="Q2302" s="306" t="n"/>
    </row>
    <row r="2303" ht="18.75" customHeight="1">
      <c r="B2303" s="288" t="n">
        <v>45558</v>
      </c>
      <c r="C2303" s="289" t="n">
        <v>1569</v>
      </c>
      <c r="D2303" s="290" t="inlineStr">
        <is>
          <t>Train Ticket Gambir-Cepu (2 pax)</t>
        </is>
      </c>
      <c r="E2303" s="306" t="inlineStr">
        <is>
          <t>-</t>
        </is>
      </c>
      <c r="F2303" s="307" t="n">
        <v>1213500</v>
      </c>
      <c r="G2303" s="289" t="inlineStr">
        <is>
          <t>IDR</t>
        </is>
      </c>
      <c r="H2303" s="293" t="n">
        <v>1</v>
      </c>
      <c r="I2303" s="306" t="n"/>
      <c r="J2303" s="306" t="n"/>
      <c r="K2303" s="306" t="n"/>
      <c r="L2303" s="307">
        <f>$F2303*$H2303</f>
        <v/>
      </c>
      <c r="M2303" s="306" t="n"/>
      <c r="N2303" s="306" t="n"/>
      <c r="O2303" s="306" t="n"/>
      <c r="P2303" s="306" t="n"/>
      <c r="Q2303" s="306" t="n"/>
    </row>
    <row r="2304" ht="18.75" customHeight="1">
      <c r="B2304" s="288" t="n">
        <v>45558</v>
      </c>
      <c r="C2304" s="289" t="n">
        <v>1570</v>
      </c>
      <c r="D2304" s="290" t="inlineStr">
        <is>
          <t>Taxi Pondok Cabe-Gambir</t>
        </is>
      </c>
      <c r="E2304" s="306" t="inlineStr">
        <is>
          <t>-</t>
        </is>
      </c>
      <c r="F2304" s="307" t="n">
        <v>132500</v>
      </c>
      <c r="G2304" s="289" t="inlineStr">
        <is>
          <t>IDR</t>
        </is>
      </c>
      <c r="H2304" s="293" t="n">
        <v>1</v>
      </c>
      <c r="I2304" s="306" t="n"/>
      <c r="J2304" s="306" t="n"/>
      <c r="K2304" s="306" t="n"/>
      <c r="L2304" s="307">
        <f>$F2304*$H2304</f>
        <v/>
      </c>
      <c r="M2304" s="306" t="n"/>
      <c r="N2304" s="306" t="n"/>
      <c r="O2304" s="306" t="n"/>
      <c r="P2304" s="306" t="n"/>
      <c r="Q2304" s="306" t="n"/>
    </row>
    <row r="2305" ht="18.75" customHeight="1">
      <c r="B2305" s="288" t="n">
        <v>45558</v>
      </c>
      <c r="C2305" s="289" t="n">
        <v>1571</v>
      </c>
      <c r="D2305" s="290" t="inlineStr">
        <is>
          <t>Taxi Gambir-Pondok Cabe (inc Toll+Parking)</t>
        </is>
      </c>
      <c r="E2305" s="306" t="inlineStr">
        <is>
          <t>-</t>
        </is>
      </c>
      <c r="F2305" s="307" t="n">
        <v>326600</v>
      </c>
      <c r="G2305" s="289" t="inlineStr">
        <is>
          <t>IDR</t>
        </is>
      </c>
      <c r="H2305" s="293" t="n">
        <v>1</v>
      </c>
      <c r="I2305" s="306" t="n"/>
      <c r="J2305" s="306" t="n"/>
      <c r="K2305" s="306" t="n"/>
      <c r="L2305" s="307">
        <f>$F2305*$H2305</f>
        <v/>
      </c>
      <c r="M2305" s="306" t="n"/>
      <c r="N2305" s="306" t="n"/>
      <c r="O2305" s="306" t="n"/>
      <c r="P2305" s="306" t="n"/>
      <c r="Q2305" s="306" t="n"/>
    </row>
    <row r="2306" ht="18.75" customHeight="1">
      <c r="B2306" s="288" t="n">
        <v>45558</v>
      </c>
      <c r="C2306" s="289" t="n">
        <v>1572</v>
      </c>
      <c r="D2306" s="290" t="inlineStr">
        <is>
          <t>Train Ticket Bojonegoro-Gambir (2 pax)</t>
        </is>
      </c>
      <c r="E2306" s="306" t="inlineStr">
        <is>
          <t>-</t>
        </is>
      </c>
      <c r="F2306" s="307" t="n">
        <v>1653500</v>
      </c>
      <c r="G2306" s="289" t="inlineStr">
        <is>
          <t>IDR</t>
        </is>
      </c>
      <c r="H2306" s="293" t="n">
        <v>1</v>
      </c>
      <c r="I2306" s="306" t="n"/>
      <c r="J2306" s="306" t="n"/>
      <c r="K2306" s="306" t="n"/>
      <c r="L2306" s="307">
        <f>$F2306*$H2306</f>
        <v/>
      </c>
      <c r="M2306" s="306" t="n"/>
      <c r="N2306" s="306" t="n"/>
      <c r="O2306" s="306" t="n"/>
      <c r="P2306" s="306" t="n"/>
      <c r="Q2306" s="306" t="n"/>
    </row>
    <row r="2307">
      <c r="B2307" s="310" t="inlineStr">
        <is>
          <t>Expense#38</t>
        </is>
      </c>
      <c r="C2307" s="311" t="inlineStr">
        <is>
          <t>:</t>
        </is>
      </c>
      <c r="D2307" s="310" t="inlineStr">
        <is>
          <t>MTD_STM_HDP 01 s/d 03 well (BHI project ndr Gowell) Sumbawa</t>
        </is>
      </c>
      <c r="E2307" s="311" t="n"/>
      <c r="F2307" s="311" t="n"/>
      <c r="G2307" s="311" t="n"/>
      <c r="H2307" s="311" t="n"/>
      <c r="I2307" s="311" t="n"/>
      <c r="J2307" s="311" t="n"/>
      <c r="K2307" s="311" t="n"/>
      <c r="L2307" s="311" t="n"/>
      <c r="M2307" s="311" t="n"/>
      <c r="N2307" s="311" t="n"/>
      <c r="O2307" s="311" t="n"/>
      <c r="P2307" s="311" t="n"/>
      <c r="Q2307" s="311" t="n"/>
    </row>
    <row r="2308">
      <c r="B2308" s="312" t="n"/>
      <c r="C2308" s="312" t="n"/>
      <c r="D2308" s="285" t="inlineStr">
        <is>
          <t>Allowance</t>
        </is>
      </c>
      <c r="E2308" s="312" t="n"/>
      <c r="F2308" s="312" t="n"/>
      <c r="G2308" s="312" t="n"/>
      <c r="H2308" s="312" t="n"/>
      <c r="I2308" s="312" t="n"/>
      <c r="J2308" s="312" t="n"/>
      <c r="K2308" s="312" t="n"/>
      <c r="L2308" s="312" t="n"/>
      <c r="M2308" s="312" t="n"/>
      <c r="N2308" s="312" t="n"/>
      <c r="O2308" s="312" t="n"/>
      <c r="P2308" s="312" t="n"/>
      <c r="Q2308" s="312" t="n"/>
    </row>
    <row r="2309" ht="18.75" customHeight="1">
      <c r="B2309" s="288" t="n">
        <v>45585</v>
      </c>
      <c r="C2309" s="289" t="n">
        <v>1573</v>
      </c>
      <c r="D2309" s="290" t="inlineStr">
        <is>
          <t>Field Allowance for 18 days</t>
        </is>
      </c>
      <c r="E2309" s="306" t="inlineStr">
        <is>
          <t>-</t>
        </is>
      </c>
      <c r="F2309" s="307" t="n">
        <v>1800</v>
      </c>
      <c r="G2309" s="289" t="inlineStr">
        <is>
          <t>USD</t>
        </is>
      </c>
      <c r="H2309" s="293" t="n">
        <v>15849</v>
      </c>
      <c r="I2309" s="306" t="n"/>
      <c r="J2309" s="306" t="n"/>
      <c r="K2309" s="306" t="n"/>
      <c r="L2309" s="307">
        <f>$F2309*$H2309</f>
        <v/>
      </c>
      <c r="M2309" s="306" t="n"/>
      <c r="N2309" s="306" t="n"/>
      <c r="O2309" s="306" t="n"/>
      <c r="P2309" s="306" t="n"/>
      <c r="Q2309" s="306" t="n"/>
    </row>
    <row r="2310" ht="18.75" customHeight="1">
      <c r="B2310" s="288" t="n">
        <v>45585</v>
      </c>
      <c r="C2310" s="289" t="n">
        <v>1574</v>
      </c>
      <c r="D2310" s="290" t="inlineStr">
        <is>
          <t>Field Allowance for 18 days</t>
        </is>
      </c>
      <c r="E2310" s="306" t="inlineStr">
        <is>
          <t>-</t>
        </is>
      </c>
      <c r="F2310" s="307" t="n">
        <v>1800</v>
      </c>
      <c r="G2310" s="289" t="inlineStr">
        <is>
          <t>USD</t>
        </is>
      </c>
      <c r="H2310" s="293" t="n">
        <v>15849</v>
      </c>
      <c r="I2310" s="306" t="n"/>
      <c r="J2310" s="306" t="n"/>
      <c r="K2310" s="306" t="n"/>
      <c r="L2310" s="307">
        <f>$F2310*$H2310</f>
        <v/>
      </c>
      <c r="M2310" s="306" t="n"/>
      <c r="N2310" s="306" t="n"/>
      <c r="O2310" s="306" t="n"/>
      <c r="P2310" s="306" t="n"/>
      <c r="Q2310" s="306" t="n"/>
    </row>
    <row r="2311" ht="18.75" customHeight="1">
      <c r="B2311" s="288" t="n">
        <v>45585</v>
      </c>
      <c r="C2311" s="289" t="n">
        <v>1575</v>
      </c>
      <c r="D2311" s="290" t="inlineStr">
        <is>
          <t>Field Allowance for 18 days</t>
        </is>
      </c>
      <c r="E2311" s="306" t="inlineStr">
        <is>
          <t>-</t>
        </is>
      </c>
      <c r="F2311" s="307" t="n">
        <v>1800</v>
      </c>
      <c r="G2311" s="289" t="inlineStr">
        <is>
          <t>USD</t>
        </is>
      </c>
      <c r="H2311" s="293" t="n">
        <v>15849</v>
      </c>
      <c r="I2311" s="306" t="n"/>
      <c r="J2311" s="306" t="n"/>
      <c r="K2311" s="306" t="n"/>
      <c r="L2311" s="307">
        <f>$F2311*$H2311</f>
        <v/>
      </c>
      <c r="M2311" s="306" t="n"/>
      <c r="N2311" s="306" t="n"/>
      <c r="O2311" s="306" t="n"/>
      <c r="P2311" s="306" t="n"/>
      <c r="Q2311" s="306" t="n"/>
    </row>
    <row r="2312" ht="18.75" customHeight="1">
      <c r="B2312" s="288" t="n">
        <v>45585</v>
      </c>
      <c r="C2312" s="289" t="n">
        <v>1576</v>
      </c>
      <c r="D2312" s="290" t="inlineStr">
        <is>
          <t>Field Allowance for 18 days</t>
        </is>
      </c>
      <c r="E2312" s="306" t="inlineStr">
        <is>
          <t>-</t>
        </is>
      </c>
      <c r="F2312" s="307" t="n">
        <v>1800</v>
      </c>
      <c r="G2312" s="289" t="inlineStr">
        <is>
          <t>USD</t>
        </is>
      </c>
      <c r="H2312" s="293" t="n">
        <v>15849</v>
      </c>
      <c r="I2312" s="306" t="n"/>
      <c r="J2312" s="306" t="n"/>
      <c r="K2312" s="306" t="n"/>
      <c r="L2312" s="307">
        <f>$F2312*$H2312</f>
        <v/>
      </c>
      <c r="M2312" s="306" t="n"/>
      <c r="N2312" s="306" t="n"/>
      <c r="O2312" s="306" t="n"/>
      <c r="P2312" s="306" t="n"/>
      <c r="Q2312" s="306" t="n"/>
    </row>
    <row r="2313">
      <c r="B2313" s="312" t="n"/>
      <c r="C2313" s="312" t="n"/>
      <c r="D2313" s="285" t="inlineStr">
        <is>
          <t>Laundry</t>
        </is>
      </c>
      <c r="E2313" s="312" t="n"/>
      <c r="F2313" s="312" t="n"/>
      <c r="G2313" s="312" t="n"/>
      <c r="H2313" s="312" t="n"/>
      <c r="I2313" s="312" t="n"/>
      <c r="J2313" s="312" t="n"/>
      <c r="K2313" s="312" t="n"/>
      <c r="L2313" s="312" t="n"/>
      <c r="M2313" s="312" t="n"/>
      <c r="N2313" s="312" t="n"/>
      <c r="O2313" s="312" t="n"/>
      <c r="P2313" s="312" t="n"/>
      <c r="Q2313" s="312" t="n"/>
    </row>
    <row r="2314" ht="18.75" customHeight="1">
      <c r="B2314" s="288" t="n">
        <v>45585</v>
      </c>
      <c r="C2314" s="289" t="n">
        <v>1577</v>
      </c>
      <c r="D2314" s="290" t="inlineStr">
        <is>
          <t>Laundry 18 days @ 50K IDR/day</t>
        </is>
      </c>
      <c r="E2314" s="306" t="inlineStr">
        <is>
          <t>-</t>
        </is>
      </c>
      <c r="F2314" s="307" t="n">
        <v>900000</v>
      </c>
      <c r="G2314" s="289" t="inlineStr">
        <is>
          <t>IDR</t>
        </is>
      </c>
      <c r="H2314" s="293" t="n">
        <v>1</v>
      </c>
      <c r="I2314" s="306" t="n"/>
      <c r="J2314" s="306" t="n"/>
      <c r="K2314" s="306" t="n"/>
      <c r="L2314" s="307">
        <f>$F2314*$H2314</f>
        <v/>
      </c>
      <c r="M2314" s="306" t="n"/>
      <c r="N2314" s="306" t="n"/>
      <c r="O2314" s="306" t="n"/>
      <c r="P2314" s="306" t="n"/>
      <c r="Q2314" s="306" t="n"/>
    </row>
    <row r="2315" ht="18.75" customHeight="1">
      <c r="B2315" s="288" t="n">
        <v>45585</v>
      </c>
      <c r="C2315" s="289" t="n">
        <v>1578</v>
      </c>
      <c r="D2315" s="290" t="inlineStr">
        <is>
          <t>Laundry 18 days @ 50K IDR/day</t>
        </is>
      </c>
      <c r="E2315" s="306" t="inlineStr">
        <is>
          <t>-</t>
        </is>
      </c>
      <c r="F2315" s="307" t="n">
        <v>900000</v>
      </c>
      <c r="G2315" s="289" t="inlineStr">
        <is>
          <t>IDR</t>
        </is>
      </c>
      <c r="H2315" s="293" t="n">
        <v>1</v>
      </c>
      <c r="I2315" s="306" t="n"/>
      <c r="J2315" s="306" t="n"/>
      <c r="K2315" s="306" t="n"/>
      <c r="L2315" s="307">
        <f>$F2315*$H2315</f>
        <v/>
      </c>
      <c r="M2315" s="306" t="n"/>
      <c r="N2315" s="306" t="n"/>
      <c r="O2315" s="306" t="n"/>
      <c r="P2315" s="306" t="n"/>
      <c r="Q2315" s="306" t="n"/>
    </row>
    <row r="2316" ht="18.75" customHeight="1">
      <c r="B2316" s="288" t="n">
        <v>45585</v>
      </c>
      <c r="C2316" s="289" t="n">
        <v>1579</v>
      </c>
      <c r="D2316" s="290" t="inlineStr">
        <is>
          <t>Laundry 18 days @ 50K IDR/day</t>
        </is>
      </c>
      <c r="E2316" s="306" t="inlineStr">
        <is>
          <t>-</t>
        </is>
      </c>
      <c r="F2316" s="307" t="n">
        <v>900000</v>
      </c>
      <c r="G2316" s="289" t="inlineStr">
        <is>
          <t>IDR</t>
        </is>
      </c>
      <c r="H2316" s="293" t="n">
        <v>1</v>
      </c>
      <c r="I2316" s="306" t="n"/>
      <c r="J2316" s="306" t="n"/>
      <c r="K2316" s="306" t="n"/>
      <c r="L2316" s="307">
        <f>$F2316*$H2316</f>
        <v/>
      </c>
      <c r="M2316" s="306" t="n"/>
      <c r="N2316" s="306" t="n"/>
      <c r="O2316" s="306" t="n"/>
      <c r="P2316" s="306" t="n"/>
      <c r="Q2316" s="306" t="n"/>
    </row>
    <row r="2317" ht="18.75" customHeight="1">
      <c r="B2317" s="288" t="n">
        <v>45585</v>
      </c>
      <c r="C2317" s="289" t="n">
        <v>1580</v>
      </c>
      <c r="D2317" s="290" t="inlineStr">
        <is>
          <t>Laundry 18 days @ 50K IDR/day</t>
        </is>
      </c>
      <c r="E2317" s="306" t="inlineStr">
        <is>
          <t>-</t>
        </is>
      </c>
      <c r="F2317" s="307" t="n">
        <v>900000</v>
      </c>
      <c r="G2317" s="289" t="inlineStr">
        <is>
          <t>IDR</t>
        </is>
      </c>
      <c r="H2317" s="293" t="n">
        <v>1</v>
      </c>
      <c r="I2317" s="306" t="n"/>
      <c r="J2317" s="306" t="n"/>
      <c r="K2317" s="306" t="n"/>
      <c r="L2317" s="307">
        <f>$F2317*$H2317</f>
        <v/>
      </c>
      <c r="M2317" s="306" t="n"/>
      <c r="N2317" s="306" t="n"/>
      <c r="O2317" s="306" t="n"/>
      <c r="P2317" s="306" t="n"/>
      <c r="Q2317" s="306" t="n"/>
    </row>
    <row r="2318">
      <c r="B2318" s="312" t="n"/>
      <c r="C2318" s="312" t="n"/>
      <c r="D2318" s="285" t="inlineStr">
        <is>
          <t>Meal</t>
        </is>
      </c>
      <c r="E2318" s="312" t="n"/>
      <c r="F2318" s="312" t="n"/>
      <c r="G2318" s="312" t="n"/>
      <c r="H2318" s="312" t="n"/>
      <c r="I2318" s="312" t="n"/>
      <c r="J2318" s="312" t="n"/>
      <c r="K2318" s="312" t="n"/>
      <c r="L2318" s="312" t="n"/>
      <c r="M2318" s="312" t="n"/>
      <c r="N2318" s="312" t="n"/>
      <c r="O2318" s="312" t="n"/>
      <c r="P2318" s="312" t="n"/>
      <c r="Q2318" s="312" t="n"/>
    </row>
    <row r="2319" ht="18.75" customHeight="1">
      <c r="B2319" s="288" t="n">
        <v>45585</v>
      </c>
      <c r="C2319" s="289" t="n">
        <v>1581</v>
      </c>
      <c r="D2319" s="290" t="inlineStr">
        <is>
          <t>operation meal with BHI person</t>
        </is>
      </c>
      <c r="E2319" s="306" t="inlineStr">
        <is>
          <t>-</t>
        </is>
      </c>
      <c r="F2319" s="307" t="n">
        <v>1102050</v>
      </c>
      <c r="G2319" s="289" t="inlineStr">
        <is>
          <t>IDR</t>
        </is>
      </c>
      <c r="H2319" s="293" t="n">
        <v>1</v>
      </c>
      <c r="I2319" s="306" t="n"/>
      <c r="J2319" s="306" t="n"/>
      <c r="K2319" s="306" t="n"/>
      <c r="L2319" s="307">
        <f>$F2319*$H2319</f>
        <v/>
      </c>
      <c r="M2319" s="306" t="n"/>
      <c r="N2319" s="306" t="n"/>
      <c r="O2319" s="306" t="n"/>
      <c r="P2319" s="306" t="n"/>
      <c r="Q2319" s="306" t="n"/>
    </row>
    <row r="2320" ht="18.75" customHeight="1">
      <c r="B2320" s="288" t="n">
        <v>45585</v>
      </c>
      <c r="C2320" s="289" t="n">
        <v>1582</v>
      </c>
      <c r="D2320" s="290" t="inlineStr">
        <is>
          <t>Meal 18 days @ 150K IDR/day</t>
        </is>
      </c>
      <c r="E2320" s="306" t="inlineStr">
        <is>
          <t>-</t>
        </is>
      </c>
      <c r="F2320" s="307" t="n">
        <v>2700000</v>
      </c>
      <c r="G2320" s="289" t="inlineStr">
        <is>
          <t>IDR</t>
        </is>
      </c>
      <c r="H2320" s="293" t="n">
        <v>1</v>
      </c>
      <c r="I2320" s="306" t="n"/>
      <c r="J2320" s="306" t="n"/>
      <c r="K2320" s="306" t="n"/>
      <c r="L2320" s="307">
        <f>$F2320*$H2320</f>
        <v/>
      </c>
      <c r="M2320" s="306" t="n"/>
      <c r="N2320" s="306" t="n"/>
      <c r="O2320" s="306" t="n"/>
      <c r="P2320" s="306" t="n"/>
      <c r="Q2320" s="306" t="n"/>
    </row>
    <row r="2321" ht="18.75" customHeight="1">
      <c r="B2321" s="288" t="n">
        <v>45585</v>
      </c>
      <c r="C2321" s="289" t="n">
        <v>1583</v>
      </c>
      <c r="D2321" s="290" t="inlineStr">
        <is>
          <t>operation meal with BHI person</t>
        </is>
      </c>
      <c r="E2321" s="306" t="inlineStr">
        <is>
          <t>-</t>
        </is>
      </c>
      <c r="F2321" s="307" t="n">
        <v>1102050</v>
      </c>
      <c r="G2321" s="289" t="inlineStr">
        <is>
          <t>IDR</t>
        </is>
      </c>
      <c r="H2321" s="293" t="n">
        <v>1</v>
      </c>
      <c r="I2321" s="306" t="n"/>
      <c r="J2321" s="306" t="n"/>
      <c r="K2321" s="306" t="n"/>
      <c r="L2321" s="307">
        <f>$F2321*$H2321</f>
        <v/>
      </c>
      <c r="M2321" s="306" t="n"/>
      <c r="N2321" s="306" t="n"/>
      <c r="O2321" s="306" t="n"/>
      <c r="P2321" s="306" t="n"/>
      <c r="Q2321" s="306" t="n"/>
    </row>
    <row r="2322" ht="18.75" customHeight="1">
      <c r="B2322" s="288" t="n">
        <v>45585</v>
      </c>
      <c r="C2322" s="289" t="n">
        <v>1584</v>
      </c>
      <c r="D2322" s="290" t="inlineStr">
        <is>
          <t>Meal 18 days @ 150K IDR/day</t>
        </is>
      </c>
      <c r="E2322" s="306" t="inlineStr">
        <is>
          <t>-</t>
        </is>
      </c>
      <c r="F2322" s="307" t="n">
        <v>2700000</v>
      </c>
      <c r="G2322" s="289" t="inlineStr">
        <is>
          <t>IDR</t>
        </is>
      </c>
      <c r="H2322" s="293" t="n">
        <v>1</v>
      </c>
      <c r="I2322" s="306" t="n"/>
      <c r="J2322" s="306" t="n"/>
      <c r="K2322" s="306" t="n"/>
      <c r="L2322" s="307">
        <f>$F2322*$H2322</f>
        <v/>
      </c>
      <c r="M2322" s="306" t="n"/>
      <c r="N2322" s="306" t="n"/>
      <c r="O2322" s="306" t="n"/>
      <c r="P2322" s="306" t="n"/>
      <c r="Q2322" s="306" t="n"/>
    </row>
    <row r="2323" ht="18.75" customHeight="1">
      <c r="B2323" s="288" t="n">
        <v>45585</v>
      </c>
      <c r="C2323" s="289" t="n">
        <v>1585</v>
      </c>
      <c r="D2323" s="290" t="inlineStr">
        <is>
          <t>operation meal with BHI person</t>
        </is>
      </c>
      <c r="E2323" s="306" t="inlineStr">
        <is>
          <t>-</t>
        </is>
      </c>
      <c r="F2323" s="307" t="n">
        <v>1102050</v>
      </c>
      <c r="G2323" s="289" t="inlineStr">
        <is>
          <t>IDR</t>
        </is>
      </c>
      <c r="H2323" s="293" t="n">
        <v>1</v>
      </c>
      <c r="I2323" s="306" t="n"/>
      <c r="J2323" s="306" t="n"/>
      <c r="K2323" s="306" t="n"/>
      <c r="L2323" s="307">
        <f>$F2323*$H2323</f>
        <v/>
      </c>
      <c r="M2323" s="306" t="n"/>
      <c r="N2323" s="306" t="n"/>
      <c r="O2323" s="306" t="n"/>
      <c r="P2323" s="306" t="n"/>
      <c r="Q2323" s="306" t="n"/>
    </row>
    <row r="2324" ht="18.75" customHeight="1">
      <c r="B2324" s="288" t="n">
        <v>45585</v>
      </c>
      <c r="C2324" s="289" t="n">
        <v>1586</v>
      </c>
      <c r="D2324" s="290" t="inlineStr">
        <is>
          <t>Meal 18 days @ 150K IDR/day</t>
        </is>
      </c>
      <c r="E2324" s="306" t="inlineStr">
        <is>
          <t>-</t>
        </is>
      </c>
      <c r="F2324" s="307" t="n">
        <v>2700000</v>
      </c>
      <c r="G2324" s="289" t="inlineStr">
        <is>
          <t>IDR</t>
        </is>
      </c>
      <c r="H2324" s="293" t="n">
        <v>1</v>
      </c>
      <c r="I2324" s="306" t="n"/>
      <c r="J2324" s="306" t="n"/>
      <c r="K2324" s="306" t="n"/>
      <c r="L2324" s="307">
        <f>$F2324*$H2324</f>
        <v/>
      </c>
      <c r="M2324" s="306" t="n"/>
      <c r="N2324" s="306" t="n"/>
      <c r="O2324" s="306" t="n"/>
      <c r="P2324" s="306" t="n"/>
      <c r="Q2324" s="306" t="n"/>
    </row>
    <row r="2325" ht="18.75" customHeight="1">
      <c r="B2325" s="288" t="n">
        <v>45585</v>
      </c>
      <c r="C2325" s="289" t="n">
        <v>1587</v>
      </c>
      <c r="D2325" s="290" t="inlineStr">
        <is>
          <t>operation meal with BHI person</t>
        </is>
      </c>
      <c r="E2325" s="306" t="inlineStr">
        <is>
          <t>-</t>
        </is>
      </c>
      <c r="F2325" s="307" t="n">
        <v>1102050</v>
      </c>
      <c r="G2325" s="289" t="inlineStr">
        <is>
          <t>IDR</t>
        </is>
      </c>
      <c r="H2325" s="293" t="n">
        <v>1</v>
      </c>
      <c r="I2325" s="306" t="n"/>
      <c r="J2325" s="306" t="n"/>
      <c r="K2325" s="306" t="n"/>
      <c r="L2325" s="307">
        <f>$F2325*$H2325</f>
        <v/>
      </c>
      <c r="M2325" s="306" t="n"/>
      <c r="N2325" s="306" t="n"/>
      <c r="O2325" s="306" t="n"/>
      <c r="P2325" s="306" t="n"/>
      <c r="Q2325" s="306" t="n"/>
    </row>
    <row r="2326" ht="18.75" customHeight="1">
      <c r="B2326" s="288" t="n">
        <v>45585</v>
      </c>
      <c r="C2326" s="289" t="n">
        <v>1588</v>
      </c>
      <c r="D2326" s="290" t="inlineStr">
        <is>
          <t>Meal 18 days @ 150K IDR/day</t>
        </is>
      </c>
      <c r="E2326" s="306" t="inlineStr">
        <is>
          <t>-</t>
        </is>
      </c>
      <c r="F2326" s="307" t="n">
        <v>2700000</v>
      </c>
      <c r="G2326" s="289" t="inlineStr">
        <is>
          <t>IDR</t>
        </is>
      </c>
      <c r="H2326" s="293" t="n">
        <v>1</v>
      </c>
      <c r="I2326" s="306" t="n"/>
      <c r="J2326" s="306" t="n"/>
      <c r="K2326" s="306" t="n"/>
      <c r="L2326" s="307">
        <f>$F2326*$H2326</f>
        <v/>
      </c>
      <c r="M2326" s="306" t="n"/>
      <c r="N2326" s="306" t="n"/>
      <c r="O2326" s="306" t="n"/>
      <c r="P2326" s="306" t="n"/>
      <c r="Q2326" s="306" t="n"/>
    </row>
    <row r="2327">
      <c r="B2327" s="312" t="n"/>
      <c r="C2327" s="312" t="n"/>
      <c r="D2327" s="285" t="inlineStr">
        <is>
          <t>Transportation</t>
        </is>
      </c>
      <c r="E2327" s="312" t="n"/>
      <c r="F2327" s="312" t="n"/>
      <c r="G2327" s="312" t="n"/>
      <c r="H2327" s="312" t="n"/>
      <c r="I2327" s="312" t="n"/>
      <c r="J2327" s="312" t="n"/>
      <c r="K2327" s="312" t="n"/>
      <c r="L2327" s="312" t="n"/>
      <c r="M2327" s="312" t="n"/>
      <c r="N2327" s="312" t="n"/>
      <c r="O2327" s="312" t="n"/>
      <c r="P2327" s="312" t="n"/>
      <c r="Q2327" s="312" t="n"/>
    </row>
    <row r="2328" ht="18.75" customHeight="1">
      <c r="B2328" s="288" t="n">
        <v>45568</v>
      </c>
      <c r="C2328" s="289" t="n">
        <v>1589</v>
      </c>
      <c r="D2328" s="290" t="inlineStr">
        <is>
          <t>Taxi Anevril Home - CGK Airport</t>
        </is>
      </c>
      <c r="E2328" s="306" t="inlineStr">
        <is>
          <t>-</t>
        </is>
      </c>
      <c r="F2328" s="307" t="n">
        <v>250000</v>
      </c>
      <c r="G2328" s="289" t="inlineStr">
        <is>
          <t>IDR</t>
        </is>
      </c>
      <c r="H2328" s="293" t="n">
        <v>1</v>
      </c>
      <c r="I2328" s="306" t="n"/>
      <c r="J2328" s="306" t="n"/>
      <c r="K2328" s="306" t="n"/>
      <c r="L2328" s="307">
        <f>$F2328*$H2328</f>
        <v/>
      </c>
      <c r="M2328" s="306" t="n"/>
      <c r="N2328" s="306" t="n"/>
      <c r="O2328" s="306" t="n"/>
      <c r="P2328" s="306" t="n"/>
      <c r="Q2328" s="306" t="n"/>
    </row>
    <row r="2329" ht="18.75" customHeight="1">
      <c r="B2329" s="288" t="n">
        <v>45568</v>
      </c>
      <c r="C2329" s="289" t="n">
        <v>1590</v>
      </c>
      <c r="D2329" s="290" t="inlineStr">
        <is>
          <t>Taxi Anevril Home - CGK Airport</t>
        </is>
      </c>
      <c r="E2329" s="306" t="inlineStr">
        <is>
          <t>-</t>
        </is>
      </c>
      <c r="F2329" s="307" t="n">
        <v>250000</v>
      </c>
      <c r="G2329" s="289" t="inlineStr">
        <is>
          <t>IDR</t>
        </is>
      </c>
      <c r="H2329" s="293" t="n">
        <v>1</v>
      </c>
      <c r="I2329" s="306" t="n"/>
      <c r="J2329" s="306" t="n"/>
      <c r="K2329" s="306" t="n"/>
      <c r="L2329" s="307">
        <f>$F2329*$H2329</f>
        <v/>
      </c>
      <c r="M2329" s="306" t="n"/>
      <c r="N2329" s="306" t="n"/>
      <c r="O2329" s="306" t="n"/>
      <c r="P2329" s="306" t="n"/>
      <c r="Q2329" s="306" t="n"/>
    </row>
    <row r="2330" ht="18.75" customHeight="1">
      <c r="B2330" s="288" t="n">
        <v>45568</v>
      </c>
      <c r="C2330" s="289" t="n">
        <v>1591</v>
      </c>
      <c r="D2330" s="290" t="inlineStr">
        <is>
          <t>Taxi Anevril Home - CGK Airport</t>
        </is>
      </c>
      <c r="E2330" s="306" t="inlineStr">
        <is>
          <t>-</t>
        </is>
      </c>
      <c r="F2330" s="307" t="n">
        <v>250000</v>
      </c>
      <c r="G2330" s="289" t="inlineStr">
        <is>
          <t>IDR</t>
        </is>
      </c>
      <c r="H2330" s="293" t="n">
        <v>1</v>
      </c>
      <c r="I2330" s="306" t="n"/>
      <c r="J2330" s="306" t="n"/>
      <c r="K2330" s="306" t="n"/>
      <c r="L2330" s="307">
        <f>$F2330*$H2330</f>
        <v/>
      </c>
      <c r="M2330" s="306" t="n"/>
      <c r="N2330" s="306" t="n"/>
      <c r="O2330" s="306" t="n"/>
      <c r="P2330" s="306" t="n"/>
      <c r="Q2330" s="306" t="n"/>
    </row>
    <row r="2331" ht="18.75" customHeight="1">
      <c r="B2331" s="288" t="n">
        <v>45568</v>
      </c>
      <c r="C2331" s="289" t="n">
        <v>1592</v>
      </c>
      <c r="D2331" s="290" t="inlineStr">
        <is>
          <t>Taxi Anevril Home - CGK Airport</t>
        </is>
      </c>
      <c r="E2331" s="306" t="inlineStr">
        <is>
          <t>-</t>
        </is>
      </c>
      <c r="F2331" s="307" t="n">
        <v>250000</v>
      </c>
      <c r="G2331" s="289" t="inlineStr">
        <is>
          <t>IDR</t>
        </is>
      </c>
      <c r="H2331" s="293" t="n">
        <v>1</v>
      </c>
      <c r="I2331" s="306" t="n"/>
      <c r="J2331" s="306" t="n"/>
      <c r="K2331" s="306" t="n"/>
      <c r="L2331" s="307">
        <f>$F2331*$H2331</f>
        <v/>
      </c>
      <c r="M2331" s="306" t="n"/>
      <c r="N2331" s="306" t="n"/>
      <c r="O2331" s="306" t="n"/>
      <c r="P2331" s="306" t="n"/>
      <c r="Q2331" s="306" t="n"/>
    </row>
    <row r="2332" ht="18.75" customHeight="1">
      <c r="B2332" s="288" t="n">
        <v>45585</v>
      </c>
      <c r="C2332" s="289" t="n">
        <v>1593</v>
      </c>
      <c r="D2332" s="290" t="inlineStr">
        <is>
          <t>Taxi Anevril CGK Airport - Home</t>
        </is>
      </c>
      <c r="E2332" s="306" t="inlineStr">
        <is>
          <t>-</t>
        </is>
      </c>
      <c r="F2332" s="307" t="n">
        <v>250000</v>
      </c>
      <c r="G2332" s="289" t="inlineStr">
        <is>
          <t>IDR</t>
        </is>
      </c>
      <c r="H2332" s="293" t="n">
        <v>1</v>
      </c>
      <c r="I2332" s="306" t="n"/>
      <c r="J2332" s="306" t="n"/>
      <c r="K2332" s="306" t="n"/>
      <c r="L2332" s="307">
        <f>$F2332*$H2332</f>
        <v/>
      </c>
      <c r="M2332" s="306" t="n"/>
      <c r="N2332" s="306" t="n"/>
      <c r="O2332" s="306" t="n"/>
      <c r="P2332" s="306" t="n"/>
      <c r="Q2332" s="306" t="n"/>
    </row>
    <row r="2333" ht="18.75" customHeight="1">
      <c r="B2333" s="288" t="n">
        <v>45585</v>
      </c>
      <c r="C2333" s="289" t="n">
        <v>1594</v>
      </c>
      <c r="D2333" s="290" t="inlineStr">
        <is>
          <t>Taxi Anevril CGK Airport - Home</t>
        </is>
      </c>
      <c r="E2333" s="306" t="inlineStr">
        <is>
          <t>-</t>
        </is>
      </c>
      <c r="F2333" s="307" t="n">
        <v>250000</v>
      </c>
      <c r="G2333" s="289" t="inlineStr">
        <is>
          <t>IDR</t>
        </is>
      </c>
      <c r="H2333" s="293" t="n">
        <v>1</v>
      </c>
      <c r="I2333" s="306" t="n"/>
      <c r="J2333" s="306" t="n"/>
      <c r="K2333" s="306" t="n"/>
      <c r="L2333" s="307">
        <f>$F2333*$H2333</f>
        <v/>
      </c>
      <c r="M2333" s="306" t="n"/>
      <c r="N2333" s="306" t="n"/>
      <c r="O2333" s="306" t="n"/>
      <c r="P2333" s="306" t="n"/>
      <c r="Q2333" s="306" t="n"/>
    </row>
    <row r="2334" ht="18.75" customHeight="1">
      <c r="B2334" s="288" t="n">
        <v>45585</v>
      </c>
      <c r="C2334" s="289" t="n">
        <v>1595</v>
      </c>
      <c r="D2334" s="290" t="inlineStr">
        <is>
          <t>Taxi Anevril CGK Airport - Home</t>
        </is>
      </c>
      <c r="E2334" s="306" t="inlineStr">
        <is>
          <t>-</t>
        </is>
      </c>
      <c r="F2334" s="307" t="n">
        <v>250000</v>
      </c>
      <c r="G2334" s="289" t="inlineStr">
        <is>
          <t>IDR</t>
        </is>
      </c>
      <c r="H2334" s="293" t="n">
        <v>1</v>
      </c>
      <c r="I2334" s="306" t="n"/>
      <c r="J2334" s="306" t="n"/>
      <c r="K2334" s="306" t="n"/>
      <c r="L2334" s="307">
        <f>$F2334*$H2334</f>
        <v/>
      </c>
      <c r="M2334" s="306" t="n"/>
      <c r="N2334" s="306" t="n"/>
      <c r="O2334" s="306" t="n"/>
      <c r="P2334" s="306" t="n"/>
      <c r="Q2334" s="306" t="n"/>
    </row>
    <row r="2335" ht="18.75" customHeight="1">
      <c r="B2335" s="288" t="n">
        <v>45585</v>
      </c>
      <c r="C2335" s="289" t="n">
        <v>1596</v>
      </c>
      <c r="D2335" s="290" t="inlineStr">
        <is>
          <t>Taxi Anevril CGK Airport - Home</t>
        </is>
      </c>
      <c r="E2335" s="306" t="inlineStr">
        <is>
          <t>-</t>
        </is>
      </c>
      <c r="F2335" s="307" t="n">
        <v>250000</v>
      </c>
      <c r="G2335" s="289" t="inlineStr">
        <is>
          <t>IDR</t>
        </is>
      </c>
      <c r="H2335" s="293" t="n">
        <v>1</v>
      </c>
      <c r="I2335" s="306" t="n"/>
      <c r="J2335" s="306" t="n"/>
      <c r="K2335" s="306" t="n"/>
      <c r="L2335" s="307">
        <f>$F2335*$H2335</f>
        <v/>
      </c>
      <c r="M2335" s="306" t="n"/>
      <c r="N2335" s="306" t="n"/>
      <c r="O2335" s="306" t="n"/>
      <c r="P2335" s="306" t="n"/>
      <c r="Q2335" s="306" t="n"/>
    </row>
    <row r="2336">
      <c r="B2336" s="310" t="inlineStr">
        <is>
          <t>Expense#39</t>
        </is>
      </c>
      <c r="C2336" s="311" t="inlineStr">
        <is>
          <t>:</t>
        </is>
      </c>
      <c r="D2336" s="310" t="inlineStr">
        <is>
          <t>Training Basic Sea Survival_IBR</t>
        </is>
      </c>
      <c r="E2336" s="311" t="n"/>
      <c r="F2336" s="311" t="n"/>
      <c r="G2336" s="311" t="n"/>
      <c r="H2336" s="311" t="n"/>
      <c r="I2336" s="311" t="n"/>
      <c r="J2336" s="311" t="n"/>
      <c r="K2336" s="311" t="n"/>
      <c r="L2336" s="311" t="n"/>
      <c r="M2336" s="311" t="n"/>
      <c r="N2336" s="311" t="n"/>
      <c r="O2336" s="311" t="n"/>
      <c r="P2336" s="311" t="n"/>
      <c r="Q2336" s="311" t="n"/>
    </row>
    <row r="2337">
      <c r="B2337" s="312" t="n"/>
      <c r="C2337" s="312" t="n"/>
      <c r="D2337" s="285" t="inlineStr">
        <is>
          <t>Training</t>
        </is>
      </c>
      <c r="E2337" s="312" t="n"/>
      <c r="F2337" s="312" t="n"/>
      <c r="G2337" s="312" t="n"/>
      <c r="H2337" s="312" t="n"/>
      <c r="I2337" s="312" t="n"/>
      <c r="J2337" s="312" t="n"/>
      <c r="K2337" s="312" t="n"/>
      <c r="L2337" s="312" t="n"/>
      <c r="M2337" s="312" t="n"/>
      <c r="N2337" s="312" t="n"/>
      <c r="O2337" s="312" t="n"/>
      <c r="P2337" s="312" t="n"/>
      <c r="Q2337" s="312" t="n"/>
    </row>
    <row r="2338" ht="18.75" customHeight="1">
      <c r="B2338" s="288" t="n">
        <v>45622</v>
      </c>
      <c r="C2338" s="289" t="n">
        <v>1597</v>
      </c>
      <c r="D2338" s="290" t="inlineStr">
        <is>
          <t>Basic Sea Survival</t>
        </is>
      </c>
      <c r="E2338" s="306" t="inlineStr">
        <is>
          <t>-</t>
        </is>
      </c>
      <c r="F2338" s="307" t="n">
        <v>2700000</v>
      </c>
      <c r="G2338" s="289" t="inlineStr">
        <is>
          <t>IDR</t>
        </is>
      </c>
      <c r="H2338" s="293" t="n">
        <v>1</v>
      </c>
      <c r="I2338" s="306" t="n"/>
      <c r="J2338" s="306" t="n"/>
      <c r="K2338" s="306" t="n"/>
      <c r="L2338" s="307">
        <f>$F2338*$H2338</f>
        <v/>
      </c>
      <c r="M2338" s="306" t="n"/>
      <c r="N2338" s="306" t="n"/>
      <c r="O2338" s="306" t="n"/>
      <c r="P2338" s="306" t="n"/>
      <c r="Q2338" s="306" t="n"/>
    </row>
    <row r="2339" ht="18.75" customHeight="1">
      <c r="B2339" s="288" t="n">
        <v>45622</v>
      </c>
      <c r="C2339" s="289" t="n">
        <v>1598</v>
      </c>
      <c r="D2339" s="290" t="inlineStr">
        <is>
          <t>Basic Sea Survival</t>
        </is>
      </c>
      <c r="E2339" s="306" t="inlineStr">
        <is>
          <t>-</t>
        </is>
      </c>
      <c r="F2339" s="307" t="n">
        <v>2700000</v>
      </c>
      <c r="G2339" s="289" t="inlineStr">
        <is>
          <t>IDR</t>
        </is>
      </c>
      <c r="H2339" s="293" t="n">
        <v>1</v>
      </c>
      <c r="I2339" s="306" t="n"/>
      <c r="J2339" s="306" t="n"/>
      <c r="K2339" s="306" t="n"/>
      <c r="L2339" s="307">
        <f>$F2339*$H2339</f>
        <v/>
      </c>
      <c r="M2339" s="306" t="n"/>
      <c r="N2339" s="306" t="n"/>
      <c r="O2339" s="306" t="n"/>
      <c r="P2339" s="306" t="n"/>
      <c r="Q2339" s="306" t="n"/>
    </row>
    <row r="2340" ht="18.75" customHeight="1">
      <c r="B2340" s="288" t="n">
        <v>45622</v>
      </c>
      <c r="C2340" s="289" t="n">
        <v>1599</v>
      </c>
      <c r="D2340" s="290" t="inlineStr">
        <is>
          <t>Basic Sea Survival</t>
        </is>
      </c>
      <c r="E2340" s="306" t="inlineStr">
        <is>
          <t>-</t>
        </is>
      </c>
      <c r="F2340" s="307" t="n">
        <v>2700000</v>
      </c>
      <c r="G2340" s="289" t="inlineStr">
        <is>
          <t>IDR</t>
        </is>
      </c>
      <c r="H2340" s="293" t="n">
        <v>1</v>
      </c>
      <c r="I2340" s="306" t="n"/>
      <c r="J2340" s="306" t="n"/>
      <c r="K2340" s="306" t="n"/>
      <c r="L2340" s="307">
        <f>$F2340*$H2340</f>
        <v/>
      </c>
      <c r="M2340" s="306" t="n"/>
      <c r="N2340" s="306" t="n"/>
      <c r="O2340" s="306" t="n"/>
      <c r="P2340" s="306" t="n"/>
      <c r="Q2340" s="306" t="n"/>
    </row>
    <row r="2341" ht="18.75" customHeight="1">
      <c r="B2341" s="288" t="n">
        <v>45622</v>
      </c>
      <c r="C2341" s="289" t="n">
        <v>1600</v>
      </c>
      <c r="D2341" s="290" t="inlineStr">
        <is>
          <t>Basic Sea Survival</t>
        </is>
      </c>
      <c r="E2341" s="306" t="inlineStr">
        <is>
          <t>-</t>
        </is>
      </c>
      <c r="F2341" s="307" t="n">
        <v>2700000</v>
      </c>
      <c r="G2341" s="289" t="inlineStr">
        <is>
          <t>IDR</t>
        </is>
      </c>
      <c r="H2341" s="293" t="n">
        <v>1</v>
      </c>
      <c r="I2341" s="306" t="n"/>
      <c r="J2341" s="306" t="n"/>
      <c r="K2341" s="306" t="n"/>
      <c r="L2341" s="307">
        <f>$F2341*$H2341</f>
        <v/>
      </c>
      <c r="M2341" s="306" t="n"/>
      <c r="N2341" s="306" t="n"/>
      <c r="O2341" s="306" t="n"/>
      <c r="P2341" s="306" t="n"/>
      <c r="Q2341" s="306" t="n"/>
    </row>
    <row r="2342">
      <c r="B2342" s="312" t="n"/>
      <c r="C2342" s="312" t="n"/>
      <c r="D2342" s="285" t="inlineStr">
        <is>
          <t>Transportation</t>
        </is>
      </c>
      <c r="E2342" s="312" t="n"/>
      <c r="F2342" s="312" t="n"/>
      <c r="G2342" s="312" t="n"/>
      <c r="H2342" s="312" t="n"/>
      <c r="I2342" s="312" t="n"/>
      <c r="J2342" s="312" t="n"/>
      <c r="K2342" s="312" t="n"/>
      <c r="L2342" s="312" t="n"/>
      <c r="M2342" s="312" t="n"/>
      <c r="N2342" s="312" t="n"/>
      <c r="O2342" s="312" t="n"/>
      <c r="P2342" s="312" t="n"/>
      <c r="Q2342" s="312" t="n"/>
    </row>
    <row r="2343" ht="18.75" customHeight="1">
      <c r="B2343" s="288" t="n">
        <v>45622</v>
      </c>
      <c r="C2343" s="289" t="n">
        <v>1601</v>
      </c>
      <c r="D2343" s="290" t="inlineStr">
        <is>
          <t>Gojek ( Damn Coffe - PT Lautan Tenang Jaya )</t>
        </is>
      </c>
      <c r="E2343" s="306" t="inlineStr">
        <is>
          <t>-</t>
        </is>
      </c>
      <c r="F2343" s="307" t="n">
        <v>15000</v>
      </c>
      <c r="G2343" s="289" t="inlineStr">
        <is>
          <t>IDR</t>
        </is>
      </c>
      <c r="H2343" s="293" t="n">
        <v>1</v>
      </c>
      <c r="I2343" s="306" t="n"/>
      <c r="J2343" s="306" t="n"/>
      <c r="K2343" s="306" t="n"/>
      <c r="L2343" s="307">
        <f>$F2343*$H2343</f>
        <v/>
      </c>
      <c r="M2343" s="306" t="n"/>
      <c r="N2343" s="306" t="n"/>
      <c r="O2343" s="306" t="n"/>
      <c r="P2343" s="306" t="n"/>
      <c r="Q2343" s="306" t="n"/>
    </row>
    <row r="2344" ht="18.75" customHeight="1">
      <c r="B2344" s="288" t="n">
        <v>45622</v>
      </c>
      <c r="C2344" s="289" t="n">
        <v>1602</v>
      </c>
      <c r="D2344" s="290" t="inlineStr">
        <is>
          <t>Gojek ( PT Lautan Tenang Jaya - Stasiun MRT )</t>
        </is>
      </c>
      <c r="E2344" s="306" t="inlineStr">
        <is>
          <t>-</t>
        </is>
      </c>
      <c r="F2344" s="307" t="n">
        <v>15000</v>
      </c>
      <c r="G2344" s="289" t="inlineStr">
        <is>
          <t>IDR</t>
        </is>
      </c>
      <c r="H2344" s="293" t="n">
        <v>1</v>
      </c>
      <c r="I2344" s="306" t="n"/>
      <c r="J2344" s="306" t="n"/>
      <c r="K2344" s="306" t="n"/>
      <c r="L2344" s="307">
        <f>$F2344*$H2344</f>
        <v/>
      </c>
      <c r="M2344" s="306" t="n"/>
      <c r="N2344" s="306" t="n"/>
      <c r="O2344" s="306" t="n"/>
      <c r="P2344" s="306" t="n"/>
      <c r="Q2344" s="306" t="n"/>
    </row>
    <row r="2345" ht="18.75" customHeight="1">
      <c r="B2345" s="288" t="n">
        <v>45622</v>
      </c>
      <c r="C2345" s="289" t="n">
        <v>1603</v>
      </c>
      <c r="D2345" s="290" t="inlineStr">
        <is>
          <t>Gojek ( Stasiun Sudimara - Home )</t>
        </is>
      </c>
      <c r="E2345" s="306" t="inlineStr">
        <is>
          <t>-</t>
        </is>
      </c>
      <c r="F2345" s="307" t="n">
        <v>15000</v>
      </c>
      <c r="G2345" s="289" t="inlineStr">
        <is>
          <t>IDR</t>
        </is>
      </c>
      <c r="H2345" s="293" t="n">
        <v>1</v>
      </c>
      <c r="I2345" s="306" t="n"/>
      <c r="J2345" s="306" t="n"/>
      <c r="K2345" s="306" t="n"/>
      <c r="L2345" s="307">
        <f>$F2345*$H2345</f>
        <v/>
      </c>
      <c r="M2345" s="306" t="n"/>
      <c r="N2345" s="306" t="n"/>
      <c r="O2345" s="306" t="n"/>
      <c r="P2345" s="306" t="n"/>
      <c r="Q2345" s="306" t="n"/>
    </row>
    <row r="2346" ht="18.75" customHeight="1">
      <c r="B2346" s="288" t="n">
        <v>45622</v>
      </c>
      <c r="C2346" s="289" t="n">
        <v>1604</v>
      </c>
      <c r="D2346" s="290" t="inlineStr">
        <is>
          <t>MRT ( Lebak Bulus - Duku Atas )</t>
        </is>
      </c>
      <c r="E2346" s="306" t="inlineStr">
        <is>
          <t>-</t>
        </is>
      </c>
      <c r="F2346" s="307" t="n">
        <v>14000</v>
      </c>
      <c r="G2346" s="289" t="inlineStr">
        <is>
          <t>IDR</t>
        </is>
      </c>
      <c r="H2346" s="293" t="n">
        <v>1</v>
      </c>
      <c r="I2346" s="306" t="n"/>
      <c r="J2346" s="306" t="n"/>
      <c r="K2346" s="306" t="n"/>
      <c r="L2346" s="307">
        <f>$F2346*$H2346</f>
        <v/>
      </c>
      <c r="M2346" s="306" t="n"/>
      <c r="N2346" s="306" t="n"/>
      <c r="O2346" s="306" t="n"/>
      <c r="P2346" s="306" t="n"/>
      <c r="Q2346" s="306" t="n"/>
    </row>
    <row r="2347" ht="18.75" customHeight="1">
      <c r="B2347" s="288" t="n">
        <v>45622</v>
      </c>
      <c r="C2347" s="289" t="n">
        <v>1605</v>
      </c>
      <c r="D2347" s="290" t="inlineStr">
        <is>
          <t>KRL ( Duku Atas - Sudimara )</t>
        </is>
      </c>
      <c r="E2347" s="306" t="inlineStr">
        <is>
          <t>-</t>
        </is>
      </c>
      <c r="F2347" s="307" t="n">
        <v>3000</v>
      </c>
      <c r="G2347" s="289" t="inlineStr">
        <is>
          <t>IDR</t>
        </is>
      </c>
      <c r="H2347" s="293" t="n">
        <v>1</v>
      </c>
      <c r="I2347" s="306" t="n"/>
      <c r="J2347" s="306" t="n"/>
      <c r="K2347" s="306" t="n"/>
      <c r="L2347" s="307">
        <f>$F2347*$H2347</f>
        <v/>
      </c>
      <c r="M2347" s="306" t="n"/>
      <c r="N2347" s="306" t="n"/>
      <c r="O2347" s="306" t="n"/>
      <c r="P2347" s="306" t="n"/>
      <c r="Q2347" s="306" t="n"/>
    </row>
    <row r="2348" ht="18.75" customHeight="1">
      <c r="B2348" s="288" t="n">
        <v>45622</v>
      </c>
      <c r="C2348" s="289" t="n">
        <v>1606</v>
      </c>
      <c r="D2348" s="290" t="inlineStr">
        <is>
          <t>MRT ( Lebak Bulus - Duku Atas )</t>
        </is>
      </c>
      <c r="E2348" s="306" t="inlineStr">
        <is>
          <t>-</t>
        </is>
      </c>
      <c r="F2348" s="307" t="n">
        <v>14000</v>
      </c>
      <c r="G2348" s="289" t="inlineStr">
        <is>
          <t>IDR</t>
        </is>
      </c>
      <c r="H2348" s="293" t="n">
        <v>1</v>
      </c>
      <c r="I2348" s="306" t="n"/>
      <c r="J2348" s="306" t="n"/>
      <c r="K2348" s="306" t="n"/>
      <c r="L2348" s="307">
        <f>$F2348*$H2348</f>
        <v/>
      </c>
      <c r="M2348" s="306" t="n"/>
      <c r="N2348" s="306" t="n"/>
      <c r="O2348" s="306" t="n"/>
      <c r="P2348" s="306" t="n"/>
      <c r="Q2348" s="306" t="n"/>
    </row>
    <row r="2349" ht="18.75" customHeight="1">
      <c r="B2349" s="288" t="n">
        <v>45622</v>
      </c>
      <c r="C2349" s="289" t="n">
        <v>1607</v>
      </c>
      <c r="D2349" s="290" t="inlineStr">
        <is>
          <t>KRL ( Duku Atas - Sudimara )</t>
        </is>
      </c>
      <c r="E2349" s="306" t="inlineStr">
        <is>
          <t>-</t>
        </is>
      </c>
      <c r="F2349" s="307" t="n">
        <v>3000</v>
      </c>
      <c r="G2349" s="289" t="inlineStr">
        <is>
          <t>IDR</t>
        </is>
      </c>
      <c r="H2349" s="293" t="n">
        <v>1</v>
      </c>
      <c r="I2349" s="306" t="n"/>
      <c r="J2349" s="306" t="n"/>
      <c r="K2349" s="306" t="n"/>
      <c r="L2349" s="307">
        <f>$F2349*$H2349</f>
        <v/>
      </c>
      <c r="M2349" s="306" t="n"/>
      <c r="N2349" s="306" t="n"/>
      <c r="O2349" s="306" t="n"/>
      <c r="P2349" s="306" t="n"/>
      <c r="Q2349" s="306" t="n"/>
    </row>
    <row r="2350" ht="18.75" customHeight="1">
      <c r="B2350" s="288" t="n">
        <v>45622</v>
      </c>
      <c r="C2350" s="289" t="n">
        <v>1608</v>
      </c>
      <c r="D2350" s="290" t="inlineStr">
        <is>
          <t>Gojek ( Damn Coffe - PT Lautan Tenang Jaya )</t>
        </is>
      </c>
      <c r="E2350" s="306" t="inlineStr">
        <is>
          <t>-</t>
        </is>
      </c>
      <c r="F2350" s="307" t="n">
        <v>15000</v>
      </c>
      <c r="G2350" s="289" t="inlineStr">
        <is>
          <t>IDR</t>
        </is>
      </c>
      <c r="H2350" s="293" t="n">
        <v>1</v>
      </c>
      <c r="I2350" s="306" t="n"/>
      <c r="J2350" s="306" t="n"/>
      <c r="K2350" s="306" t="n"/>
      <c r="L2350" s="307">
        <f>$F2350*$H2350</f>
        <v/>
      </c>
      <c r="M2350" s="306" t="n"/>
      <c r="N2350" s="306" t="n"/>
      <c r="O2350" s="306" t="n"/>
      <c r="P2350" s="306" t="n"/>
      <c r="Q2350" s="306" t="n"/>
    </row>
    <row r="2351" ht="18.75" customHeight="1">
      <c r="B2351" s="288" t="n">
        <v>45622</v>
      </c>
      <c r="C2351" s="289" t="n">
        <v>1609</v>
      </c>
      <c r="D2351" s="290" t="inlineStr">
        <is>
          <t>Gojek ( PT Lautan Tenang Jaya - Stasiun MRT )</t>
        </is>
      </c>
      <c r="E2351" s="306" t="inlineStr">
        <is>
          <t>-</t>
        </is>
      </c>
      <c r="F2351" s="307" t="n">
        <v>15000</v>
      </c>
      <c r="G2351" s="289" t="inlineStr">
        <is>
          <t>IDR</t>
        </is>
      </c>
      <c r="H2351" s="293" t="n">
        <v>1</v>
      </c>
      <c r="I2351" s="306" t="n"/>
      <c r="J2351" s="306" t="n"/>
      <c r="K2351" s="306" t="n"/>
      <c r="L2351" s="307">
        <f>$F2351*$H2351</f>
        <v/>
      </c>
      <c r="M2351" s="306" t="n"/>
      <c r="N2351" s="306" t="n"/>
      <c r="O2351" s="306" t="n"/>
      <c r="P2351" s="306" t="n"/>
      <c r="Q2351" s="306" t="n"/>
    </row>
    <row r="2352" ht="18.75" customHeight="1">
      <c r="B2352" s="288" t="n">
        <v>45622</v>
      </c>
      <c r="C2352" s="289" t="n">
        <v>1610</v>
      </c>
      <c r="D2352" s="290" t="inlineStr">
        <is>
          <t>Gojek ( Stasiun Sudimara - Home )</t>
        </is>
      </c>
      <c r="E2352" s="306" t="inlineStr">
        <is>
          <t>-</t>
        </is>
      </c>
      <c r="F2352" s="307" t="n">
        <v>15000</v>
      </c>
      <c r="G2352" s="289" t="inlineStr">
        <is>
          <t>IDR</t>
        </is>
      </c>
      <c r="H2352" s="293" t="n">
        <v>1</v>
      </c>
      <c r="I2352" s="306" t="n"/>
      <c r="J2352" s="306" t="n"/>
      <c r="K2352" s="306" t="n"/>
      <c r="L2352" s="307">
        <f>$F2352*$H2352</f>
        <v/>
      </c>
      <c r="M2352" s="306" t="n"/>
      <c r="N2352" s="306" t="n"/>
      <c r="O2352" s="306" t="n"/>
      <c r="P2352" s="306" t="n"/>
      <c r="Q2352" s="306" t="n"/>
    </row>
    <row r="2353" ht="18.75" customHeight="1">
      <c r="B2353" s="288" t="n">
        <v>45622</v>
      </c>
      <c r="C2353" s="289" t="n">
        <v>1611</v>
      </c>
      <c r="D2353" s="290" t="inlineStr">
        <is>
          <t>MRT ( Lebak Bulus - Duku Atas )</t>
        </is>
      </c>
      <c r="E2353" s="306" t="inlineStr">
        <is>
          <t>-</t>
        </is>
      </c>
      <c r="F2353" s="307" t="n">
        <v>14000</v>
      </c>
      <c r="G2353" s="289" t="inlineStr">
        <is>
          <t>IDR</t>
        </is>
      </c>
      <c r="H2353" s="293" t="n">
        <v>1</v>
      </c>
      <c r="I2353" s="306" t="n"/>
      <c r="J2353" s="306" t="n"/>
      <c r="K2353" s="306" t="n"/>
      <c r="L2353" s="307">
        <f>$F2353*$H2353</f>
        <v/>
      </c>
      <c r="M2353" s="306" t="n"/>
      <c r="N2353" s="306" t="n"/>
      <c r="O2353" s="306" t="n"/>
      <c r="P2353" s="306" t="n"/>
      <c r="Q2353" s="306" t="n"/>
    </row>
    <row r="2354" ht="18.75" customHeight="1">
      <c r="B2354" s="288" t="n">
        <v>45622</v>
      </c>
      <c r="C2354" s="289" t="n">
        <v>1612</v>
      </c>
      <c r="D2354" s="290" t="inlineStr">
        <is>
          <t>KRL ( Duku Atas - Sudimara )</t>
        </is>
      </c>
      <c r="E2354" s="306" t="inlineStr">
        <is>
          <t>-</t>
        </is>
      </c>
      <c r="F2354" s="307" t="n">
        <v>3000</v>
      </c>
      <c r="G2354" s="289" t="inlineStr">
        <is>
          <t>IDR</t>
        </is>
      </c>
      <c r="H2354" s="293" t="n">
        <v>1</v>
      </c>
      <c r="I2354" s="306" t="n"/>
      <c r="J2354" s="306" t="n"/>
      <c r="K2354" s="306" t="n"/>
      <c r="L2354" s="307">
        <f>$F2354*$H2354</f>
        <v/>
      </c>
      <c r="M2354" s="306" t="n"/>
      <c r="N2354" s="306" t="n"/>
      <c r="O2354" s="306" t="n"/>
      <c r="P2354" s="306" t="n"/>
      <c r="Q2354" s="306" t="n"/>
    </row>
    <row r="2355" ht="18.75" customHeight="1">
      <c r="B2355" s="288" t="n">
        <v>45622</v>
      </c>
      <c r="C2355" s="289" t="n">
        <v>1613</v>
      </c>
      <c r="D2355" s="290" t="inlineStr">
        <is>
          <t>Gojek ( Damn Coffe - PT Lautan Tenang Jaya )</t>
        </is>
      </c>
      <c r="E2355" s="306" t="inlineStr">
        <is>
          <t>-</t>
        </is>
      </c>
      <c r="F2355" s="307" t="n">
        <v>15000</v>
      </c>
      <c r="G2355" s="289" t="inlineStr">
        <is>
          <t>IDR</t>
        </is>
      </c>
      <c r="H2355" s="293" t="n">
        <v>1</v>
      </c>
      <c r="I2355" s="306" t="n"/>
      <c r="J2355" s="306" t="n"/>
      <c r="K2355" s="306" t="n"/>
      <c r="L2355" s="307">
        <f>$F2355*$H2355</f>
        <v/>
      </c>
      <c r="M2355" s="306" t="n"/>
      <c r="N2355" s="306" t="n"/>
      <c r="O2355" s="306" t="n"/>
      <c r="P2355" s="306" t="n"/>
      <c r="Q2355" s="306" t="n"/>
    </row>
    <row r="2356" ht="18.75" customHeight="1">
      <c r="B2356" s="288" t="n">
        <v>45622</v>
      </c>
      <c r="C2356" s="289" t="n">
        <v>1614</v>
      </c>
      <c r="D2356" s="290" t="inlineStr">
        <is>
          <t>Gojek ( PT Lautan Tenang Jaya - Stasiun MRT )</t>
        </is>
      </c>
      <c r="E2356" s="306" t="inlineStr">
        <is>
          <t>-</t>
        </is>
      </c>
      <c r="F2356" s="307" t="n">
        <v>15000</v>
      </c>
      <c r="G2356" s="289" t="inlineStr">
        <is>
          <t>IDR</t>
        </is>
      </c>
      <c r="H2356" s="293" t="n">
        <v>1</v>
      </c>
      <c r="I2356" s="306" t="n"/>
      <c r="J2356" s="306" t="n"/>
      <c r="K2356" s="306" t="n"/>
      <c r="L2356" s="307">
        <f>$F2356*$H2356</f>
        <v/>
      </c>
      <c r="M2356" s="306" t="n"/>
      <c r="N2356" s="306" t="n"/>
      <c r="O2356" s="306" t="n"/>
      <c r="P2356" s="306" t="n"/>
      <c r="Q2356" s="306" t="n"/>
    </row>
    <row r="2357" ht="18.75" customHeight="1">
      <c r="B2357" s="288" t="n">
        <v>45622</v>
      </c>
      <c r="C2357" s="289" t="n">
        <v>1615</v>
      </c>
      <c r="D2357" s="290" t="inlineStr">
        <is>
          <t>Gojek ( Stasiun Sudimara - Home )</t>
        </is>
      </c>
      <c r="E2357" s="306" t="inlineStr">
        <is>
          <t>-</t>
        </is>
      </c>
      <c r="F2357" s="307" t="n">
        <v>15000</v>
      </c>
      <c r="G2357" s="289" t="inlineStr">
        <is>
          <t>IDR</t>
        </is>
      </c>
      <c r="H2357" s="293" t="n">
        <v>1</v>
      </c>
      <c r="I2357" s="306" t="n"/>
      <c r="J2357" s="306" t="n"/>
      <c r="K2357" s="306" t="n"/>
      <c r="L2357" s="307">
        <f>$F2357*$H2357</f>
        <v/>
      </c>
      <c r="M2357" s="306" t="n"/>
      <c r="N2357" s="306" t="n"/>
      <c r="O2357" s="306" t="n"/>
      <c r="P2357" s="306" t="n"/>
      <c r="Q2357" s="306" t="n"/>
    </row>
    <row r="2358" ht="18.75" customHeight="1">
      <c r="B2358" s="288" t="n">
        <v>45622</v>
      </c>
      <c r="C2358" s="289" t="n">
        <v>1616</v>
      </c>
      <c r="D2358" s="290" t="inlineStr">
        <is>
          <t>MRT ( Lebak Bulus - Duku Atas )</t>
        </is>
      </c>
      <c r="E2358" s="306" t="inlineStr">
        <is>
          <t>-</t>
        </is>
      </c>
      <c r="F2358" s="307" t="n">
        <v>14000</v>
      </c>
      <c r="G2358" s="289" t="inlineStr">
        <is>
          <t>IDR</t>
        </is>
      </c>
      <c r="H2358" s="293" t="n">
        <v>1</v>
      </c>
      <c r="I2358" s="306" t="n"/>
      <c r="J2358" s="306" t="n"/>
      <c r="K2358" s="306" t="n"/>
      <c r="L2358" s="307">
        <f>$F2358*$H2358</f>
        <v/>
      </c>
      <c r="M2358" s="306" t="n"/>
      <c r="N2358" s="306" t="n"/>
      <c r="O2358" s="306" t="n"/>
      <c r="P2358" s="306" t="n"/>
      <c r="Q2358" s="306" t="n"/>
    </row>
    <row r="2359" ht="18.75" customHeight="1">
      <c r="B2359" s="288" t="n">
        <v>45622</v>
      </c>
      <c r="C2359" s="289" t="n">
        <v>1617</v>
      </c>
      <c r="D2359" s="290" t="inlineStr">
        <is>
          <t>KRL ( Duku Atas - Sudimara )</t>
        </is>
      </c>
      <c r="E2359" s="306" t="inlineStr">
        <is>
          <t>-</t>
        </is>
      </c>
      <c r="F2359" s="307" t="n">
        <v>3000</v>
      </c>
      <c r="G2359" s="289" t="inlineStr">
        <is>
          <t>IDR</t>
        </is>
      </c>
      <c r="H2359" s="293" t="n">
        <v>1</v>
      </c>
      <c r="I2359" s="306" t="n"/>
      <c r="J2359" s="306" t="n"/>
      <c r="K2359" s="306" t="n"/>
      <c r="L2359" s="307">
        <f>$F2359*$H2359</f>
        <v/>
      </c>
      <c r="M2359" s="306" t="n"/>
      <c r="N2359" s="306" t="n"/>
      <c r="O2359" s="306" t="n"/>
      <c r="P2359" s="306" t="n"/>
      <c r="Q2359" s="306" t="n"/>
    </row>
    <row r="2360" ht="18.75" customHeight="1">
      <c r="B2360" s="288" t="n">
        <v>45622</v>
      </c>
      <c r="C2360" s="289" t="n">
        <v>1618</v>
      </c>
      <c r="D2360" s="290" t="inlineStr">
        <is>
          <t>Gojek ( Damn Coffe - PT Lautan Tenang Jaya )</t>
        </is>
      </c>
      <c r="E2360" s="306" t="inlineStr">
        <is>
          <t>-</t>
        </is>
      </c>
      <c r="F2360" s="307" t="n">
        <v>15000</v>
      </c>
      <c r="G2360" s="289" t="inlineStr">
        <is>
          <t>IDR</t>
        </is>
      </c>
      <c r="H2360" s="293" t="n">
        <v>1</v>
      </c>
      <c r="I2360" s="306" t="n"/>
      <c r="J2360" s="306" t="n"/>
      <c r="K2360" s="306" t="n"/>
      <c r="L2360" s="307">
        <f>$F2360*$H2360</f>
        <v/>
      </c>
      <c r="M2360" s="306" t="n"/>
      <c r="N2360" s="306" t="n"/>
      <c r="O2360" s="306" t="n"/>
      <c r="P2360" s="306" t="n"/>
      <c r="Q2360" s="306" t="n"/>
    </row>
    <row r="2361" ht="18.75" customHeight="1">
      <c r="B2361" s="288" t="n">
        <v>45622</v>
      </c>
      <c r="C2361" s="289" t="n">
        <v>1619</v>
      </c>
      <c r="D2361" s="290" t="inlineStr">
        <is>
          <t>Gojek ( PT Lautan Tenang Jaya - Stasiun MRT )</t>
        </is>
      </c>
      <c r="E2361" s="306" t="inlineStr">
        <is>
          <t>-</t>
        </is>
      </c>
      <c r="F2361" s="307" t="n">
        <v>15000</v>
      </c>
      <c r="G2361" s="289" t="inlineStr">
        <is>
          <t>IDR</t>
        </is>
      </c>
      <c r="H2361" s="293" t="n">
        <v>1</v>
      </c>
      <c r="I2361" s="306" t="n"/>
      <c r="J2361" s="306" t="n"/>
      <c r="K2361" s="306" t="n"/>
      <c r="L2361" s="307">
        <f>$F2361*$H2361</f>
        <v/>
      </c>
      <c r="M2361" s="306" t="n"/>
      <c r="N2361" s="306" t="n"/>
      <c r="O2361" s="306" t="n"/>
      <c r="P2361" s="306" t="n"/>
      <c r="Q2361" s="306" t="n"/>
    </row>
    <row r="2362" ht="18.75" customHeight="1">
      <c r="B2362" s="288" t="n">
        <v>45622</v>
      </c>
      <c r="C2362" s="289" t="n">
        <v>1620</v>
      </c>
      <c r="D2362" s="290" t="inlineStr">
        <is>
          <t>Gojek ( Stasiun Sudimara - Home )</t>
        </is>
      </c>
      <c r="E2362" s="306" t="inlineStr">
        <is>
          <t>-</t>
        </is>
      </c>
      <c r="F2362" s="307" t="n">
        <v>15000</v>
      </c>
      <c r="G2362" s="289" t="inlineStr">
        <is>
          <t>IDR</t>
        </is>
      </c>
      <c r="H2362" s="293" t="n">
        <v>1</v>
      </c>
      <c r="I2362" s="306" t="n"/>
      <c r="J2362" s="306" t="n"/>
      <c r="K2362" s="306" t="n"/>
      <c r="L2362" s="307">
        <f>$F2362*$H2362</f>
        <v/>
      </c>
      <c r="M2362" s="306" t="n"/>
      <c r="N2362" s="306" t="n"/>
      <c r="O2362" s="306" t="n"/>
      <c r="P2362" s="306" t="n"/>
      <c r="Q2362" s="306" t="n"/>
    </row>
    <row r="2363">
      <c r="B2363" s="310" t="inlineStr">
        <is>
          <t>Expense#40</t>
        </is>
      </c>
      <c r="C2363" s="311" t="inlineStr">
        <is>
          <t>:</t>
        </is>
      </c>
      <c r="D2363" s="310" t="inlineStr">
        <is>
          <t>Non trip 1st - project _ Pety cash 1st - YY</t>
        </is>
      </c>
      <c r="E2363" s="311" t="n"/>
      <c r="F2363" s="311" t="n"/>
      <c r="G2363" s="311" t="n"/>
      <c r="H2363" s="311" t="n"/>
      <c r="I2363" s="311" t="n"/>
      <c r="J2363" s="311" t="n"/>
      <c r="K2363" s="311" t="n"/>
      <c r="L2363" s="311" t="n"/>
      <c r="M2363" s="311" t="n"/>
      <c r="N2363" s="311" t="n"/>
      <c r="O2363" s="311" t="n"/>
      <c r="P2363" s="311" t="n"/>
      <c r="Q2363" s="311" t="n"/>
    </row>
    <row r="2364">
      <c r="B2364" s="312" t="n"/>
      <c r="C2364" s="312" t="n"/>
      <c r="D2364" s="285" t="inlineStr">
        <is>
          <t>ATK &amp; Dokumentasi</t>
        </is>
      </c>
      <c r="E2364" s="312" t="n"/>
      <c r="F2364" s="312" t="n"/>
      <c r="G2364" s="312" t="n"/>
      <c r="H2364" s="312" t="n"/>
      <c r="I2364" s="312" t="n"/>
      <c r="J2364" s="312" t="n"/>
      <c r="K2364" s="312" t="n"/>
      <c r="L2364" s="312" t="n"/>
      <c r="M2364" s="312" t="n"/>
      <c r="N2364" s="312" t="n"/>
      <c r="O2364" s="312" t="n"/>
      <c r="P2364" s="312" t="n"/>
      <c r="Q2364" s="312" t="n"/>
    </row>
    <row r="2365" ht="18.75" customHeight="1">
      <c r="B2365" s="288" t="n">
        <v>45071</v>
      </c>
      <c r="C2365" s="289" t="n">
        <v>1621</v>
      </c>
      <c r="D2365" s="290" t="inlineStr">
        <is>
          <t>Materai 15 pcs</t>
        </is>
      </c>
      <c r="E2365" s="306" t="inlineStr">
        <is>
          <t>-</t>
        </is>
      </c>
      <c r="F2365" s="307" t="n">
        <v>150000</v>
      </c>
      <c r="G2365" s="289" t="inlineStr">
        <is>
          <t>IDR</t>
        </is>
      </c>
      <c r="H2365" s="293" t="n">
        <v>1</v>
      </c>
      <c r="I2365" s="306" t="n"/>
      <c r="J2365" s="306" t="n"/>
      <c r="K2365" s="306" t="n"/>
      <c r="L2365" s="306" t="n"/>
      <c r="M2365" s="307">
        <f>$F2365*$H2365</f>
        <v/>
      </c>
      <c r="N2365" s="306" t="n"/>
      <c r="O2365" s="306" t="n"/>
      <c r="P2365" s="306" t="n"/>
      <c r="Q2365" s="306" t="n"/>
    </row>
    <row r="2366" ht="18.75" customHeight="1">
      <c r="B2366" s="288" t="n">
        <v>45071</v>
      </c>
      <c r="C2366" s="289" t="n">
        <v>1622</v>
      </c>
      <c r="D2366" s="290" t="inlineStr">
        <is>
          <t>Materai 15 pcs</t>
        </is>
      </c>
      <c r="E2366" s="306" t="inlineStr">
        <is>
          <t>-</t>
        </is>
      </c>
      <c r="F2366" s="307" t="n">
        <v>150000</v>
      </c>
      <c r="G2366" s="289" t="inlineStr">
        <is>
          <t>IDR</t>
        </is>
      </c>
      <c r="H2366" s="293" t="n">
        <v>1</v>
      </c>
      <c r="I2366" s="306" t="n"/>
      <c r="J2366" s="306" t="n"/>
      <c r="K2366" s="306" t="n"/>
      <c r="L2366" s="306" t="n"/>
      <c r="M2366" s="307">
        <f>$F2366*$H2366</f>
        <v/>
      </c>
      <c r="N2366" s="306" t="n"/>
      <c r="O2366" s="306" t="n"/>
      <c r="P2366" s="306" t="n"/>
      <c r="Q2366" s="306" t="n"/>
    </row>
    <row r="2367" ht="18.75" customHeight="1">
      <c r="B2367" s="288" t="n">
        <v>45071</v>
      </c>
      <c r="C2367" s="289" t="n">
        <v>1623</v>
      </c>
      <c r="D2367" s="290" t="inlineStr">
        <is>
          <t>Materai 15 pcs</t>
        </is>
      </c>
      <c r="E2367" s="306" t="inlineStr">
        <is>
          <t>-</t>
        </is>
      </c>
      <c r="F2367" s="307" t="n">
        <v>150000</v>
      </c>
      <c r="G2367" s="289" t="inlineStr">
        <is>
          <t>IDR</t>
        </is>
      </c>
      <c r="H2367" s="293" t="n">
        <v>1</v>
      </c>
      <c r="I2367" s="306" t="n"/>
      <c r="J2367" s="306" t="n"/>
      <c r="K2367" s="306" t="n"/>
      <c r="L2367" s="306" t="n"/>
      <c r="M2367" s="307">
        <f>$F2367*$H2367</f>
        <v/>
      </c>
      <c r="N2367" s="306" t="n"/>
      <c r="O2367" s="306" t="n"/>
      <c r="P2367" s="306" t="n"/>
      <c r="Q2367" s="306" t="n"/>
    </row>
    <row r="2368" ht="18.75" customHeight="1">
      <c r="B2368" s="288" t="n">
        <v>45071</v>
      </c>
      <c r="C2368" s="289" t="n">
        <v>1624</v>
      </c>
      <c r="D2368" s="290" t="inlineStr">
        <is>
          <t>Materai 15 pcs</t>
        </is>
      </c>
      <c r="E2368" s="306" t="inlineStr">
        <is>
          <t>-</t>
        </is>
      </c>
      <c r="F2368" s="307" t="n">
        <v>150000</v>
      </c>
      <c r="G2368" s="289" t="inlineStr">
        <is>
          <t>IDR</t>
        </is>
      </c>
      <c r="H2368" s="293" t="n">
        <v>1</v>
      </c>
      <c r="I2368" s="306" t="n"/>
      <c r="J2368" s="306" t="n"/>
      <c r="K2368" s="306" t="n"/>
      <c r="L2368" s="306" t="n"/>
      <c r="M2368" s="307">
        <f>$F2368*$H2368</f>
        <v/>
      </c>
      <c r="N2368" s="306" t="n"/>
      <c r="O2368" s="306" t="n"/>
      <c r="P2368" s="306" t="n"/>
      <c r="Q2368" s="306" t="n"/>
    </row>
    <row r="2369" ht="18.75" customHeight="1">
      <c r="B2369" s="288" t="n">
        <v>45572</v>
      </c>
      <c r="C2369" s="289" t="n">
        <v>1625</v>
      </c>
      <c r="D2369" s="290" t="inlineStr">
        <is>
          <t>Materai 6 pcs</t>
        </is>
      </c>
      <c r="E2369" s="306" t="inlineStr">
        <is>
          <t>-</t>
        </is>
      </c>
      <c r="F2369" s="307" t="n">
        <v>62000</v>
      </c>
      <c r="G2369" s="289" t="inlineStr">
        <is>
          <t>IDR</t>
        </is>
      </c>
      <c r="H2369" s="293" t="n">
        <v>1</v>
      </c>
      <c r="I2369" s="306" t="n"/>
      <c r="J2369" s="306" t="n"/>
      <c r="K2369" s="306" t="n"/>
      <c r="L2369" s="306" t="n"/>
      <c r="M2369" s="307">
        <f>$F2369*$H2369</f>
        <v/>
      </c>
      <c r="N2369" s="306" t="n"/>
      <c r="O2369" s="306" t="n"/>
      <c r="P2369" s="306" t="n"/>
      <c r="Q2369" s="306" t="n"/>
    </row>
    <row r="2370" ht="18.75" customHeight="1">
      <c r="B2370" s="288" t="n">
        <v>45572</v>
      </c>
      <c r="C2370" s="289" t="n">
        <v>1626</v>
      </c>
      <c r="D2370" s="290" t="inlineStr">
        <is>
          <t>Materai 6 pcs</t>
        </is>
      </c>
      <c r="E2370" s="306" t="inlineStr">
        <is>
          <t>-</t>
        </is>
      </c>
      <c r="F2370" s="307" t="n">
        <v>62000</v>
      </c>
      <c r="G2370" s="289" t="inlineStr">
        <is>
          <t>IDR</t>
        </is>
      </c>
      <c r="H2370" s="293" t="n">
        <v>1</v>
      </c>
      <c r="I2370" s="306" t="n"/>
      <c r="J2370" s="306" t="n"/>
      <c r="K2370" s="306" t="n"/>
      <c r="L2370" s="306" t="n"/>
      <c r="M2370" s="307">
        <f>$F2370*$H2370</f>
        <v/>
      </c>
      <c r="N2370" s="306" t="n"/>
      <c r="O2370" s="306" t="n"/>
      <c r="P2370" s="306" t="n"/>
      <c r="Q2370" s="306" t="n"/>
    </row>
    <row r="2371" ht="18.75" customHeight="1">
      <c r="B2371" s="288" t="n">
        <v>45572</v>
      </c>
      <c r="C2371" s="289" t="n">
        <v>1627</v>
      </c>
      <c r="D2371" s="290" t="inlineStr">
        <is>
          <t>Materai 6 pcs</t>
        </is>
      </c>
      <c r="E2371" s="306" t="inlineStr">
        <is>
          <t>-</t>
        </is>
      </c>
      <c r="F2371" s="307" t="n">
        <v>62000</v>
      </c>
      <c r="G2371" s="289" t="inlineStr">
        <is>
          <t>IDR</t>
        </is>
      </c>
      <c r="H2371" s="293" t="n">
        <v>1</v>
      </c>
      <c r="I2371" s="306" t="n"/>
      <c r="J2371" s="306" t="n"/>
      <c r="K2371" s="306" t="n"/>
      <c r="L2371" s="306" t="n"/>
      <c r="M2371" s="307">
        <f>$F2371*$H2371</f>
        <v/>
      </c>
      <c r="N2371" s="306" t="n"/>
      <c r="O2371" s="306" t="n"/>
      <c r="P2371" s="306" t="n"/>
      <c r="Q2371" s="306" t="n"/>
    </row>
    <row r="2372" ht="18.75" customHeight="1">
      <c r="B2372" s="288" t="n">
        <v>45572</v>
      </c>
      <c r="C2372" s="289" t="n">
        <v>1628</v>
      </c>
      <c r="D2372" s="290" t="inlineStr">
        <is>
          <t>Materai 6 pcs</t>
        </is>
      </c>
      <c r="E2372" s="306" t="inlineStr">
        <is>
          <t>-</t>
        </is>
      </c>
      <c r="F2372" s="307" t="n">
        <v>62000</v>
      </c>
      <c r="G2372" s="289" t="inlineStr">
        <is>
          <t>IDR</t>
        </is>
      </c>
      <c r="H2372" s="293" t="n">
        <v>1</v>
      </c>
      <c r="I2372" s="306" t="n"/>
      <c r="J2372" s="306" t="n"/>
      <c r="K2372" s="306" t="n"/>
      <c r="L2372" s="306" t="n"/>
      <c r="M2372" s="307">
        <f>$F2372*$H2372</f>
        <v/>
      </c>
      <c r="N2372" s="306" t="n"/>
      <c r="O2372" s="306" t="n"/>
      <c r="P2372" s="306" t="n"/>
      <c r="Q2372" s="306" t="n"/>
    </row>
    <row r="2373" ht="18.75" customHeight="1">
      <c r="B2373" s="288" t="n">
        <v>45579</v>
      </c>
      <c r="C2373" s="289" t="n">
        <v>1629</v>
      </c>
      <c r="D2373" s="290" t="inlineStr">
        <is>
          <t>Materai 10 pcs</t>
        </is>
      </c>
      <c r="E2373" s="306" t="inlineStr">
        <is>
          <t>-</t>
        </is>
      </c>
      <c r="F2373" s="307" t="n">
        <v>103000</v>
      </c>
      <c r="G2373" s="289" t="inlineStr">
        <is>
          <t>IDR</t>
        </is>
      </c>
      <c r="H2373" s="293" t="n">
        <v>1</v>
      </c>
      <c r="I2373" s="306" t="n"/>
      <c r="J2373" s="306" t="n"/>
      <c r="K2373" s="306" t="n"/>
      <c r="L2373" s="306" t="n"/>
      <c r="M2373" s="307">
        <f>$F2373*$H2373</f>
        <v/>
      </c>
      <c r="N2373" s="306" t="n"/>
      <c r="O2373" s="306" t="n"/>
      <c r="P2373" s="306" t="n"/>
      <c r="Q2373" s="306" t="n"/>
    </row>
    <row r="2374" ht="18.75" customHeight="1">
      <c r="B2374" s="288" t="n">
        <v>45579</v>
      </c>
      <c r="C2374" s="289" t="n">
        <v>1630</v>
      </c>
      <c r="D2374" s="290" t="inlineStr">
        <is>
          <t>Materai 10 pcs</t>
        </is>
      </c>
      <c r="E2374" s="306" t="inlineStr">
        <is>
          <t>-</t>
        </is>
      </c>
      <c r="F2374" s="307" t="n">
        <v>103000</v>
      </c>
      <c r="G2374" s="289" t="inlineStr">
        <is>
          <t>IDR</t>
        </is>
      </c>
      <c r="H2374" s="293" t="n">
        <v>1</v>
      </c>
      <c r="I2374" s="306" t="n"/>
      <c r="J2374" s="306" t="n"/>
      <c r="K2374" s="306" t="n"/>
      <c r="L2374" s="306" t="n"/>
      <c r="M2374" s="307">
        <f>$F2374*$H2374</f>
        <v/>
      </c>
      <c r="N2374" s="306" t="n"/>
      <c r="O2374" s="306" t="n"/>
      <c r="P2374" s="306" t="n"/>
      <c r="Q2374" s="306" t="n"/>
    </row>
    <row r="2375" ht="18.75" customHeight="1">
      <c r="B2375" s="288" t="n">
        <v>45579</v>
      </c>
      <c r="C2375" s="289" t="n">
        <v>1631</v>
      </c>
      <c r="D2375" s="290" t="inlineStr">
        <is>
          <t>Materai 10 pcs</t>
        </is>
      </c>
      <c r="E2375" s="306" t="inlineStr">
        <is>
          <t>-</t>
        </is>
      </c>
      <c r="F2375" s="307" t="n">
        <v>103000</v>
      </c>
      <c r="G2375" s="289" t="inlineStr">
        <is>
          <t>IDR</t>
        </is>
      </c>
      <c r="H2375" s="293" t="n">
        <v>1</v>
      </c>
      <c r="I2375" s="306" t="n"/>
      <c r="J2375" s="306" t="n"/>
      <c r="K2375" s="306" t="n"/>
      <c r="L2375" s="306" t="n"/>
      <c r="M2375" s="307">
        <f>$F2375*$H2375</f>
        <v/>
      </c>
      <c r="N2375" s="306" t="n"/>
      <c r="O2375" s="306" t="n"/>
      <c r="P2375" s="306" t="n"/>
      <c r="Q2375" s="306" t="n"/>
    </row>
    <row r="2376" ht="18.75" customHeight="1">
      <c r="B2376" s="288" t="n">
        <v>45579</v>
      </c>
      <c r="C2376" s="289" t="n">
        <v>1632</v>
      </c>
      <c r="D2376" s="290" t="inlineStr">
        <is>
          <t>Materai 10 pcs</t>
        </is>
      </c>
      <c r="E2376" s="306" t="inlineStr">
        <is>
          <t>-</t>
        </is>
      </c>
      <c r="F2376" s="307" t="n">
        <v>103000</v>
      </c>
      <c r="G2376" s="289" t="inlineStr">
        <is>
          <t>IDR</t>
        </is>
      </c>
      <c r="H2376" s="293" t="n">
        <v>1</v>
      </c>
      <c r="I2376" s="306" t="n"/>
      <c r="J2376" s="306" t="n"/>
      <c r="K2376" s="306" t="n"/>
      <c r="L2376" s="306" t="n"/>
      <c r="M2376" s="307">
        <f>$F2376*$H2376</f>
        <v/>
      </c>
      <c r="N2376" s="306" t="n"/>
      <c r="O2376" s="306" t="n"/>
      <c r="P2376" s="306" t="n"/>
      <c r="Q2376" s="306" t="n"/>
    </row>
    <row r="2377" ht="18.75" customHeight="1">
      <c r="B2377" s="288" t="n">
        <v>45582</v>
      </c>
      <c r="C2377" s="289" t="n">
        <v>1633</v>
      </c>
      <c r="D2377" s="290" t="inlineStr">
        <is>
          <t>Materai 5 pcs</t>
        </is>
      </c>
      <c r="E2377" s="306" t="inlineStr">
        <is>
          <t>-</t>
        </is>
      </c>
      <c r="F2377" s="307" t="n">
        <v>55000</v>
      </c>
      <c r="G2377" s="289" t="inlineStr">
        <is>
          <t>IDR</t>
        </is>
      </c>
      <c r="H2377" s="293" t="n">
        <v>1</v>
      </c>
      <c r="I2377" s="306" t="n"/>
      <c r="J2377" s="306" t="n"/>
      <c r="K2377" s="306" t="n"/>
      <c r="L2377" s="306" t="n"/>
      <c r="M2377" s="307">
        <f>$F2377*$H2377</f>
        <v/>
      </c>
      <c r="N2377" s="306" t="n"/>
      <c r="O2377" s="306" t="n"/>
      <c r="P2377" s="306" t="n"/>
      <c r="Q2377" s="306" t="n"/>
    </row>
    <row r="2378" ht="18.75" customHeight="1">
      <c r="B2378" s="288" t="n">
        <v>45582</v>
      </c>
      <c r="C2378" s="289" t="n">
        <v>1634</v>
      </c>
      <c r="D2378" s="290" t="inlineStr">
        <is>
          <t>Materai 5 pcs</t>
        </is>
      </c>
      <c r="E2378" s="306" t="inlineStr">
        <is>
          <t>-</t>
        </is>
      </c>
      <c r="F2378" s="307" t="n">
        <v>55000</v>
      </c>
      <c r="G2378" s="289" t="inlineStr">
        <is>
          <t>IDR</t>
        </is>
      </c>
      <c r="H2378" s="293" t="n">
        <v>1</v>
      </c>
      <c r="I2378" s="306" t="n"/>
      <c r="J2378" s="306" t="n"/>
      <c r="K2378" s="306" t="n"/>
      <c r="L2378" s="306" t="n"/>
      <c r="M2378" s="307">
        <f>$F2378*$H2378</f>
        <v/>
      </c>
      <c r="N2378" s="306" t="n"/>
      <c r="O2378" s="306" t="n"/>
      <c r="P2378" s="306" t="n"/>
      <c r="Q2378" s="306" t="n"/>
    </row>
    <row r="2379" ht="18.75" customHeight="1">
      <c r="B2379" s="288" t="n">
        <v>45582</v>
      </c>
      <c r="C2379" s="289" t="n">
        <v>1635</v>
      </c>
      <c r="D2379" s="290" t="inlineStr">
        <is>
          <t>Materai 5 pcs</t>
        </is>
      </c>
      <c r="E2379" s="306" t="inlineStr">
        <is>
          <t>-</t>
        </is>
      </c>
      <c r="F2379" s="307" t="n">
        <v>55000</v>
      </c>
      <c r="G2379" s="289" t="inlineStr">
        <is>
          <t>IDR</t>
        </is>
      </c>
      <c r="H2379" s="293" t="n">
        <v>1</v>
      </c>
      <c r="I2379" s="306" t="n"/>
      <c r="J2379" s="306" t="n"/>
      <c r="K2379" s="306" t="n"/>
      <c r="L2379" s="306" t="n"/>
      <c r="M2379" s="307">
        <f>$F2379*$H2379</f>
        <v/>
      </c>
      <c r="N2379" s="306" t="n"/>
      <c r="O2379" s="306" t="n"/>
      <c r="P2379" s="306" t="n"/>
      <c r="Q2379" s="306" t="n"/>
    </row>
    <row r="2380" ht="18.75" customHeight="1">
      <c r="B2380" s="288" t="n">
        <v>45582</v>
      </c>
      <c r="C2380" s="289" t="n">
        <v>1636</v>
      </c>
      <c r="D2380" s="290" t="inlineStr">
        <is>
          <t>Materai 5 pcs</t>
        </is>
      </c>
      <c r="E2380" s="306" t="inlineStr">
        <is>
          <t>-</t>
        </is>
      </c>
      <c r="F2380" s="307" t="n">
        <v>55000</v>
      </c>
      <c r="G2380" s="289" t="inlineStr">
        <is>
          <t>IDR</t>
        </is>
      </c>
      <c r="H2380" s="293" t="n">
        <v>1</v>
      </c>
      <c r="I2380" s="306" t="n"/>
      <c r="J2380" s="306" t="n"/>
      <c r="K2380" s="306" t="n"/>
      <c r="L2380" s="306" t="n"/>
      <c r="M2380" s="307">
        <f>$F2380*$H2380</f>
        <v/>
      </c>
      <c r="N2380" s="306" t="n"/>
      <c r="O2380" s="306" t="n"/>
      <c r="P2380" s="306" t="n"/>
      <c r="Q2380" s="306" t="n"/>
    </row>
    <row r="2381" ht="18.75" customHeight="1">
      <c r="B2381" s="288" t="n">
        <v>45617</v>
      </c>
      <c r="C2381" s="289" t="n">
        <v>1637</v>
      </c>
      <c r="D2381" s="290" t="inlineStr">
        <is>
          <t>Materai 10 pcs</t>
        </is>
      </c>
      <c r="E2381" s="306" t="inlineStr">
        <is>
          <t>-</t>
        </is>
      </c>
      <c r="F2381" s="307" t="n">
        <v>103000</v>
      </c>
      <c r="G2381" s="289" t="inlineStr">
        <is>
          <t>IDR</t>
        </is>
      </c>
      <c r="H2381" s="293" t="n">
        <v>1</v>
      </c>
      <c r="I2381" s="306" t="n"/>
      <c r="J2381" s="306" t="n"/>
      <c r="K2381" s="306" t="n"/>
      <c r="L2381" s="306" t="n"/>
      <c r="M2381" s="307">
        <f>$F2381*$H2381</f>
        <v/>
      </c>
      <c r="N2381" s="306" t="n"/>
      <c r="O2381" s="306" t="n"/>
      <c r="P2381" s="306" t="n"/>
      <c r="Q2381" s="306" t="n"/>
    </row>
    <row r="2382" ht="18.75" customHeight="1">
      <c r="B2382" s="288" t="n">
        <v>45617</v>
      </c>
      <c r="C2382" s="289" t="n">
        <v>1638</v>
      </c>
      <c r="D2382" s="290" t="inlineStr">
        <is>
          <t>Materai 10 pcs</t>
        </is>
      </c>
      <c r="E2382" s="306" t="inlineStr">
        <is>
          <t>-</t>
        </is>
      </c>
      <c r="F2382" s="307" t="n">
        <v>103000</v>
      </c>
      <c r="G2382" s="289" t="inlineStr">
        <is>
          <t>IDR</t>
        </is>
      </c>
      <c r="H2382" s="293" t="n">
        <v>1</v>
      </c>
      <c r="I2382" s="306" t="n"/>
      <c r="J2382" s="306" t="n"/>
      <c r="K2382" s="306" t="n"/>
      <c r="L2382" s="306" t="n"/>
      <c r="M2382" s="307">
        <f>$F2382*$H2382</f>
        <v/>
      </c>
      <c r="N2382" s="306" t="n"/>
      <c r="O2382" s="306" t="n"/>
      <c r="P2382" s="306" t="n"/>
      <c r="Q2382" s="306" t="n"/>
    </row>
    <row r="2383" ht="18.75" customHeight="1">
      <c r="B2383" s="288" t="n">
        <v>45617</v>
      </c>
      <c r="C2383" s="289" t="n">
        <v>1639</v>
      </c>
      <c r="D2383" s="290" t="inlineStr">
        <is>
          <t>Materai 10 pcs</t>
        </is>
      </c>
      <c r="E2383" s="306" t="inlineStr">
        <is>
          <t>-</t>
        </is>
      </c>
      <c r="F2383" s="307" t="n">
        <v>103000</v>
      </c>
      <c r="G2383" s="289" t="inlineStr">
        <is>
          <t>IDR</t>
        </is>
      </c>
      <c r="H2383" s="293" t="n">
        <v>1</v>
      </c>
      <c r="I2383" s="306" t="n"/>
      <c r="J2383" s="306" t="n"/>
      <c r="K2383" s="306" t="n"/>
      <c r="L2383" s="306" t="n"/>
      <c r="M2383" s="307">
        <f>$F2383*$H2383</f>
        <v/>
      </c>
      <c r="N2383" s="306" t="n"/>
      <c r="O2383" s="306" t="n"/>
      <c r="P2383" s="306" t="n"/>
      <c r="Q2383" s="306" t="n"/>
    </row>
    <row r="2384" ht="18.75" customHeight="1">
      <c r="B2384" s="288" t="n">
        <v>45617</v>
      </c>
      <c r="C2384" s="289" t="n">
        <v>1640</v>
      </c>
      <c r="D2384" s="290" t="inlineStr">
        <is>
          <t>Materai 10 pcs</t>
        </is>
      </c>
      <c r="E2384" s="306" t="inlineStr">
        <is>
          <t>-</t>
        </is>
      </c>
      <c r="F2384" s="307" t="n">
        <v>103000</v>
      </c>
      <c r="G2384" s="289" t="inlineStr">
        <is>
          <t>IDR</t>
        </is>
      </c>
      <c r="H2384" s="293" t="n">
        <v>1</v>
      </c>
      <c r="I2384" s="306" t="n"/>
      <c r="J2384" s="306" t="n"/>
      <c r="K2384" s="306" t="n"/>
      <c r="L2384" s="306" t="n"/>
      <c r="M2384" s="307">
        <f>$F2384*$H2384</f>
        <v/>
      </c>
      <c r="N2384" s="306" t="n"/>
      <c r="O2384" s="306" t="n"/>
      <c r="P2384" s="306" t="n"/>
      <c r="Q2384" s="306" t="n"/>
    </row>
    <row r="2385">
      <c r="B2385" s="312" t="n"/>
      <c r="C2385" s="312" t="n"/>
      <c r="D2385" s="285" t="inlineStr">
        <is>
          <t>IT Services</t>
        </is>
      </c>
      <c r="E2385" s="312" t="n"/>
      <c r="F2385" s="312" t="n"/>
      <c r="G2385" s="312" t="n"/>
      <c r="H2385" s="312" t="n"/>
      <c r="I2385" s="312" t="n"/>
      <c r="J2385" s="312" t="n"/>
      <c r="K2385" s="312" t="n"/>
      <c r="L2385" s="312" t="n"/>
      <c r="M2385" s="312" t="n"/>
      <c r="N2385" s="312" t="n"/>
      <c r="O2385" s="312" t="n"/>
      <c r="P2385" s="312" t="n"/>
      <c r="Q2385" s="312" t="n"/>
    </row>
    <row r="2386" ht="18.75" customHeight="1">
      <c r="B2386" s="288" t="n">
        <v>45085</v>
      </c>
      <c r="C2386" s="289" t="n">
        <v>1641</v>
      </c>
      <c r="D2386" s="290" t="inlineStr">
        <is>
          <t>Plastic folder 3 pcs</t>
        </is>
      </c>
      <c r="E2386" s="306" t="inlineStr">
        <is>
          <t>-</t>
        </is>
      </c>
      <c r="F2386" s="307" t="n">
        <v>35000</v>
      </c>
      <c r="G2386" s="289" t="inlineStr">
        <is>
          <t>IDR</t>
        </is>
      </c>
      <c r="H2386" s="293" t="n">
        <v>1</v>
      </c>
      <c r="I2386" s="306" t="n"/>
      <c r="J2386" s="306" t="n"/>
      <c r="K2386" s="306" t="n"/>
      <c r="L2386" s="306" t="n"/>
      <c r="M2386" s="307">
        <f>$F2386*$H2386</f>
        <v/>
      </c>
      <c r="N2386" s="306" t="n"/>
      <c r="O2386" s="306" t="n"/>
      <c r="P2386" s="306" t="n"/>
      <c r="Q2386" s="306" t="n"/>
    </row>
    <row r="2387" ht="18.75" customHeight="1">
      <c r="B2387" s="288" t="n">
        <v>45085</v>
      </c>
      <c r="C2387" s="289" t="n">
        <v>1642</v>
      </c>
      <c r="D2387" s="290" t="inlineStr">
        <is>
          <t>Plastic folder 3 pcs</t>
        </is>
      </c>
      <c r="E2387" s="306" t="inlineStr">
        <is>
          <t>-</t>
        </is>
      </c>
      <c r="F2387" s="307" t="n">
        <v>35000</v>
      </c>
      <c r="G2387" s="289" t="inlineStr">
        <is>
          <t>IDR</t>
        </is>
      </c>
      <c r="H2387" s="293" t="n">
        <v>1</v>
      </c>
      <c r="I2387" s="306" t="n"/>
      <c r="J2387" s="306" t="n"/>
      <c r="K2387" s="306" t="n"/>
      <c r="L2387" s="306" t="n"/>
      <c r="M2387" s="307">
        <f>$F2387*$H2387</f>
        <v/>
      </c>
      <c r="N2387" s="306" t="n"/>
      <c r="O2387" s="306" t="n"/>
      <c r="P2387" s="306" t="n"/>
      <c r="Q2387" s="306" t="n"/>
    </row>
    <row r="2388" ht="18.75" customHeight="1">
      <c r="B2388" s="288" t="n">
        <v>45085</v>
      </c>
      <c r="C2388" s="289" t="n">
        <v>1643</v>
      </c>
      <c r="D2388" s="290" t="inlineStr">
        <is>
          <t>Plastic folder 3 pcs</t>
        </is>
      </c>
      <c r="E2388" s="306" t="inlineStr">
        <is>
          <t>-</t>
        </is>
      </c>
      <c r="F2388" s="307" t="n">
        <v>35000</v>
      </c>
      <c r="G2388" s="289" t="inlineStr">
        <is>
          <t>IDR</t>
        </is>
      </c>
      <c r="H2388" s="293" t="n">
        <v>1</v>
      </c>
      <c r="I2388" s="306" t="n"/>
      <c r="J2388" s="306" t="n"/>
      <c r="K2388" s="306" t="n"/>
      <c r="L2388" s="306" t="n"/>
      <c r="M2388" s="307">
        <f>$F2388*$H2388</f>
        <v/>
      </c>
      <c r="N2388" s="306" t="n"/>
      <c r="O2388" s="306" t="n"/>
      <c r="P2388" s="306" t="n"/>
      <c r="Q2388" s="306" t="n"/>
    </row>
    <row r="2389" ht="18.75" customHeight="1">
      <c r="B2389" s="288" t="n">
        <v>45085</v>
      </c>
      <c r="C2389" s="289" t="n">
        <v>1644</v>
      </c>
      <c r="D2389" s="290" t="inlineStr">
        <is>
          <t>Plastic folder 3 pcs</t>
        </is>
      </c>
      <c r="E2389" s="306" t="inlineStr">
        <is>
          <t>-</t>
        </is>
      </c>
      <c r="F2389" s="307" t="n">
        <v>35000</v>
      </c>
      <c r="G2389" s="289" t="inlineStr">
        <is>
          <t>IDR</t>
        </is>
      </c>
      <c r="H2389" s="293" t="n">
        <v>1</v>
      </c>
      <c r="I2389" s="306" t="n"/>
      <c r="J2389" s="306" t="n"/>
      <c r="K2389" s="306" t="n"/>
      <c r="L2389" s="306" t="n"/>
      <c r="M2389" s="307">
        <f>$F2389*$H2389</f>
        <v/>
      </c>
      <c r="N2389" s="306" t="n"/>
      <c r="O2389" s="306" t="n"/>
      <c r="P2389" s="306" t="n"/>
      <c r="Q2389" s="306" t="n"/>
    </row>
    <row r="2390" ht="18.75" customHeight="1">
      <c r="B2390" s="288" t="n">
        <v>45121</v>
      </c>
      <c r="C2390" s="289" t="n">
        <v>1645</v>
      </c>
      <c r="D2390" s="290" t="inlineStr">
        <is>
          <t>Anvelope, Plastic map</t>
        </is>
      </c>
      <c r="E2390" s="306" t="inlineStr">
        <is>
          <t>-</t>
        </is>
      </c>
      <c r="F2390" s="307" t="n">
        <v>12000</v>
      </c>
      <c r="G2390" s="289" t="inlineStr">
        <is>
          <t>IDR</t>
        </is>
      </c>
      <c r="H2390" s="293" t="n">
        <v>1</v>
      </c>
      <c r="I2390" s="306" t="n"/>
      <c r="J2390" s="306" t="n"/>
      <c r="K2390" s="306" t="n"/>
      <c r="L2390" s="306" t="n"/>
      <c r="M2390" s="307">
        <f>$F2390*$H2390</f>
        <v/>
      </c>
      <c r="N2390" s="306" t="n"/>
      <c r="O2390" s="306" t="n"/>
      <c r="P2390" s="306" t="n"/>
      <c r="Q2390" s="306" t="n"/>
    </row>
    <row r="2391" ht="18.75" customHeight="1">
      <c r="B2391" s="288" t="n">
        <v>45121</v>
      </c>
      <c r="C2391" s="289" t="n">
        <v>1646</v>
      </c>
      <c r="D2391" s="290" t="inlineStr">
        <is>
          <t>Anvelope, Plastic map</t>
        </is>
      </c>
      <c r="E2391" s="306" t="inlineStr">
        <is>
          <t>-</t>
        </is>
      </c>
      <c r="F2391" s="307" t="n">
        <v>12000</v>
      </c>
      <c r="G2391" s="289" t="inlineStr">
        <is>
          <t>IDR</t>
        </is>
      </c>
      <c r="H2391" s="293" t="n">
        <v>1</v>
      </c>
      <c r="I2391" s="306" t="n"/>
      <c r="J2391" s="306" t="n"/>
      <c r="K2391" s="306" t="n"/>
      <c r="L2391" s="306" t="n"/>
      <c r="M2391" s="307">
        <f>$F2391*$H2391</f>
        <v/>
      </c>
      <c r="N2391" s="306" t="n"/>
      <c r="O2391" s="306" t="n"/>
      <c r="P2391" s="306" t="n"/>
      <c r="Q2391" s="306" t="n"/>
    </row>
    <row r="2392" ht="18.75" customHeight="1">
      <c r="B2392" s="288" t="n">
        <v>45121</v>
      </c>
      <c r="C2392" s="289" t="n">
        <v>1647</v>
      </c>
      <c r="D2392" s="290" t="inlineStr">
        <is>
          <t>Anvelope, Plastic map</t>
        </is>
      </c>
      <c r="E2392" s="306" t="inlineStr">
        <is>
          <t>-</t>
        </is>
      </c>
      <c r="F2392" s="307" t="n">
        <v>12000</v>
      </c>
      <c r="G2392" s="289" t="inlineStr">
        <is>
          <t>IDR</t>
        </is>
      </c>
      <c r="H2392" s="293" t="n">
        <v>1</v>
      </c>
      <c r="I2392" s="306" t="n"/>
      <c r="J2392" s="306" t="n"/>
      <c r="K2392" s="306" t="n"/>
      <c r="L2392" s="306" t="n"/>
      <c r="M2392" s="307">
        <f>$F2392*$H2392</f>
        <v/>
      </c>
      <c r="N2392" s="306" t="n"/>
      <c r="O2392" s="306" t="n"/>
      <c r="P2392" s="306" t="n"/>
      <c r="Q2392" s="306" t="n"/>
    </row>
    <row r="2393" ht="18.75" customHeight="1">
      <c r="B2393" s="288" t="n">
        <v>45121</v>
      </c>
      <c r="C2393" s="289" t="n">
        <v>1648</v>
      </c>
      <c r="D2393" s="290" t="inlineStr">
        <is>
          <t>Anvelope, Plastic map</t>
        </is>
      </c>
      <c r="E2393" s="306" t="inlineStr">
        <is>
          <t>-</t>
        </is>
      </c>
      <c r="F2393" s="307" t="n">
        <v>12000</v>
      </c>
      <c r="G2393" s="289" t="inlineStr">
        <is>
          <t>IDR</t>
        </is>
      </c>
      <c r="H2393" s="293" t="n">
        <v>1</v>
      </c>
      <c r="I2393" s="306" t="n"/>
      <c r="J2393" s="306" t="n"/>
      <c r="K2393" s="306" t="n"/>
      <c r="L2393" s="306" t="n"/>
      <c r="M2393" s="307">
        <f>$F2393*$H2393</f>
        <v/>
      </c>
      <c r="N2393" s="306" t="n"/>
      <c r="O2393" s="306" t="n"/>
      <c r="P2393" s="306" t="n"/>
      <c r="Q2393" s="306" t="n"/>
    </row>
    <row r="2394">
      <c r="B2394" s="312" t="n"/>
      <c r="C2394" s="312" t="n"/>
      <c r="D2394" s="285" t="inlineStr">
        <is>
          <t>Transportation</t>
        </is>
      </c>
      <c r="E2394" s="312" t="n"/>
      <c r="F2394" s="312" t="n"/>
      <c r="G2394" s="312" t="n"/>
      <c r="H2394" s="312" t="n"/>
      <c r="I2394" s="312" t="n"/>
      <c r="J2394" s="312" t="n"/>
      <c r="K2394" s="312" t="n"/>
      <c r="L2394" s="312" t="n"/>
      <c r="M2394" s="312" t="n"/>
      <c r="N2394" s="312" t="n"/>
      <c r="O2394" s="312" t="n"/>
      <c r="P2394" s="312" t="n"/>
      <c r="Q2394" s="312" t="n"/>
    </row>
    <row r="2395" ht="18.75" customHeight="1">
      <c r="B2395" s="288" t="n">
        <v>45076</v>
      </c>
      <c r="C2395" s="289" t="n">
        <v>1649</v>
      </c>
      <c r="D2395" s="290" t="inlineStr">
        <is>
          <t>Lala Move courier</t>
        </is>
      </c>
      <c r="E2395" s="306" t="inlineStr">
        <is>
          <t>-</t>
        </is>
      </c>
      <c r="F2395" s="307" t="n">
        <v>100000</v>
      </c>
      <c r="G2395" s="289" t="inlineStr">
        <is>
          <t>IDR</t>
        </is>
      </c>
      <c r="H2395" s="293" t="n">
        <v>1</v>
      </c>
      <c r="I2395" s="306" t="n"/>
      <c r="J2395" s="306" t="n"/>
      <c r="K2395" s="306" t="n"/>
      <c r="L2395" s="307">
        <f>$F2395*$H2395</f>
        <v/>
      </c>
      <c r="M2395" s="306" t="n"/>
      <c r="N2395" s="306" t="n"/>
      <c r="O2395" s="306" t="n"/>
      <c r="P2395" s="306" t="n"/>
      <c r="Q2395" s="306" t="n"/>
    </row>
    <row r="2396" ht="18.75" customHeight="1">
      <c r="B2396" s="288" t="n">
        <v>45076</v>
      </c>
      <c r="C2396" s="289" t="n">
        <v>1650</v>
      </c>
      <c r="D2396" s="290" t="inlineStr">
        <is>
          <t>Lala Move courier</t>
        </is>
      </c>
      <c r="E2396" s="306" t="inlineStr">
        <is>
          <t>-</t>
        </is>
      </c>
      <c r="F2396" s="307" t="n">
        <v>100000</v>
      </c>
      <c r="G2396" s="289" t="inlineStr">
        <is>
          <t>IDR</t>
        </is>
      </c>
      <c r="H2396" s="293" t="n">
        <v>1</v>
      </c>
      <c r="I2396" s="306" t="n"/>
      <c r="J2396" s="306" t="n"/>
      <c r="K2396" s="306" t="n"/>
      <c r="L2396" s="307">
        <f>$F2396*$H2396</f>
        <v/>
      </c>
      <c r="M2396" s="306" t="n"/>
      <c r="N2396" s="306" t="n"/>
      <c r="O2396" s="306" t="n"/>
      <c r="P2396" s="306" t="n"/>
      <c r="Q2396" s="306" t="n"/>
    </row>
    <row r="2397" ht="18.75" customHeight="1">
      <c r="B2397" s="288" t="n">
        <v>45076</v>
      </c>
      <c r="C2397" s="289" t="n">
        <v>1651</v>
      </c>
      <c r="D2397" s="290" t="inlineStr">
        <is>
          <t>Lala Move courier</t>
        </is>
      </c>
      <c r="E2397" s="306" t="inlineStr">
        <is>
          <t>-</t>
        </is>
      </c>
      <c r="F2397" s="307" t="n">
        <v>100000</v>
      </c>
      <c r="G2397" s="289" t="inlineStr">
        <is>
          <t>IDR</t>
        </is>
      </c>
      <c r="H2397" s="293" t="n">
        <v>1</v>
      </c>
      <c r="I2397" s="306" t="n"/>
      <c r="J2397" s="306" t="n"/>
      <c r="K2397" s="306" t="n"/>
      <c r="L2397" s="307">
        <f>$F2397*$H2397</f>
        <v/>
      </c>
      <c r="M2397" s="306" t="n"/>
      <c r="N2397" s="306" t="n"/>
      <c r="O2397" s="306" t="n"/>
      <c r="P2397" s="306" t="n"/>
      <c r="Q2397" s="306" t="n"/>
    </row>
    <row r="2398" ht="18.75" customHeight="1">
      <c r="B2398" s="288" t="n">
        <v>45076</v>
      </c>
      <c r="C2398" s="289" t="n">
        <v>1652</v>
      </c>
      <c r="D2398" s="290" t="inlineStr">
        <is>
          <t>Lala Move courier</t>
        </is>
      </c>
      <c r="E2398" s="306" t="inlineStr">
        <is>
          <t>-</t>
        </is>
      </c>
      <c r="F2398" s="307" t="n">
        <v>100000</v>
      </c>
      <c r="G2398" s="289" t="inlineStr">
        <is>
          <t>IDR</t>
        </is>
      </c>
      <c r="H2398" s="293" t="n">
        <v>1</v>
      </c>
      <c r="I2398" s="306" t="n"/>
      <c r="J2398" s="306" t="n"/>
      <c r="K2398" s="306" t="n"/>
      <c r="L2398" s="307">
        <f>$F2398*$H2398</f>
        <v/>
      </c>
      <c r="M2398" s="306" t="n"/>
      <c r="N2398" s="306" t="n"/>
      <c r="O2398" s="306" t="n"/>
      <c r="P2398" s="306" t="n"/>
      <c r="Q2398" s="306" t="n"/>
    </row>
    <row r="2399" ht="18.75" customHeight="1">
      <c r="B2399" s="288" t="n">
        <v>45261</v>
      </c>
      <c r="C2399" s="289" t="n">
        <v>1653</v>
      </c>
      <c r="D2399" s="290" t="inlineStr">
        <is>
          <t>JNE courier</t>
        </is>
      </c>
      <c r="E2399" s="306" t="inlineStr">
        <is>
          <t>-</t>
        </is>
      </c>
      <c r="F2399" s="307" t="n">
        <v>44000</v>
      </c>
      <c r="G2399" s="289" t="inlineStr">
        <is>
          <t>IDR</t>
        </is>
      </c>
      <c r="H2399" s="293" t="n">
        <v>1</v>
      </c>
      <c r="I2399" s="306" t="n"/>
      <c r="J2399" s="306" t="n"/>
      <c r="K2399" s="306" t="n"/>
      <c r="L2399" s="307">
        <f>$F2399*$H2399</f>
        <v/>
      </c>
      <c r="M2399" s="306" t="n"/>
      <c r="N2399" s="306" t="n"/>
      <c r="O2399" s="306" t="n"/>
      <c r="P2399" s="306" t="n"/>
      <c r="Q2399" s="306" t="n"/>
    </row>
    <row r="2400" ht="18.75" customHeight="1">
      <c r="B2400" s="288" t="n">
        <v>45261</v>
      </c>
      <c r="C2400" s="289" t="n">
        <v>1654</v>
      </c>
      <c r="D2400" s="290" t="inlineStr">
        <is>
          <t>JNE courier</t>
        </is>
      </c>
      <c r="E2400" s="306" t="inlineStr">
        <is>
          <t>-</t>
        </is>
      </c>
      <c r="F2400" s="307" t="n">
        <v>44000</v>
      </c>
      <c r="G2400" s="289" t="inlineStr">
        <is>
          <t>IDR</t>
        </is>
      </c>
      <c r="H2400" s="293" t="n">
        <v>1</v>
      </c>
      <c r="I2400" s="306" t="n"/>
      <c r="J2400" s="306" t="n"/>
      <c r="K2400" s="306" t="n"/>
      <c r="L2400" s="307">
        <f>$F2400*$H2400</f>
        <v/>
      </c>
      <c r="M2400" s="306" t="n"/>
      <c r="N2400" s="306" t="n"/>
      <c r="O2400" s="306" t="n"/>
      <c r="P2400" s="306" t="n"/>
      <c r="Q2400" s="306" t="n"/>
    </row>
    <row r="2401" ht="18.75" customHeight="1">
      <c r="B2401" s="288" t="n">
        <v>45261</v>
      </c>
      <c r="C2401" s="289" t="n">
        <v>1655</v>
      </c>
      <c r="D2401" s="290" t="inlineStr">
        <is>
          <t>JNE courier</t>
        </is>
      </c>
      <c r="E2401" s="306" t="inlineStr">
        <is>
          <t>-</t>
        </is>
      </c>
      <c r="F2401" s="307" t="n">
        <v>44000</v>
      </c>
      <c r="G2401" s="289" t="inlineStr">
        <is>
          <t>IDR</t>
        </is>
      </c>
      <c r="H2401" s="293" t="n">
        <v>1</v>
      </c>
      <c r="I2401" s="306" t="n"/>
      <c r="J2401" s="306" t="n"/>
      <c r="K2401" s="306" t="n"/>
      <c r="L2401" s="307">
        <f>$F2401*$H2401</f>
        <v/>
      </c>
      <c r="M2401" s="306" t="n"/>
      <c r="N2401" s="306" t="n"/>
      <c r="O2401" s="306" t="n"/>
      <c r="P2401" s="306" t="n"/>
      <c r="Q2401" s="306" t="n"/>
    </row>
    <row r="2402" ht="18.75" customHeight="1">
      <c r="B2402" s="288" t="n">
        <v>45261</v>
      </c>
      <c r="C2402" s="289" t="n">
        <v>1656</v>
      </c>
      <c r="D2402" s="290" t="inlineStr">
        <is>
          <t>JNE courier</t>
        </is>
      </c>
      <c r="E2402" s="306" t="inlineStr">
        <is>
          <t>-</t>
        </is>
      </c>
      <c r="F2402" s="307" t="n">
        <v>44000</v>
      </c>
      <c r="G2402" s="289" t="inlineStr">
        <is>
          <t>IDR</t>
        </is>
      </c>
      <c r="H2402" s="293" t="n">
        <v>1</v>
      </c>
      <c r="I2402" s="306" t="n"/>
      <c r="J2402" s="306" t="n"/>
      <c r="K2402" s="306" t="n"/>
      <c r="L2402" s="307">
        <f>$F2402*$H2402</f>
        <v/>
      </c>
      <c r="M2402" s="306" t="n"/>
      <c r="N2402" s="306" t="n"/>
      <c r="O2402" s="306" t="n"/>
      <c r="P2402" s="306" t="n"/>
      <c r="Q2402" s="306" t="n"/>
    </row>
    <row r="2403" ht="18.75" customHeight="1">
      <c r="B2403" s="288" t="n">
        <v>45555</v>
      </c>
      <c r="C2403" s="289" t="n">
        <v>1657</v>
      </c>
      <c r="D2403" s="290" t="inlineStr">
        <is>
          <t>JNE courier</t>
        </is>
      </c>
      <c r="E2403" s="306" t="inlineStr">
        <is>
          <t>-</t>
        </is>
      </c>
      <c r="F2403" s="307" t="n">
        <v>18000</v>
      </c>
      <c r="G2403" s="289" t="inlineStr">
        <is>
          <t>IDR</t>
        </is>
      </c>
      <c r="H2403" s="293" t="n">
        <v>1</v>
      </c>
      <c r="I2403" s="306" t="n"/>
      <c r="J2403" s="306" t="n"/>
      <c r="K2403" s="306" t="n"/>
      <c r="L2403" s="307">
        <f>$F2403*$H2403</f>
        <v/>
      </c>
      <c r="M2403" s="306" t="n"/>
      <c r="N2403" s="306" t="n"/>
      <c r="O2403" s="306" t="n"/>
      <c r="P2403" s="306" t="n"/>
      <c r="Q2403" s="306" t="n"/>
    </row>
    <row r="2404" ht="18.75" customHeight="1">
      <c r="B2404" s="288" t="n">
        <v>45555</v>
      </c>
      <c r="C2404" s="289" t="n">
        <v>1658</v>
      </c>
      <c r="D2404" s="290" t="inlineStr">
        <is>
          <t>JNE courier</t>
        </is>
      </c>
      <c r="E2404" s="306" t="inlineStr">
        <is>
          <t>-</t>
        </is>
      </c>
      <c r="F2404" s="307" t="n">
        <v>18000</v>
      </c>
      <c r="G2404" s="289" t="inlineStr">
        <is>
          <t>IDR</t>
        </is>
      </c>
      <c r="H2404" s="293" t="n">
        <v>1</v>
      </c>
      <c r="I2404" s="306" t="n"/>
      <c r="J2404" s="306" t="n"/>
      <c r="K2404" s="306" t="n"/>
      <c r="L2404" s="307">
        <f>$F2404*$H2404</f>
        <v/>
      </c>
      <c r="M2404" s="306" t="n"/>
      <c r="N2404" s="306" t="n"/>
      <c r="O2404" s="306" t="n"/>
      <c r="P2404" s="306" t="n"/>
      <c r="Q2404" s="306" t="n"/>
    </row>
    <row r="2405" ht="18.75" customHeight="1">
      <c r="B2405" s="288" t="n">
        <v>45555</v>
      </c>
      <c r="C2405" s="289" t="n">
        <v>1659</v>
      </c>
      <c r="D2405" s="290" t="inlineStr">
        <is>
          <t>JNE courier</t>
        </is>
      </c>
      <c r="E2405" s="306" t="inlineStr">
        <is>
          <t>-</t>
        </is>
      </c>
      <c r="F2405" s="307" t="n">
        <v>18000</v>
      </c>
      <c r="G2405" s="289" t="inlineStr">
        <is>
          <t>IDR</t>
        </is>
      </c>
      <c r="H2405" s="293" t="n">
        <v>1</v>
      </c>
      <c r="I2405" s="306" t="n"/>
      <c r="J2405" s="306" t="n"/>
      <c r="K2405" s="306" t="n"/>
      <c r="L2405" s="307">
        <f>$F2405*$H2405</f>
        <v/>
      </c>
      <c r="M2405" s="306" t="n"/>
      <c r="N2405" s="306" t="n"/>
      <c r="O2405" s="306" t="n"/>
      <c r="P2405" s="306" t="n"/>
      <c r="Q2405" s="306" t="n"/>
    </row>
    <row r="2406" ht="18.75" customHeight="1">
      <c r="B2406" s="288" t="n">
        <v>45555</v>
      </c>
      <c r="C2406" s="289" t="n">
        <v>1660</v>
      </c>
      <c r="D2406" s="290" t="inlineStr">
        <is>
          <t>JNE courier</t>
        </is>
      </c>
      <c r="E2406" s="306" t="inlineStr">
        <is>
          <t>-</t>
        </is>
      </c>
      <c r="F2406" s="307" t="n">
        <v>18000</v>
      </c>
      <c r="G2406" s="289" t="inlineStr">
        <is>
          <t>IDR</t>
        </is>
      </c>
      <c r="H2406" s="293" t="n">
        <v>1</v>
      </c>
      <c r="I2406" s="306" t="n"/>
      <c r="J2406" s="306" t="n"/>
      <c r="K2406" s="306" t="n"/>
      <c r="L2406" s="307">
        <f>$F2406*$H2406</f>
        <v/>
      </c>
      <c r="M2406" s="306" t="n"/>
      <c r="N2406" s="306" t="n"/>
      <c r="O2406" s="306" t="n"/>
      <c r="P2406" s="306" t="n"/>
      <c r="Q2406" s="306" t="n"/>
    </row>
    <row r="2407" ht="18.75" customHeight="1">
      <c r="B2407" s="288" t="n">
        <v>45560</v>
      </c>
      <c r="C2407" s="289" t="n">
        <v>1661</v>
      </c>
      <c r="D2407" s="290" t="inlineStr">
        <is>
          <t>POS courier</t>
        </is>
      </c>
      <c r="E2407" s="306" t="inlineStr">
        <is>
          <t>-</t>
        </is>
      </c>
      <c r="F2407" s="307" t="n">
        <v>8000</v>
      </c>
      <c r="G2407" s="289" t="inlineStr">
        <is>
          <t>IDR</t>
        </is>
      </c>
      <c r="H2407" s="293" t="n">
        <v>1</v>
      </c>
      <c r="I2407" s="306" t="n"/>
      <c r="J2407" s="306" t="n"/>
      <c r="K2407" s="306" t="n"/>
      <c r="L2407" s="307">
        <f>$F2407*$H2407</f>
        <v/>
      </c>
      <c r="M2407" s="306" t="n"/>
      <c r="N2407" s="306" t="n"/>
      <c r="O2407" s="306" t="n"/>
      <c r="P2407" s="306" t="n"/>
      <c r="Q2407" s="306" t="n"/>
    </row>
    <row r="2408" ht="18.75" customHeight="1">
      <c r="B2408" s="288" t="n">
        <v>45560</v>
      </c>
      <c r="C2408" s="289" t="n">
        <v>1662</v>
      </c>
      <c r="D2408" s="290" t="inlineStr">
        <is>
          <t>POS courier</t>
        </is>
      </c>
      <c r="E2408" s="306" t="inlineStr">
        <is>
          <t>-</t>
        </is>
      </c>
      <c r="F2408" s="307" t="n">
        <v>8000</v>
      </c>
      <c r="G2408" s="289" t="inlineStr">
        <is>
          <t>IDR</t>
        </is>
      </c>
      <c r="H2408" s="293" t="n">
        <v>1</v>
      </c>
      <c r="I2408" s="306" t="n"/>
      <c r="J2408" s="306" t="n"/>
      <c r="K2408" s="306" t="n"/>
      <c r="L2408" s="307">
        <f>$F2408*$H2408</f>
        <v/>
      </c>
      <c r="M2408" s="306" t="n"/>
      <c r="N2408" s="306" t="n"/>
      <c r="O2408" s="306" t="n"/>
      <c r="P2408" s="306" t="n"/>
      <c r="Q2408" s="306" t="n"/>
    </row>
    <row r="2409" ht="18.75" customHeight="1">
      <c r="B2409" s="288" t="n">
        <v>45560</v>
      </c>
      <c r="C2409" s="289" t="n">
        <v>1663</v>
      </c>
      <c r="D2409" s="290" t="inlineStr">
        <is>
          <t>POS courier</t>
        </is>
      </c>
      <c r="E2409" s="306" t="inlineStr">
        <is>
          <t>-</t>
        </is>
      </c>
      <c r="F2409" s="307" t="n">
        <v>8000</v>
      </c>
      <c r="G2409" s="289" t="inlineStr">
        <is>
          <t>IDR</t>
        </is>
      </c>
      <c r="H2409" s="293" t="n">
        <v>1</v>
      </c>
      <c r="I2409" s="306" t="n"/>
      <c r="J2409" s="306" t="n"/>
      <c r="K2409" s="306" t="n"/>
      <c r="L2409" s="307">
        <f>$F2409*$H2409</f>
        <v/>
      </c>
      <c r="M2409" s="306" t="n"/>
      <c r="N2409" s="306" t="n"/>
      <c r="O2409" s="306" t="n"/>
      <c r="P2409" s="306" t="n"/>
      <c r="Q2409" s="306" t="n"/>
    </row>
    <row r="2410" ht="18.75" customHeight="1">
      <c r="B2410" s="288" t="n">
        <v>45560</v>
      </c>
      <c r="C2410" s="289" t="n">
        <v>1664</v>
      </c>
      <c r="D2410" s="290" t="inlineStr">
        <is>
          <t>POS courier</t>
        </is>
      </c>
      <c r="E2410" s="306" t="inlineStr">
        <is>
          <t>-</t>
        </is>
      </c>
      <c r="F2410" s="307" t="n">
        <v>8000</v>
      </c>
      <c r="G2410" s="289" t="inlineStr">
        <is>
          <t>IDR</t>
        </is>
      </c>
      <c r="H2410" s="293" t="n">
        <v>1</v>
      </c>
      <c r="I2410" s="306" t="n"/>
      <c r="J2410" s="306" t="n"/>
      <c r="K2410" s="306" t="n"/>
      <c r="L2410" s="307">
        <f>$F2410*$H2410</f>
        <v/>
      </c>
      <c r="M2410" s="306" t="n"/>
      <c r="N2410" s="306" t="n"/>
      <c r="O2410" s="306" t="n"/>
      <c r="P2410" s="306" t="n"/>
      <c r="Q2410" s="306" t="n"/>
    </row>
    <row r="2411" ht="18.75" customHeight="1">
      <c r="B2411" s="288" t="n">
        <v>45574</v>
      </c>
      <c r="C2411" s="289" t="n">
        <v>1665</v>
      </c>
      <c r="D2411" s="290" t="inlineStr">
        <is>
          <t>POS courier</t>
        </is>
      </c>
      <c r="E2411" s="306" t="inlineStr">
        <is>
          <t>-</t>
        </is>
      </c>
      <c r="F2411" s="307" t="n">
        <v>15000</v>
      </c>
      <c r="G2411" s="289" t="inlineStr">
        <is>
          <t>IDR</t>
        </is>
      </c>
      <c r="H2411" s="293" t="n">
        <v>1</v>
      </c>
      <c r="I2411" s="306" t="n"/>
      <c r="J2411" s="306" t="n"/>
      <c r="K2411" s="306" t="n"/>
      <c r="L2411" s="307">
        <f>$F2411*$H2411</f>
        <v/>
      </c>
      <c r="M2411" s="306" t="n"/>
      <c r="N2411" s="306" t="n"/>
      <c r="O2411" s="306" t="n"/>
      <c r="P2411" s="306" t="n"/>
      <c r="Q2411" s="306" t="n"/>
    </row>
    <row r="2412" ht="18.75" customHeight="1">
      <c r="B2412" s="288" t="n">
        <v>45574</v>
      </c>
      <c r="C2412" s="289" t="n">
        <v>1666</v>
      </c>
      <c r="D2412" s="290" t="inlineStr">
        <is>
          <t>POS courier</t>
        </is>
      </c>
      <c r="E2412" s="306" t="inlineStr">
        <is>
          <t>-</t>
        </is>
      </c>
      <c r="F2412" s="307" t="n">
        <v>15000</v>
      </c>
      <c r="G2412" s="289" t="inlineStr">
        <is>
          <t>IDR</t>
        </is>
      </c>
      <c r="H2412" s="293" t="n">
        <v>1</v>
      </c>
      <c r="I2412" s="306" t="n"/>
      <c r="J2412" s="306" t="n"/>
      <c r="K2412" s="306" t="n"/>
      <c r="L2412" s="307">
        <f>$F2412*$H2412</f>
        <v/>
      </c>
      <c r="M2412" s="306" t="n"/>
      <c r="N2412" s="306" t="n"/>
      <c r="O2412" s="306" t="n"/>
      <c r="P2412" s="306" t="n"/>
      <c r="Q2412" s="306" t="n"/>
    </row>
    <row r="2413" ht="18.75" customHeight="1">
      <c r="B2413" s="288" t="n">
        <v>45574</v>
      </c>
      <c r="C2413" s="289" t="n">
        <v>1667</v>
      </c>
      <c r="D2413" s="290" t="inlineStr">
        <is>
          <t>POS courier</t>
        </is>
      </c>
      <c r="E2413" s="306" t="inlineStr">
        <is>
          <t>-</t>
        </is>
      </c>
      <c r="F2413" s="307" t="n">
        <v>15000</v>
      </c>
      <c r="G2413" s="289" t="inlineStr">
        <is>
          <t>IDR</t>
        </is>
      </c>
      <c r="H2413" s="293" t="n">
        <v>1</v>
      </c>
      <c r="I2413" s="306" t="n"/>
      <c r="J2413" s="306" t="n"/>
      <c r="K2413" s="306" t="n"/>
      <c r="L2413" s="307">
        <f>$F2413*$H2413</f>
        <v/>
      </c>
      <c r="M2413" s="306" t="n"/>
      <c r="N2413" s="306" t="n"/>
      <c r="O2413" s="306" t="n"/>
      <c r="P2413" s="306" t="n"/>
      <c r="Q2413" s="306" t="n"/>
    </row>
    <row r="2414" ht="18.75" customHeight="1">
      <c r="B2414" s="288" t="n">
        <v>45574</v>
      </c>
      <c r="C2414" s="289" t="n">
        <v>1668</v>
      </c>
      <c r="D2414" s="290" t="inlineStr">
        <is>
          <t>POS courier</t>
        </is>
      </c>
      <c r="E2414" s="306" t="inlineStr">
        <is>
          <t>-</t>
        </is>
      </c>
      <c r="F2414" s="307" t="n">
        <v>15000</v>
      </c>
      <c r="G2414" s="289" t="inlineStr">
        <is>
          <t>IDR</t>
        </is>
      </c>
      <c r="H2414" s="293" t="n">
        <v>1</v>
      </c>
      <c r="I2414" s="306" t="n"/>
      <c r="J2414" s="306" t="n"/>
      <c r="K2414" s="306" t="n"/>
      <c r="L2414" s="307">
        <f>$F2414*$H2414</f>
        <v/>
      </c>
      <c r="M2414" s="306" t="n"/>
      <c r="N2414" s="306" t="n"/>
      <c r="O2414" s="306" t="n"/>
      <c r="P2414" s="306" t="n"/>
      <c r="Q2414" s="306" t="n"/>
    </row>
    <row r="2415" ht="18.75" customHeight="1">
      <c r="B2415" s="288" t="n">
        <v>45579</v>
      </c>
      <c r="C2415" s="289" t="n">
        <v>1669</v>
      </c>
      <c r="D2415" s="290" t="inlineStr">
        <is>
          <t>JNE courier</t>
        </is>
      </c>
      <c r="E2415" s="306" t="inlineStr">
        <is>
          <t>-</t>
        </is>
      </c>
      <c r="F2415" s="307" t="n">
        <v>10000</v>
      </c>
      <c r="G2415" s="289" t="inlineStr">
        <is>
          <t>IDR</t>
        </is>
      </c>
      <c r="H2415" s="293" t="n">
        <v>1</v>
      </c>
      <c r="I2415" s="306" t="n"/>
      <c r="J2415" s="306" t="n"/>
      <c r="K2415" s="306" t="n"/>
      <c r="L2415" s="307">
        <f>$F2415*$H2415</f>
        <v/>
      </c>
      <c r="M2415" s="306" t="n"/>
      <c r="N2415" s="306" t="n"/>
      <c r="O2415" s="306" t="n"/>
      <c r="P2415" s="306" t="n"/>
      <c r="Q2415" s="306" t="n"/>
    </row>
    <row r="2416" ht="18.75" customHeight="1">
      <c r="B2416" s="288" t="n">
        <v>45579</v>
      </c>
      <c r="C2416" s="289" t="n">
        <v>1670</v>
      </c>
      <c r="D2416" s="290" t="inlineStr">
        <is>
          <t>GoCar to Elnusa PP</t>
        </is>
      </c>
      <c r="E2416" s="306" t="inlineStr">
        <is>
          <t>-</t>
        </is>
      </c>
      <c r="F2416" s="307" t="n">
        <v>275000</v>
      </c>
      <c r="G2416" s="289" t="inlineStr">
        <is>
          <t>IDR</t>
        </is>
      </c>
      <c r="H2416" s="293" t="n">
        <v>1</v>
      </c>
      <c r="I2416" s="306" t="n"/>
      <c r="J2416" s="306" t="n"/>
      <c r="K2416" s="306" t="n"/>
      <c r="L2416" s="307">
        <f>$F2416*$H2416</f>
        <v/>
      </c>
      <c r="M2416" s="306" t="n"/>
      <c r="N2416" s="306" t="n"/>
      <c r="O2416" s="306" t="n"/>
      <c r="P2416" s="306" t="n"/>
      <c r="Q2416" s="306" t="n"/>
    </row>
    <row r="2417" ht="18.75" customHeight="1">
      <c r="B2417" s="288" t="n">
        <v>45579</v>
      </c>
      <c r="C2417" s="289" t="n">
        <v>1671</v>
      </c>
      <c r="D2417" s="290" t="inlineStr">
        <is>
          <t>Tol &amp; parking fee</t>
        </is>
      </c>
      <c r="E2417" s="306" t="inlineStr">
        <is>
          <t>-</t>
        </is>
      </c>
      <c r="F2417" s="307" t="n">
        <v>31500</v>
      </c>
      <c r="G2417" s="289" t="inlineStr">
        <is>
          <t>IDR</t>
        </is>
      </c>
      <c r="H2417" s="293" t="n">
        <v>1</v>
      </c>
      <c r="I2417" s="306" t="n"/>
      <c r="J2417" s="306" t="n"/>
      <c r="K2417" s="306" t="n"/>
      <c r="L2417" s="307">
        <f>$F2417*$H2417</f>
        <v/>
      </c>
      <c r="M2417" s="306" t="n"/>
      <c r="N2417" s="306" t="n"/>
      <c r="O2417" s="306" t="n"/>
      <c r="P2417" s="306" t="n"/>
      <c r="Q2417" s="306" t="n"/>
    </row>
    <row r="2418" ht="18.75" customHeight="1">
      <c r="B2418" s="288" t="n">
        <v>45579</v>
      </c>
      <c r="C2418" s="289" t="n">
        <v>1672</v>
      </c>
      <c r="D2418" s="290" t="inlineStr">
        <is>
          <t>JNE courier</t>
        </is>
      </c>
      <c r="E2418" s="306" t="inlineStr">
        <is>
          <t>-</t>
        </is>
      </c>
      <c r="F2418" s="307" t="n">
        <v>10000</v>
      </c>
      <c r="G2418" s="289" t="inlineStr">
        <is>
          <t>IDR</t>
        </is>
      </c>
      <c r="H2418" s="293" t="n">
        <v>1</v>
      </c>
      <c r="I2418" s="306" t="n"/>
      <c r="J2418" s="306" t="n"/>
      <c r="K2418" s="306" t="n"/>
      <c r="L2418" s="307">
        <f>$F2418*$H2418</f>
        <v/>
      </c>
      <c r="M2418" s="306" t="n"/>
      <c r="N2418" s="306" t="n"/>
      <c r="O2418" s="306" t="n"/>
      <c r="P2418" s="306" t="n"/>
      <c r="Q2418" s="306" t="n"/>
    </row>
    <row r="2419" ht="18.75" customHeight="1">
      <c r="B2419" s="288" t="n">
        <v>45579</v>
      </c>
      <c r="C2419" s="289" t="n">
        <v>1673</v>
      </c>
      <c r="D2419" s="290" t="inlineStr">
        <is>
          <t>GoCar to Elnusa PP</t>
        </is>
      </c>
      <c r="E2419" s="306" t="inlineStr">
        <is>
          <t>-</t>
        </is>
      </c>
      <c r="F2419" s="307" t="n">
        <v>275000</v>
      </c>
      <c r="G2419" s="289" t="inlineStr">
        <is>
          <t>IDR</t>
        </is>
      </c>
      <c r="H2419" s="293" t="n">
        <v>1</v>
      </c>
      <c r="I2419" s="306" t="n"/>
      <c r="J2419" s="306" t="n"/>
      <c r="K2419" s="306" t="n"/>
      <c r="L2419" s="307">
        <f>$F2419*$H2419</f>
        <v/>
      </c>
      <c r="M2419" s="306" t="n"/>
      <c r="N2419" s="306" t="n"/>
      <c r="O2419" s="306" t="n"/>
      <c r="P2419" s="306" t="n"/>
      <c r="Q2419" s="306" t="n"/>
    </row>
    <row r="2420" ht="18.75" customHeight="1">
      <c r="B2420" s="288" t="n">
        <v>45579</v>
      </c>
      <c r="C2420" s="289" t="n">
        <v>1674</v>
      </c>
      <c r="D2420" s="290" t="inlineStr">
        <is>
          <t>Tol &amp; parking fee</t>
        </is>
      </c>
      <c r="E2420" s="306" t="inlineStr">
        <is>
          <t>-</t>
        </is>
      </c>
      <c r="F2420" s="307" t="n">
        <v>31500</v>
      </c>
      <c r="G2420" s="289" t="inlineStr">
        <is>
          <t>IDR</t>
        </is>
      </c>
      <c r="H2420" s="293" t="n">
        <v>1</v>
      </c>
      <c r="I2420" s="306" t="n"/>
      <c r="J2420" s="306" t="n"/>
      <c r="K2420" s="306" t="n"/>
      <c r="L2420" s="307">
        <f>$F2420*$H2420</f>
        <v/>
      </c>
      <c r="M2420" s="306" t="n"/>
      <c r="N2420" s="306" t="n"/>
      <c r="O2420" s="306" t="n"/>
      <c r="P2420" s="306" t="n"/>
      <c r="Q2420" s="306" t="n"/>
    </row>
    <row r="2421" ht="18.75" customHeight="1">
      <c r="B2421" s="288" t="n">
        <v>45579</v>
      </c>
      <c r="C2421" s="289" t="n">
        <v>1675</v>
      </c>
      <c r="D2421" s="290" t="inlineStr">
        <is>
          <t>JNE courier</t>
        </is>
      </c>
      <c r="E2421" s="306" t="inlineStr">
        <is>
          <t>-</t>
        </is>
      </c>
      <c r="F2421" s="307" t="n">
        <v>10000</v>
      </c>
      <c r="G2421" s="289" t="inlineStr">
        <is>
          <t>IDR</t>
        </is>
      </c>
      <c r="H2421" s="293" t="n">
        <v>1</v>
      </c>
      <c r="I2421" s="306" t="n"/>
      <c r="J2421" s="306" t="n"/>
      <c r="K2421" s="306" t="n"/>
      <c r="L2421" s="307">
        <f>$F2421*$H2421</f>
        <v/>
      </c>
      <c r="M2421" s="306" t="n"/>
      <c r="N2421" s="306" t="n"/>
      <c r="O2421" s="306" t="n"/>
      <c r="P2421" s="306" t="n"/>
      <c r="Q2421" s="306" t="n"/>
    </row>
    <row r="2422" ht="18.75" customHeight="1">
      <c r="B2422" s="288" t="n">
        <v>45579</v>
      </c>
      <c r="C2422" s="289" t="n">
        <v>1676</v>
      </c>
      <c r="D2422" s="290" t="inlineStr">
        <is>
          <t>GoCar to Elnusa PP</t>
        </is>
      </c>
      <c r="E2422" s="306" t="inlineStr">
        <is>
          <t>-</t>
        </is>
      </c>
      <c r="F2422" s="307" t="n">
        <v>275000</v>
      </c>
      <c r="G2422" s="289" t="inlineStr">
        <is>
          <t>IDR</t>
        </is>
      </c>
      <c r="H2422" s="293" t="n">
        <v>1</v>
      </c>
      <c r="I2422" s="306" t="n"/>
      <c r="J2422" s="306" t="n"/>
      <c r="K2422" s="306" t="n"/>
      <c r="L2422" s="307">
        <f>$F2422*$H2422</f>
        <v/>
      </c>
      <c r="M2422" s="306" t="n"/>
      <c r="N2422" s="306" t="n"/>
      <c r="O2422" s="306" t="n"/>
      <c r="P2422" s="306" t="n"/>
      <c r="Q2422" s="306" t="n"/>
    </row>
    <row r="2423" ht="18.75" customHeight="1">
      <c r="B2423" s="288" t="n">
        <v>45579</v>
      </c>
      <c r="C2423" s="289" t="n">
        <v>1677</v>
      </c>
      <c r="D2423" s="290" t="inlineStr">
        <is>
          <t>Tol &amp; parking fee</t>
        </is>
      </c>
      <c r="E2423" s="306" t="inlineStr">
        <is>
          <t>-</t>
        </is>
      </c>
      <c r="F2423" s="307" t="n">
        <v>31500</v>
      </c>
      <c r="G2423" s="289" t="inlineStr">
        <is>
          <t>IDR</t>
        </is>
      </c>
      <c r="H2423" s="293" t="n">
        <v>1</v>
      </c>
      <c r="I2423" s="306" t="n"/>
      <c r="J2423" s="306" t="n"/>
      <c r="K2423" s="306" t="n"/>
      <c r="L2423" s="307">
        <f>$F2423*$H2423</f>
        <v/>
      </c>
      <c r="M2423" s="306" t="n"/>
      <c r="N2423" s="306" t="n"/>
      <c r="O2423" s="306" t="n"/>
      <c r="P2423" s="306" t="n"/>
      <c r="Q2423" s="306" t="n"/>
    </row>
    <row r="2424" ht="18.75" customHeight="1">
      <c r="B2424" s="288" t="n">
        <v>45579</v>
      </c>
      <c r="C2424" s="289" t="n">
        <v>1678</v>
      </c>
      <c r="D2424" s="290" t="inlineStr">
        <is>
          <t>JNE courier</t>
        </is>
      </c>
      <c r="E2424" s="306" t="inlineStr">
        <is>
          <t>-</t>
        </is>
      </c>
      <c r="F2424" s="307" t="n">
        <v>10000</v>
      </c>
      <c r="G2424" s="289" t="inlineStr">
        <is>
          <t>IDR</t>
        </is>
      </c>
      <c r="H2424" s="293" t="n">
        <v>1</v>
      </c>
      <c r="I2424" s="306" t="n"/>
      <c r="J2424" s="306" t="n"/>
      <c r="K2424" s="306" t="n"/>
      <c r="L2424" s="307">
        <f>$F2424*$H2424</f>
        <v/>
      </c>
      <c r="M2424" s="306" t="n"/>
      <c r="N2424" s="306" t="n"/>
      <c r="O2424" s="306" t="n"/>
      <c r="P2424" s="306" t="n"/>
      <c r="Q2424" s="306" t="n"/>
    </row>
    <row r="2425" ht="18.75" customHeight="1">
      <c r="B2425" s="288" t="n">
        <v>45579</v>
      </c>
      <c r="C2425" s="289" t="n">
        <v>1679</v>
      </c>
      <c r="D2425" s="290" t="inlineStr">
        <is>
          <t>GoCar to Elnusa PP</t>
        </is>
      </c>
      <c r="E2425" s="306" t="inlineStr">
        <is>
          <t>-</t>
        </is>
      </c>
      <c r="F2425" s="307" t="n">
        <v>275000</v>
      </c>
      <c r="G2425" s="289" t="inlineStr">
        <is>
          <t>IDR</t>
        </is>
      </c>
      <c r="H2425" s="293" t="n">
        <v>1</v>
      </c>
      <c r="I2425" s="306" t="n"/>
      <c r="J2425" s="306" t="n"/>
      <c r="K2425" s="306" t="n"/>
      <c r="L2425" s="307">
        <f>$F2425*$H2425</f>
        <v/>
      </c>
      <c r="M2425" s="306" t="n"/>
      <c r="N2425" s="306" t="n"/>
      <c r="O2425" s="306" t="n"/>
      <c r="P2425" s="306" t="n"/>
      <c r="Q2425" s="306" t="n"/>
    </row>
    <row r="2426" ht="18.75" customHeight="1">
      <c r="B2426" s="288" t="n">
        <v>45579</v>
      </c>
      <c r="C2426" s="289" t="n">
        <v>1680</v>
      </c>
      <c r="D2426" s="290" t="inlineStr">
        <is>
          <t>Tol &amp; parking fee</t>
        </is>
      </c>
      <c r="E2426" s="306" t="inlineStr">
        <is>
          <t>-</t>
        </is>
      </c>
      <c r="F2426" s="307" t="n">
        <v>31500</v>
      </c>
      <c r="G2426" s="289" t="inlineStr">
        <is>
          <t>IDR</t>
        </is>
      </c>
      <c r="H2426" s="293" t="n">
        <v>1</v>
      </c>
      <c r="I2426" s="306" t="n"/>
      <c r="J2426" s="306" t="n"/>
      <c r="K2426" s="306" t="n"/>
      <c r="L2426" s="307">
        <f>$F2426*$H2426</f>
        <v/>
      </c>
      <c r="M2426" s="306" t="n"/>
      <c r="N2426" s="306" t="n"/>
      <c r="O2426" s="306" t="n"/>
      <c r="P2426" s="306" t="n"/>
      <c r="Q2426" s="306" t="n"/>
    </row>
    <row r="2427" ht="18.75" customHeight="1">
      <c r="B2427" s="288" t="n">
        <v>45582</v>
      </c>
      <c r="C2427" s="289" t="n">
        <v>1681</v>
      </c>
      <c r="D2427" s="290" t="inlineStr">
        <is>
          <t>GoCar to Elnusa PP</t>
        </is>
      </c>
      <c r="E2427" s="306" t="inlineStr">
        <is>
          <t>-</t>
        </is>
      </c>
      <c r="F2427" s="307" t="n">
        <v>266000</v>
      </c>
      <c r="G2427" s="289" t="inlineStr">
        <is>
          <t>IDR</t>
        </is>
      </c>
      <c r="H2427" s="293" t="n">
        <v>1</v>
      </c>
      <c r="I2427" s="306" t="n"/>
      <c r="J2427" s="306" t="n"/>
      <c r="K2427" s="306" t="n"/>
      <c r="L2427" s="307">
        <f>$F2427*$H2427</f>
        <v/>
      </c>
      <c r="M2427" s="306" t="n"/>
      <c r="N2427" s="306" t="n"/>
      <c r="O2427" s="306" t="n"/>
      <c r="P2427" s="306" t="n"/>
      <c r="Q2427" s="306" t="n"/>
    </row>
    <row r="2428" ht="18.75" customHeight="1">
      <c r="B2428" s="288" t="n">
        <v>45582</v>
      </c>
      <c r="C2428" s="289" t="n">
        <v>1682</v>
      </c>
      <c r="D2428" s="290" t="inlineStr">
        <is>
          <t>Tol &amp; parking fee</t>
        </is>
      </c>
      <c r="E2428" s="306" t="inlineStr">
        <is>
          <t>-</t>
        </is>
      </c>
      <c r="F2428" s="307" t="n">
        <v>53500</v>
      </c>
      <c r="G2428" s="289" t="inlineStr">
        <is>
          <t>IDR</t>
        </is>
      </c>
      <c r="H2428" s="293" t="n">
        <v>1</v>
      </c>
      <c r="I2428" s="306" t="n"/>
      <c r="J2428" s="306" t="n"/>
      <c r="K2428" s="306" t="n"/>
      <c r="L2428" s="307">
        <f>$F2428*$H2428</f>
        <v/>
      </c>
      <c r="M2428" s="306" t="n"/>
      <c r="N2428" s="306" t="n"/>
      <c r="O2428" s="306" t="n"/>
      <c r="P2428" s="306" t="n"/>
      <c r="Q2428" s="306" t="n"/>
    </row>
    <row r="2429" ht="18.75" customHeight="1">
      <c r="B2429" s="288" t="n">
        <v>45582</v>
      </c>
      <c r="C2429" s="289" t="n">
        <v>1683</v>
      </c>
      <c r="D2429" s="290" t="inlineStr">
        <is>
          <t>GoCar to Elnusa PP</t>
        </is>
      </c>
      <c r="E2429" s="306" t="inlineStr">
        <is>
          <t>-</t>
        </is>
      </c>
      <c r="F2429" s="307" t="n">
        <v>266000</v>
      </c>
      <c r="G2429" s="289" t="inlineStr">
        <is>
          <t>IDR</t>
        </is>
      </c>
      <c r="H2429" s="293" t="n">
        <v>1</v>
      </c>
      <c r="I2429" s="306" t="n"/>
      <c r="J2429" s="306" t="n"/>
      <c r="K2429" s="306" t="n"/>
      <c r="L2429" s="307">
        <f>$F2429*$H2429</f>
        <v/>
      </c>
      <c r="M2429" s="306" t="n"/>
      <c r="N2429" s="306" t="n"/>
      <c r="O2429" s="306" t="n"/>
      <c r="P2429" s="306" t="n"/>
      <c r="Q2429" s="306" t="n"/>
    </row>
    <row r="2430" ht="18.75" customHeight="1">
      <c r="B2430" s="288" t="n">
        <v>45582</v>
      </c>
      <c r="C2430" s="289" t="n">
        <v>1684</v>
      </c>
      <c r="D2430" s="290" t="inlineStr">
        <is>
          <t>Tol &amp; parking fee</t>
        </is>
      </c>
      <c r="E2430" s="306" t="inlineStr">
        <is>
          <t>-</t>
        </is>
      </c>
      <c r="F2430" s="307" t="n">
        <v>53500</v>
      </c>
      <c r="G2430" s="289" t="inlineStr">
        <is>
          <t>IDR</t>
        </is>
      </c>
      <c r="H2430" s="293" t="n">
        <v>1</v>
      </c>
      <c r="I2430" s="306" t="n"/>
      <c r="J2430" s="306" t="n"/>
      <c r="K2430" s="306" t="n"/>
      <c r="L2430" s="307">
        <f>$F2430*$H2430</f>
        <v/>
      </c>
      <c r="M2430" s="306" t="n"/>
      <c r="N2430" s="306" t="n"/>
      <c r="O2430" s="306" t="n"/>
      <c r="P2430" s="306" t="n"/>
      <c r="Q2430" s="306" t="n"/>
    </row>
    <row r="2431" ht="18.75" customHeight="1">
      <c r="B2431" s="288" t="n">
        <v>45582</v>
      </c>
      <c r="C2431" s="289" t="n">
        <v>1685</v>
      </c>
      <c r="D2431" s="290" t="inlineStr">
        <is>
          <t>GoCar to Elnusa PP</t>
        </is>
      </c>
      <c r="E2431" s="306" t="inlineStr">
        <is>
          <t>-</t>
        </is>
      </c>
      <c r="F2431" s="307" t="n">
        <v>266000</v>
      </c>
      <c r="G2431" s="289" t="inlineStr">
        <is>
          <t>IDR</t>
        </is>
      </c>
      <c r="H2431" s="293" t="n">
        <v>1</v>
      </c>
      <c r="I2431" s="306" t="n"/>
      <c r="J2431" s="306" t="n"/>
      <c r="K2431" s="306" t="n"/>
      <c r="L2431" s="307">
        <f>$F2431*$H2431</f>
        <v/>
      </c>
      <c r="M2431" s="306" t="n"/>
      <c r="N2431" s="306" t="n"/>
      <c r="O2431" s="306" t="n"/>
      <c r="P2431" s="306" t="n"/>
      <c r="Q2431" s="306" t="n"/>
    </row>
    <row r="2432" ht="18.75" customHeight="1">
      <c r="B2432" s="288" t="n">
        <v>45582</v>
      </c>
      <c r="C2432" s="289" t="n">
        <v>1686</v>
      </c>
      <c r="D2432" s="290" t="inlineStr">
        <is>
          <t>Tol &amp; parking fee</t>
        </is>
      </c>
      <c r="E2432" s="306" t="inlineStr">
        <is>
          <t>-</t>
        </is>
      </c>
      <c r="F2432" s="307" t="n">
        <v>53500</v>
      </c>
      <c r="G2432" s="289" t="inlineStr">
        <is>
          <t>IDR</t>
        </is>
      </c>
      <c r="H2432" s="293" t="n">
        <v>1</v>
      </c>
      <c r="I2432" s="306" t="n"/>
      <c r="J2432" s="306" t="n"/>
      <c r="K2432" s="306" t="n"/>
      <c r="L2432" s="307">
        <f>$F2432*$H2432</f>
        <v/>
      </c>
      <c r="M2432" s="306" t="n"/>
      <c r="N2432" s="306" t="n"/>
      <c r="O2432" s="306" t="n"/>
      <c r="P2432" s="306" t="n"/>
      <c r="Q2432" s="306" t="n"/>
    </row>
    <row r="2433" ht="18.75" customHeight="1">
      <c r="B2433" s="288" t="n">
        <v>45582</v>
      </c>
      <c r="C2433" s="289" t="n">
        <v>1687</v>
      </c>
      <c r="D2433" s="290" t="inlineStr">
        <is>
          <t>GoCar to Elnusa PP</t>
        </is>
      </c>
      <c r="E2433" s="306" t="inlineStr">
        <is>
          <t>-</t>
        </is>
      </c>
      <c r="F2433" s="307" t="n">
        <v>266000</v>
      </c>
      <c r="G2433" s="289" t="inlineStr">
        <is>
          <t>IDR</t>
        </is>
      </c>
      <c r="H2433" s="293" t="n">
        <v>1</v>
      </c>
      <c r="I2433" s="306" t="n"/>
      <c r="J2433" s="306" t="n"/>
      <c r="K2433" s="306" t="n"/>
      <c r="L2433" s="307">
        <f>$F2433*$H2433</f>
        <v/>
      </c>
      <c r="M2433" s="306" t="n"/>
      <c r="N2433" s="306" t="n"/>
      <c r="O2433" s="306" t="n"/>
      <c r="P2433" s="306" t="n"/>
      <c r="Q2433" s="306" t="n"/>
    </row>
    <row r="2434" ht="18.75" customHeight="1">
      <c r="B2434" s="288" t="n">
        <v>45582</v>
      </c>
      <c r="C2434" s="289" t="n">
        <v>1688</v>
      </c>
      <c r="D2434" s="290" t="inlineStr">
        <is>
          <t>Tol &amp; parking fee</t>
        </is>
      </c>
      <c r="E2434" s="306" t="inlineStr">
        <is>
          <t>-</t>
        </is>
      </c>
      <c r="F2434" s="307" t="n">
        <v>53500</v>
      </c>
      <c r="G2434" s="289" t="inlineStr">
        <is>
          <t>IDR</t>
        </is>
      </c>
      <c r="H2434" s="293" t="n">
        <v>1</v>
      </c>
      <c r="I2434" s="306" t="n"/>
      <c r="J2434" s="306" t="n"/>
      <c r="K2434" s="306" t="n"/>
      <c r="L2434" s="307">
        <f>$F2434*$H2434</f>
        <v/>
      </c>
      <c r="M2434" s="306" t="n"/>
      <c r="N2434" s="306" t="n"/>
      <c r="O2434" s="306" t="n"/>
      <c r="P2434" s="306" t="n"/>
      <c r="Q2434" s="306" t="n"/>
    </row>
    <row r="2435" ht="18.75" customHeight="1">
      <c r="B2435" s="288" t="n">
        <v>45617</v>
      </c>
      <c r="C2435" s="289" t="n">
        <v>1689</v>
      </c>
      <c r="D2435" s="290" t="inlineStr">
        <is>
          <t>GoCar to Elnusa PP</t>
        </is>
      </c>
      <c r="E2435" s="306" t="inlineStr">
        <is>
          <t>-</t>
        </is>
      </c>
      <c r="F2435" s="307" t="n">
        <v>269000</v>
      </c>
      <c r="G2435" s="289" t="inlineStr">
        <is>
          <t>IDR</t>
        </is>
      </c>
      <c r="H2435" s="293" t="n">
        <v>1</v>
      </c>
      <c r="I2435" s="306" t="n"/>
      <c r="J2435" s="306" t="n"/>
      <c r="K2435" s="306" t="n"/>
      <c r="L2435" s="307">
        <f>$F2435*$H2435</f>
        <v/>
      </c>
      <c r="M2435" s="306" t="n"/>
      <c r="N2435" s="306" t="n"/>
      <c r="O2435" s="306" t="n"/>
      <c r="P2435" s="306" t="n"/>
      <c r="Q2435" s="306" t="n"/>
    </row>
    <row r="2436" ht="18.75" customHeight="1">
      <c r="B2436" s="288" t="n">
        <v>45617</v>
      </c>
      <c r="C2436" s="289" t="n">
        <v>1690</v>
      </c>
      <c r="D2436" s="290" t="inlineStr">
        <is>
          <t>Tol &amp; parking fee</t>
        </is>
      </c>
      <c r="E2436" s="306" t="inlineStr">
        <is>
          <t>-</t>
        </is>
      </c>
      <c r="F2436" s="307" t="n">
        <v>43450</v>
      </c>
      <c r="G2436" s="289" t="inlineStr">
        <is>
          <t>IDR</t>
        </is>
      </c>
      <c r="H2436" s="293" t="n">
        <v>1</v>
      </c>
      <c r="I2436" s="306" t="n"/>
      <c r="J2436" s="306" t="n"/>
      <c r="K2436" s="306" t="n"/>
      <c r="L2436" s="307">
        <f>$F2436*$H2436</f>
        <v/>
      </c>
      <c r="M2436" s="306" t="n"/>
      <c r="N2436" s="306" t="n"/>
      <c r="O2436" s="306" t="n"/>
      <c r="P2436" s="306" t="n"/>
      <c r="Q2436" s="306" t="n"/>
    </row>
    <row r="2437" ht="18.75" customHeight="1">
      <c r="B2437" s="288" t="n">
        <v>45617</v>
      </c>
      <c r="C2437" s="289" t="n">
        <v>1691</v>
      </c>
      <c r="D2437" s="290" t="inlineStr">
        <is>
          <t>GoCar to Elnusa PP</t>
        </is>
      </c>
      <c r="E2437" s="306" t="inlineStr">
        <is>
          <t>-</t>
        </is>
      </c>
      <c r="F2437" s="307" t="n">
        <v>269000</v>
      </c>
      <c r="G2437" s="289" t="inlineStr">
        <is>
          <t>IDR</t>
        </is>
      </c>
      <c r="H2437" s="293" t="n">
        <v>1</v>
      </c>
      <c r="I2437" s="306" t="n"/>
      <c r="J2437" s="306" t="n"/>
      <c r="K2437" s="306" t="n"/>
      <c r="L2437" s="307">
        <f>$F2437*$H2437</f>
        <v/>
      </c>
      <c r="M2437" s="306" t="n"/>
      <c r="N2437" s="306" t="n"/>
      <c r="O2437" s="306" t="n"/>
      <c r="P2437" s="306" t="n"/>
      <c r="Q2437" s="306" t="n"/>
    </row>
    <row r="2438" ht="18.75" customHeight="1">
      <c r="B2438" s="288" t="n">
        <v>45617</v>
      </c>
      <c r="C2438" s="289" t="n">
        <v>1692</v>
      </c>
      <c r="D2438" s="290" t="inlineStr">
        <is>
          <t>Tol &amp; parking fee</t>
        </is>
      </c>
      <c r="E2438" s="306" t="inlineStr">
        <is>
          <t>-</t>
        </is>
      </c>
      <c r="F2438" s="307" t="n">
        <v>43450</v>
      </c>
      <c r="G2438" s="289" t="inlineStr">
        <is>
          <t>IDR</t>
        </is>
      </c>
      <c r="H2438" s="293" t="n">
        <v>1</v>
      </c>
      <c r="I2438" s="306" t="n"/>
      <c r="J2438" s="306" t="n"/>
      <c r="K2438" s="306" t="n"/>
      <c r="L2438" s="307">
        <f>$F2438*$H2438</f>
        <v/>
      </c>
      <c r="M2438" s="306" t="n"/>
      <c r="N2438" s="306" t="n"/>
      <c r="O2438" s="306" t="n"/>
      <c r="P2438" s="306" t="n"/>
      <c r="Q2438" s="306" t="n"/>
    </row>
    <row r="2439" ht="18.75" customHeight="1">
      <c r="B2439" s="288" t="n">
        <v>45617</v>
      </c>
      <c r="C2439" s="289" t="n">
        <v>1693</v>
      </c>
      <c r="D2439" s="290" t="inlineStr">
        <is>
          <t>GoCar to Elnusa PP</t>
        </is>
      </c>
      <c r="E2439" s="306" t="inlineStr">
        <is>
          <t>-</t>
        </is>
      </c>
      <c r="F2439" s="307" t="n">
        <v>269000</v>
      </c>
      <c r="G2439" s="289" t="inlineStr">
        <is>
          <t>IDR</t>
        </is>
      </c>
      <c r="H2439" s="293" t="n">
        <v>1</v>
      </c>
      <c r="I2439" s="306" t="n"/>
      <c r="J2439" s="306" t="n"/>
      <c r="K2439" s="306" t="n"/>
      <c r="L2439" s="307">
        <f>$F2439*$H2439</f>
        <v/>
      </c>
      <c r="M2439" s="306" t="n"/>
      <c r="N2439" s="306" t="n"/>
      <c r="O2439" s="306" t="n"/>
      <c r="P2439" s="306" t="n"/>
      <c r="Q2439" s="306" t="n"/>
    </row>
    <row r="2440" ht="18.75" customHeight="1">
      <c r="B2440" s="288" t="n">
        <v>45617</v>
      </c>
      <c r="C2440" s="289" t="n">
        <v>1694</v>
      </c>
      <c r="D2440" s="290" t="inlineStr">
        <is>
          <t>Tol &amp; parking fee</t>
        </is>
      </c>
      <c r="E2440" s="306" t="inlineStr">
        <is>
          <t>-</t>
        </is>
      </c>
      <c r="F2440" s="307" t="n">
        <v>43450</v>
      </c>
      <c r="G2440" s="289" t="inlineStr">
        <is>
          <t>IDR</t>
        </is>
      </c>
      <c r="H2440" s="293" t="n">
        <v>1</v>
      </c>
      <c r="I2440" s="306" t="n"/>
      <c r="J2440" s="306" t="n"/>
      <c r="K2440" s="306" t="n"/>
      <c r="L2440" s="307">
        <f>$F2440*$H2440</f>
        <v/>
      </c>
      <c r="M2440" s="306" t="n"/>
      <c r="N2440" s="306" t="n"/>
      <c r="O2440" s="306" t="n"/>
      <c r="P2440" s="306" t="n"/>
      <c r="Q2440" s="306" t="n"/>
    </row>
    <row r="2441" ht="18.75" customHeight="1">
      <c r="B2441" s="288" t="n">
        <v>45617</v>
      </c>
      <c r="C2441" s="289" t="n">
        <v>1695</v>
      </c>
      <c r="D2441" s="290" t="inlineStr">
        <is>
          <t>GoCar to Elnusa PP</t>
        </is>
      </c>
      <c r="E2441" s="306" t="inlineStr">
        <is>
          <t>-</t>
        </is>
      </c>
      <c r="F2441" s="307" t="n">
        <v>269000</v>
      </c>
      <c r="G2441" s="289" t="inlineStr">
        <is>
          <t>IDR</t>
        </is>
      </c>
      <c r="H2441" s="293" t="n">
        <v>1</v>
      </c>
      <c r="I2441" s="306" t="n"/>
      <c r="J2441" s="306" t="n"/>
      <c r="K2441" s="306" t="n"/>
      <c r="L2441" s="307">
        <f>$F2441*$H2441</f>
        <v/>
      </c>
      <c r="M2441" s="306" t="n"/>
      <c r="N2441" s="306" t="n"/>
      <c r="O2441" s="306" t="n"/>
      <c r="P2441" s="306" t="n"/>
      <c r="Q2441" s="306" t="n"/>
    </row>
    <row r="2442" ht="18.75" customHeight="1">
      <c r="B2442" s="288" t="n">
        <v>45617</v>
      </c>
      <c r="C2442" s="289" t="n">
        <v>1696</v>
      </c>
      <c r="D2442" s="290" t="inlineStr">
        <is>
          <t>Tol &amp; parking fee</t>
        </is>
      </c>
      <c r="E2442" s="306" t="inlineStr">
        <is>
          <t>-</t>
        </is>
      </c>
      <c r="F2442" s="307" t="n">
        <v>43450</v>
      </c>
      <c r="G2442" s="289" t="inlineStr">
        <is>
          <t>IDR</t>
        </is>
      </c>
      <c r="H2442" s="293" t="n">
        <v>1</v>
      </c>
      <c r="I2442" s="306" t="n"/>
      <c r="J2442" s="306" t="n"/>
      <c r="K2442" s="306" t="n"/>
      <c r="L2442" s="307">
        <f>$F2442*$H2442</f>
        <v/>
      </c>
      <c r="M2442" s="306" t="n"/>
      <c r="N2442" s="306" t="n"/>
      <c r="O2442" s="306" t="n"/>
      <c r="P2442" s="306" t="n"/>
      <c r="Q2442" s="306" t="n"/>
    </row>
    <row r="2443" ht="18.75" customHeight="1">
      <c r="B2443" s="288" t="n">
        <v>45636</v>
      </c>
      <c r="C2443" s="289" t="n">
        <v>1697</v>
      </c>
      <c r="D2443" s="290" t="inlineStr">
        <is>
          <t>GoCar to Elnusa PP</t>
        </is>
      </c>
      <c r="E2443" s="306" t="inlineStr">
        <is>
          <t>-</t>
        </is>
      </c>
      <c r="F2443" s="307" t="n">
        <v>290000</v>
      </c>
      <c r="G2443" s="289" t="inlineStr">
        <is>
          <t>IDR</t>
        </is>
      </c>
      <c r="H2443" s="293" t="n">
        <v>1</v>
      </c>
      <c r="I2443" s="306" t="n"/>
      <c r="J2443" s="306" t="n"/>
      <c r="K2443" s="306" t="n"/>
      <c r="L2443" s="307">
        <f>$F2443*$H2443</f>
        <v/>
      </c>
      <c r="M2443" s="306" t="n"/>
      <c r="N2443" s="306" t="n"/>
      <c r="O2443" s="306" t="n"/>
      <c r="P2443" s="306" t="n"/>
      <c r="Q2443" s="306" t="n"/>
    </row>
    <row r="2444" ht="18.75" customHeight="1">
      <c r="B2444" s="288" t="n">
        <v>45636</v>
      </c>
      <c r="C2444" s="289" t="n">
        <v>1698</v>
      </c>
      <c r="D2444" s="290" t="inlineStr">
        <is>
          <t>Tol &amp; parking fee</t>
        </is>
      </c>
      <c r="E2444" s="306" t="inlineStr">
        <is>
          <t>-</t>
        </is>
      </c>
      <c r="F2444" s="307" t="n">
        <v>48500</v>
      </c>
      <c r="G2444" s="289" t="inlineStr">
        <is>
          <t>IDR</t>
        </is>
      </c>
      <c r="H2444" s="293" t="n">
        <v>1</v>
      </c>
      <c r="I2444" s="306" t="n"/>
      <c r="J2444" s="306" t="n"/>
      <c r="K2444" s="306" t="n"/>
      <c r="L2444" s="307">
        <f>$F2444*$H2444</f>
        <v/>
      </c>
      <c r="M2444" s="306" t="n"/>
      <c r="N2444" s="306" t="n"/>
      <c r="O2444" s="306" t="n"/>
      <c r="P2444" s="306" t="n"/>
      <c r="Q2444" s="306" t="n"/>
    </row>
    <row r="2445" ht="18.75" customHeight="1">
      <c r="B2445" s="288" t="n">
        <v>45636</v>
      </c>
      <c r="C2445" s="289" t="n">
        <v>1699</v>
      </c>
      <c r="D2445" s="290" t="inlineStr">
        <is>
          <t>GoCar to Elnusa PP</t>
        </is>
      </c>
      <c r="E2445" s="306" t="inlineStr">
        <is>
          <t>-</t>
        </is>
      </c>
      <c r="F2445" s="307" t="n">
        <v>290000</v>
      </c>
      <c r="G2445" s="289" t="inlineStr">
        <is>
          <t>IDR</t>
        </is>
      </c>
      <c r="H2445" s="293" t="n">
        <v>1</v>
      </c>
      <c r="I2445" s="306" t="n"/>
      <c r="J2445" s="306" t="n"/>
      <c r="K2445" s="306" t="n"/>
      <c r="L2445" s="307">
        <f>$F2445*$H2445</f>
        <v/>
      </c>
      <c r="M2445" s="306" t="n"/>
      <c r="N2445" s="306" t="n"/>
      <c r="O2445" s="306" t="n"/>
      <c r="P2445" s="306" t="n"/>
      <c r="Q2445" s="306" t="n"/>
    </row>
    <row r="2446" ht="18.75" customHeight="1">
      <c r="B2446" s="288" t="n">
        <v>45636</v>
      </c>
      <c r="C2446" s="289" t="n">
        <v>1700</v>
      </c>
      <c r="D2446" s="290" t="inlineStr">
        <is>
          <t>Tol &amp; parking fee</t>
        </is>
      </c>
      <c r="E2446" s="306" t="inlineStr">
        <is>
          <t>-</t>
        </is>
      </c>
      <c r="F2446" s="307" t="n">
        <v>48500</v>
      </c>
      <c r="G2446" s="289" t="inlineStr">
        <is>
          <t>IDR</t>
        </is>
      </c>
      <c r="H2446" s="293" t="n">
        <v>1</v>
      </c>
      <c r="I2446" s="306" t="n"/>
      <c r="J2446" s="306" t="n"/>
      <c r="K2446" s="306" t="n"/>
      <c r="L2446" s="307">
        <f>$F2446*$H2446</f>
        <v/>
      </c>
      <c r="M2446" s="306" t="n"/>
      <c r="N2446" s="306" t="n"/>
      <c r="O2446" s="306" t="n"/>
      <c r="P2446" s="306" t="n"/>
      <c r="Q2446" s="306" t="n"/>
    </row>
    <row r="2447" ht="18.75" customHeight="1">
      <c r="B2447" s="288" t="n">
        <v>45636</v>
      </c>
      <c r="C2447" s="289" t="n">
        <v>1701</v>
      </c>
      <c r="D2447" s="290" t="inlineStr">
        <is>
          <t>GoCar to Elnusa PP</t>
        </is>
      </c>
      <c r="E2447" s="306" t="inlineStr">
        <is>
          <t>-</t>
        </is>
      </c>
      <c r="F2447" s="307" t="n">
        <v>290000</v>
      </c>
      <c r="G2447" s="289" t="inlineStr">
        <is>
          <t>IDR</t>
        </is>
      </c>
      <c r="H2447" s="293" t="n">
        <v>1</v>
      </c>
      <c r="I2447" s="306" t="n"/>
      <c r="J2447" s="306" t="n"/>
      <c r="K2447" s="306" t="n"/>
      <c r="L2447" s="307">
        <f>$F2447*$H2447</f>
        <v/>
      </c>
      <c r="M2447" s="306" t="n"/>
      <c r="N2447" s="306" t="n"/>
      <c r="O2447" s="306" t="n"/>
      <c r="P2447" s="306" t="n"/>
      <c r="Q2447" s="306" t="n"/>
    </row>
    <row r="2448" ht="18.75" customHeight="1">
      <c r="B2448" s="288" t="n">
        <v>45636</v>
      </c>
      <c r="C2448" s="289" t="n">
        <v>1702</v>
      </c>
      <c r="D2448" s="290" t="inlineStr">
        <is>
          <t>Tol &amp; parking fee</t>
        </is>
      </c>
      <c r="E2448" s="306" t="inlineStr">
        <is>
          <t>-</t>
        </is>
      </c>
      <c r="F2448" s="307" t="n">
        <v>48500</v>
      </c>
      <c r="G2448" s="289" t="inlineStr">
        <is>
          <t>IDR</t>
        </is>
      </c>
      <c r="H2448" s="293" t="n">
        <v>1</v>
      </c>
      <c r="I2448" s="306" t="n"/>
      <c r="J2448" s="306" t="n"/>
      <c r="K2448" s="306" t="n"/>
      <c r="L2448" s="307">
        <f>$F2448*$H2448</f>
        <v/>
      </c>
      <c r="M2448" s="306" t="n"/>
      <c r="N2448" s="306" t="n"/>
      <c r="O2448" s="306" t="n"/>
      <c r="P2448" s="306" t="n"/>
      <c r="Q2448" s="306" t="n"/>
    </row>
    <row r="2449" ht="18.75" customHeight="1">
      <c r="B2449" s="288" t="n">
        <v>45636</v>
      </c>
      <c r="C2449" s="289" t="n">
        <v>1703</v>
      </c>
      <c r="D2449" s="290" t="inlineStr">
        <is>
          <t>GoCar to Elnusa PP</t>
        </is>
      </c>
      <c r="E2449" s="306" t="inlineStr">
        <is>
          <t>-</t>
        </is>
      </c>
      <c r="F2449" s="307" t="n">
        <v>290000</v>
      </c>
      <c r="G2449" s="289" t="inlineStr">
        <is>
          <t>IDR</t>
        </is>
      </c>
      <c r="H2449" s="293" t="n">
        <v>1</v>
      </c>
      <c r="I2449" s="306" t="n"/>
      <c r="J2449" s="306" t="n"/>
      <c r="K2449" s="306" t="n"/>
      <c r="L2449" s="307">
        <f>$F2449*$H2449</f>
        <v/>
      </c>
      <c r="M2449" s="306" t="n"/>
      <c r="N2449" s="306" t="n"/>
      <c r="O2449" s="306" t="n"/>
      <c r="P2449" s="306" t="n"/>
      <c r="Q2449" s="306" t="n"/>
    </row>
    <row r="2450" ht="18.75" customHeight="1">
      <c r="B2450" s="288" t="n">
        <v>45636</v>
      </c>
      <c r="C2450" s="289" t="n">
        <v>1704</v>
      </c>
      <c r="D2450" s="290" t="inlineStr">
        <is>
          <t>Tol &amp; parking fee</t>
        </is>
      </c>
      <c r="E2450" s="306" t="inlineStr">
        <is>
          <t>-</t>
        </is>
      </c>
      <c r="F2450" s="307" t="n">
        <v>48500</v>
      </c>
      <c r="G2450" s="289" t="inlineStr">
        <is>
          <t>IDR</t>
        </is>
      </c>
      <c r="H2450" s="293" t="n">
        <v>1</v>
      </c>
      <c r="I2450" s="306" t="n"/>
      <c r="J2450" s="306" t="n"/>
      <c r="K2450" s="306" t="n"/>
      <c r="L2450" s="307">
        <f>$F2450*$H2450</f>
        <v/>
      </c>
      <c r="M2450" s="306" t="n"/>
      <c r="N2450" s="306" t="n"/>
      <c r="O2450" s="306" t="n"/>
      <c r="P2450" s="306" t="n"/>
      <c r="Q2450" s="306" t="n"/>
    </row>
    <row r="2451">
      <c r="B2451" s="310" t="inlineStr">
        <is>
          <t>Expense#41</t>
        </is>
      </c>
      <c r="C2451" s="311" t="inlineStr">
        <is>
          <t>:</t>
        </is>
      </c>
      <c r="D2451" s="310" t="inlineStr">
        <is>
          <t>Starlink Kit_DS</t>
        </is>
      </c>
      <c r="E2451" s="311" t="n"/>
      <c r="F2451" s="311" t="n"/>
      <c r="G2451" s="311" t="n"/>
      <c r="H2451" s="311" t="n"/>
      <c r="I2451" s="311" t="n"/>
      <c r="J2451" s="311" t="n"/>
      <c r="K2451" s="311" t="n"/>
      <c r="L2451" s="311" t="n"/>
      <c r="M2451" s="311" t="n"/>
      <c r="N2451" s="311" t="n"/>
      <c r="O2451" s="311" t="n"/>
      <c r="P2451" s="311" t="n"/>
      <c r="Q2451" s="311" t="n"/>
    </row>
    <row r="2452">
      <c r="B2452" s="312" t="n"/>
      <c r="C2452" s="312" t="n"/>
      <c r="D2452" s="285" t="inlineStr">
        <is>
          <t>Elektronik &amp; Gadget</t>
        </is>
      </c>
      <c r="E2452" s="312" t="n"/>
      <c r="F2452" s="312" t="n"/>
      <c r="G2452" s="312" t="n"/>
      <c r="H2452" s="312" t="n"/>
      <c r="I2452" s="312" t="n"/>
      <c r="J2452" s="312" t="n"/>
      <c r="K2452" s="312" t="n"/>
      <c r="L2452" s="312" t="n"/>
      <c r="M2452" s="312" t="n"/>
      <c r="N2452" s="312" t="n"/>
      <c r="O2452" s="312" t="n"/>
      <c r="P2452" s="312" t="n"/>
      <c r="Q2452" s="312" t="n"/>
    </row>
    <row r="2453" ht="18.75" customHeight="1">
      <c r="B2453" s="288" t="n">
        <v>45607</v>
      </c>
      <c r="C2453" s="289" t="n">
        <v>1705</v>
      </c>
      <c r="D2453" s="290" t="inlineStr">
        <is>
          <t>Starlink Kit</t>
        </is>
      </c>
      <c r="E2453" s="306" t="inlineStr">
        <is>
          <t>-</t>
        </is>
      </c>
      <c r="F2453" s="307" t="n">
        <v>5583200</v>
      </c>
      <c r="G2453" s="289" t="inlineStr">
        <is>
          <t>IDR</t>
        </is>
      </c>
      <c r="H2453" s="293" t="n">
        <v>1</v>
      </c>
      <c r="I2453" s="306" t="n"/>
      <c r="J2453" s="306" t="n"/>
      <c r="K2453" s="306" t="n"/>
      <c r="L2453" s="306" t="n"/>
      <c r="M2453" s="306" t="n"/>
      <c r="N2453" s="307">
        <f>$F2453*$H2453</f>
        <v/>
      </c>
      <c r="O2453" s="306" t="n"/>
      <c r="P2453" s="306" t="n"/>
      <c r="Q2453" s="306" t="n"/>
    </row>
    <row r="2454" ht="18.75" customHeight="1">
      <c r="B2454" s="288" t="n">
        <v>45607</v>
      </c>
      <c r="C2454" s="289" t="n">
        <v>1706</v>
      </c>
      <c r="D2454" s="290" t="inlineStr">
        <is>
          <t>Starlink Kit</t>
        </is>
      </c>
      <c r="E2454" s="306" t="inlineStr">
        <is>
          <t>-</t>
        </is>
      </c>
      <c r="F2454" s="307" t="n">
        <v>5583200</v>
      </c>
      <c r="G2454" s="289" t="inlineStr">
        <is>
          <t>IDR</t>
        </is>
      </c>
      <c r="H2454" s="293" t="n">
        <v>1</v>
      </c>
      <c r="I2454" s="306" t="n"/>
      <c r="J2454" s="306" t="n"/>
      <c r="K2454" s="306" t="n"/>
      <c r="L2454" s="306" t="n"/>
      <c r="M2454" s="306" t="n"/>
      <c r="N2454" s="307">
        <f>$F2454*$H2454</f>
        <v/>
      </c>
      <c r="O2454" s="306" t="n"/>
      <c r="P2454" s="306" t="n"/>
      <c r="Q2454" s="306" t="n"/>
    </row>
    <row r="2455" ht="18.75" customHeight="1">
      <c r="B2455" s="288" t="n">
        <v>45607</v>
      </c>
      <c r="C2455" s="289" t="n">
        <v>1707</v>
      </c>
      <c r="D2455" s="290" t="inlineStr">
        <is>
          <t>Starlink Kit</t>
        </is>
      </c>
      <c r="E2455" s="306" t="inlineStr">
        <is>
          <t>-</t>
        </is>
      </c>
      <c r="F2455" s="307" t="n">
        <v>5583200</v>
      </c>
      <c r="G2455" s="289" t="inlineStr">
        <is>
          <t>IDR</t>
        </is>
      </c>
      <c r="H2455" s="293" t="n">
        <v>1</v>
      </c>
      <c r="I2455" s="306" t="n"/>
      <c r="J2455" s="306" t="n"/>
      <c r="K2455" s="306" t="n"/>
      <c r="L2455" s="306" t="n"/>
      <c r="M2455" s="306" t="n"/>
      <c r="N2455" s="307">
        <f>$F2455*$H2455</f>
        <v/>
      </c>
      <c r="O2455" s="306" t="n"/>
      <c r="P2455" s="306" t="n"/>
      <c r="Q2455" s="306" t="n"/>
    </row>
    <row r="2456" ht="18.75" customHeight="1">
      <c r="B2456" s="288" t="n">
        <v>45607</v>
      </c>
      <c r="C2456" s="289" t="n">
        <v>1708</v>
      </c>
      <c r="D2456" s="290" t="inlineStr">
        <is>
          <t>Starlink Kit</t>
        </is>
      </c>
      <c r="E2456" s="306" t="inlineStr">
        <is>
          <t>-</t>
        </is>
      </c>
      <c r="F2456" s="307" t="n">
        <v>5583200</v>
      </c>
      <c r="G2456" s="289" t="inlineStr">
        <is>
          <t>IDR</t>
        </is>
      </c>
      <c r="H2456" s="293" t="n">
        <v>1</v>
      </c>
      <c r="I2456" s="306" t="n"/>
      <c r="J2456" s="306" t="n"/>
      <c r="K2456" s="306" t="n"/>
      <c r="L2456" s="306" t="n"/>
      <c r="M2456" s="306" t="n"/>
      <c r="N2456" s="307">
        <f>$F2456*$H2456</f>
        <v/>
      </c>
      <c r="O2456" s="306" t="n"/>
      <c r="P2456" s="306" t="n"/>
      <c r="Q2456" s="306" t="n"/>
    </row>
    <row r="2457">
      <c r="B2457" s="310" t="inlineStr">
        <is>
          <t>Expense#42</t>
        </is>
      </c>
      <c r="C2457" s="311" t="inlineStr">
        <is>
          <t>:</t>
        </is>
      </c>
      <c r="D2457" s="310" t="inlineStr">
        <is>
          <t>Pelican Case 1650 TMA</t>
        </is>
      </c>
      <c r="E2457" s="311" t="n"/>
      <c r="F2457" s="311" t="n"/>
      <c r="G2457" s="311" t="n"/>
      <c r="H2457" s="311" t="n"/>
      <c r="I2457" s="311" t="n"/>
      <c r="J2457" s="311" t="n"/>
      <c r="K2457" s="311" t="n"/>
      <c r="L2457" s="311" t="n"/>
      <c r="M2457" s="311" t="n"/>
      <c r="N2457" s="311" t="n"/>
      <c r="O2457" s="311" t="n"/>
      <c r="P2457" s="311" t="n"/>
      <c r="Q2457" s="311" t="n"/>
    </row>
    <row r="2458">
      <c r="B2458" s="312" t="n"/>
      <c r="C2458" s="312" t="n"/>
      <c r="D2458" s="285" t="inlineStr">
        <is>
          <t>Sparepart</t>
        </is>
      </c>
      <c r="E2458" s="312" t="n"/>
      <c r="F2458" s="312" t="n"/>
      <c r="G2458" s="312" t="n"/>
      <c r="H2458" s="312" t="n"/>
      <c r="I2458" s="312" t="n"/>
      <c r="J2458" s="312" t="n"/>
      <c r="K2458" s="312" t="n"/>
      <c r="L2458" s="312" t="n"/>
      <c r="M2458" s="312" t="n"/>
      <c r="N2458" s="312" t="n"/>
      <c r="O2458" s="312" t="n"/>
      <c r="P2458" s="312" t="n"/>
      <c r="Q2458" s="312" t="n"/>
    </row>
    <row r="2459" ht="18.75" customHeight="1">
      <c r="B2459" s="288" t="n">
        <v>45640</v>
      </c>
      <c r="C2459" s="289" t="n">
        <v>1709</v>
      </c>
      <c r="D2459" s="290" t="inlineStr">
        <is>
          <t>Pelican Case 1650</t>
        </is>
      </c>
      <c r="E2459" s="306" t="inlineStr">
        <is>
          <t>-</t>
        </is>
      </c>
      <c r="F2459" s="307" t="n">
        <v>8156000</v>
      </c>
      <c r="G2459" s="289" t="inlineStr">
        <is>
          <t>IDR</t>
        </is>
      </c>
      <c r="H2459" s="293" t="n">
        <v>1</v>
      </c>
      <c r="I2459" s="306" t="n"/>
      <c r="J2459" s="306" t="n"/>
      <c r="K2459" s="306" t="n"/>
      <c r="L2459" s="306" t="n"/>
      <c r="M2459" s="306" t="n"/>
      <c r="N2459" s="307">
        <f>$F2459*$H2459</f>
        <v/>
      </c>
      <c r="O2459" s="306" t="n"/>
      <c r="P2459" s="306" t="n"/>
      <c r="Q2459" s="306" t="n"/>
    </row>
    <row r="2460" ht="18.75" customHeight="1">
      <c r="B2460" s="288" t="n">
        <v>45640</v>
      </c>
      <c r="C2460" s="289" t="n">
        <v>1710</v>
      </c>
      <c r="D2460" s="290" t="inlineStr">
        <is>
          <t>Pelican Case 1650</t>
        </is>
      </c>
      <c r="E2460" s="306" t="inlineStr">
        <is>
          <t>-</t>
        </is>
      </c>
      <c r="F2460" s="307" t="n">
        <v>8156000</v>
      </c>
      <c r="G2460" s="289" t="inlineStr">
        <is>
          <t>IDR</t>
        </is>
      </c>
      <c r="H2460" s="293" t="n">
        <v>1</v>
      </c>
      <c r="I2460" s="306" t="n"/>
      <c r="J2460" s="306" t="n"/>
      <c r="K2460" s="306" t="n"/>
      <c r="L2460" s="306" t="n"/>
      <c r="M2460" s="306" t="n"/>
      <c r="N2460" s="307">
        <f>$F2460*$H2460</f>
        <v/>
      </c>
      <c r="O2460" s="306" t="n"/>
      <c r="P2460" s="306" t="n"/>
      <c r="Q2460" s="306" t="n"/>
    </row>
    <row r="2461" ht="18.75" customHeight="1">
      <c r="B2461" s="288" t="n">
        <v>45640</v>
      </c>
      <c r="C2461" s="289" t="n">
        <v>1711</v>
      </c>
      <c r="D2461" s="290" t="inlineStr">
        <is>
          <t>Pelican Case 1650</t>
        </is>
      </c>
      <c r="E2461" s="306" t="inlineStr">
        <is>
          <t>-</t>
        </is>
      </c>
      <c r="F2461" s="307" t="n">
        <v>8156000</v>
      </c>
      <c r="G2461" s="289" t="inlineStr">
        <is>
          <t>IDR</t>
        </is>
      </c>
      <c r="H2461" s="293" t="n">
        <v>1</v>
      </c>
      <c r="I2461" s="306" t="n"/>
      <c r="J2461" s="306" t="n"/>
      <c r="K2461" s="306" t="n"/>
      <c r="L2461" s="306" t="n"/>
      <c r="M2461" s="306" t="n"/>
      <c r="N2461" s="307">
        <f>$F2461*$H2461</f>
        <v/>
      </c>
      <c r="O2461" s="306" t="n"/>
      <c r="P2461" s="306" t="n"/>
      <c r="Q2461" s="306" t="n"/>
    </row>
    <row r="2462" ht="18.75" customHeight="1">
      <c r="B2462" s="288" t="n">
        <v>45640</v>
      </c>
      <c r="C2462" s="289" t="n">
        <v>1712</v>
      </c>
      <c r="D2462" s="290" t="inlineStr">
        <is>
          <t>Pelican Case 1650</t>
        </is>
      </c>
      <c r="E2462" s="306" t="inlineStr">
        <is>
          <t>-</t>
        </is>
      </c>
      <c r="F2462" s="307" t="n">
        <v>8156000</v>
      </c>
      <c r="G2462" s="289" t="inlineStr">
        <is>
          <t>IDR</t>
        </is>
      </c>
      <c r="H2462" s="293" t="n">
        <v>1</v>
      </c>
      <c r="I2462" s="306" t="n"/>
      <c r="J2462" s="306" t="n"/>
      <c r="K2462" s="306" t="n"/>
      <c r="L2462" s="306" t="n"/>
      <c r="M2462" s="306" t="n"/>
      <c r="N2462" s="307">
        <f>$F2462*$H2462</f>
        <v/>
      </c>
      <c r="O2462" s="306" t="n"/>
      <c r="P2462" s="306" t="n"/>
      <c r="Q2462" s="306" t="n"/>
    </row>
    <row r="2463">
      <c r="B2463" s="310" t="inlineStr">
        <is>
          <t>Expense#43</t>
        </is>
      </c>
      <c r="C2463" s="311" t="inlineStr">
        <is>
          <t>:</t>
        </is>
      </c>
      <c r="D2463" s="310" t="inlineStr">
        <is>
          <t>Non trip 3rd (follow up MCU concul &amp; visit KPP and Graha Elnusa)_AC</t>
        </is>
      </c>
      <c r="E2463" s="311" t="n"/>
      <c r="F2463" s="311" t="n"/>
      <c r="G2463" s="311" t="n"/>
      <c r="H2463" s="311" t="n"/>
      <c r="I2463" s="311" t="n"/>
      <c r="J2463" s="311" t="n"/>
      <c r="K2463" s="311" t="n"/>
      <c r="L2463" s="311" t="n"/>
      <c r="M2463" s="311" t="n"/>
      <c r="N2463" s="311" t="n"/>
      <c r="O2463" s="311" t="n"/>
      <c r="P2463" s="311" t="n"/>
      <c r="Q2463" s="311" t="n"/>
    </row>
    <row r="2464">
      <c r="B2464" s="312" t="n"/>
      <c r="C2464" s="312" t="n"/>
      <c r="D2464" s="285" t="inlineStr">
        <is>
          <t>Medical</t>
        </is>
      </c>
      <c r="E2464" s="312" t="n"/>
      <c r="F2464" s="312" t="n"/>
      <c r="G2464" s="312" t="n"/>
      <c r="H2464" s="312" t="n"/>
      <c r="I2464" s="312" t="n"/>
      <c r="J2464" s="312" t="n"/>
      <c r="K2464" s="312" t="n"/>
      <c r="L2464" s="312" t="n"/>
      <c r="M2464" s="312" t="n"/>
      <c r="N2464" s="312" t="n"/>
      <c r="O2464" s="312" t="n"/>
      <c r="P2464" s="312" t="n"/>
      <c r="Q2464" s="312" t="n"/>
    </row>
    <row r="2465" ht="18.75" customHeight="1">
      <c r="B2465" s="288" t="n">
        <v>45596</v>
      </c>
      <c r="C2465" s="289" t="n">
        <v>1713</v>
      </c>
      <c r="D2465" s="290" t="inlineStr">
        <is>
          <t>Medicine lanjutan</t>
        </is>
      </c>
      <c r="E2465" s="306" t="inlineStr">
        <is>
          <t>-</t>
        </is>
      </c>
      <c r="F2465" s="307" t="n">
        <v>604000</v>
      </c>
      <c r="G2465" s="289" t="inlineStr">
        <is>
          <t>IDR</t>
        </is>
      </c>
      <c r="H2465" s="293" t="n">
        <v>1</v>
      </c>
      <c r="I2465" s="306" t="n"/>
      <c r="J2465" s="306" t="n"/>
      <c r="K2465" s="306" t="n"/>
      <c r="L2465" s="306" t="n"/>
      <c r="M2465" s="306" t="n"/>
      <c r="N2465" s="306" t="n"/>
      <c r="O2465" s="306" t="n"/>
      <c r="P2465" s="307">
        <f>$F2465*$H2465</f>
        <v/>
      </c>
      <c r="Q2465" s="306" t="n"/>
    </row>
    <row r="2466" ht="18.75" customHeight="1">
      <c r="B2466" s="288" t="n">
        <v>45596</v>
      </c>
      <c r="C2466" s="289" t="n">
        <v>1714</v>
      </c>
      <c r="D2466" s="290" t="inlineStr">
        <is>
          <t>Medicine lanjutan</t>
        </is>
      </c>
      <c r="E2466" s="306" t="inlineStr">
        <is>
          <t>-</t>
        </is>
      </c>
      <c r="F2466" s="307" t="n">
        <v>604000</v>
      </c>
      <c r="G2466" s="289" t="inlineStr">
        <is>
          <t>IDR</t>
        </is>
      </c>
      <c r="H2466" s="293" t="n">
        <v>1</v>
      </c>
      <c r="I2466" s="306" t="n"/>
      <c r="J2466" s="306" t="n"/>
      <c r="K2466" s="306" t="n"/>
      <c r="L2466" s="306" t="n"/>
      <c r="M2466" s="306" t="n"/>
      <c r="N2466" s="306" t="n"/>
      <c r="O2466" s="306" t="n"/>
      <c r="P2466" s="307">
        <f>$F2466*$H2466</f>
        <v/>
      </c>
      <c r="Q2466" s="306" t="n"/>
    </row>
    <row r="2467" ht="18.75" customHeight="1">
      <c r="B2467" s="288" t="n">
        <v>45596</v>
      </c>
      <c r="C2467" s="289" t="n">
        <v>1715</v>
      </c>
      <c r="D2467" s="290" t="inlineStr">
        <is>
          <t>Medicine lanjutan</t>
        </is>
      </c>
      <c r="E2467" s="306" t="inlineStr">
        <is>
          <t>-</t>
        </is>
      </c>
      <c r="F2467" s="307" t="n">
        <v>604000</v>
      </c>
      <c r="G2467" s="289" t="inlineStr">
        <is>
          <t>IDR</t>
        </is>
      </c>
      <c r="H2467" s="293" t="n">
        <v>1</v>
      </c>
      <c r="I2467" s="306" t="n"/>
      <c r="J2467" s="306" t="n"/>
      <c r="K2467" s="306" t="n"/>
      <c r="L2467" s="306" t="n"/>
      <c r="M2467" s="306" t="n"/>
      <c r="N2467" s="306" t="n"/>
      <c r="O2467" s="306" t="n"/>
      <c r="P2467" s="307">
        <f>$F2467*$H2467</f>
        <v/>
      </c>
      <c r="Q2467" s="306" t="n"/>
    </row>
    <row r="2468" ht="18.75" customHeight="1">
      <c r="B2468" s="288" t="n">
        <v>45596</v>
      </c>
      <c r="C2468" s="289" t="n">
        <v>1716</v>
      </c>
      <c r="D2468" s="290" t="inlineStr">
        <is>
          <t>Medicine lanjutan</t>
        </is>
      </c>
      <c r="E2468" s="306" t="inlineStr">
        <is>
          <t>-</t>
        </is>
      </c>
      <c r="F2468" s="307" t="n">
        <v>604000</v>
      </c>
      <c r="G2468" s="289" t="inlineStr">
        <is>
          <t>IDR</t>
        </is>
      </c>
      <c r="H2468" s="293" t="n">
        <v>1</v>
      </c>
      <c r="I2468" s="306" t="n"/>
      <c r="J2468" s="306" t="n"/>
      <c r="K2468" s="306" t="n"/>
      <c r="L2468" s="306" t="n"/>
      <c r="M2468" s="306" t="n"/>
      <c r="N2468" s="306" t="n"/>
      <c r="O2468" s="306" t="n"/>
      <c r="P2468" s="307">
        <f>$F2468*$H2468</f>
        <v/>
      </c>
      <c r="Q2468" s="306" t="n"/>
    </row>
    <row r="2469" ht="18.75" customHeight="1">
      <c r="B2469" s="288" t="n">
        <v>45627</v>
      </c>
      <c r="C2469" s="289" t="n">
        <v>1717</v>
      </c>
      <c r="D2469" s="290" t="inlineStr">
        <is>
          <t>Biaya Konsul dokter Kulit a/n Diofavian</t>
        </is>
      </c>
      <c r="E2469" s="306" t="inlineStr">
        <is>
          <t>-</t>
        </is>
      </c>
      <c r="F2469" s="307" t="n">
        <v>1582141</v>
      </c>
      <c r="G2469" s="289" t="inlineStr">
        <is>
          <t>IDR</t>
        </is>
      </c>
      <c r="H2469" s="293" t="n">
        <v>1</v>
      </c>
      <c r="I2469" s="306" t="n"/>
      <c r="J2469" s="306" t="n"/>
      <c r="K2469" s="306" t="n"/>
      <c r="L2469" s="306" t="n"/>
      <c r="M2469" s="306" t="n"/>
      <c r="N2469" s="306" t="n"/>
      <c r="O2469" s="306" t="n"/>
      <c r="P2469" s="307">
        <f>$F2469*$H2469</f>
        <v/>
      </c>
      <c r="Q2469" s="306" t="n"/>
    </row>
    <row r="2470" ht="18.75" customHeight="1">
      <c r="B2470" s="288" t="n">
        <v>45627</v>
      </c>
      <c r="C2470" s="289" t="n">
        <v>1718</v>
      </c>
      <c r="D2470" s="290" t="inlineStr">
        <is>
          <t>Biaya Konsul Dokter mata a/n Eva linda</t>
        </is>
      </c>
      <c r="E2470" s="306" t="inlineStr">
        <is>
          <t>-</t>
        </is>
      </c>
      <c r="F2470" s="307" t="n">
        <v>970767</v>
      </c>
      <c r="G2470" s="289" t="inlineStr">
        <is>
          <t>IDR</t>
        </is>
      </c>
      <c r="H2470" s="293" t="n">
        <v>1</v>
      </c>
      <c r="I2470" s="306" t="n"/>
      <c r="J2470" s="306" t="n"/>
      <c r="K2470" s="306" t="n"/>
      <c r="L2470" s="306" t="n"/>
      <c r="M2470" s="306" t="n"/>
      <c r="N2470" s="306" t="n"/>
      <c r="O2470" s="306" t="n"/>
      <c r="P2470" s="307">
        <f>$F2470*$H2470</f>
        <v/>
      </c>
      <c r="Q2470" s="306" t="n"/>
    </row>
    <row r="2471" ht="18.75" customHeight="1">
      <c r="B2471" s="288" t="n">
        <v>45627</v>
      </c>
      <c r="C2471" s="289" t="n">
        <v>1719</v>
      </c>
      <c r="D2471" s="290" t="inlineStr">
        <is>
          <t>Medicine lanjutan</t>
        </is>
      </c>
      <c r="E2471" s="306" t="inlineStr">
        <is>
          <t>-</t>
        </is>
      </c>
      <c r="F2471" s="307" t="n">
        <v>157000</v>
      </c>
      <c r="G2471" s="289" t="inlineStr">
        <is>
          <t>IDR</t>
        </is>
      </c>
      <c r="H2471" s="293" t="n">
        <v>1</v>
      </c>
      <c r="I2471" s="306" t="n"/>
      <c r="J2471" s="306" t="n"/>
      <c r="K2471" s="306" t="n"/>
      <c r="L2471" s="306" t="n"/>
      <c r="M2471" s="306" t="n"/>
      <c r="N2471" s="306" t="n"/>
      <c r="O2471" s="306" t="n"/>
      <c r="P2471" s="307">
        <f>$F2471*$H2471</f>
        <v/>
      </c>
      <c r="Q2471" s="306" t="n"/>
    </row>
    <row r="2472" ht="18.75" customHeight="1">
      <c r="B2472" s="288" t="n">
        <v>45627</v>
      </c>
      <c r="C2472" s="289" t="n">
        <v>1720</v>
      </c>
      <c r="D2472" s="290" t="inlineStr">
        <is>
          <t>Medicine lanjutan</t>
        </is>
      </c>
      <c r="E2472" s="306" t="inlineStr">
        <is>
          <t>-</t>
        </is>
      </c>
      <c r="F2472" s="307" t="n">
        <v>152000</v>
      </c>
      <c r="G2472" s="289" t="inlineStr">
        <is>
          <t>IDR</t>
        </is>
      </c>
      <c r="H2472" s="293" t="n">
        <v>1</v>
      </c>
      <c r="I2472" s="306" t="n"/>
      <c r="J2472" s="306" t="n"/>
      <c r="K2472" s="306" t="n"/>
      <c r="L2472" s="306" t="n"/>
      <c r="M2472" s="306" t="n"/>
      <c r="N2472" s="306" t="n"/>
      <c r="O2472" s="306" t="n"/>
      <c r="P2472" s="307">
        <f>$F2472*$H2472</f>
        <v/>
      </c>
      <c r="Q2472" s="306" t="n"/>
    </row>
    <row r="2473" ht="18.75" customHeight="1">
      <c r="B2473" s="288" t="n">
        <v>45627</v>
      </c>
      <c r="C2473" s="289" t="n">
        <v>1721</v>
      </c>
      <c r="D2473" s="290" t="inlineStr">
        <is>
          <t>Medicine lanjutan</t>
        </is>
      </c>
      <c r="E2473" s="306" t="inlineStr">
        <is>
          <t>-</t>
        </is>
      </c>
      <c r="F2473" s="307" t="n">
        <v>157000</v>
      </c>
      <c r="G2473" s="289" t="inlineStr">
        <is>
          <t>IDR</t>
        </is>
      </c>
      <c r="H2473" s="293" t="n">
        <v>1</v>
      </c>
      <c r="I2473" s="306" t="n"/>
      <c r="J2473" s="306" t="n"/>
      <c r="K2473" s="306" t="n"/>
      <c r="L2473" s="306" t="n"/>
      <c r="M2473" s="306" t="n"/>
      <c r="N2473" s="306" t="n"/>
      <c r="O2473" s="306" t="n"/>
      <c r="P2473" s="307">
        <f>$F2473*$H2473</f>
        <v/>
      </c>
      <c r="Q2473" s="306" t="n"/>
    </row>
    <row r="2474" ht="18.75" customHeight="1">
      <c r="B2474" s="288" t="n">
        <v>45627</v>
      </c>
      <c r="C2474" s="289" t="n">
        <v>1722</v>
      </c>
      <c r="D2474" s="290" t="inlineStr">
        <is>
          <t>Medicine lanjutan</t>
        </is>
      </c>
      <c r="E2474" s="306" t="inlineStr">
        <is>
          <t>-</t>
        </is>
      </c>
      <c r="F2474" s="307" t="n">
        <v>152000</v>
      </c>
      <c r="G2474" s="289" t="inlineStr">
        <is>
          <t>IDR</t>
        </is>
      </c>
      <c r="H2474" s="293" t="n">
        <v>1</v>
      </c>
      <c r="I2474" s="306" t="n"/>
      <c r="J2474" s="306" t="n"/>
      <c r="K2474" s="306" t="n"/>
      <c r="L2474" s="306" t="n"/>
      <c r="M2474" s="306" t="n"/>
      <c r="N2474" s="306" t="n"/>
      <c r="O2474" s="306" t="n"/>
      <c r="P2474" s="307">
        <f>$F2474*$H2474</f>
        <v/>
      </c>
      <c r="Q2474" s="306" t="n"/>
    </row>
    <row r="2475" ht="18.75" customHeight="1">
      <c r="B2475" s="288" t="n">
        <v>45627</v>
      </c>
      <c r="C2475" s="289" t="n">
        <v>1723</v>
      </c>
      <c r="D2475" s="290" t="inlineStr">
        <is>
          <t>Biaya Konsul dokter Kulit a/n Diofavian</t>
        </is>
      </c>
      <c r="E2475" s="306" t="inlineStr">
        <is>
          <t>-</t>
        </is>
      </c>
      <c r="F2475" s="307" t="n">
        <v>1582141</v>
      </c>
      <c r="G2475" s="289" t="inlineStr">
        <is>
          <t>IDR</t>
        </is>
      </c>
      <c r="H2475" s="293" t="n">
        <v>1</v>
      </c>
      <c r="I2475" s="306" t="n"/>
      <c r="J2475" s="306" t="n"/>
      <c r="K2475" s="306" t="n"/>
      <c r="L2475" s="306" t="n"/>
      <c r="M2475" s="306" t="n"/>
      <c r="N2475" s="306" t="n"/>
      <c r="O2475" s="306" t="n"/>
      <c r="P2475" s="307">
        <f>$F2475*$H2475</f>
        <v/>
      </c>
      <c r="Q2475" s="306" t="n"/>
    </row>
    <row r="2476" ht="18.75" customHeight="1">
      <c r="B2476" s="288" t="n">
        <v>45627</v>
      </c>
      <c r="C2476" s="289" t="n">
        <v>1724</v>
      </c>
      <c r="D2476" s="290" t="inlineStr">
        <is>
          <t>Biaya Konsul Dokter mata a/n Eva linda</t>
        </is>
      </c>
      <c r="E2476" s="306" t="inlineStr">
        <is>
          <t>-</t>
        </is>
      </c>
      <c r="F2476" s="307" t="n">
        <v>970767</v>
      </c>
      <c r="G2476" s="289" t="inlineStr">
        <is>
          <t>IDR</t>
        </is>
      </c>
      <c r="H2476" s="293" t="n">
        <v>1</v>
      </c>
      <c r="I2476" s="306" t="n"/>
      <c r="J2476" s="306" t="n"/>
      <c r="K2476" s="306" t="n"/>
      <c r="L2476" s="306" t="n"/>
      <c r="M2476" s="306" t="n"/>
      <c r="N2476" s="306" t="n"/>
      <c r="O2476" s="306" t="n"/>
      <c r="P2476" s="307">
        <f>$F2476*$H2476</f>
        <v/>
      </c>
      <c r="Q2476" s="306" t="n"/>
    </row>
    <row r="2477" ht="18.75" customHeight="1">
      <c r="B2477" s="288" t="n">
        <v>45627</v>
      </c>
      <c r="C2477" s="289" t="n">
        <v>1725</v>
      </c>
      <c r="D2477" s="290" t="inlineStr">
        <is>
          <t>Medicine lanjutan</t>
        </is>
      </c>
      <c r="E2477" s="306" t="inlineStr">
        <is>
          <t>-</t>
        </is>
      </c>
      <c r="F2477" s="307" t="n">
        <v>157000</v>
      </c>
      <c r="G2477" s="289" t="inlineStr">
        <is>
          <t>IDR</t>
        </is>
      </c>
      <c r="H2477" s="293" t="n">
        <v>1</v>
      </c>
      <c r="I2477" s="306" t="n"/>
      <c r="J2477" s="306" t="n"/>
      <c r="K2477" s="306" t="n"/>
      <c r="L2477" s="306" t="n"/>
      <c r="M2477" s="306" t="n"/>
      <c r="N2477" s="306" t="n"/>
      <c r="O2477" s="306" t="n"/>
      <c r="P2477" s="307">
        <f>$F2477*$H2477</f>
        <v/>
      </c>
      <c r="Q2477" s="306" t="n"/>
    </row>
    <row r="2478" ht="18.75" customHeight="1">
      <c r="B2478" s="288" t="n">
        <v>45627</v>
      </c>
      <c r="C2478" s="289" t="n">
        <v>1726</v>
      </c>
      <c r="D2478" s="290" t="inlineStr">
        <is>
          <t>Medicine lanjutan</t>
        </is>
      </c>
      <c r="E2478" s="306" t="inlineStr">
        <is>
          <t>-</t>
        </is>
      </c>
      <c r="F2478" s="307" t="n">
        <v>152000</v>
      </c>
      <c r="G2478" s="289" t="inlineStr">
        <is>
          <t>IDR</t>
        </is>
      </c>
      <c r="H2478" s="293" t="n">
        <v>1</v>
      </c>
      <c r="I2478" s="306" t="n"/>
      <c r="J2478" s="306" t="n"/>
      <c r="K2478" s="306" t="n"/>
      <c r="L2478" s="306" t="n"/>
      <c r="M2478" s="306" t="n"/>
      <c r="N2478" s="306" t="n"/>
      <c r="O2478" s="306" t="n"/>
      <c r="P2478" s="307">
        <f>$F2478*$H2478</f>
        <v/>
      </c>
      <c r="Q2478" s="306" t="n"/>
    </row>
    <row r="2479" ht="18.75" customHeight="1">
      <c r="B2479" s="288" t="n">
        <v>45627</v>
      </c>
      <c r="C2479" s="289" t="n">
        <v>1727</v>
      </c>
      <c r="D2479" s="290" t="inlineStr">
        <is>
          <t>Biaya Konsul dokter Kulit a/n Diofavian</t>
        </is>
      </c>
      <c r="E2479" s="306" t="inlineStr">
        <is>
          <t>-</t>
        </is>
      </c>
      <c r="F2479" s="307" t="n">
        <v>1582141</v>
      </c>
      <c r="G2479" s="289" t="inlineStr">
        <is>
          <t>IDR</t>
        </is>
      </c>
      <c r="H2479" s="293" t="n">
        <v>1</v>
      </c>
      <c r="I2479" s="306" t="n"/>
      <c r="J2479" s="306" t="n"/>
      <c r="K2479" s="306" t="n"/>
      <c r="L2479" s="306" t="n"/>
      <c r="M2479" s="306" t="n"/>
      <c r="N2479" s="306" t="n"/>
      <c r="O2479" s="306" t="n"/>
      <c r="P2479" s="307">
        <f>$F2479*$H2479</f>
        <v/>
      </c>
      <c r="Q2479" s="306" t="n"/>
    </row>
    <row r="2480" ht="18.75" customHeight="1">
      <c r="B2480" s="288" t="n">
        <v>45627</v>
      </c>
      <c r="C2480" s="289" t="n">
        <v>1728</v>
      </c>
      <c r="D2480" s="290" t="inlineStr">
        <is>
          <t>Biaya Konsul Dokter mata a/n Eva linda</t>
        </is>
      </c>
      <c r="E2480" s="306" t="inlineStr">
        <is>
          <t>-</t>
        </is>
      </c>
      <c r="F2480" s="307" t="n">
        <v>970767</v>
      </c>
      <c r="G2480" s="289" t="inlineStr">
        <is>
          <t>IDR</t>
        </is>
      </c>
      <c r="H2480" s="293" t="n">
        <v>1</v>
      </c>
      <c r="I2480" s="306" t="n"/>
      <c r="J2480" s="306" t="n"/>
      <c r="K2480" s="306" t="n"/>
      <c r="L2480" s="306" t="n"/>
      <c r="M2480" s="306" t="n"/>
      <c r="N2480" s="306" t="n"/>
      <c r="O2480" s="306" t="n"/>
      <c r="P2480" s="307">
        <f>$F2480*$H2480</f>
        <v/>
      </c>
      <c r="Q2480" s="306" t="n"/>
    </row>
    <row r="2481" ht="18.75" customHeight="1">
      <c r="B2481" s="288" t="n">
        <v>45627</v>
      </c>
      <c r="C2481" s="289" t="n">
        <v>1729</v>
      </c>
      <c r="D2481" s="290" t="inlineStr">
        <is>
          <t>Medicine lanjutan</t>
        </is>
      </c>
      <c r="E2481" s="306" t="inlineStr">
        <is>
          <t>-</t>
        </is>
      </c>
      <c r="F2481" s="307" t="n">
        <v>157000</v>
      </c>
      <c r="G2481" s="289" t="inlineStr">
        <is>
          <t>IDR</t>
        </is>
      </c>
      <c r="H2481" s="293" t="n">
        <v>1</v>
      </c>
      <c r="I2481" s="306" t="n"/>
      <c r="J2481" s="306" t="n"/>
      <c r="K2481" s="306" t="n"/>
      <c r="L2481" s="306" t="n"/>
      <c r="M2481" s="306" t="n"/>
      <c r="N2481" s="306" t="n"/>
      <c r="O2481" s="306" t="n"/>
      <c r="P2481" s="307">
        <f>$F2481*$H2481</f>
        <v/>
      </c>
      <c r="Q2481" s="306" t="n"/>
    </row>
    <row r="2482" ht="18.75" customHeight="1">
      <c r="B2482" s="288" t="n">
        <v>45627</v>
      </c>
      <c r="C2482" s="289" t="n">
        <v>1730</v>
      </c>
      <c r="D2482" s="290" t="inlineStr">
        <is>
          <t>Medicine lanjutan</t>
        </is>
      </c>
      <c r="E2482" s="306" t="inlineStr">
        <is>
          <t>-</t>
        </is>
      </c>
      <c r="F2482" s="307" t="n">
        <v>152000</v>
      </c>
      <c r="G2482" s="289" t="inlineStr">
        <is>
          <t>IDR</t>
        </is>
      </c>
      <c r="H2482" s="293" t="n">
        <v>1</v>
      </c>
      <c r="I2482" s="306" t="n"/>
      <c r="J2482" s="306" t="n"/>
      <c r="K2482" s="306" t="n"/>
      <c r="L2482" s="306" t="n"/>
      <c r="M2482" s="306" t="n"/>
      <c r="N2482" s="306" t="n"/>
      <c r="O2482" s="306" t="n"/>
      <c r="P2482" s="307">
        <f>$F2482*$H2482</f>
        <v/>
      </c>
      <c r="Q2482" s="306" t="n"/>
    </row>
    <row r="2483" ht="18.75" customHeight="1">
      <c r="B2483" s="288" t="n">
        <v>45627</v>
      </c>
      <c r="C2483" s="289" t="n">
        <v>1731</v>
      </c>
      <c r="D2483" s="290" t="inlineStr">
        <is>
          <t>Biaya Konsul dokter Kulit a/n Diofavian</t>
        </is>
      </c>
      <c r="E2483" s="306" t="inlineStr">
        <is>
          <t>-</t>
        </is>
      </c>
      <c r="F2483" s="307" t="n">
        <v>1582141</v>
      </c>
      <c r="G2483" s="289" t="inlineStr">
        <is>
          <t>IDR</t>
        </is>
      </c>
      <c r="H2483" s="293" t="n">
        <v>1</v>
      </c>
      <c r="I2483" s="306" t="n"/>
      <c r="J2483" s="306" t="n"/>
      <c r="K2483" s="306" t="n"/>
      <c r="L2483" s="306" t="n"/>
      <c r="M2483" s="306" t="n"/>
      <c r="N2483" s="306" t="n"/>
      <c r="O2483" s="306" t="n"/>
      <c r="P2483" s="307">
        <f>$F2483*$H2483</f>
        <v/>
      </c>
      <c r="Q2483" s="306" t="n"/>
    </row>
    <row r="2484" ht="18.75" customHeight="1">
      <c r="B2484" s="288" t="n">
        <v>45627</v>
      </c>
      <c r="C2484" s="289" t="n">
        <v>1732</v>
      </c>
      <c r="D2484" s="290" t="inlineStr">
        <is>
          <t>Biaya Konsul Dokter mata a/n Eva linda</t>
        </is>
      </c>
      <c r="E2484" s="306" t="inlineStr">
        <is>
          <t>-</t>
        </is>
      </c>
      <c r="F2484" s="307" t="n">
        <v>970767</v>
      </c>
      <c r="G2484" s="289" t="inlineStr">
        <is>
          <t>IDR</t>
        </is>
      </c>
      <c r="H2484" s="293" t="n">
        <v>1</v>
      </c>
      <c r="I2484" s="306" t="n"/>
      <c r="J2484" s="306" t="n"/>
      <c r="K2484" s="306" t="n"/>
      <c r="L2484" s="306" t="n"/>
      <c r="M2484" s="306" t="n"/>
      <c r="N2484" s="306" t="n"/>
      <c r="O2484" s="306" t="n"/>
      <c r="P2484" s="307">
        <f>$F2484*$H2484</f>
        <v/>
      </c>
      <c r="Q2484" s="306" t="n"/>
    </row>
    <row r="2485" ht="18.75" customHeight="1">
      <c r="B2485" s="288" t="n">
        <v>45628</v>
      </c>
      <c r="C2485" s="289" t="n">
        <v>1733</v>
      </c>
      <c r="D2485" s="290" t="inlineStr">
        <is>
          <t>Biaya Konsul Dokter Jantung 3rdPenyakit dalam</t>
        </is>
      </c>
      <c r="E2485" s="306" t="inlineStr">
        <is>
          <t>-</t>
        </is>
      </c>
      <c r="F2485" s="307" t="n">
        <v>799000</v>
      </c>
      <c r="G2485" s="289" t="inlineStr">
        <is>
          <t>IDR</t>
        </is>
      </c>
      <c r="H2485" s="293" t="n">
        <v>1</v>
      </c>
      <c r="I2485" s="306" t="n"/>
      <c r="J2485" s="306" t="n"/>
      <c r="K2485" s="306" t="n"/>
      <c r="L2485" s="306" t="n"/>
      <c r="M2485" s="306" t="n"/>
      <c r="N2485" s="306" t="n"/>
      <c r="O2485" s="306" t="n"/>
      <c r="P2485" s="307">
        <f>$F2485*$H2485</f>
        <v/>
      </c>
      <c r="Q2485" s="306" t="n"/>
    </row>
    <row r="2486" ht="18.75" customHeight="1">
      <c r="B2486" s="288" t="n">
        <v>45628</v>
      </c>
      <c r="C2486" s="289" t="n">
        <v>1734</v>
      </c>
      <c r="D2486" s="290" t="inlineStr">
        <is>
          <t>Medicine after konsul jantung 3rd</t>
        </is>
      </c>
      <c r="E2486" s="306" t="inlineStr">
        <is>
          <t>-</t>
        </is>
      </c>
      <c r="F2486" s="307" t="n">
        <v>190309.5</v>
      </c>
      <c r="G2486" s="289" t="inlineStr">
        <is>
          <t>IDR</t>
        </is>
      </c>
      <c r="H2486" s="293" t="n">
        <v>1</v>
      </c>
      <c r="I2486" s="306" t="n"/>
      <c r="J2486" s="306" t="n"/>
      <c r="K2486" s="306" t="n"/>
      <c r="L2486" s="306" t="n"/>
      <c r="M2486" s="306" t="n"/>
      <c r="N2486" s="306" t="n"/>
      <c r="O2486" s="306" t="n"/>
      <c r="P2486" s="307">
        <f>$F2486*$H2486</f>
        <v/>
      </c>
      <c r="Q2486" s="306" t="n"/>
    </row>
    <row r="2487" ht="18.75" customHeight="1">
      <c r="B2487" s="288" t="n">
        <v>45628</v>
      </c>
      <c r="C2487" s="289" t="n">
        <v>1735</v>
      </c>
      <c r="D2487" s="290" t="inlineStr">
        <is>
          <t>Biaya Konsul Dokter Jantung 3rdPenyakit dalam</t>
        </is>
      </c>
      <c r="E2487" s="306" t="inlineStr">
        <is>
          <t>-</t>
        </is>
      </c>
      <c r="F2487" s="307" t="n">
        <v>799000</v>
      </c>
      <c r="G2487" s="289" t="inlineStr">
        <is>
          <t>IDR</t>
        </is>
      </c>
      <c r="H2487" s="293" t="n">
        <v>1</v>
      </c>
      <c r="I2487" s="306" t="n"/>
      <c r="J2487" s="306" t="n"/>
      <c r="K2487" s="306" t="n"/>
      <c r="L2487" s="306" t="n"/>
      <c r="M2487" s="306" t="n"/>
      <c r="N2487" s="306" t="n"/>
      <c r="O2487" s="306" t="n"/>
      <c r="P2487" s="307">
        <f>$F2487*$H2487</f>
        <v/>
      </c>
      <c r="Q2487" s="306" t="n"/>
    </row>
    <row r="2488" ht="18.75" customHeight="1">
      <c r="B2488" s="288" t="n">
        <v>45628</v>
      </c>
      <c r="C2488" s="289" t="n">
        <v>1736</v>
      </c>
      <c r="D2488" s="290" t="inlineStr">
        <is>
          <t>Medicine after konsul jantung 3rd</t>
        </is>
      </c>
      <c r="E2488" s="306" t="inlineStr">
        <is>
          <t>-</t>
        </is>
      </c>
      <c r="F2488" s="307" t="n">
        <v>190309.5</v>
      </c>
      <c r="G2488" s="289" t="inlineStr">
        <is>
          <t>IDR</t>
        </is>
      </c>
      <c r="H2488" s="293" t="n">
        <v>1</v>
      </c>
      <c r="I2488" s="306" t="n"/>
      <c r="J2488" s="306" t="n"/>
      <c r="K2488" s="306" t="n"/>
      <c r="L2488" s="306" t="n"/>
      <c r="M2488" s="306" t="n"/>
      <c r="N2488" s="306" t="n"/>
      <c r="O2488" s="306" t="n"/>
      <c r="P2488" s="307">
        <f>$F2488*$H2488</f>
        <v/>
      </c>
      <c r="Q2488" s="306" t="n"/>
    </row>
    <row r="2489" ht="18.75" customHeight="1">
      <c r="B2489" s="288" t="n">
        <v>45628</v>
      </c>
      <c r="C2489" s="289" t="n">
        <v>1737</v>
      </c>
      <c r="D2489" s="290" t="inlineStr">
        <is>
          <t>Biaya Konsul Dokter Jantung 3rdPenyakit dalam</t>
        </is>
      </c>
      <c r="E2489" s="306" t="inlineStr">
        <is>
          <t>-</t>
        </is>
      </c>
      <c r="F2489" s="307" t="n">
        <v>799000</v>
      </c>
      <c r="G2489" s="289" t="inlineStr">
        <is>
          <t>IDR</t>
        </is>
      </c>
      <c r="H2489" s="293" t="n">
        <v>1</v>
      </c>
      <c r="I2489" s="306" t="n"/>
      <c r="J2489" s="306" t="n"/>
      <c r="K2489" s="306" t="n"/>
      <c r="L2489" s="306" t="n"/>
      <c r="M2489" s="306" t="n"/>
      <c r="N2489" s="306" t="n"/>
      <c r="O2489" s="306" t="n"/>
      <c r="P2489" s="307">
        <f>$F2489*$H2489</f>
        <v/>
      </c>
      <c r="Q2489" s="306" t="n"/>
    </row>
    <row r="2490" ht="18.75" customHeight="1">
      <c r="B2490" s="288" t="n">
        <v>45628</v>
      </c>
      <c r="C2490" s="289" t="n">
        <v>1738</v>
      </c>
      <c r="D2490" s="290" t="inlineStr">
        <is>
          <t>Medicine after konsul jantung 3rd</t>
        </is>
      </c>
      <c r="E2490" s="306" t="inlineStr">
        <is>
          <t>-</t>
        </is>
      </c>
      <c r="F2490" s="307" t="n">
        <v>190309.5</v>
      </c>
      <c r="G2490" s="289" t="inlineStr">
        <is>
          <t>IDR</t>
        </is>
      </c>
      <c r="H2490" s="293" t="n">
        <v>1</v>
      </c>
      <c r="I2490" s="306" t="n"/>
      <c r="J2490" s="306" t="n"/>
      <c r="K2490" s="306" t="n"/>
      <c r="L2490" s="306" t="n"/>
      <c r="M2490" s="306" t="n"/>
      <c r="N2490" s="306" t="n"/>
      <c r="O2490" s="306" t="n"/>
      <c r="P2490" s="307">
        <f>$F2490*$H2490</f>
        <v/>
      </c>
      <c r="Q2490" s="306" t="n"/>
    </row>
    <row r="2491" ht="18.75" customHeight="1">
      <c r="B2491" s="288" t="n">
        <v>45628</v>
      </c>
      <c r="C2491" s="289" t="n">
        <v>1739</v>
      </c>
      <c r="D2491" s="290" t="inlineStr">
        <is>
          <t>Biaya Konsul Dokter Jantung 3rdPenyakit dalam</t>
        </is>
      </c>
      <c r="E2491" s="306" t="inlineStr">
        <is>
          <t>-</t>
        </is>
      </c>
      <c r="F2491" s="307" t="n">
        <v>799000</v>
      </c>
      <c r="G2491" s="289" t="inlineStr">
        <is>
          <t>IDR</t>
        </is>
      </c>
      <c r="H2491" s="293" t="n">
        <v>1</v>
      </c>
      <c r="I2491" s="306" t="n"/>
      <c r="J2491" s="306" t="n"/>
      <c r="K2491" s="306" t="n"/>
      <c r="L2491" s="306" t="n"/>
      <c r="M2491" s="306" t="n"/>
      <c r="N2491" s="306" t="n"/>
      <c r="O2491" s="306" t="n"/>
      <c r="P2491" s="307">
        <f>$F2491*$H2491</f>
        <v/>
      </c>
      <c r="Q2491" s="306" t="n"/>
    </row>
    <row r="2492" ht="18.75" customHeight="1">
      <c r="B2492" s="288" t="n">
        <v>45628</v>
      </c>
      <c r="C2492" s="289" t="n">
        <v>1740</v>
      </c>
      <c r="D2492" s="290" t="inlineStr">
        <is>
          <t>Medicine after konsul jantung 3rd</t>
        </is>
      </c>
      <c r="E2492" s="306" t="inlineStr">
        <is>
          <t>-</t>
        </is>
      </c>
      <c r="F2492" s="307" t="n">
        <v>190309.5</v>
      </c>
      <c r="G2492" s="289" t="inlineStr">
        <is>
          <t>IDR</t>
        </is>
      </c>
      <c r="H2492" s="293" t="n">
        <v>1</v>
      </c>
      <c r="I2492" s="306" t="n"/>
      <c r="J2492" s="306" t="n"/>
      <c r="K2492" s="306" t="n"/>
      <c r="L2492" s="306" t="n"/>
      <c r="M2492" s="306" t="n"/>
      <c r="N2492" s="306" t="n"/>
      <c r="O2492" s="306" t="n"/>
      <c r="P2492" s="307">
        <f>$F2492*$H2492</f>
        <v/>
      </c>
      <c r="Q2492" s="306" t="n"/>
    </row>
    <row r="2493" ht="18.75" customHeight="1">
      <c r="B2493" s="288" t="n">
        <v>45637</v>
      </c>
      <c r="C2493" s="289" t="n">
        <v>1741</v>
      </c>
      <c r="D2493" s="290" t="inlineStr">
        <is>
          <t>Medicine after konsul jantung 3rd</t>
        </is>
      </c>
      <c r="E2493" s="306" t="inlineStr">
        <is>
          <t>-</t>
        </is>
      </c>
      <c r="F2493" s="307" t="n">
        <v>417600</v>
      </c>
      <c r="G2493" s="289" t="inlineStr">
        <is>
          <t>IDR</t>
        </is>
      </c>
      <c r="H2493" s="293" t="n">
        <v>1</v>
      </c>
      <c r="I2493" s="306" t="n"/>
      <c r="J2493" s="306" t="n"/>
      <c r="K2493" s="306" t="n"/>
      <c r="L2493" s="306" t="n"/>
      <c r="M2493" s="306" t="n"/>
      <c r="N2493" s="306" t="n"/>
      <c r="O2493" s="306" t="n"/>
      <c r="P2493" s="307">
        <f>$F2493*$H2493</f>
        <v/>
      </c>
      <c r="Q2493" s="306" t="n"/>
    </row>
    <row r="2494" ht="18.75" customHeight="1">
      <c r="B2494" s="288" t="n">
        <v>45637</v>
      </c>
      <c r="C2494" s="289" t="n">
        <v>1742</v>
      </c>
      <c r="D2494" s="290" t="inlineStr">
        <is>
          <t>Medicine after konsul jantung 3rd</t>
        </is>
      </c>
      <c r="E2494" s="306" t="inlineStr">
        <is>
          <t>-</t>
        </is>
      </c>
      <c r="F2494" s="307" t="n">
        <v>417600</v>
      </c>
      <c r="G2494" s="289" t="inlineStr">
        <is>
          <t>IDR</t>
        </is>
      </c>
      <c r="H2494" s="293" t="n">
        <v>1</v>
      </c>
      <c r="I2494" s="306" t="n"/>
      <c r="J2494" s="306" t="n"/>
      <c r="K2494" s="306" t="n"/>
      <c r="L2494" s="306" t="n"/>
      <c r="M2494" s="306" t="n"/>
      <c r="N2494" s="306" t="n"/>
      <c r="O2494" s="306" t="n"/>
      <c r="P2494" s="307">
        <f>$F2494*$H2494</f>
        <v/>
      </c>
      <c r="Q2494" s="306" t="n"/>
    </row>
    <row r="2495" ht="18.75" customHeight="1">
      <c r="B2495" s="288" t="n">
        <v>45637</v>
      </c>
      <c r="C2495" s="289" t="n">
        <v>1743</v>
      </c>
      <c r="D2495" s="290" t="inlineStr">
        <is>
          <t>Medicine after konsul jantung 3rd</t>
        </is>
      </c>
      <c r="E2495" s="306" t="inlineStr">
        <is>
          <t>-</t>
        </is>
      </c>
      <c r="F2495" s="307" t="n">
        <v>417600</v>
      </c>
      <c r="G2495" s="289" t="inlineStr">
        <is>
          <t>IDR</t>
        </is>
      </c>
      <c r="H2495" s="293" t="n">
        <v>1</v>
      </c>
      <c r="I2495" s="306" t="n"/>
      <c r="J2495" s="306" t="n"/>
      <c r="K2495" s="306" t="n"/>
      <c r="L2495" s="306" t="n"/>
      <c r="M2495" s="306" t="n"/>
      <c r="N2495" s="306" t="n"/>
      <c r="O2495" s="306" t="n"/>
      <c r="P2495" s="307">
        <f>$F2495*$H2495</f>
        <v/>
      </c>
      <c r="Q2495" s="306" t="n"/>
    </row>
    <row r="2496" ht="18.75" customHeight="1">
      <c r="B2496" s="288" t="n">
        <v>45637</v>
      </c>
      <c r="C2496" s="289" t="n">
        <v>1744</v>
      </c>
      <c r="D2496" s="290" t="inlineStr">
        <is>
          <t>Medicine after konsul jantung 3rd</t>
        </is>
      </c>
      <c r="E2496" s="306" t="inlineStr">
        <is>
          <t>-</t>
        </is>
      </c>
      <c r="F2496" s="307" t="n">
        <v>417600</v>
      </c>
      <c r="G2496" s="289" t="inlineStr">
        <is>
          <t>IDR</t>
        </is>
      </c>
      <c r="H2496" s="293" t="n">
        <v>1</v>
      </c>
      <c r="I2496" s="306" t="n"/>
      <c r="J2496" s="306" t="n"/>
      <c r="K2496" s="306" t="n"/>
      <c r="L2496" s="306" t="n"/>
      <c r="M2496" s="306" t="n"/>
      <c r="N2496" s="306" t="n"/>
      <c r="O2496" s="306" t="n"/>
      <c r="P2496" s="307">
        <f>$F2496*$H2496</f>
        <v/>
      </c>
      <c r="Q2496" s="306" t="n"/>
    </row>
    <row r="2497">
      <c r="B2497" s="312" t="n"/>
      <c r="C2497" s="312" t="n"/>
      <c r="D2497" s="285" t="inlineStr">
        <is>
          <t>Transportation</t>
        </is>
      </c>
      <c r="E2497" s="312" t="n"/>
      <c r="F2497" s="312" t="n"/>
      <c r="G2497" s="312" t="n"/>
      <c r="H2497" s="312" t="n"/>
      <c r="I2497" s="312" t="n"/>
      <c r="J2497" s="312" t="n"/>
      <c r="K2497" s="312" t="n"/>
      <c r="L2497" s="312" t="n"/>
      <c r="M2497" s="312" t="n"/>
      <c r="N2497" s="312" t="n"/>
      <c r="O2497" s="312" t="n"/>
      <c r="P2497" s="312" t="n"/>
      <c r="Q2497" s="312" t="n"/>
    </row>
    <row r="2498" ht="18.75" customHeight="1">
      <c r="B2498" s="288" t="n">
        <v>45607</v>
      </c>
      <c r="C2498" s="289" t="n">
        <v>1745</v>
      </c>
      <c r="D2498" s="290" t="inlineStr">
        <is>
          <t>Fuel diesel visit consul to KPP pajak</t>
        </is>
      </c>
      <c r="E2498" s="306" t="inlineStr">
        <is>
          <t>-</t>
        </is>
      </c>
      <c r="F2498" s="307" t="n">
        <v>276216</v>
      </c>
      <c r="G2498" s="289" t="inlineStr">
        <is>
          <t>IDR</t>
        </is>
      </c>
      <c r="H2498" s="293" t="n">
        <v>1</v>
      </c>
      <c r="I2498" s="306" t="n"/>
      <c r="J2498" s="306" t="n"/>
      <c r="K2498" s="306" t="n"/>
      <c r="L2498" s="307">
        <f>$F2498*$H2498</f>
        <v/>
      </c>
      <c r="M2498" s="306" t="n"/>
      <c r="N2498" s="306" t="n"/>
      <c r="O2498" s="306" t="n"/>
      <c r="P2498" s="306" t="n"/>
      <c r="Q2498" s="306" t="n"/>
    </row>
    <row r="2499" ht="18.75" customHeight="1">
      <c r="B2499" s="288" t="n">
        <v>45607</v>
      </c>
      <c r="C2499" s="289" t="n">
        <v>1746</v>
      </c>
      <c r="D2499" s="290" t="inlineStr">
        <is>
          <t>toll gate</t>
        </is>
      </c>
      <c r="E2499" s="306" t="inlineStr">
        <is>
          <t>-</t>
        </is>
      </c>
      <c r="F2499" s="307" t="n">
        <v>79500</v>
      </c>
      <c r="G2499" s="289" t="inlineStr">
        <is>
          <t>IDR</t>
        </is>
      </c>
      <c r="H2499" s="293" t="n">
        <v>1</v>
      </c>
      <c r="I2499" s="306" t="n"/>
      <c r="J2499" s="306" t="n"/>
      <c r="K2499" s="306" t="n"/>
      <c r="L2499" s="307">
        <f>$F2499*$H2499</f>
        <v/>
      </c>
      <c r="M2499" s="306" t="n"/>
      <c r="N2499" s="306" t="n"/>
      <c r="O2499" s="306" t="n"/>
      <c r="P2499" s="306" t="n"/>
      <c r="Q2499" s="306" t="n"/>
    </row>
    <row r="2500" ht="18.75" customHeight="1">
      <c r="B2500" s="288" t="n">
        <v>45607</v>
      </c>
      <c r="C2500" s="289" t="n">
        <v>1747</v>
      </c>
      <c r="D2500" s="290" t="inlineStr">
        <is>
          <t>Fuel diesel visit consul to KPP pajak</t>
        </is>
      </c>
      <c r="E2500" s="306" t="inlineStr">
        <is>
          <t>-</t>
        </is>
      </c>
      <c r="F2500" s="307" t="n">
        <v>276216</v>
      </c>
      <c r="G2500" s="289" t="inlineStr">
        <is>
          <t>IDR</t>
        </is>
      </c>
      <c r="H2500" s="293" t="n">
        <v>1</v>
      </c>
      <c r="I2500" s="306" t="n"/>
      <c r="J2500" s="306" t="n"/>
      <c r="K2500" s="306" t="n"/>
      <c r="L2500" s="307">
        <f>$F2500*$H2500</f>
        <v/>
      </c>
      <c r="M2500" s="306" t="n"/>
      <c r="N2500" s="306" t="n"/>
      <c r="O2500" s="306" t="n"/>
      <c r="P2500" s="306" t="n"/>
      <c r="Q2500" s="306" t="n"/>
    </row>
    <row r="2501" ht="18.75" customHeight="1">
      <c r="B2501" s="288" t="n">
        <v>45607</v>
      </c>
      <c r="C2501" s="289" t="n">
        <v>1748</v>
      </c>
      <c r="D2501" s="290" t="inlineStr">
        <is>
          <t>toll gate</t>
        </is>
      </c>
      <c r="E2501" s="306" t="inlineStr">
        <is>
          <t>-</t>
        </is>
      </c>
      <c r="F2501" s="307" t="n">
        <v>79500</v>
      </c>
      <c r="G2501" s="289" t="inlineStr">
        <is>
          <t>IDR</t>
        </is>
      </c>
      <c r="H2501" s="293" t="n">
        <v>1</v>
      </c>
      <c r="I2501" s="306" t="n"/>
      <c r="J2501" s="306" t="n"/>
      <c r="K2501" s="306" t="n"/>
      <c r="L2501" s="307">
        <f>$F2501*$H2501</f>
        <v/>
      </c>
      <c r="M2501" s="306" t="n"/>
      <c r="N2501" s="306" t="n"/>
      <c r="O2501" s="306" t="n"/>
      <c r="P2501" s="306" t="n"/>
      <c r="Q2501" s="306" t="n"/>
    </row>
    <row r="2502" ht="18.75" customHeight="1">
      <c r="B2502" s="288" t="n">
        <v>45607</v>
      </c>
      <c r="C2502" s="289" t="n">
        <v>1749</v>
      </c>
      <c r="D2502" s="290" t="inlineStr">
        <is>
          <t>Fuel diesel visit consul to KPP pajak</t>
        </is>
      </c>
      <c r="E2502" s="306" t="inlineStr">
        <is>
          <t>-</t>
        </is>
      </c>
      <c r="F2502" s="307" t="n">
        <v>276216</v>
      </c>
      <c r="G2502" s="289" t="inlineStr">
        <is>
          <t>IDR</t>
        </is>
      </c>
      <c r="H2502" s="293" t="n">
        <v>1</v>
      </c>
      <c r="I2502" s="306" t="n"/>
      <c r="J2502" s="306" t="n"/>
      <c r="K2502" s="306" t="n"/>
      <c r="L2502" s="307">
        <f>$F2502*$H2502</f>
        <v/>
      </c>
      <c r="M2502" s="306" t="n"/>
      <c r="N2502" s="306" t="n"/>
      <c r="O2502" s="306" t="n"/>
      <c r="P2502" s="306" t="n"/>
      <c r="Q2502" s="306" t="n"/>
    </row>
    <row r="2503" ht="18.75" customHeight="1">
      <c r="B2503" s="288" t="n">
        <v>45607</v>
      </c>
      <c r="C2503" s="289" t="n">
        <v>1750</v>
      </c>
      <c r="D2503" s="290" t="inlineStr">
        <is>
          <t>toll gate</t>
        </is>
      </c>
      <c r="E2503" s="306" t="inlineStr">
        <is>
          <t>-</t>
        </is>
      </c>
      <c r="F2503" s="307" t="n">
        <v>79500</v>
      </c>
      <c r="G2503" s="289" t="inlineStr">
        <is>
          <t>IDR</t>
        </is>
      </c>
      <c r="H2503" s="293" t="n">
        <v>1</v>
      </c>
      <c r="I2503" s="306" t="n"/>
      <c r="J2503" s="306" t="n"/>
      <c r="K2503" s="306" t="n"/>
      <c r="L2503" s="307">
        <f>$F2503*$H2503</f>
        <v/>
      </c>
      <c r="M2503" s="306" t="n"/>
      <c r="N2503" s="306" t="n"/>
      <c r="O2503" s="306" t="n"/>
      <c r="P2503" s="306" t="n"/>
      <c r="Q2503" s="306" t="n"/>
    </row>
    <row r="2504" ht="18.75" customHeight="1">
      <c r="B2504" s="288" t="n">
        <v>45607</v>
      </c>
      <c r="C2504" s="289" t="n">
        <v>1751</v>
      </c>
      <c r="D2504" s="290" t="inlineStr">
        <is>
          <t>Fuel diesel visit consul to KPP pajak</t>
        </is>
      </c>
      <c r="E2504" s="306" t="inlineStr">
        <is>
          <t>-</t>
        </is>
      </c>
      <c r="F2504" s="307" t="n">
        <v>276216</v>
      </c>
      <c r="G2504" s="289" t="inlineStr">
        <is>
          <t>IDR</t>
        </is>
      </c>
      <c r="H2504" s="293" t="n">
        <v>1</v>
      </c>
      <c r="I2504" s="306" t="n"/>
      <c r="J2504" s="306" t="n"/>
      <c r="K2504" s="306" t="n"/>
      <c r="L2504" s="307">
        <f>$F2504*$H2504</f>
        <v/>
      </c>
      <c r="M2504" s="306" t="n"/>
      <c r="N2504" s="306" t="n"/>
      <c r="O2504" s="306" t="n"/>
      <c r="P2504" s="306" t="n"/>
      <c r="Q2504" s="306" t="n"/>
    </row>
    <row r="2505" ht="18.75" customHeight="1">
      <c r="B2505" s="288" t="n">
        <v>45607</v>
      </c>
      <c r="C2505" s="289" t="n">
        <v>1752</v>
      </c>
      <c r="D2505" s="290" t="inlineStr">
        <is>
          <t>toll gate</t>
        </is>
      </c>
      <c r="E2505" s="306" t="inlineStr">
        <is>
          <t>-</t>
        </is>
      </c>
      <c r="F2505" s="307" t="n">
        <v>79500</v>
      </c>
      <c r="G2505" s="289" t="inlineStr">
        <is>
          <t>IDR</t>
        </is>
      </c>
      <c r="H2505" s="293" t="n">
        <v>1</v>
      </c>
      <c r="I2505" s="306" t="n"/>
      <c r="J2505" s="306" t="n"/>
      <c r="K2505" s="306" t="n"/>
      <c r="L2505" s="307">
        <f>$F2505*$H2505</f>
        <v/>
      </c>
      <c r="M2505" s="306" t="n"/>
      <c r="N2505" s="306" t="n"/>
      <c r="O2505" s="306" t="n"/>
      <c r="P2505" s="306" t="n"/>
      <c r="Q2505" s="306" t="n"/>
    </row>
    <row r="2506" ht="34.5" customHeight="1">
      <c r="B2506" s="288" t="n">
        <v>45622</v>
      </c>
      <c r="C2506" s="289" t="n">
        <v>1753</v>
      </c>
      <c r="D2506" s="290" t="inlineStr">
        <is>
          <t>Parkir Graha Elnusa (HSE tool hall meeting) at Elnusa (graha Elnusa)</t>
        </is>
      </c>
      <c r="E2506" s="306" t="inlineStr">
        <is>
          <t>-</t>
        </is>
      </c>
      <c r="F2506" s="307" t="n">
        <v>29000</v>
      </c>
      <c r="G2506" s="289" t="inlineStr">
        <is>
          <t>IDR</t>
        </is>
      </c>
      <c r="H2506" s="293" t="n">
        <v>1</v>
      </c>
      <c r="I2506" s="306" t="n"/>
      <c r="J2506" s="306" t="n"/>
      <c r="K2506" s="306" t="n"/>
      <c r="L2506" s="307">
        <f>$F2506*$H2506</f>
        <v/>
      </c>
      <c r="M2506" s="306" t="n"/>
      <c r="N2506" s="306" t="n"/>
      <c r="O2506" s="306" t="n"/>
      <c r="P2506" s="306" t="n"/>
      <c r="Q2506" s="306" t="n"/>
    </row>
    <row r="2507" ht="18.75" customHeight="1">
      <c r="B2507" s="288" t="n">
        <v>45622</v>
      </c>
      <c r="C2507" s="289" t="n">
        <v>1754</v>
      </c>
      <c r="D2507" s="290" t="inlineStr">
        <is>
          <t>toll gate</t>
        </is>
      </c>
      <c r="E2507" s="306" t="inlineStr">
        <is>
          <t>-</t>
        </is>
      </c>
      <c r="F2507" s="307" t="n">
        <v>17000</v>
      </c>
      <c r="G2507" s="289" t="inlineStr">
        <is>
          <t>IDR</t>
        </is>
      </c>
      <c r="H2507" s="293" t="n">
        <v>1</v>
      </c>
      <c r="I2507" s="306" t="n"/>
      <c r="J2507" s="306" t="n"/>
      <c r="K2507" s="306" t="n"/>
      <c r="L2507" s="307">
        <f>$F2507*$H2507</f>
        <v/>
      </c>
      <c r="M2507" s="306" t="n"/>
      <c r="N2507" s="306" t="n"/>
      <c r="O2507" s="306" t="n"/>
      <c r="P2507" s="306" t="n"/>
      <c r="Q2507" s="306" t="n"/>
    </row>
    <row r="2508" ht="34.5" customHeight="1">
      <c r="B2508" s="288" t="n">
        <v>45622</v>
      </c>
      <c r="C2508" s="289" t="n">
        <v>1755</v>
      </c>
      <c r="D2508" s="290" t="inlineStr">
        <is>
          <t>Parkir Graha Elnusa (HSE tool hall meeting) at Elnusa (graha Elnusa)</t>
        </is>
      </c>
      <c r="E2508" s="306" t="inlineStr">
        <is>
          <t>-</t>
        </is>
      </c>
      <c r="F2508" s="307" t="n">
        <v>29000</v>
      </c>
      <c r="G2508" s="289" t="inlineStr">
        <is>
          <t>IDR</t>
        </is>
      </c>
      <c r="H2508" s="293" t="n">
        <v>1</v>
      </c>
      <c r="I2508" s="306" t="n"/>
      <c r="J2508" s="306" t="n"/>
      <c r="K2508" s="306" t="n"/>
      <c r="L2508" s="307">
        <f>$F2508*$H2508</f>
        <v/>
      </c>
      <c r="M2508" s="306" t="n"/>
      <c r="N2508" s="306" t="n"/>
      <c r="O2508" s="306" t="n"/>
      <c r="P2508" s="306" t="n"/>
      <c r="Q2508" s="306" t="n"/>
    </row>
    <row r="2509" ht="18.75" customHeight="1">
      <c r="B2509" s="288" t="n">
        <v>45622</v>
      </c>
      <c r="C2509" s="289" t="n">
        <v>1756</v>
      </c>
      <c r="D2509" s="290" t="inlineStr">
        <is>
          <t>toll gate</t>
        </is>
      </c>
      <c r="E2509" s="306" t="inlineStr">
        <is>
          <t>-</t>
        </is>
      </c>
      <c r="F2509" s="307" t="n">
        <v>17000</v>
      </c>
      <c r="G2509" s="289" t="inlineStr">
        <is>
          <t>IDR</t>
        </is>
      </c>
      <c r="H2509" s="293" t="n">
        <v>1</v>
      </c>
      <c r="I2509" s="306" t="n"/>
      <c r="J2509" s="306" t="n"/>
      <c r="K2509" s="306" t="n"/>
      <c r="L2509" s="307">
        <f>$F2509*$H2509</f>
        <v/>
      </c>
      <c r="M2509" s="306" t="n"/>
      <c r="N2509" s="306" t="n"/>
      <c r="O2509" s="306" t="n"/>
      <c r="P2509" s="306" t="n"/>
      <c r="Q2509" s="306" t="n"/>
    </row>
    <row r="2510" ht="34.5" customHeight="1">
      <c r="B2510" s="288" t="n">
        <v>45622</v>
      </c>
      <c r="C2510" s="289" t="n">
        <v>1757</v>
      </c>
      <c r="D2510" s="290" t="inlineStr">
        <is>
          <t>Parkir Graha Elnusa (HSE tool hall meeting) at Elnusa (graha Elnusa)</t>
        </is>
      </c>
      <c r="E2510" s="306" t="inlineStr">
        <is>
          <t>-</t>
        </is>
      </c>
      <c r="F2510" s="307" t="n">
        <v>29000</v>
      </c>
      <c r="G2510" s="289" t="inlineStr">
        <is>
          <t>IDR</t>
        </is>
      </c>
      <c r="H2510" s="293" t="n">
        <v>1</v>
      </c>
      <c r="I2510" s="306" t="n"/>
      <c r="J2510" s="306" t="n"/>
      <c r="K2510" s="306" t="n"/>
      <c r="L2510" s="307">
        <f>$F2510*$H2510</f>
        <v/>
      </c>
      <c r="M2510" s="306" t="n"/>
      <c r="N2510" s="306" t="n"/>
      <c r="O2510" s="306" t="n"/>
      <c r="P2510" s="306" t="n"/>
      <c r="Q2510" s="306" t="n"/>
    </row>
    <row r="2511" ht="18.75" customHeight="1">
      <c r="B2511" s="288" t="n">
        <v>45622</v>
      </c>
      <c r="C2511" s="289" t="n">
        <v>1758</v>
      </c>
      <c r="D2511" s="290" t="inlineStr">
        <is>
          <t>toll gate</t>
        </is>
      </c>
      <c r="E2511" s="306" t="inlineStr">
        <is>
          <t>-</t>
        </is>
      </c>
      <c r="F2511" s="307" t="n">
        <v>17000</v>
      </c>
      <c r="G2511" s="289" t="inlineStr">
        <is>
          <t>IDR</t>
        </is>
      </c>
      <c r="H2511" s="293" t="n">
        <v>1</v>
      </c>
      <c r="I2511" s="306" t="n"/>
      <c r="J2511" s="306" t="n"/>
      <c r="K2511" s="306" t="n"/>
      <c r="L2511" s="307">
        <f>$F2511*$H2511</f>
        <v/>
      </c>
      <c r="M2511" s="306" t="n"/>
      <c r="N2511" s="306" t="n"/>
      <c r="O2511" s="306" t="n"/>
      <c r="P2511" s="306" t="n"/>
      <c r="Q2511" s="306" t="n"/>
    </row>
    <row r="2512" ht="34.5" customHeight="1">
      <c r="B2512" s="288" t="n">
        <v>45622</v>
      </c>
      <c r="C2512" s="289" t="n">
        <v>1759</v>
      </c>
      <c r="D2512" s="290" t="inlineStr">
        <is>
          <t>Parkir Graha Elnusa (HSE tool hall meeting) at Elnusa (graha Elnusa)</t>
        </is>
      </c>
      <c r="E2512" s="306" t="inlineStr">
        <is>
          <t>-</t>
        </is>
      </c>
      <c r="F2512" s="307" t="n">
        <v>29000</v>
      </c>
      <c r="G2512" s="289" t="inlineStr">
        <is>
          <t>IDR</t>
        </is>
      </c>
      <c r="H2512" s="293" t="n">
        <v>1</v>
      </c>
      <c r="I2512" s="306" t="n"/>
      <c r="J2512" s="306" t="n"/>
      <c r="K2512" s="306" t="n"/>
      <c r="L2512" s="307">
        <f>$F2512*$H2512</f>
        <v/>
      </c>
      <c r="M2512" s="306" t="n"/>
      <c r="N2512" s="306" t="n"/>
      <c r="O2512" s="306" t="n"/>
      <c r="P2512" s="306" t="n"/>
      <c r="Q2512" s="306" t="n"/>
    </row>
    <row r="2513" ht="18.75" customHeight="1">
      <c r="B2513" s="288" t="n">
        <v>45622</v>
      </c>
      <c r="C2513" s="289" t="n">
        <v>1760</v>
      </c>
      <c r="D2513" s="290" t="inlineStr">
        <is>
          <t>toll gate</t>
        </is>
      </c>
      <c r="E2513" s="306" t="inlineStr">
        <is>
          <t>-</t>
        </is>
      </c>
      <c r="F2513" s="307" t="n">
        <v>17000</v>
      </c>
      <c r="G2513" s="289" t="inlineStr">
        <is>
          <t>IDR</t>
        </is>
      </c>
      <c r="H2513" s="293" t="n">
        <v>1</v>
      </c>
      <c r="I2513" s="306" t="n"/>
      <c r="J2513" s="306" t="n"/>
      <c r="K2513" s="306" t="n"/>
      <c r="L2513" s="307">
        <f>$F2513*$H2513</f>
        <v/>
      </c>
      <c r="M2513" s="306" t="n"/>
      <c r="N2513" s="306" t="n"/>
      <c r="O2513" s="306" t="n"/>
      <c r="P2513" s="306" t="n"/>
      <c r="Q2513" s="306" t="n"/>
    </row>
    <row r="2514" ht="18.75" customHeight="1">
      <c r="B2514" s="288" t="n">
        <v>45636</v>
      </c>
      <c r="C2514" s="289" t="n">
        <v>1761</v>
      </c>
      <c r="D2514" s="290" t="inlineStr">
        <is>
          <t>Taksi,take Document from Loket Graha Elnusa</t>
        </is>
      </c>
      <c r="E2514" s="306" t="inlineStr">
        <is>
          <t>-</t>
        </is>
      </c>
      <c r="F2514" s="307" t="n">
        <v>155680</v>
      </c>
      <c r="G2514" s="289" t="inlineStr">
        <is>
          <t>IDR</t>
        </is>
      </c>
      <c r="H2514" s="293" t="n">
        <v>1</v>
      </c>
      <c r="I2514" s="306" t="n"/>
      <c r="J2514" s="306" t="n"/>
      <c r="K2514" s="306" t="n"/>
      <c r="L2514" s="307">
        <f>$F2514*$H2514</f>
        <v/>
      </c>
      <c r="M2514" s="306" t="n"/>
      <c r="N2514" s="306" t="n"/>
      <c r="O2514" s="306" t="n"/>
      <c r="P2514" s="306" t="n"/>
      <c r="Q2514" s="306" t="n"/>
    </row>
    <row r="2515" ht="18.75" customHeight="1">
      <c r="B2515" s="288" t="n">
        <v>45636</v>
      </c>
      <c r="C2515" s="289" t="n">
        <v>1762</v>
      </c>
      <c r="D2515" s="290" t="inlineStr">
        <is>
          <t>Parkir Graha Elnusa (antar dokemen invoice)</t>
        </is>
      </c>
      <c r="E2515" s="306" t="inlineStr">
        <is>
          <t>-</t>
        </is>
      </c>
      <c r="F2515" s="307" t="n">
        <v>17000</v>
      </c>
      <c r="G2515" s="289" t="inlineStr">
        <is>
          <t>IDR</t>
        </is>
      </c>
      <c r="H2515" s="293" t="n">
        <v>1</v>
      </c>
      <c r="I2515" s="306" t="n"/>
      <c r="J2515" s="306" t="n"/>
      <c r="K2515" s="306" t="n"/>
      <c r="L2515" s="307">
        <f>$F2515*$H2515</f>
        <v/>
      </c>
      <c r="M2515" s="306" t="n"/>
      <c r="N2515" s="306" t="n"/>
      <c r="O2515" s="306" t="n"/>
      <c r="P2515" s="306" t="n"/>
      <c r="Q2515" s="306" t="n"/>
    </row>
    <row r="2516" ht="18.75" customHeight="1">
      <c r="B2516" s="288" t="n">
        <v>45636</v>
      </c>
      <c r="C2516" s="289" t="n">
        <v>1763</v>
      </c>
      <c r="D2516" s="290" t="inlineStr">
        <is>
          <t>Taksi,take Document from Loket Graha Elnusa</t>
        </is>
      </c>
      <c r="E2516" s="306" t="inlineStr">
        <is>
          <t>-</t>
        </is>
      </c>
      <c r="F2516" s="307" t="n">
        <v>155680</v>
      </c>
      <c r="G2516" s="289" t="inlineStr">
        <is>
          <t>IDR</t>
        </is>
      </c>
      <c r="H2516" s="293" t="n">
        <v>1</v>
      </c>
      <c r="I2516" s="306" t="n"/>
      <c r="J2516" s="306" t="n"/>
      <c r="K2516" s="306" t="n"/>
      <c r="L2516" s="307">
        <f>$F2516*$H2516</f>
        <v/>
      </c>
      <c r="M2516" s="306" t="n"/>
      <c r="N2516" s="306" t="n"/>
      <c r="O2516" s="306" t="n"/>
      <c r="P2516" s="306" t="n"/>
      <c r="Q2516" s="306" t="n"/>
    </row>
    <row r="2517" ht="18.75" customHeight="1">
      <c r="B2517" s="288" t="n">
        <v>45636</v>
      </c>
      <c r="C2517" s="289" t="n">
        <v>1764</v>
      </c>
      <c r="D2517" s="290" t="inlineStr">
        <is>
          <t>Parkir Graha Elnusa (antar dokemen invoice)</t>
        </is>
      </c>
      <c r="E2517" s="306" t="inlineStr">
        <is>
          <t>-</t>
        </is>
      </c>
      <c r="F2517" s="307" t="n">
        <v>17000</v>
      </c>
      <c r="G2517" s="289" t="inlineStr">
        <is>
          <t>IDR</t>
        </is>
      </c>
      <c r="H2517" s="293" t="n">
        <v>1</v>
      </c>
      <c r="I2517" s="306" t="n"/>
      <c r="J2517" s="306" t="n"/>
      <c r="K2517" s="306" t="n"/>
      <c r="L2517" s="307">
        <f>$F2517*$H2517</f>
        <v/>
      </c>
      <c r="M2517" s="306" t="n"/>
      <c r="N2517" s="306" t="n"/>
      <c r="O2517" s="306" t="n"/>
      <c r="P2517" s="306" t="n"/>
      <c r="Q2517" s="306" t="n"/>
    </row>
    <row r="2518" ht="18.75" customHeight="1">
      <c r="B2518" s="288" t="n">
        <v>45636</v>
      </c>
      <c r="C2518" s="289" t="n">
        <v>1765</v>
      </c>
      <c r="D2518" s="290" t="inlineStr">
        <is>
          <t>Taksi,take Document from Loket Graha Elnusa</t>
        </is>
      </c>
      <c r="E2518" s="306" t="inlineStr">
        <is>
          <t>-</t>
        </is>
      </c>
      <c r="F2518" s="307" t="n">
        <v>155680</v>
      </c>
      <c r="G2518" s="289" t="inlineStr">
        <is>
          <t>IDR</t>
        </is>
      </c>
      <c r="H2518" s="293" t="n">
        <v>1</v>
      </c>
      <c r="I2518" s="306" t="n"/>
      <c r="J2518" s="306" t="n"/>
      <c r="K2518" s="306" t="n"/>
      <c r="L2518" s="307">
        <f>$F2518*$H2518</f>
        <v/>
      </c>
      <c r="M2518" s="306" t="n"/>
      <c r="N2518" s="306" t="n"/>
      <c r="O2518" s="306" t="n"/>
      <c r="P2518" s="306" t="n"/>
      <c r="Q2518" s="306" t="n"/>
    </row>
    <row r="2519" ht="18.75" customHeight="1">
      <c r="B2519" s="288" t="n">
        <v>45636</v>
      </c>
      <c r="C2519" s="289" t="n">
        <v>1766</v>
      </c>
      <c r="D2519" s="290" t="inlineStr">
        <is>
          <t>Parkir Graha Elnusa (antar dokemen invoice)</t>
        </is>
      </c>
      <c r="E2519" s="306" t="inlineStr">
        <is>
          <t>-</t>
        </is>
      </c>
      <c r="F2519" s="307" t="n">
        <v>17000</v>
      </c>
      <c r="G2519" s="289" t="inlineStr">
        <is>
          <t>IDR</t>
        </is>
      </c>
      <c r="H2519" s="293" t="n">
        <v>1</v>
      </c>
      <c r="I2519" s="306" t="n"/>
      <c r="J2519" s="306" t="n"/>
      <c r="K2519" s="306" t="n"/>
      <c r="L2519" s="307">
        <f>$F2519*$H2519</f>
        <v/>
      </c>
      <c r="M2519" s="306" t="n"/>
      <c r="N2519" s="306" t="n"/>
      <c r="O2519" s="306" t="n"/>
      <c r="P2519" s="306" t="n"/>
      <c r="Q2519" s="306" t="n"/>
    </row>
    <row r="2520" ht="18.75" customHeight="1">
      <c r="B2520" s="288" t="n">
        <v>45636</v>
      </c>
      <c r="C2520" s="289" t="n">
        <v>1767</v>
      </c>
      <c r="D2520" s="290" t="inlineStr">
        <is>
          <t>Taksi,take Document from Loket Graha Elnusa</t>
        </is>
      </c>
      <c r="E2520" s="306" t="inlineStr">
        <is>
          <t>-</t>
        </is>
      </c>
      <c r="F2520" s="307" t="n">
        <v>155680</v>
      </c>
      <c r="G2520" s="289" t="inlineStr">
        <is>
          <t>IDR</t>
        </is>
      </c>
      <c r="H2520" s="293" t="n">
        <v>1</v>
      </c>
      <c r="I2520" s="306" t="n"/>
      <c r="J2520" s="306" t="n"/>
      <c r="K2520" s="306" t="n"/>
      <c r="L2520" s="307">
        <f>$F2520*$H2520</f>
        <v/>
      </c>
      <c r="M2520" s="306" t="n"/>
      <c r="N2520" s="306" t="n"/>
      <c r="O2520" s="306" t="n"/>
      <c r="P2520" s="306" t="n"/>
      <c r="Q2520" s="306" t="n"/>
    </row>
    <row r="2521" ht="18.75" customHeight="1">
      <c r="B2521" s="288" t="n">
        <v>45636</v>
      </c>
      <c r="C2521" s="289" t="n">
        <v>1768</v>
      </c>
      <c r="D2521" s="290" t="inlineStr">
        <is>
          <t>Parkir Graha Elnusa (antar dokemen invoice)</t>
        </is>
      </c>
      <c r="E2521" s="306" t="inlineStr">
        <is>
          <t>-</t>
        </is>
      </c>
      <c r="F2521" s="307" t="n">
        <v>17000</v>
      </c>
      <c r="G2521" s="289" t="inlineStr">
        <is>
          <t>IDR</t>
        </is>
      </c>
      <c r="H2521" s="293" t="n">
        <v>1</v>
      </c>
      <c r="I2521" s="306" t="n"/>
      <c r="J2521" s="306" t="n"/>
      <c r="K2521" s="306" t="n"/>
      <c r="L2521" s="307">
        <f>$F2521*$H2521</f>
        <v/>
      </c>
      <c r="M2521" s="306" t="n"/>
      <c r="N2521" s="306" t="n"/>
      <c r="O2521" s="306" t="n"/>
      <c r="P2521" s="306" t="n"/>
      <c r="Q2521" s="306" t="n"/>
    </row>
    <row r="2522">
      <c r="B2522" s="310" t="inlineStr">
        <is>
          <t>Expense#44</t>
        </is>
      </c>
      <c r="C2522" s="311" t="inlineStr">
        <is>
          <t>:</t>
        </is>
      </c>
      <c r="D2522" s="310" t="inlineStr">
        <is>
          <t>Meeting presentasi With Elnusa - Bandung &amp;Pembelian Sparepart dari Pei-Genesis.</t>
        </is>
      </c>
      <c r="E2522" s="311" t="n"/>
      <c r="F2522" s="311" t="n"/>
      <c r="G2522" s="311" t="n"/>
      <c r="H2522" s="311" t="n"/>
      <c r="I2522" s="311" t="n"/>
      <c r="J2522" s="311" t="n"/>
      <c r="K2522" s="311" t="n"/>
      <c r="L2522" s="311" t="n"/>
      <c r="M2522" s="311" t="n"/>
      <c r="N2522" s="311" t="n"/>
      <c r="O2522" s="311" t="n"/>
      <c r="P2522" s="311" t="n"/>
      <c r="Q2522" s="311" t="n"/>
    </row>
    <row r="2523">
      <c r="B2523" s="312" t="n"/>
      <c r="C2523" s="312" t="n"/>
      <c r="D2523" s="285" t="inlineStr">
        <is>
          <t>Biaya Operasi Lain-lain</t>
        </is>
      </c>
      <c r="E2523" s="312" t="n"/>
      <c r="F2523" s="312" t="n"/>
      <c r="G2523" s="312" t="n"/>
      <c r="H2523" s="312" t="n"/>
      <c r="I2523" s="312" t="n"/>
      <c r="J2523" s="312" t="n"/>
      <c r="K2523" s="312" t="n"/>
      <c r="L2523" s="312" t="n"/>
      <c r="M2523" s="312" t="n"/>
      <c r="N2523" s="312" t="n"/>
      <c r="O2523" s="312" t="n"/>
      <c r="P2523" s="312" t="n"/>
      <c r="Q2523" s="312" t="n"/>
    </row>
    <row r="2524" ht="18.75" customHeight="1">
      <c r="B2524" s="288" t="n">
        <v>45646</v>
      </c>
      <c r="C2524" s="289" t="n">
        <v>1769</v>
      </c>
      <c r="D2524" s="290" t="inlineStr">
        <is>
          <t>Traveling Jakarta - Bandung</t>
        </is>
      </c>
      <c r="E2524" s="306" t="inlineStr">
        <is>
          <t>-</t>
        </is>
      </c>
      <c r="F2524" s="307" t="n">
        <v>160000</v>
      </c>
      <c r="G2524" s="289" t="inlineStr">
        <is>
          <t>IDR</t>
        </is>
      </c>
      <c r="H2524" s="293" t="n">
        <v>1</v>
      </c>
      <c r="I2524" s="306" t="n"/>
      <c r="J2524" s="306" t="n"/>
      <c r="K2524" s="306" t="n"/>
      <c r="L2524" s="307">
        <f>$F2524*$H2524</f>
        <v/>
      </c>
      <c r="M2524" s="306" t="n"/>
      <c r="N2524" s="306" t="n"/>
      <c r="O2524" s="306" t="n"/>
      <c r="P2524" s="306" t="n"/>
      <c r="Q2524" s="306" t="n"/>
    </row>
    <row r="2525" ht="18.75" customHeight="1">
      <c r="B2525" s="288" t="n">
        <v>45646</v>
      </c>
      <c r="C2525" s="289" t="n">
        <v>1770</v>
      </c>
      <c r="D2525" s="290" t="inlineStr">
        <is>
          <t>Traveling Jakarta - Bandung</t>
        </is>
      </c>
      <c r="E2525" s="306" t="inlineStr">
        <is>
          <t>-</t>
        </is>
      </c>
      <c r="F2525" s="307" t="n">
        <v>160000</v>
      </c>
      <c r="G2525" s="289" t="inlineStr">
        <is>
          <t>IDR</t>
        </is>
      </c>
      <c r="H2525" s="293" t="n">
        <v>1</v>
      </c>
      <c r="I2525" s="306" t="n"/>
      <c r="J2525" s="306" t="n"/>
      <c r="K2525" s="306" t="n"/>
      <c r="L2525" s="307">
        <f>$F2525*$H2525</f>
        <v/>
      </c>
      <c r="M2525" s="306" t="n"/>
      <c r="N2525" s="306" t="n"/>
      <c r="O2525" s="306" t="n"/>
      <c r="P2525" s="306" t="n"/>
      <c r="Q2525" s="306" t="n"/>
    </row>
    <row r="2526" ht="18.75" customHeight="1">
      <c r="B2526" s="288" t="n">
        <v>45646</v>
      </c>
      <c r="C2526" s="289" t="n">
        <v>1771</v>
      </c>
      <c r="D2526" s="290" t="inlineStr">
        <is>
          <t>Traveling Jakarta - Bandung</t>
        </is>
      </c>
      <c r="E2526" s="306" t="inlineStr">
        <is>
          <t>-</t>
        </is>
      </c>
      <c r="F2526" s="307" t="n">
        <v>160000</v>
      </c>
      <c r="G2526" s="289" t="inlineStr">
        <is>
          <t>IDR</t>
        </is>
      </c>
      <c r="H2526" s="293" t="n">
        <v>1</v>
      </c>
      <c r="I2526" s="306" t="n"/>
      <c r="J2526" s="306" t="n"/>
      <c r="K2526" s="306" t="n"/>
      <c r="L2526" s="307">
        <f>$F2526*$H2526</f>
        <v/>
      </c>
      <c r="M2526" s="306" t="n"/>
      <c r="N2526" s="306" t="n"/>
      <c r="O2526" s="306" t="n"/>
      <c r="P2526" s="306" t="n"/>
      <c r="Q2526" s="306" t="n"/>
    </row>
    <row r="2527" ht="18.75" customHeight="1">
      <c r="B2527" s="288" t="n">
        <v>45646</v>
      </c>
      <c r="C2527" s="289" t="n">
        <v>1772</v>
      </c>
      <c r="D2527" s="290" t="inlineStr">
        <is>
          <t>Traveling Jakarta - Bandung</t>
        </is>
      </c>
      <c r="E2527" s="306" t="inlineStr">
        <is>
          <t>-</t>
        </is>
      </c>
      <c r="F2527" s="307" t="n">
        <v>160000</v>
      </c>
      <c r="G2527" s="289" t="inlineStr">
        <is>
          <t>IDR</t>
        </is>
      </c>
      <c r="H2527" s="293" t="n">
        <v>1</v>
      </c>
      <c r="I2527" s="306" t="n"/>
      <c r="J2527" s="306" t="n"/>
      <c r="K2527" s="306" t="n"/>
      <c r="L2527" s="307">
        <f>$F2527*$H2527</f>
        <v/>
      </c>
      <c r="M2527" s="306" t="n"/>
      <c r="N2527" s="306" t="n"/>
      <c r="O2527" s="306" t="n"/>
      <c r="P2527" s="306" t="n"/>
      <c r="Q2527" s="306" t="n"/>
    </row>
    <row r="2528" ht="18.75" customHeight="1">
      <c r="B2528" s="288" t="n">
        <v>45647</v>
      </c>
      <c r="C2528" s="289" t="n">
        <v>1773</v>
      </c>
      <c r="D2528" s="290" t="inlineStr">
        <is>
          <t>Traveling Bandung - Jakarta</t>
        </is>
      </c>
      <c r="E2528" s="306" t="inlineStr">
        <is>
          <t>-</t>
        </is>
      </c>
      <c r="F2528" s="307" t="n">
        <v>160000</v>
      </c>
      <c r="G2528" s="289" t="inlineStr">
        <is>
          <t>IDR</t>
        </is>
      </c>
      <c r="H2528" s="293" t="n">
        <v>1</v>
      </c>
      <c r="I2528" s="306" t="n"/>
      <c r="J2528" s="306" t="n"/>
      <c r="K2528" s="306" t="n"/>
      <c r="L2528" s="307">
        <f>$F2528*$H2528</f>
        <v/>
      </c>
      <c r="M2528" s="306" t="n"/>
      <c r="N2528" s="306" t="n"/>
      <c r="O2528" s="306" t="n"/>
      <c r="P2528" s="306" t="n"/>
      <c r="Q2528" s="306" t="n"/>
    </row>
    <row r="2529" ht="18.75" customHeight="1">
      <c r="B2529" s="288" t="n">
        <v>45647</v>
      </c>
      <c r="C2529" s="289" t="n">
        <v>1774</v>
      </c>
      <c r="D2529" s="290" t="inlineStr">
        <is>
          <t>Traveling Bandung - Jakarta</t>
        </is>
      </c>
      <c r="E2529" s="306" t="inlineStr">
        <is>
          <t>-</t>
        </is>
      </c>
      <c r="F2529" s="307" t="n">
        <v>160000</v>
      </c>
      <c r="G2529" s="289" t="inlineStr">
        <is>
          <t>IDR</t>
        </is>
      </c>
      <c r="H2529" s="293" t="n">
        <v>1</v>
      </c>
      <c r="I2529" s="306" t="n"/>
      <c r="J2529" s="306" t="n"/>
      <c r="K2529" s="306" t="n"/>
      <c r="L2529" s="307">
        <f>$F2529*$H2529</f>
        <v/>
      </c>
      <c r="M2529" s="306" t="n"/>
      <c r="N2529" s="306" t="n"/>
      <c r="O2529" s="306" t="n"/>
      <c r="P2529" s="306" t="n"/>
      <c r="Q2529" s="306" t="n"/>
    </row>
    <row r="2530" ht="18.75" customHeight="1">
      <c r="B2530" s="288" t="n">
        <v>45647</v>
      </c>
      <c r="C2530" s="289" t="n">
        <v>1775</v>
      </c>
      <c r="D2530" s="290" t="inlineStr">
        <is>
          <t>Traveling Bandung - Jakarta</t>
        </is>
      </c>
      <c r="E2530" s="306" t="inlineStr">
        <is>
          <t>-</t>
        </is>
      </c>
      <c r="F2530" s="307" t="n">
        <v>160000</v>
      </c>
      <c r="G2530" s="289" t="inlineStr">
        <is>
          <t>IDR</t>
        </is>
      </c>
      <c r="H2530" s="293" t="n">
        <v>1</v>
      </c>
      <c r="I2530" s="306" t="n"/>
      <c r="J2530" s="306" t="n"/>
      <c r="K2530" s="306" t="n"/>
      <c r="L2530" s="307">
        <f>$F2530*$H2530</f>
        <v/>
      </c>
      <c r="M2530" s="306" t="n"/>
      <c r="N2530" s="306" t="n"/>
      <c r="O2530" s="306" t="n"/>
      <c r="P2530" s="306" t="n"/>
      <c r="Q2530" s="306" t="n"/>
    </row>
    <row r="2531" ht="18.75" customHeight="1">
      <c r="B2531" s="288" t="n">
        <v>45647</v>
      </c>
      <c r="C2531" s="289" t="n">
        <v>1776</v>
      </c>
      <c r="D2531" s="290" t="inlineStr">
        <is>
          <t>Traveling Bandung - Jakarta</t>
        </is>
      </c>
      <c r="E2531" s="306" t="inlineStr">
        <is>
          <t>-</t>
        </is>
      </c>
      <c r="F2531" s="307" t="n">
        <v>160000</v>
      </c>
      <c r="G2531" s="289" t="inlineStr">
        <is>
          <t>IDR</t>
        </is>
      </c>
      <c r="H2531" s="293" t="n">
        <v>1</v>
      </c>
      <c r="I2531" s="306" t="n"/>
      <c r="J2531" s="306" t="n"/>
      <c r="K2531" s="306" t="n"/>
      <c r="L2531" s="307">
        <f>$F2531*$H2531</f>
        <v/>
      </c>
      <c r="M2531" s="306" t="n"/>
      <c r="N2531" s="306" t="n"/>
      <c r="O2531" s="306" t="n"/>
      <c r="P2531" s="306" t="n"/>
      <c r="Q2531" s="306" t="n"/>
    </row>
    <row r="2532">
      <c r="B2532" s="312" t="n"/>
      <c r="C2532" s="312" t="n"/>
      <c r="D2532" s="285" t="inlineStr">
        <is>
          <t>IT Services</t>
        </is>
      </c>
      <c r="E2532" s="312" t="n"/>
      <c r="F2532" s="312" t="n"/>
      <c r="G2532" s="312" t="n"/>
      <c r="H2532" s="312" t="n"/>
      <c r="I2532" s="312" t="n"/>
      <c r="J2532" s="312" t="n"/>
      <c r="K2532" s="312" t="n"/>
      <c r="L2532" s="312" t="n"/>
      <c r="M2532" s="312" t="n"/>
      <c r="N2532" s="312" t="n"/>
      <c r="O2532" s="312" t="n"/>
      <c r="P2532" s="312" t="n"/>
      <c r="Q2532" s="312" t="n"/>
    </row>
    <row r="2533" ht="18.75" customHeight="1">
      <c r="B2533" s="288" t="n">
        <v>45650</v>
      </c>
      <c r="C2533" s="289" t="n">
        <v>1777</v>
      </c>
      <c r="D2533" s="290" t="inlineStr">
        <is>
          <t>payment for hotel Grand Dafam and</t>
        </is>
      </c>
      <c r="E2533" s="306" t="inlineStr">
        <is>
          <t>-</t>
        </is>
      </c>
      <c r="F2533" s="307" t="n">
        <v>4913283</v>
      </c>
      <c r="G2533" s="289" t="inlineStr">
        <is>
          <t>IDR</t>
        </is>
      </c>
      <c r="H2533" s="293" t="n">
        <v>1</v>
      </c>
      <c r="I2533" s="306" t="n"/>
      <c r="J2533" s="306" t="n"/>
      <c r="K2533" s="306" t="n"/>
      <c r="L2533" s="306" t="n"/>
      <c r="M2533" s="307">
        <f>$F2533*$H2533</f>
        <v/>
      </c>
      <c r="N2533" s="306" t="n"/>
      <c r="O2533" s="306" t="n"/>
      <c r="P2533" s="306" t="n"/>
      <c r="Q2533" s="306" t="n"/>
    </row>
    <row r="2534" ht="18.75" customHeight="1">
      <c r="B2534" s="288" t="n">
        <v>45650</v>
      </c>
      <c r="C2534" s="289" t="n">
        <v>1778</v>
      </c>
      <c r="D2534" s="290" t="inlineStr">
        <is>
          <t>payment for hotel Grand Dafam and</t>
        </is>
      </c>
      <c r="E2534" s="306" t="inlineStr">
        <is>
          <t>-</t>
        </is>
      </c>
      <c r="F2534" s="307" t="n">
        <v>4913283</v>
      </c>
      <c r="G2534" s="289" t="inlineStr">
        <is>
          <t>IDR</t>
        </is>
      </c>
      <c r="H2534" s="293" t="n">
        <v>1</v>
      </c>
      <c r="I2534" s="306" t="n"/>
      <c r="J2534" s="306" t="n"/>
      <c r="K2534" s="306" t="n"/>
      <c r="L2534" s="306" t="n"/>
      <c r="M2534" s="307">
        <f>$F2534*$H2534</f>
        <v/>
      </c>
      <c r="N2534" s="306" t="n"/>
      <c r="O2534" s="306" t="n"/>
      <c r="P2534" s="306" t="n"/>
      <c r="Q2534" s="306" t="n"/>
    </row>
    <row r="2535" ht="18.75" customHeight="1">
      <c r="B2535" s="288" t="n">
        <v>45650</v>
      </c>
      <c r="C2535" s="289" t="n">
        <v>1779</v>
      </c>
      <c r="D2535" s="290" t="inlineStr">
        <is>
          <t>payment for hotel Grand Dafam and</t>
        </is>
      </c>
      <c r="E2535" s="306" t="inlineStr">
        <is>
          <t>-</t>
        </is>
      </c>
      <c r="F2535" s="307" t="n">
        <v>4913283</v>
      </c>
      <c r="G2535" s="289" t="inlineStr">
        <is>
          <t>IDR</t>
        </is>
      </c>
      <c r="H2535" s="293" t="n">
        <v>1</v>
      </c>
      <c r="I2535" s="306" t="n"/>
      <c r="J2535" s="306" t="n"/>
      <c r="K2535" s="306" t="n"/>
      <c r="L2535" s="306" t="n"/>
      <c r="M2535" s="307">
        <f>$F2535*$H2535</f>
        <v/>
      </c>
      <c r="N2535" s="306" t="n"/>
      <c r="O2535" s="306" t="n"/>
      <c r="P2535" s="306" t="n"/>
      <c r="Q2535" s="306" t="n"/>
    </row>
    <row r="2536" ht="18.75" customHeight="1">
      <c r="B2536" s="288" t="n">
        <v>45650</v>
      </c>
      <c r="C2536" s="289" t="n">
        <v>1780</v>
      </c>
      <c r="D2536" s="290" t="inlineStr">
        <is>
          <t>payment for hotel Grand Dafam and</t>
        </is>
      </c>
      <c r="E2536" s="306" t="inlineStr">
        <is>
          <t>-</t>
        </is>
      </c>
      <c r="F2536" s="307" t="n">
        <v>4913283</v>
      </c>
      <c r="G2536" s="289" t="inlineStr">
        <is>
          <t>IDR</t>
        </is>
      </c>
      <c r="H2536" s="293" t="n">
        <v>1</v>
      </c>
      <c r="I2536" s="306" t="n"/>
      <c r="J2536" s="306" t="n"/>
      <c r="K2536" s="306" t="n"/>
      <c r="L2536" s="306" t="n"/>
      <c r="M2536" s="307">
        <f>$F2536*$H2536</f>
        <v/>
      </c>
      <c r="N2536" s="306" t="n"/>
      <c r="O2536" s="306" t="n"/>
      <c r="P2536" s="306" t="n"/>
      <c r="Q2536" s="306" t="n"/>
    </row>
    <row r="2537">
      <c r="B2537" s="312" t="n"/>
      <c r="C2537" s="312" t="n"/>
      <c r="D2537" s="285" t="inlineStr">
        <is>
          <t>Meal</t>
        </is>
      </c>
      <c r="E2537" s="312" t="n"/>
      <c r="F2537" s="312" t="n"/>
      <c r="G2537" s="312" t="n"/>
      <c r="H2537" s="312" t="n"/>
      <c r="I2537" s="312" t="n"/>
      <c r="J2537" s="312" t="n"/>
      <c r="K2537" s="312" t="n"/>
      <c r="L2537" s="312" t="n"/>
      <c r="M2537" s="312" t="n"/>
      <c r="N2537" s="312" t="n"/>
      <c r="O2537" s="312" t="n"/>
      <c r="P2537" s="312" t="n"/>
      <c r="Q2537" s="312" t="n"/>
    </row>
    <row r="2538" ht="18.75" customHeight="1">
      <c r="B2538" s="288" t="n">
        <v>45646</v>
      </c>
      <c r="C2538" s="289" t="n">
        <v>1781</v>
      </c>
      <c r="D2538" s="290" t="inlineStr">
        <is>
          <t>Meal</t>
        </is>
      </c>
      <c r="E2538" s="306" t="inlineStr">
        <is>
          <t>-</t>
        </is>
      </c>
      <c r="F2538" s="307" t="n">
        <v>195585</v>
      </c>
      <c r="G2538" s="289" t="inlineStr">
        <is>
          <t>IDR</t>
        </is>
      </c>
      <c r="H2538" s="293" t="n">
        <v>1</v>
      </c>
      <c r="I2538" s="306" t="n"/>
      <c r="J2538" s="306" t="n"/>
      <c r="K2538" s="306" t="n"/>
      <c r="L2538" s="307">
        <f>$F2538*$H2538</f>
        <v/>
      </c>
      <c r="M2538" s="306" t="n"/>
      <c r="N2538" s="306" t="n"/>
      <c r="O2538" s="306" t="n"/>
      <c r="P2538" s="306" t="n"/>
      <c r="Q2538" s="306" t="n"/>
    </row>
    <row r="2539" ht="18.75" customHeight="1">
      <c r="B2539" s="288" t="n">
        <v>45646</v>
      </c>
      <c r="C2539" s="289" t="n">
        <v>1782</v>
      </c>
      <c r="D2539" s="290" t="inlineStr">
        <is>
          <t>Meal</t>
        </is>
      </c>
      <c r="E2539" s="306" t="inlineStr">
        <is>
          <t>-</t>
        </is>
      </c>
      <c r="F2539" s="307" t="n">
        <v>195585</v>
      </c>
      <c r="G2539" s="289" t="inlineStr">
        <is>
          <t>IDR</t>
        </is>
      </c>
      <c r="H2539" s="293" t="n">
        <v>1</v>
      </c>
      <c r="I2539" s="306" t="n"/>
      <c r="J2539" s="306" t="n"/>
      <c r="K2539" s="306" t="n"/>
      <c r="L2539" s="307">
        <f>$F2539*$H2539</f>
        <v/>
      </c>
      <c r="M2539" s="306" t="n"/>
      <c r="N2539" s="306" t="n"/>
      <c r="O2539" s="306" t="n"/>
      <c r="P2539" s="306" t="n"/>
      <c r="Q2539" s="306" t="n"/>
    </row>
    <row r="2540" ht="18.75" customHeight="1">
      <c r="B2540" s="288" t="n">
        <v>45646</v>
      </c>
      <c r="C2540" s="289" t="n">
        <v>1783</v>
      </c>
      <c r="D2540" s="290" t="inlineStr">
        <is>
          <t>Meal</t>
        </is>
      </c>
      <c r="E2540" s="306" t="inlineStr">
        <is>
          <t>-</t>
        </is>
      </c>
      <c r="F2540" s="307" t="n">
        <v>195585</v>
      </c>
      <c r="G2540" s="289" t="inlineStr">
        <is>
          <t>IDR</t>
        </is>
      </c>
      <c r="H2540" s="293" t="n">
        <v>1</v>
      </c>
      <c r="I2540" s="306" t="n"/>
      <c r="J2540" s="306" t="n"/>
      <c r="K2540" s="306" t="n"/>
      <c r="L2540" s="307">
        <f>$F2540*$H2540</f>
        <v/>
      </c>
      <c r="M2540" s="306" t="n"/>
      <c r="N2540" s="306" t="n"/>
      <c r="O2540" s="306" t="n"/>
      <c r="P2540" s="306" t="n"/>
      <c r="Q2540" s="306" t="n"/>
    </row>
    <row r="2541" ht="18.75" customHeight="1">
      <c r="B2541" s="288" t="n">
        <v>45646</v>
      </c>
      <c r="C2541" s="289" t="n">
        <v>1784</v>
      </c>
      <c r="D2541" s="290" t="inlineStr">
        <is>
          <t>Meal</t>
        </is>
      </c>
      <c r="E2541" s="306" t="inlineStr">
        <is>
          <t>-</t>
        </is>
      </c>
      <c r="F2541" s="307" t="n">
        <v>195585</v>
      </c>
      <c r="G2541" s="289" t="inlineStr">
        <is>
          <t>IDR</t>
        </is>
      </c>
      <c r="H2541" s="293" t="n">
        <v>1</v>
      </c>
      <c r="I2541" s="306" t="n"/>
      <c r="J2541" s="306" t="n"/>
      <c r="K2541" s="306" t="n"/>
      <c r="L2541" s="307">
        <f>$F2541*$H2541</f>
        <v/>
      </c>
      <c r="M2541" s="306" t="n"/>
      <c r="N2541" s="306" t="n"/>
      <c r="O2541" s="306" t="n"/>
      <c r="P2541" s="306" t="n"/>
      <c r="Q2541" s="306" t="n"/>
    </row>
    <row r="2542" ht="18.75" customHeight="1">
      <c r="B2542" s="288" t="n">
        <v>45647</v>
      </c>
      <c r="C2542" s="289" t="n">
        <v>1785</v>
      </c>
      <c r="D2542" s="290" t="inlineStr">
        <is>
          <t>Meal</t>
        </is>
      </c>
      <c r="E2542" s="306" t="inlineStr">
        <is>
          <t>-</t>
        </is>
      </c>
      <c r="F2542" s="307" t="n">
        <v>299900</v>
      </c>
      <c r="G2542" s="289" t="inlineStr">
        <is>
          <t>IDR</t>
        </is>
      </c>
      <c r="H2542" s="293" t="n">
        <v>1</v>
      </c>
      <c r="I2542" s="306" t="n"/>
      <c r="J2542" s="306" t="n"/>
      <c r="K2542" s="306" t="n"/>
      <c r="L2542" s="307">
        <f>$F2542*$H2542</f>
        <v/>
      </c>
      <c r="M2542" s="306" t="n"/>
      <c r="N2542" s="306" t="n"/>
      <c r="O2542" s="306" t="n"/>
      <c r="P2542" s="306" t="n"/>
      <c r="Q2542" s="306" t="n"/>
    </row>
    <row r="2543" ht="18.75" customHeight="1">
      <c r="B2543" s="288" t="n">
        <v>45647</v>
      </c>
      <c r="C2543" s="289" t="n">
        <v>1786</v>
      </c>
      <c r="D2543" s="290" t="inlineStr">
        <is>
          <t>Meal</t>
        </is>
      </c>
      <c r="E2543" s="306" t="inlineStr">
        <is>
          <t>-</t>
        </is>
      </c>
      <c r="F2543" s="307" t="n">
        <v>299900</v>
      </c>
      <c r="G2543" s="289" t="inlineStr">
        <is>
          <t>IDR</t>
        </is>
      </c>
      <c r="H2543" s="293" t="n">
        <v>1</v>
      </c>
      <c r="I2543" s="306" t="n"/>
      <c r="J2543" s="306" t="n"/>
      <c r="K2543" s="306" t="n"/>
      <c r="L2543" s="307">
        <f>$F2543*$H2543</f>
        <v/>
      </c>
      <c r="M2543" s="306" t="n"/>
      <c r="N2543" s="306" t="n"/>
      <c r="O2543" s="306" t="n"/>
      <c r="P2543" s="306" t="n"/>
      <c r="Q2543" s="306" t="n"/>
    </row>
    <row r="2544" ht="18.75" customHeight="1">
      <c r="B2544" s="288" t="n">
        <v>45647</v>
      </c>
      <c r="C2544" s="289" t="n">
        <v>1787</v>
      </c>
      <c r="D2544" s="290" t="inlineStr">
        <is>
          <t>Meal</t>
        </is>
      </c>
      <c r="E2544" s="306" t="inlineStr">
        <is>
          <t>-</t>
        </is>
      </c>
      <c r="F2544" s="307" t="n">
        <v>299900</v>
      </c>
      <c r="G2544" s="289" t="inlineStr">
        <is>
          <t>IDR</t>
        </is>
      </c>
      <c r="H2544" s="293" t="n">
        <v>1</v>
      </c>
      <c r="I2544" s="306" t="n"/>
      <c r="J2544" s="306" t="n"/>
      <c r="K2544" s="306" t="n"/>
      <c r="L2544" s="307">
        <f>$F2544*$H2544</f>
        <v/>
      </c>
      <c r="M2544" s="306" t="n"/>
      <c r="N2544" s="306" t="n"/>
      <c r="O2544" s="306" t="n"/>
      <c r="P2544" s="306" t="n"/>
      <c r="Q2544" s="306" t="n"/>
    </row>
    <row r="2545" ht="18.75" customHeight="1">
      <c r="B2545" s="288" t="n">
        <v>45647</v>
      </c>
      <c r="C2545" s="289" t="n">
        <v>1788</v>
      </c>
      <c r="D2545" s="290" t="inlineStr">
        <is>
          <t>Meal</t>
        </is>
      </c>
      <c r="E2545" s="306" t="inlineStr">
        <is>
          <t>-</t>
        </is>
      </c>
      <c r="F2545" s="307" t="n">
        <v>299900</v>
      </c>
      <c r="G2545" s="289" t="inlineStr">
        <is>
          <t>IDR</t>
        </is>
      </c>
      <c r="H2545" s="293" t="n">
        <v>1</v>
      </c>
      <c r="I2545" s="306" t="n"/>
      <c r="J2545" s="306" t="n"/>
      <c r="K2545" s="306" t="n"/>
      <c r="L2545" s="307">
        <f>$F2545*$H2545</f>
        <v/>
      </c>
      <c r="M2545" s="306" t="n"/>
      <c r="N2545" s="306" t="n"/>
      <c r="O2545" s="306" t="n"/>
      <c r="P2545" s="306" t="n"/>
      <c r="Q2545" s="306" t="n"/>
    </row>
    <row r="2546">
      <c r="B2546" s="312" t="n"/>
      <c r="C2546" s="312" t="n"/>
      <c r="D2546" s="285" t="inlineStr">
        <is>
          <t>Transportation</t>
        </is>
      </c>
      <c r="E2546" s="312" t="n"/>
      <c r="F2546" s="312" t="n"/>
      <c r="G2546" s="312" t="n"/>
      <c r="H2546" s="312" t="n"/>
      <c r="I2546" s="312" t="n"/>
      <c r="J2546" s="312" t="n"/>
      <c r="K2546" s="312" t="n"/>
      <c r="L2546" s="312" t="n"/>
      <c r="M2546" s="312" t="n"/>
      <c r="N2546" s="312" t="n"/>
      <c r="O2546" s="312" t="n"/>
      <c r="P2546" s="312" t="n"/>
      <c r="Q2546" s="312" t="n"/>
    </row>
    <row r="2547" ht="18.75" customHeight="1">
      <c r="B2547" s="288" t="n">
        <v>45647</v>
      </c>
      <c r="C2547" s="289" t="n">
        <v>1789</v>
      </c>
      <c r="D2547" s="290" t="inlineStr">
        <is>
          <t>Taksi around the Bandung city for 2 days</t>
        </is>
      </c>
      <c r="E2547" s="306" t="inlineStr">
        <is>
          <t>-</t>
        </is>
      </c>
      <c r="F2547" s="307" t="n">
        <v>200000</v>
      </c>
      <c r="G2547" s="289" t="inlineStr">
        <is>
          <t>IDR</t>
        </is>
      </c>
      <c r="H2547" s="293" t="n">
        <v>1</v>
      </c>
      <c r="I2547" s="306" t="n"/>
      <c r="J2547" s="306" t="n"/>
      <c r="K2547" s="306" t="n"/>
      <c r="L2547" s="307">
        <f>$F2547*$H2547</f>
        <v/>
      </c>
      <c r="M2547" s="306" t="n"/>
      <c r="N2547" s="306" t="n"/>
      <c r="O2547" s="306" t="n"/>
      <c r="P2547" s="306" t="n"/>
      <c r="Q2547" s="306" t="n"/>
    </row>
    <row r="2548" ht="18.75" customHeight="1">
      <c r="B2548" s="288" t="n">
        <v>45647</v>
      </c>
      <c r="C2548" s="289" t="n">
        <v>1790</v>
      </c>
      <c r="D2548" s="290" t="inlineStr">
        <is>
          <t>Taksi around the Bandung city for 2 days</t>
        </is>
      </c>
      <c r="E2548" s="306" t="inlineStr">
        <is>
          <t>-</t>
        </is>
      </c>
      <c r="F2548" s="307" t="n">
        <v>200000</v>
      </c>
      <c r="G2548" s="289" t="inlineStr">
        <is>
          <t>IDR</t>
        </is>
      </c>
      <c r="H2548" s="293" t="n">
        <v>1</v>
      </c>
      <c r="I2548" s="306" t="n"/>
      <c r="J2548" s="306" t="n"/>
      <c r="K2548" s="306" t="n"/>
      <c r="L2548" s="307">
        <f>$F2548*$H2548</f>
        <v/>
      </c>
      <c r="M2548" s="306" t="n"/>
      <c r="N2548" s="306" t="n"/>
      <c r="O2548" s="306" t="n"/>
      <c r="P2548" s="306" t="n"/>
      <c r="Q2548" s="306" t="n"/>
    </row>
    <row r="2549" ht="18.75" customHeight="1">
      <c r="B2549" s="288" t="n">
        <v>45647</v>
      </c>
      <c r="C2549" s="289" t="n">
        <v>1791</v>
      </c>
      <c r="D2549" s="290" t="inlineStr">
        <is>
          <t>Taksi around the Bandung city for 2 days</t>
        </is>
      </c>
      <c r="E2549" s="306" t="inlineStr">
        <is>
          <t>-</t>
        </is>
      </c>
      <c r="F2549" s="307" t="n">
        <v>200000</v>
      </c>
      <c r="G2549" s="289" t="inlineStr">
        <is>
          <t>IDR</t>
        </is>
      </c>
      <c r="H2549" s="293" t="n">
        <v>1</v>
      </c>
      <c r="I2549" s="306" t="n"/>
      <c r="J2549" s="306" t="n"/>
      <c r="K2549" s="306" t="n"/>
      <c r="L2549" s="307">
        <f>$F2549*$H2549</f>
        <v/>
      </c>
      <c r="M2549" s="306" t="n"/>
      <c r="N2549" s="306" t="n"/>
      <c r="O2549" s="306" t="n"/>
      <c r="P2549" s="306" t="n"/>
      <c r="Q2549" s="306" t="n"/>
    </row>
    <row r="2550" ht="18.75" customHeight="1">
      <c r="B2550" s="288" t="n">
        <v>45647</v>
      </c>
      <c r="C2550" s="289" t="n">
        <v>1792</v>
      </c>
      <c r="D2550" s="290" t="inlineStr">
        <is>
          <t>Taksi around the Bandung city for 2 days</t>
        </is>
      </c>
      <c r="E2550" s="306" t="inlineStr">
        <is>
          <t>-</t>
        </is>
      </c>
      <c r="F2550" s="307" t="n">
        <v>200000</v>
      </c>
      <c r="G2550" s="289" t="inlineStr">
        <is>
          <t>IDR</t>
        </is>
      </c>
      <c r="H2550" s="293" t="n">
        <v>1</v>
      </c>
      <c r="I2550" s="306" t="n"/>
      <c r="J2550" s="306" t="n"/>
      <c r="K2550" s="306" t="n"/>
      <c r="L2550" s="307">
        <f>$F2550*$H2550</f>
        <v/>
      </c>
      <c r="M2550" s="306" t="n"/>
      <c r="N2550" s="306" t="n"/>
      <c r="O2550" s="306" t="n"/>
      <c r="P2550" s="306" t="n"/>
      <c r="Q2550" s="306" t="n"/>
    </row>
    <row r="2551">
      <c r="B2551" s="310" t="inlineStr">
        <is>
          <t>Expense#45</t>
        </is>
      </c>
      <c r="C2551" s="311" t="inlineStr">
        <is>
          <t>:</t>
        </is>
      </c>
      <c r="D2551" s="310" t="inlineStr">
        <is>
          <t>General Operation_Year 2024 - AM</t>
        </is>
      </c>
      <c r="E2551" s="311" t="n"/>
      <c r="F2551" s="311" t="n"/>
      <c r="G2551" s="311" t="n"/>
      <c r="H2551" s="311" t="n"/>
      <c r="I2551" s="311" t="n"/>
      <c r="J2551" s="311" t="n"/>
      <c r="K2551" s="311" t="n"/>
      <c r="L2551" s="311" t="n"/>
      <c r="M2551" s="311" t="n"/>
      <c r="N2551" s="311" t="n"/>
      <c r="O2551" s="311" t="n"/>
      <c r="P2551" s="311" t="n"/>
      <c r="Q2551" s="311" t="n"/>
    </row>
    <row r="2552">
      <c r="B2552" s="312" t="n"/>
      <c r="C2552" s="312" t="n"/>
      <c r="D2552" s="285" t="inlineStr">
        <is>
          <t>Accommodation</t>
        </is>
      </c>
      <c r="E2552" s="312" t="n"/>
      <c r="F2552" s="312" t="n"/>
      <c r="G2552" s="312" t="n"/>
      <c r="H2552" s="312" t="n"/>
      <c r="I2552" s="312" t="n"/>
      <c r="J2552" s="312" t="n"/>
      <c r="K2552" s="312" t="n"/>
      <c r="L2552" s="312" t="n"/>
      <c r="M2552" s="312" t="n"/>
      <c r="N2552" s="312" t="n"/>
      <c r="O2552" s="312" t="n"/>
      <c r="P2552" s="312" t="n"/>
      <c r="Q2552" s="312" t="n"/>
    </row>
    <row r="2553" ht="18.75" customHeight="1">
      <c r="B2553" s="288" t="n">
        <v>45362</v>
      </c>
      <c r="C2553" s="289" t="n">
        <v>1793</v>
      </c>
      <c r="D2553" s="290" t="inlineStr">
        <is>
          <t>Flight CGK-KUL + Hotel 1 night</t>
        </is>
      </c>
      <c r="E2553" s="306" t="inlineStr">
        <is>
          <t>-</t>
        </is>
      </c>
      <c r="F2553" s="307" t="n">
        <v>1803353</v>
      </c>
      <c r="G2553" s="289" t="inlineStr">
        <is>
          <t>IDR</t>
        </is>
      </c>
      <c r="H2553" s="293" t="n">
        <v>1</v>
      </c>
      <c r="I2553" s="306" t="n"/>
      <c r="J2553" s="306" t="n"/>
      <c r="K2553" s="306" t="n"/>
      <c r="L2553" s="307">
        <f>$F2553*$H2553</f>
        <v/>
      </c>
      <c r="M2553" s="306" t="n"/>
      <c r="N2553" s="306" t="n"/>
      <c r="O2553" s="306" t="n"/>
      <c r="P2553" s="306" t="n"/>
      <c r="Q2553" s="306" t="n"/>
    </row>
    <row r="2554" ht="18.75" customHeight="1">
      <c r="B2554" s="288" t="n">
        <v>45362</v>
      </c>
      <c r="C2554" s="289" t="n">
        <v>1794</v>
      </c>
      <c r="D2554" s="290" t="inlineStr">
        <is>
          <t>Flight CGK-KUL + Hotel 1 night</t>
        </is>
      </c>
      <c r="E2554" s="306" t="inlineStr">
        <is>
          <t>-</t>
        </is>
      </c>
      <c r="F2554" s="307" t="n">
        <v>1803353</v>
      </c>
      <c r="G2554" s="289" t="inlineStr">
        <is>
          <t>IDR</t>
        </is>
      </c>
      <c r="H2554" s="293" t="n">
        <v>1</v>
      </c>
      <c r="I2554" s="306" t="n"/>
      <c r="J2554" s="306" t="n"/>
      <c r="K2554" s="306" t="n"/>
      <c r="L2554" s="307">
        <f>$F2554*$H2554</f>
        <v/>
      </c>
      <c r="M2554" s="306" t="n"/>
      <c r="N2554" s="306" t="n"/>
      <c r="O2554" s="306" t="n"/>
      <c r="P2554" s="306" t="n"/>
      <c r="Q2554" s="306" t="n"/>
    </row>
    <row r="2555" ht="18.75" customHeight="1">
      <c r="B2555" s="288" t="n">
        <v>45362</v>
      </c>
      <c r="C2555" s="289" t="n">
        <v>1795</v>
      </c>
      <c r="D2555" s="290" t="inlineStr">
        <is>
          <t>Flight CGK-KUL + Hotel 1 night</t>
        </is>
      </c>
      <c r="E2555" s="306" t="inlineStr">
        <is>
          <t>-</t>
        </is>
      </c>
      <c r="F2555" s="307" t="n">
        <v>1803353</v>
      </c>
      <c r="G2555" s="289" t="inlineStr">
        <is>
          <t>IDR</t>
        </is>
      </c>
      <c r="H2555" s="293" t="n">
        <v>1</v>
      </c>
      <c r="I2555" s="306" t="n"/>
      <c r="J2555" s="306" t="n"/>
      <c r="K2555" s="306" t="n"/>
      <c r="L2555" s="307">
        <f>$F2555*$H2555</f>
        <v/>
      </c>
      <c r="M2555" s="306" t="n"/>
      <c r="N2555" s="306" t="n"/>
      <c r="O2555" s="306" t="n"/>
      <c r="P2555" s="306" t="n"/>
      <c r="Q2555" s="306" t="n"/>
    </row>
    <row r="2556" ht="18.75" customHeight="1">
      <c r="B2556" s="288" t="n">
        <v>45362</v>
      </c>
      <c r="C2556" s="289" t="n">
        <v>1796</v>
      </c>
      <c r="D2556" s="290" t="inlineStr">
        <is>
          <t>Flight CGK-KUL + Hotel 1 night</t>
        </is>
      </c>
      <c r="E2556" s="306" t="inlineStr">
        <is>
          <t>-</t>
        </is>
      </c>
      <c r="F2556" s="307" t="n">
        <v>1803353</v>
      </c>
      <c r="G2556" s="289" t="inlineStr">
        <is>
          <t>IDR</t>
        </is>
      </c>
      <c r="H2556" s="293" t="n">
        <v>1</v>
      </c>
      <c r="I2556" s="306" t="n"/>
      <c r="J2556" s="306" t="n"/>
      <c r="K2556" s="306" t="n"/>
      <c r="L2556" s="307">
        <f>$F2556*$H2556</f>
        <v/>
      </c>
      <c r="M2556" s="306" t="n"/>
      <c r="N2556" s="306" t="n"/>
      <c r="O2556" s="306" t="n"/>
      <c r="P2556" s="306" t="n"/>
      <c r="Q2556" s="306" t="n"/>
    </row>
    <row r="2557" ht="18.75" customHeight="1">
      <c r="B2557" s="288" t="n">
        <v>45647</v>
      </c>
      <c r="C2557" s="289" t="n">
        <v>1797</v>
      </c>
      <c r="D2557" s="290" t="inlineStr">
        <is>
          <t>Hotel 1 night 20 - 21 Dec 2024</t>
        </is>
      </c>
      <c r="E2557" s="306" t="inlineStr">
        <is>
          <t>-</t>
        </is>
      </c>
      <c r="F2557" s="307" t="n">
        <v>784000</v>
      </c>
      <c r="G2557" s="289" t="inlineStr">
        <is>
          <t>IDR</t>
        </is>
      </c>
      <c r="H2557" s="293" t="n">
        <v>1</v>
      </c>
      <c r="I2557" s="306" t="n"/>
      <c r="J2557" s="306" t="n"/>
      <c r="K2557" s="306" t="n"/>
      <c r="L2557" s="307">
        <f>$F2557*$H2557</f>
        <v/>
      </c>
      <c r="M2557" s="306" t="n"/>
      <c r="N2557" s="306" t="n"/>
      <c r="O2557" s="306" t="n"/>
      <c r="P2557" s="306" t="n"/>
      <c r="Q2557" s="306" t="n"/>
    </row>
    <row r="2558" ht="18.75" customHeight="1">
      <c r="B2558" s="288" t="n">
        <v>45647</v>
      </c>
      <c r="C2558" s="289" t="n">
        <v>1798</v>
      </c>
      <c r="D2558" s="290" t="inlineStr">
        <is>
          <t>Hotel 1 night 20 - 21 Dec 2024</t>
        </is>
      </c>
      <c r="E2558" s="306" t="inlineStr">
        <is>
          <t>-</t>
        </is>
      </c>
      <c r="F2558" s="307" t="n">
        <v>784000</v>
      </c>
      <c r="G2558" s="289" t="inlineStr">
        <is>
          <t>IDR</t>
        </is>
      </c>
      <c r="H2558" s="293" t="n">
        <v>1</v>
      </c>
      <c r="I2558" s="306" t="n"/>
      <c r="J2558" s="306" t="n"/>
      <c r="K2558" s="306" t="n"/>
      <c r="L2558" s="307">
        <f>$F2558*$H2558</f>
        <v/>
      </c>
      <c r="M2558" s="306" t="n"/>
      <c r="N2558" s="306" t="n"/>
      <c r="O2558" s="306" t="n"/>
      <c r="P2558" s="306" t="n"/>
      <c r="Q2558" s="306" t="n"/>
    </row>
    <row r="2559" ht="18.75" customHeight="1">
      <c r="B2559" s="288" t="n">
        <v>45647</v>
      </c>
      <c r="C2559" s="289" t="n">
        <v>1799</v>
      </c>
      <c r="D2559" s="290" t="inlineStr">
        <is>
          <t>Hotel 1 night 20 - 21 Dec 2024</t>
        </is>
      </c>
      <c r="E2559" s="306" t="inlineStr">
        <is>
          <t>-</t>
        </is>
      </c>
      <c r="F2559" s="307" t="n">
        <v>784000</v>
      </c>
      <c r="G2559" s="289" t="inlineStr">
        <is>
          <t>IDR</t>
        </is>
      </c>
      <c r="H2559" s="293" t="n">
        <v>1</v>
      </c>
      <c r="I2559" s="306" t="n"/>
      <c r="J2559" s="306" t="n"/>
      <c r="K2559" s="306" t="n"/>
      <c r="L2559" s="307">
        <f>$F2559*$H2559</f>
        <v/>
      </c>
      <c r="M2559" s="306" t="n"/>
      <c r="N2559" s="306" t="n"/>
      <c r="O2559" s="306" t="n"/>
      <c r="P2559" s="306" t="n"/>
      <c r="Q2559" s="306" t="n"/>
    </row>
    <row r="2560" ht="18.75" customHeight="1">
      <c r="B2560" s="288" t="n">
        <v>45647</v>
      </c>
      <c r="C2560" s="289" t="n">
        <v>1800</v>
      </c>
      <c r="D2560" s="290" t="inlineStr">
        <is>
          <t>Hotel 1 night 20 - 21 Dec 2024</t>
        </is>
      </c>
      <c r="E2560" s="306" t="inlineStr">
        <is>
          <t>-</t>
        </is>
      </c>
      <c r="F2560" s="307" t="n">
        <v>784000</v>
      </c>
      <c r="G2560" s="289" t="inlineStr">
        <is>
          <t>IDR</t>
        </is>
      </c>
      <c r="H2560" s="293" t="n">
        <v>1</v>
      </c>
      <c r="I2560" s="306" t="n"/>
      <c r="J2560" s="306" t="n"/>
      <c r="K2560" s="306" t="n"/>
      <c r="L2560" s="307">
        <f>$F2560*$H2560</f>
        <v/>
      </c>
      <c r="M2560" s="306" t="n"/>
      <c r="N2560" s="306" t="n"/>
      <c r="O2560" s="306" t="n"/>
      <c r="P2560" s="306" t="n"/>
      <c r="Q2560" s="306" t="n"/>
    </row>
    <row r="2561">
      <c r="B2561" s="312" t="n"/>
      <c r="C2561" s="312" t="n"/>
      <c r="D2561" s="285" t="inlineStr">
        <is>
          <t>Allowance</t>
        </is>
      </c>
      <c r="E2561" s="312" t="n"/>
      <c r="F2561" s="312" t="n"/>
      <c r="G2561" s="312" t="n"/>
      <c r="H2561" s="312" t="n"/>
      <c r="I2561" s="312" t="n"/>
      <c r="J2561" s="312" t="n"/>
      <c r="K2561" s="312" t="n"/>
      <c r="L2561" s="312" t="n"/>
      <c r="M2561" s="312" t="n"/>
      <c r="N2561" s="312" t="n"/>
      <c r="O2561" s="312" t="n"/>
      <c r="P2561" s="312" t="n"/>
      <c r="Q2561" s="312" t="n"/>
    </row>
    <row r="2562" ht="18.75" customHeight="1">
      <c r="B2562" s="288" t="n">
        <v>45405</v>
      </c>
      <c r="C2562" s="289" t="n">
        <v>1801</v>
      </c>
      <c r="D2562" s="290" t="inlineStr">
        <is>
          <t>Tunjangan Lapangan @ 1.5 juta/day x 2 days</t>
        </is>
      </c>
      <c r="E2562" s="306" t="inlineStr">
        <is>
          <t>-</t>
        </is>
      </c>
      <c r="F2562" s="307" t="n">
        <v>3000000</v>
      </c>
      <c r="G2562" s="289" t="inlineStr">
        <is>
          <t>IDR</t>
        </is>
      </c>
      <c r="H2562" s="293" t="n">
        <v>1</v>
      </c>
      <c r="I2562" s="306" t="n"/>
      <c r="J2562" s="306" t="n"/>
      <c r="K2562" s="306" t="n"/>
      <c r="L2562" s="307">
        <f>$F2562*$H2562</f>
        <v/>
      </c>
      <c r="M2562" s="306" t="n"/>
      <c r="N2562" s="306" t="n"/>
      <c r="O2562" s="306" t="n"/>
      <c r="P2562" s="306" t="n"/>
      <c r="Q2562" s="306" t="n"/>
    </row>
    <row r="2563" ht="18.75" customHeight="1">
      <c r="B2563" s="288" t="n">
        <v>45405</v>
      </c>
      <c r="C2563" s="289" t="n">
        <v>1802</v>
      </c>
      <c r="D2563" s="290" t="inlineStr">
        <is>
          <t>Tunjangan Lapangan @ 1.5 juta/day x 2 days</t>
        </is>
      </c>
      <c r="E2563" s="306" t="inlineStr">
        <is>
          <t>-</t>
        </is>
      </c>
      <c r="F2563" s="307" t="n">
        <v>3000000</v>
      </c>
      <c r="G2563" s="289" t="inlineStr">
        <is>
          <t>IDR</t>
        </is>
      </c>
      <c r="H2563" s="293" t="n">
        <v>1</v>
      </c>
      <c r="I2563" s="306" t="n"/>
      <c r="J2563" s="306" t="n"/>
      <c r="K2563" s="306" t="n"/>
      <c r="L2563" s="307">
        <f>$F2563*$H2563</f>
        <v/>
      </c>
      <c r="M2563" s="306" t="n"/>
      <c r="N2563" s="306" t="n"/>
      <c r="O2563" s="306" t="n"/>
      <c r="P2563" s="306" t="n"/>
      <c r="Q2563" s="306" t="n"/>
    </row>
    <row r="2564" ht="18.75" customHeight="1">
      <c r="B2564" s="288" t="n">
        <v>45405</v>
      </c>
      <c r="C2564" s="289" t="n">
        <v>1803</v>
      </c>
      <c r="D2564" s="290" t="inlineStr">
        <is>
          <t>Tunjangan Lapangan @ 1.5 juta/day x 2 days</t>
        </is>
      </c>
      <c r="E2564" s="306" t="inlineStr">
        <is>
          <t>-</t>
        </is>
      </c>
      <c r="F2564" s="307" t="n">
        <v>3000000</v>
      </c>
      <c r="G2564" s="289" t="inlineStr">
        <is>
          <t>IDR</t>
        </is>
      </c>
      <c r="H2564" s="293" t="n">
        <v>1</v>
      </c>
      <c r="I2564" s="306" t="n"/>
      <c r="J2564" s="306" t="n"/>
      <c r="K2564" s="306" t="n"/>
      <c r="L2564" s="307">
        <f>$F2564*$H2564</f>
        <v/>
      </c>
      <c r="M2564" s="306" t="n"/>
      <c r="N2564" s="306" t="n"/>
      <c r="O2564" s="306" t="n"/>
      <c r="P2564" s="306" t="n"/>
      <c r="Q2564" s="306" t="n"/>
    </row>
    <row r="2565" ht="18.75" customHeight="1">
      <c r="B2565" s="288" t="n">
        <v>45405</v>
      </c>
      <c r="C2565" s="289" t="n">
        <v>1804</v>
      </c>
      <c r="D2565" s="290" t="inlineStr">
        <is>
          <t>Tunjangan Lapangan @ 1.5 juta/day x 2 days</t>
        </is>
      </c>
      <c r="E2565" s="306" t="inlineStr">
        <is>
          <t>-</t>
        </is>
      </c>
      <c r="F2565" s="307" t="n">
        <v>3000000</v>
      </c>
      <c r="G2565" s="289" t="inlineStr">
        <is>
          <t>IDR</t>
        </is>
      </c>
      <c r="H2565" s="293" t="n">
        <v>1</v>
      </c>
      <c r="I2565" s="306" t="n"/>
      <c r="J2565" s="306" t="n"/>
      <c r="K2565" s="306" t="n"/>
      <c r="L2565" s="307">
        <f>$F2565*$H2565</f>
        <v/>
      </c>
      <c r="M2565" s="306" t="n"/>
      <c r="N2565" s="306" t="n"/>
      <c r="O2565" s="306" t="n"/>
      <c r="P2565" s="306" t="n"/>
      <c r="Q2565" s="306" t="n"/>
    </row>
    <row r="2566">
      <c r="B2566" s="312" t="n"/>
      <c r="C2566" s="312" t="n"/>
      <c r="D2566" s="285" t="inlineStr">
        <is>
          <t>Biaya Operasi Lain-lain</t>
        </is>
      </c>
      <c r="E2566" s="312" t="n"/>
      <c r="F2566" s="312" t="n"/>
      <c r="G2566" s="312" t="n"/>
      <c r="H2566" s="312" t="n"/>
      <c r="I2566" s="312" t="n"/>
      <c r="J2566" s="312" t="n"/>
      <c r="K2566" s="312" t="n"/>
      <c r="L2566" s="312" t="n"/>
      <c r="M2566" s="312" t="n"/>
      <c r="N2566" s="312" t="n"/>
      <c r="O2566" s="312" t="n"/>
      <c r="P2566" s="312" t="n"/>
      <c r="Q2566" s="312" t="n"/>
    </row>
    <row r="2567" ht="18.75" customHeight="1">
      <c r="B2567" s="288" t="n">
        <v>45335</v>
      </c>
      <c r="C2567" s="289" t="n">
        <v>1805</v>
      </c>
      <c r="D2567" s="290" t="inlineStr">
        <is>
          <t>Shipment Benchmark DTR to Malaysia</t>
        </is>
      </c>
      <c r="E2567" s="306" t="inlineStr">
        <is>
          <t>-</t>
        </is>
      </c>
      <c r="F2567" s="307" t="n">
        <v>3629.8</v>
      </c>
      <c r="G2567" s="289" t="inlineStr">
        <is>
          <t>MYR</t>
        </is>
      </c>
      <c r="H2567" s="293" t="n">
        <v>3636.89</v>
      </c>
      <c r="I2567" s="306" t="n"/>
      <c r="J2567" s="306" t="n"/>
      <c r="K2567" s="306" t="n"/>
      <c r="L2567" s="307">
        <f>$F2567*$H2567</f>
        <v/>
      </c>
      <c r="M2567" s="306" t="n"/>
      <c r="N2567" s="306" t="n"/>
      <c r="O2567" s="306" t="n"/>
      <c r="P2567" s="306" t="n"/>
      <c r="Q2567" s="306" t="n"/>
    </row>
    <row r="2568" ht="18.75" customHeight="1">
      <c r="B2568" s="288" t="n">
        <v>45335</v>
      </c>
      <c r="C2568" s="289" t="n">
        <v>1806</v>
      </c>
      <c r="D2568" s="290" t="inlineStr">
        <is>
          <t>Shipment Benchmark DTR to Malaysia</t>
        </is>
      </c>
      <c r="E2568" s="306" t="inlineStr">
        <is>
          <t>-</t>
        </is>
      </c>
      <c r="F2568" s="307" t="n">
        <v>3629.8</v>
      </c>
      <c r="G2568" s="289" t="inlineStr">
        <is>
          <t>MYR</t>
        </is>
      </c>
      <c r="H2568" s="293" t="n">
        <v>3636.89</v>
      </c>
      <c r="I2568" s="306" t="n"/>
      <c r="J2568" s="306" t="n"/>
      <c r="K2568" s="306" t="n"/>
      <c r="L2568" s="307">
        <f>$F2568*$H2568</f>
        <v/>
      </c>
      <c r="M2568" s="306" t="n"/>
      <c r="N2568" s="306" t="n"/>
      <c r="O2568" s="306" t="n"/>
      <c r="P2568" s="306" t="n"/>
      <c r="Q2568" s="306" t="n"/>
    </row>
    <row r="2569" ht="18.75" customHeight="1">
      <c r="B2569" s="288" t="n">
        <v>45335</v>
      </c>
      <c r="C2569" s="289" t="n">
        <v>1807</v>
      </c>
      <c r="D2569" s="290" t="inlineStr">
        <is>
          <t>Shipment Benchmark DTR to Malaysia</t>
        </is>
      </c>
      <c r="E2569" s="306" t="inlineStr">
        <is>
          <t>-</t>
        </is>
      </c>
      <c r="F2569" s="307" t="n">
        <v>3629.8</v>
      </c>
      <c r="G2569" s="289" t="inlineStr">
        <is>
          <t>MYR</t>
        </is>
      </c>
      <c r="H2569" s="293" t="n">
        <v>3636.89</v>
      </c>
      <c r="I2569" s="306" t="n"/>
      <c r="J2569" s="306" t="n"/>
      <c r="K2569" s="306" t="n"/>
      <c r="L2569" s="307">
        <f>$F2569*$H2569</f>
        <v/>
      </c>
      <c r="M2569" s="306" t="n"/>
      <c r="N2569" s="306" t="n"/>
      <c r="O2569" s="306" t="n"/>
      <c r="P2569" s="306" t="n"/>
      <c r="Q2569" s="306" t="n"/>
    </row>
    <row r="2570" ht="18.75" customHeight="1">
      <c r="B2570" s="288" t="n">
        <v>45335</v>
      </c>
      <c r="C2570" s="289" t="n">
        <v>1808</v>
      </c>
      <c r="D2570" s="290" t="inlineStr">
        <is>
          <t>Shipment Benchmark DTR to Malaysia</t>
        </is>
      </c>
      <c r="E2570" s="306" t="inlineStr">
        <is>
          <t>-</t>
        </is>
      </c>
      <c r="F2570" s="307" t="n">
        <v>3629.8</v>
      </c>
      <c r="G2570" s="289" t="inlineStr">
        <is>
          <t>MYR</t>
        </is>
      </c>
      <c r="H2570" s="293" t="n">
        <v>3636.89</v>
      </c>
      <c r="I2570" s="306" t="n"/>
      <c r="J2570" s="306" t="n"/>
      <c r="K2570" s="306" t="n"/>
      <c r="L2570" s="307">
        <f>$F2570*$H2570</f>
        <v/>
      </c>
      <c r="M2570" s="306" t="n"/>
      <c r="N2570" s="306" t="n"/>
      <c r="O2570" s="306" t="n"/>
      <c r="P2570" s="306" t="n"/>
      <c r="Q2570" s="306" t="n"/>
    </row>
    <row r="2571">
      <c r="B2571" s="312" t="n"/>
      <c r="C2571" s="312" t="n"/>
      <c r="D2571" s="285" t="inlineStr">
        <is>
          <t>IT Services</t>
        </is>
      </c>
      <c r="E2571" s="312" t="n"/>
      <c r="F2571" s="312" t="n"/>
      <c r="G2571" s="312" t="n"/>
      <c r="H2571" s="312" t="n"/>
      <c r="I2571" s="312" t="n"/>
      <c r="J2571" s="312" t="n"/>
      <c r="K2571" s="312" t="n"/>
      <c r="L2571" s="312" t="n"/>
      <c r="M2571" s="312" t="n"/>
      <c r="N2571" s="312" t="n"/>
      <c r="O2571" s="312" t="n"/>
      <c r="P2571" s="312" t="n"/>
      <c r="Q2571" s="312" t="n"/>
    </row>
    <row r="2572" ht="18.75" customHeight="1">
      <c r="B2572" s="288" t="n">
        <v>44789</v>
      </c>
      <c r="C2572" s="289" t="n">
        <v>1809</v>
      </c>
      <c r="D2572" s="290" t="inlineStr">
        <is>
          <t>Domain PT. Exspan Wireline Indonesia</t>
        </is>
      </c>
      <c r="E2572" s="306" t="inlineStr">
        <is>
          <t>-</t>
        </is>
      </c>
      <c r="F2572" s="307" t="n">
        <v>184182</v>
      </c>
      <c r="G2572" s="289" t="inlineStr">
        <is>
          <t>IDR</t>
        </is>
      </c>
      <c r="H2572" s="293" t="n">
        <v>1</v>
      </c>
      <c r="I2572" s="306" t="n"/>
      <c r="J2572" s="306" t="n"/>
      <c r="K2572" s="306" t="n"/>
      <c r="L2572" s="306" t="n"/>
      <c r="M2572" s="307">
        <f>$F2572*$H2572</f>
        <v/>
      </c>
      <c r="N2572" s="306" t="n"/>
      <c r="O2572" s="306" t="n"/>
      <c r="P2572" s="306" t="n"/>
      <c r="Q2572" s="306" t="n"/>
    </row>
    <row r="2573" ht="18.75" customHeight="1">
      <c r="B2573" s="288" t="n">
        <v>44789</v>
      </c>
      <c r="C2573" s="289" t="n">
        <v>1810</v>
      </c>
      <c r="D2573" s="290" t="inlineStr">
        <is>
          <t>Domain PT. Exspan Wireline Indonesia</t>
        </is>
      </c>
      <c r="E2573" s="306" t="inlineStr">
        <is>
          <t>-</t>
        </is>
      </c>
      <c r="F2573" s="307" t="n">
        <v>184182</v>
      </c>
      <c r="G2573" s="289" t="inlineStr">
        <is>
          <t>IDR</t>
        </is>
      </c>
      <c r="H2573" s="293" t="n">
        <v>1</v>
      </c>
      <c r="I2573" s="306" t="n"/>
      <c r="J2573" s="306" t="n"/>
      <c r="K2573" s="306" t="n"/>
      <c r="L2573" s="306" t="n"/>
      <c r="M2573" s="307">
        <f>$F2573*$H2573</f>
        <v/>
      </c>
      <c r="N2573" s="306" t="n"/>
      <c r="O2573" s="306" t="n"/>
      <c r="P2573" s="306" t="n"/>
      <c r="Q2573" s="306" t="n"/>
    </row>
    <row r="2574" ht="18.75" customHeight="1">
      <c r="B2574" s="288" t="n">
        <v>44789</v>
      </c>
      <c r="C2574" s="289" t="n">
        <v>1811</v>
      </c>
      <c r="D2574" s="290" t="inlineStr">
        <is>
          <t>Domain PT. Exspan Wireline Indonesia</t>
        </is>
      </c>
      <c r="E2574" s="306" t="inlineStr">
        <is>
          <t>-</t>
        </is>
      </c>
      <c r="F2574" s="307" t="n">
        <v>184182</v>
      </c>
      <c r="G2574" s="289" t="inlineStr">
        <is>
          <t>IDR</t>
        </is>
      </c>
      <c r="H2574" s="293" t="n">
        <v>1</v>
      </c>
      <c r="I2574" s="306" t="n"/>
      <c r="J2574" s="306" t="n"/>
      <c r="K2574" s="306" t="n"/>
      <c r="L2574" s="306" t="n"/>
      <c r="M2574" s="307">
        <f>$F2574*$H2574</f>
        <v/>
      </c>
      <c r="N2574" s="306" t="n"/>
      <c r="O2574" s="306" t="n"/>
      <c r="P2574" s="306" t="n"/>
      <c r="Q2574" s="306" t="n"/>
    </row>
    <row r="2575" ht="18.75" customHeight="1">
      <c r="B2575" s="288" t="n">
        <v>44789</v>
      </c>
      <c r="C2575" s="289" t="n">
        <v>1812</v>
      </c>
      <c r="D2575" s="290" t="inlineStr">
        <is>
          <t>Domain PT. Exspan Wireline Indonesia</t>
        </is>
      </c>
      <c r="E2575" s="306" t="inlineStr">
        <is>
          <t>-</t>
        </is>
      </c>
      <c r="F2575" s="307" t="n">
        <v>184182</v>
      </c>
      <c r="G2575" s="289" t="inlineStr">
        <is>
          <t>IDR</t>
        </is>
      </c>
      <c r="H2575" s="293" t="n">
        <v>1</v>
      </c>
      <c r="I2575" s="306" t="n"/>
      <c r="J2575" s="306" t="n"/>
      <c r="K2575" s="306" t="n"/>
      <c r="L2575" s="306" t="n"/>
      <c r="M2575" s="307">
        <f>$F2575*$H2575</f>
        <v/>
      </c>
      <c r="N2575" s="306" t="n"/>
      <c r="O2575" s="306" t="n"/>
      <c r="P2575" s="306" t="n"/>
      <c r="Q2575" s="306" t="n"/>
    </row>
    <row r="2576" ht="18.75" customHeight="1">
      <c r="B2576" s="288" t="n">
        <v>44820</v>
      </c>
      <c r="C2576" s="289" t="n">
        <v>1813</v>
      </c>
      <c r="D2576" s="290" t="inlineStr">
        <is>
          <t>Google Workspace PT. EWI</t>
        </is>
      </c>
      <c r="E2576" s="306" t="inlineStr">
        <is>
          <t>-</t>
        </is>
      </c>
      <c r="F2576" s="307" t="n">
        <v>107437</v>
      </c>
      <c r="G2576" s="289" t="inlineStr">
        <is>
          <t>IDR</t>
        </is>
      </c>
      <c r="H2576" s="293" t="n">
        <v>1</v>
      </c>
      <c r="I2576" s="306" t="n"/>
      <c r="J2576" s="306" t="n"/>
      <c r="K2576" s="306" t="n"/>
      <c r="L2576" s="306" t="n"/>
      <c r="M2576" s="307">
        <f>$F2576*$H2576</f>
        <v/>
      </c>
      <c r="N2576" s="306" t="n"/>
      <c r="O2576" s="306" t="n"/>
      <c r="P2576" s="306" t="n"/>
      <c r="Q2576" s="306" t="n"/>
    </row>
    <row r="2577" ht="18.75" customHeight="1">
      <c r="B2577" s="288" t="n">
        <v>44820</v>
      </c>
      <c r="C2577" s="289" t="n">
        <v>1814</v>
      </c>
      <c r="D2577" s="290" t="inlineStr">
        <is>
          <t>Google Workspace PT. EWI</t>
        </is>
      </c>
      <c r="E2577" s="306" t="inlineStr">
        <is>
          <t>-</t>
        </is>
      </c>
      <c r="F2577" s="307" t="n">
        <v>107437</v>
      </c>
      <c r="G2577" s="289" t="inlineStr">
        <is>
          <t>IDR</t>
        </is>
      </c>
      <c r="H2577" s="293" t="n">
        <v>1</v>
      </c>
      <c r="I2577" s="306" t="n"/>
      <c r="J2577" s="306" t="n"/>
      <c r="K2577" s="306" t="n"/>
      <c r="L2577" s="306" t="n"/>
      <c r="M2577" s="307">
        <f>$F2577*$H2577</f>
        <v/>
      </c>
      <c r="N2577" s="306" t="n"/>
      <c r="O2577" s="306" t="n"/>
      <c r="P2577" s="306" t="n"/>
      <c r="Q2577" s="306" t="n"/>
    </row>
    <row r="2578" ht="18.75" customHeight="1">
      <c r="B2578" s="288" t="n">
        <v>44820</v>
      </c>
      <c r="C2578" s="289" t="n">
        <v>1815</v>
      </c>
      <c r="D2578" s="290" t="inlineStr">
        <is>
          <t>Google Workspace PT. EWI</t>
        </is>
      </c>
      <c r="E2578" s="306" t="inlineStr">
        <is>
          <t>-</t>
        </is>
      </c>
      <c r="F2578" s="307" t="n">
        <v>107437</v>
      </c>
      <c r="G2578" s="289" t="inlineStr">
        <is>
          <t>IDR</t>
        </is>
      </c>
      <c r="H2578" s="293" t="n">
        <v>1</v>
      </c>
      <c r="I2578" s="306" t="n"/>
      <c r="J2578" s="306" t="n"/>
      <c r="K2578" s="306" t="n"/>
      <c r="L2578" s="306" t="n"/>
      <c r="M2578" s="307">
        <f>$F2578*$H2578</f>
        <v/>
      </c>
      <c r="N2578" s="306" t="n"/>
      <c r="O2578" s="306" t="n"/>
      <c r="P2578" s="306" t="n"/>
      <c r="Q2578" s="306" t="n"/>
    </row>
    <row r="2579" ht="18.75" customHeight="1">
      <c r="B2579" s="288" t="n">
        <v>44820</v>
      </c>
      <c r="C2579" s="289" t="n">
        <v>1816</v>
      </c>
      <c r="D2579" s="290" t="inlineStr">
        <is>
          <t>Google Workspace PT. EWI</t>
        </is>
      </c>
      <c r="E2579" s="306" t="inlineStr">
        <is>
          <t>-</t>
        </is>
      </c>
      <c r="F2579" s="307" t="n">
        <v>107437</v>
      </c>
      <c r="G2579" s="289" t="inlineStr">
        <is>
          <t>IDR</t>
        </is>
      </c>
      <c r="H2579" s="293" t="n">
        <v>1</v>
      </c>
      <c r="I2579" s="306" t="n"/>
      <c r="J2579" s="306" t="n"/>
      <c r="K2579" s="306" t="n"/>
      <c r="L2579" s="306" t="n"/>
      <c r="M2579" s="307">
        <f>$F2579*$H2579</f>
        <v/>
      </c>
      <c r="N2579" s="306" t="n"/>
      <c r="O2579" s="306" t="n"/>
      <c r="P2579" s="306" t="n"/>
      <c r="Q2579" s="306" t="n"/>
    </row>
    <row r="2580" ht="18.75" customHeight="1">
      <c r="B2580" s="288" t="n">
        <v>44850</v>
      </c>
      <c r="C2580" s="289" t="n">
        <v>1817</v>
      </c>
      <c r="D2580" s="290" t="inlineStr">
        <is>
          <t>Google Workspace PT. EWI</t>
        </is>
      </c>
      <c r="E2580" s="306" t="inlineStr">
        <is>
          <t>-</t>
        </is>
      </c>
      <c r="F2580" s="307" t="n">
        <v>177258</v>
      </c>
      <c r="G2580" s="289" t="inlineStr">
        <is>
          <t>IDR</t>
        </is>
      </c>
      <c r="H2580" s="293" t="n">
        <v>1</v>
      </c>
      <c r="I2580" s="306" t="n"/>
      <c r="J2580" s="306" t="n"/>
      <c r="K2580" s="306" t="n"/>
      <c r="L2580" s="306" t="n"/>
      <c r="M2580" s="307">
        <f>$F2580*$H2580</f>
        <v/>
      </c>
      <c r="N2580" s="306" t="n"/>
      <c r="O2580" s="306" t="n"/>
      <c r="P2580" s="306" t="n"/>
      <c r="Q2580" s="306" t="n"/>
    </row>
    <row r="2581" ht="18.75" customHeight="1">
      <c r="B2581" s="288" t="n">
        <v>44850</v>
      </c>
      <c r="C2581" s="289" t="n">
        <v>1818</v>
      </c>
      <c r="D2581" s="290" t="inlineStr">
        <is>
          <t>Google Workspace PT. EWI</t>
        </is>
      </c>
      <c r="E2581" s="306" t="inlineStr">
        <is>
          <t>-</t>
        </is>
      </c>
      <c r="F2581" s="307" t="n">
        <v>177258</v>
      </c>
      <c r="G2581" s="289" t="inlineStr">
        <is>
          <t>IDR</t>
        </is>
      </c>
      <c r="H2581" s="293" t="n">
        <v>1</v>
      </c>
      <c r="I2581" s="306" t="n"/>
      <c r="J2581" s="306" t="n"/>
      <c r="K2581" s="306" t="n"/>
      <c r="L2581" s="306" t="n"/>
      <c r="M2581" s="307">
        <f>$F2581*$H2581</f>
        <v/>
      </c>
      <c r="N2581" s="306" t="n"/>
      <c r="O2581" s="306" t="n"/>
      <c r="P2581" s="306" t="n"/>
      <c r="Q2581" s="306" t="n"/>
    </row>
    <row r="2582" ht="18.75" customHeight="1">
      <c r="B2582" s="288" t="n">
        <v>44850</v>
      </c>
      <c r="C2582" s="289" t="n">
        <v>1819</v>
      </c>
      <c r="D2582" s="290" t="inlineStr">
        <is>
          <t>Google Workspace PT. EWI</t>
        </is>
      </c>
      <c r="E2582" s="306" t="inlineStr">
        <is>
          <t>-</t>
        </is>
      </c>
      <c r="F2582" s="307" t="n">
        <v>177258</v>
      </c>
      <c r="G2582" s="289" t="inlineStr">
        <is>
          <t>IDR</t>
        </is>
      </c>
      <c r="H2582" s="293" t="n">
        <v>1</v>
      </c>
      <c r="I2582" s="306" t="n"/>
      <c r="J2582" s="306" t="n"/>
      <c r="K2582" s="306" t="n"/>
      <c r="L2582" s="306" t="n"/>
      <c r="M2582" s="307">
        <f>$F2582*$H2582</f>
        <v/>
      </c>
      <c r="N2582" s="306" t="n"/>
      <c r="O2582" s="306" t="n"/>
      <c r="P2582" s="306" t="n"/>
      <c r="Q2582" s="306" t="n"/>
    </row>
    <row r="2583" ht="18.75" customHeight="1">
      <c r="B2583" s="288" t="n">
        <v>44850</v>
      </c>
      <c r="C2583" s="289" t="n">
        <v>1820</v>
      </c>
      <c r="D2583" s="290" t="inlineStr">
        <is>
          <t>Google Workspace PT. EWI</t>
        </is>
      </c>
      <c r="E2583" s="306" t="inlineStr">
        <is>
          <t>-</t>
        </is>
      </c>
      <c r="F2583" s="307" t="n">
        <v>177258</v>
      </c>
      <c r="G2583" s="289" t="inlineStr">
        <is>
          <t>IDR</t>
        </is>
      </c>
      <c r="H2583" s="293" t="n">
        <v>1</v>
      </c>
      <c r="I2583" s="306" t="n"/>
      <c r="J2583" s="306" t="n"/>
      <c r="K2583" s="306" t="n"/>
      <c r="L2583" s="306" t="n"/>
      <c r="M2583" s="307">
        <f>$F2583*$H2583</f>
        <v/>
      </c>
      <c r="N2583" s="306" t="n"/>
      <c r="O2583" s="306" t="n"/>
      <c r="P2583" s="306" t="n"/>
      <c r="Q2583" s="306" t="n"/>
    </row>
    <row r="2584" ht="18.75" customHeight="1">
      <c r="B2584" s="288" t="n">
        <v>44881</v>
      </c>
      <c r="C2584" s="289" t="n">
        <v>1821</v>
      </c>
      <c r="D2584" s="290" t="inlineStr">
        <is>
          <t>Google Workspace PT. EWI</t>
        </is>
      </c>
      <c r="E2584" s="306" t="inlineStr">
        <is>
          <t>-</t>
        </is>
      </c>
      <c r="F2584" s="307" t="n">
        <v>214896</v>
      </c>
      <c r="G2584" s="289" t="inlineStr">
        <is>
          <t>IDR</t>
        </is>
      </c>
      <c r="H2584" s="293" t="n">
        <v>1</v>
      </c>
      <c r="I2584" s="306" t="n"/>
      <c r="J2584" s="306" t="n"/>
      <c r="K2584" s="306" t="n"/>
      <c r="L2584" s="306" t="n"/>
      <c r="M2584" s="307">
        <f>$F2584*$H2584</f>
        <v/>
      </c>
      <c r="N2584" s="306" t="n"/>
      <c r="O2584" s="306" t="n"/>
      <c r="P2584" s="306" t="n"/>
      <c r="Q2584" s="306" t="n"/>
    </row>
    <row r="2585" ht="18.75" customHeight="1">
      <c r="B2585" s="288" t="n">
        <v>44881</v>
      </c>
      <c r="C2585" s="289" t="n">
        <v>1822</v>
      </c>
      <c r="D2585" s="290" t="inlineStr">
        <is>
          <t>Google Workspace PT. EWI</t>
        </is>
      </c>
      <c r="E2585" s="306" t="inlineStr">
        <is>
          <t>-</t>
        </is>
      </c>
      <c r="F2585" s="307" t="n">
        <v>214896</v>
      </c>
      <c r="G2585" s="289" t="inlineStr">
        <is>
          <t>IDR</t>
        </is>
      </c>
      <c r="H2585" s="293" t="n">
        <v>1</v>
      </c>
      <c r="I2585" s="306" t="n"/>
      <c r="J2585" s="306" t="n"/>
      <c r="K2585" s="306" t="n"/>
      <c r="L2585" s="306" t="n"/>
      <c r="M2585" s="307">
        <f>$F2585*$H2585</f>
        <v/>
      </c>
      <c r="N2585" s="306" t="n"/>
      <c r="O2585" s="306" t="n"/>
      <c r="P2585" s="306" t="n"/>
      <c r="Q2585" s="306" t="n"/>
    </row>
    <row r="2586" ht="18.75" customHeight="1">
      <c r="B2586" s="288" t="n">
        <v>44881</v>
      </c>
      <c r="C2586" s="289" t="n">
        <v>1823</v>
      </c>
      <c r="D2586" s="290" t="inlineStr">
        <is>
          <t>Google Workspace PT. EWI</t>
        </is>
      </c>
      <c r="E2586" s="306" t="inlineStr">
        <is>
          <t>-</t>
        </is>
      </c>
      <c r="F2586" s="307" t="n">
        <v>214896</v>
      </c>
      <c r="G2586" s="289" t="inlineStr">
        <is>
          <t>IDR</t>
        </is>
      </c>
      <c r="H2586" s="293" t="n">
        <v>1</v>
      </c>
      <c r="I2586" s="306" t="n"/>
      <c r="J2586" s="306" t="n"/>
      <c r="K2586" s="306" t="n"/>
      <c r="L2586" s="306" t="n"/>
      <c r="M2586" s="307">
        <f>$F2586*$H2586</f>
        <v/>
      </c>
      <c r="N2586" s="306" t="n"/>
      <c r="O2586" s="306" t="n"/>
      <c r="P2586" s="306" t="n"/>
      <c r="Q2586" s="306" t="n"/>
    </row>
    <row r="2587" ht="18.75" customHeight="1">
      <c r="B2587" s="288" t="n">
        <v>44881</v>
      </c>
      <c r="C2587" s="289" t="n">
        <v>1824</v>
      </c>
      <c r="D2587" s="290" t="inlineStr">
        <is>
          <t>Google Workspace PT. EWI</t>
        </is>
      </c>
      <c r="E2587" s="306" t="inlineStr">
        <is>
          <t>-</t>
        </is>
      </c>
      <c r="F2587" s="307" t="n">
        <v>214896</v>
      </c>
      <c r="G2587" s="289" t="inlineStr">
        <is>
          <t>IDR</t>
        </is>
      </c>
      <c r="H2587" s="293" t="n">
        <v>1</v>
      </c>
      <c r="I2587" s="306" t="n"/>
      <c r="J2587" s="306" t="n"/>
      <c r="K2587" s="306" t="n"/>
      <c r="L2587" s="306" t="n"/>
      <c r="M2587" s="307">
        <f>$F2587*$H2587</f>
        <v/>
      </c>
      <c r="N2587" s="306" t="n"/>
      <c r="O2587" s="306" t="n"/>
      <c r="P2587" s="306" t="n"/>
      <c r="Q2587" s="306" t="n"/>
    </row>
    <row r="2588" ht="18.75" customHeight="1">
      <c r="B2588" s="288" t="n">
        <v>44911</v>
      </c>
      <c r="C2588" s="289" t="n">
        <v>1825</v>
      </c>
      <c r="D2588" s="290" t="inlineStr">
        <is>
          <t>Google Workspace PT. EWI</t>
        </is>
      </c>
      <c r="E2588" s="306" t="inlineStr">
        <is>
          <t>-</t>
        </is>
      </c>
      <c r="F2588" s="307" t="n">
        <v>214896</v>
      </c>
      <c r="G2588" s="289" t="inlineStr">
        <is>
          <t>IDR</t>
        </is>
      </c>
      <c r="H2588" s="293" t="n">
        <v>1</v>
      </c>
      <c r="I2588" s="306" t="n"/>
      <c r="J2588" s="306" t="n"/>
      <c r="K2588" s="306" t="n"/>
      <c r="L2588" s="306" t="n"/>
      <c r="M2588" s="307">
        <f>$F2588*$H2588</f>
        <v/>
      </c>
      <c r="N2588" s="306" t="n"/>
      <c r="O2588" s="306" t="n"/>
      <c r="P2588" s="306" t="n"/>
      <c r="Q2588" s="306" t="n"/>
    </row>
    <row r="2589" ht="18.75" customHeight="1">
      <c r="B2589" s="288" t="n">
        <v>44911</v>
      </c>
      <c r="C2589" s="289" t="n">
        <v>1826</v>
      </c>
      <c r="D2589" s="290" t="inlineStr">
        <is>
          <t>Google Workspace PT. EWI</t>
        </is>
      </c>
      <c r="E2589" s="306" t="inlineStr">
        <is>
          <t>-</t>
        </is>
      </c>
      <c r="F2589" s="307" t="n">
        <v>214896</v>
      </c>
      <c r="G2589" s="289" t="inlineStr">
        <is>
          <t>IDR</t>
        </is>
      </c>
      <c r="H2589" s="293" t="n">
        <v>1</v>
      </c>
      <c r="I2589" s="306" t="n"/>
      <c r="J2589" s="306" t="n"/>
      <c r="K2589" s="306" t="n"/>
      <c r="L2589" s="306" t="n"/>
      <c r="M2589" s="307">
        <f>$F2589*$H2589</f>
        <v/>
      </c>
      <c r="N2589" s="306" t="n"/>
      <c r="O2589" s="306" t="n"/>
      <c r="P2589" s="306" t="n"/>
      <c r="Q2589" s="306" t="n"/>
    </row>
    <row r="2590" ht="18.75" customHeight="1">
      <c r="B2590" s="288" t="n">
        <v>44911</v>
      </c>
      <c r="C2590" s="289" t="n">
        <v>1827</v>
      </c>
      <c r="D2590" s="290" t="inlineStr">
        <is>
          <t>Google Workspace PT. EWI</t>
        </is>
      </c>
      <c r="E2590" s="306" t="inlineStr">
        <is>
          <t>-</t>
        </is>
      </c>
      <c r="F2590" s="307" t="n">
        <v>214896</v>
      </c>
      <c r="G2590" s="289" t="inlineStr">
        <is>
          <t>IDR</t>
        </is>
      </c>
      <c r="H2590" s="293" t="n">
        <v>1</v>
      </c>
      <c r="I2590" s="306" t="n"/>
      <c r="J2590" s="306" t="n"/>
      <c r="K2590" s="306" t="n"/>
      <c r="L2590" s="306" t="n"/>
      <c r="M2590" s="307">
        <f>$F2590*$H2590</f>
        <v/>
      </c>
      <c r="N2590" s="306" t="n"/>
      <c r="O2590" s="306" t="n"/>
      <c r="P2590" s="306" t="n"/>
      <c r="Q2590" s="306" t="n"/>
    </row>
    <row r="2591" ht="18.75" customHeight="1">
      <c r="B2591" s="288" t="n">
        <v>44911</v>
      </c>
      <c r="C2591" s="289" t="n">
        <v>1828</v>
      </c>
      <c r="D2591" s="290" t="inlineStr">
        <is>
          <t>Google Workspace PT. EWI</t>
        </is>
      </c>
      <c r="E2591" s="306" t="inlineStr">
        <is>
          <t>-</t>
        </is>
      </c>
      <c r="F2591" s="307" t="n">
        <v>214896</v>
      </c>
      <c r="G2591" s="289" t="inlineStr">
        <is>
          <t>IDR</t>
        </is>
      </c>
      <c r="H2591" s="293" t="n">
        <v>1</v>
      </c>
      <c r="I2591" s="306" t="n"/>
      <c r="J2591" s="306" t="n"/>
      <c r="K2591" s="306" t="n"/>
      <c r="L2591" s="306" t="n"/>
      <c r="M2591" s="307">
        <f>$F2591*$H2591</f>
        <v/>
      </c>
      <c r="N2591" s="306" t="n"/>
      <c r="O2591" s="306" t="n"/>
      <c r="P2591" s="306" t="n"/>
      <c r="Q2591" s="306" t="n"/>
    </row>
    <row r="2592" ht="18.75" customHeight="1">
      <c r="B2592" s="288" t="n">
        <v>44942</v>
      </c>
      <c r="C2592" s="289" t="n">
        <v>1829</v>
      </c>
      <c r="D2592" s="290" t="inlineStr">
        <is>
          <t>Google Workspace PT. EWI</t>
        </is>
      </c>
      <c r="E2592" s="306" t="inlineStr">
        <is>
          <t>-</t>
        </is>
      </c>
      <c r="F2592" s="307" t="n">
        <v>214896</v>
      </c>
      <c r="G2592" s="289" t="inlineStr">
        <is>
          <t>IDR</t>
        </is>
      </c>
      <c r="H2592" s="293" t="n">
        <v>1</v>
      </c>
      <c r="I2592" s="306" t="n"/>
      <c r="J2592" s="306" t="n"/>
      <c r="K2592" s="306" t="n"/>
      <c r="L2592" s="306" t="n"/>
      <c r="M2592" s="307">
        <f>$F2592*$H2592</f>
        <v/>
      </c>
      <c r="N2592" s="306" t="n"/>
      <c r="O2592" s="306" t="n"/>
      <c r="P2592" s="306" t="n"/>
      <c r="Q2592" s="306" t="n"/>
    </row>
    <row r="2593" ht="18.75" customHeight="1">
      <c r="B2593" s="288" t="n">
        <v>44942</v>
      </c>
      <c r="C2593" s="289" t="n">
        <v>1830</v>
      </c>
      <c r="D2593" s="290" t="inlineStr">
        <is>
          <t>Google Workspace PT. EWI</t>
        </is>
      </c>
      <c r="E2593" s="306" t="inlineStr">
        <is>
          <t>-</t>
        </is>
      </c>
      <c r="F2593" s="307" t="n">
        <v>214896</v>
      </c>
      <c r="G2593" s="289" t="inlineStr">
        <is>
          <t>IDR</t>
        </is>
      </c>
      <c r="H2593" s="293" t="n">
        <v>1</v>
      </c>
      <c r="I2593" s="306" t="n"/>
      <c r="J2593" s="306" t="n"/>
      <c r="K2593" s="306" t="n"/>
      <c r="L2593" s="306" t="n"/>
      <c r="M2593" s="307">
        <f>$F2593*$H2593</f>
        <v/>
      </c>
      <c r="N2593" s="306" t="n"/>
      <c r="O2593" s="306" t="n"/>
      <c r="P2593" s="306" t="n"/>
      <c r="Q2593" s="306" t="n"/>
    </row>
    <row r="2594" ht="18.75" customHeight="1">
      <c r="B2594" s="288" t="n">
        <v>44942</v>
      </c>
      <c r="C2594" s="289" t="n">
        <v>1831</v>
      </c>
      <c r="D2594" s="290" t="inlineStr">
        <is>
          <t>Google Workspace PT. EWI</t>
        </is>
      </c>
      <c r="E2594" s="306" t="inlineStr">
        <is>
          <t>-</t>
        </is>
      </c>
      <c r="F2594" s="307" t="n">
        <v>214896</v>
      </c>
      <c r="G2594" s="289" t="inlineStr">
        <is>
          <t>IDR</t>
        </is>
      </c>
      <c r="H2594" s="293" t="n">
        <v>1</v>
      </c>
      <c r="I2594" s="306" t="n"/>
      <c r="J2594" s="306" t="n"/>
      <c r="K2594" s="306" t="n"/>
      <c r="L2594" s="306" t="n"/>
      <c r="M2594" s="307">
        <f>$F2594*$H2594</f>
        <v/>
      </c>
      <c r="N2594" s="306" t="n"/>
      <c r="O2594" s="306" t="n"/>
      <c r="P2594" s="306" t="n"/>
      <c r="Q2594" s="306" t="n"/>
    </row>
    <row r="2595" ht="18.75" customHeight="1">
      <c r="B2595" s="288" t="n">
        <v>44942</v>
      </c>
      <c r="C2595" s="289" t="n">
        <v>1832</v>
      </c>
      <c r="D2595" s="290" t="inlineStr">
        <is>
          <t>Google Workspace PT. EWI</t>
        </is>
      </c>
      <c r="E2595" s="306" t="inlineStr">
        <is>
          <t>-</t>
        </is>
      </c>
      <c r="F2595" s="307" t="n">
        <v>214896</v>
      </c>
      <c r="G2595" s="289" t="inlineStr">
        <is>
          <t>IDR</t>
        </is>
      </c>
      <c r="H2595" s="293" t="n">
        <v>1</v>
      </c>
      <c r="I2595" s="306" t="n"/>
      <c r="J2595" s="306" t="n"/>
      <c r="K2595" s="306" t="n"/>
      <c r="L2595" s="306" t="n"/>
      <c r="M2595" s="307">
        <f>$F2595*$H2595</f>
        <v/>
      </c>
      <c r="N2595" s="306" t="n"/>
      <c r="O2595" s="306" t="n"/>
      <c r="P2595" s="306" t="n"/>
      <c r="Q2595" s="306" t="n"/>
    </row>
    <row r="2596" ht="18.75" customHeight="1">
      <c r="B2596" s="288" t="n">
        <v>44973</v>
      </c>
      <c r="C2596" s="289" t="n">
        <v>1833</v>
      </c>
      <c r="D2596" s="290" t="inlineStr">
        <is>
          <t>Google Workspace PT. EWI</t>
        </is>
      </c>
      <c r="E2596" s="306" t="inlineStr">
        <is>
          <t>-</t>
        </is>
      </c>
      <c r="F2596" s="307" t="n">
        <v>214896</v>
      </c>
      <c r="G2596" s="289" t="inlineStr">
        <is>
          <t>IDR</t>
        </is>
      </c>
      <c r="H2596" s="293" t="n">
        <v>1</v>
      </c>
      <c r="I2596" s="306" t="n"/>
      <c r="J2596" s="306" t="n"/>
      <c r="K2596" s="306" t="n"/>
      <c r="L2596" s="306" t="n"/>
      <c r="M2596" s="307">
        <f>$F2596*$H2596</f>
        <v/>
      </c>
      <c r="N2596" s="306" t="n"/>
      <c r="O2596" s="306" t="n"/>
      <c r="P2596" s="306" t="n"/>
      <c r="Q2596" s="306" t="n"/>
    </row>
    <row r="2597" ht="18.75" customHeight="1">
      <c r="B2597" s="288" t="n">
        <v>44973</v>
      </c>
      <c r="C2597" s="289" t="n">
        <v>1834</v>
      </c>
      <c r="D2597" s="290" t="inlineStr">
        <is>
          <t>Google Workspace PT. EWI</t>
        </is>
      </c>
      <c r="E2597" s="306" t="inlineStr">
        <is>
          <t>-</t>
        </is>
      </c>
      <c r="F2597" s="307" t="n">
        <v>214896</v>
      </c>
      <c r="G2597" s="289" t="inlineStr">
        <is>
          <t>IDR</t>
        </is>
      </c>
      <c r="H2597" s="293" t="n">
        <v>1</v>
      </c>
      <c r="I2597" s="306" t="n"/>
      <c r="J2597" s="306" t="n"/>
      <c r="K2597" s="306" t="n"/>
      <c r="L2597" s="306" t="n"/>
      <c r="M2597" s="307">
        <f>$F2597*$H2597</f>
        <v/>
      </c>
      <c r="N2597" s="306" t="n"/>
      <c r="O2597" s="306" t="n"/>
      <c r="P2597" s="306" t="n"/>
      <c r="Q2597" s="306" t="n"/>
    </row>
    <row r="2598" ht="18.75" customHeight="1">
      <c r="B2598" s="288" t="n">
        <v>44973</v>
      </c>
      <c r="C2598" s="289" t="n">
        <v>1835</v>
      </c>
      <c r="D2598" s="290" t="inlineStr">
        <is>
          <t>Google Workspace PT. EWI</t>
        </is>
      </c>
      <c r="E2598" s="306" t="inlineStr">
        <is>
          <t>-</t>
        </is>
      </c>
      <c r="F2598" s="307" t="n">
        <v>214896</v>
      </c>
      <c r="G2598" s="289" t="inlineStr">
        <is>
          <t>IDR</t>
        </is>
      </c>
      <c r="H2598" s="293" t="n">
        <v>1</v>
      </c>
      <c r="I2598" s="306" t="n"/>
      <c r="J2598" s="306" t="n"/>
      <c r="K2598" s="306" t="n"/>
      <c r="L2598" s="306" t="n"/>
      <c r="M2598" s="307">
        <f>$F2598*$H2598</f>
        <v/>
      </c>
      <c r="N2598" s="306" t="n"/>
      <c r="O2598" s="306" t="n"/>
      <c r="P2598" s="306" t="n"/>
      <c r="Q2598" s="306" t="n"/>
    </row>
    <row r="2599" ht="18.75" customHeight="1">
      <c r="B2599" s="288" t="n">
        <v>44973</v>
      </c>
      <c r="C2599" s="289" t="n">
        <v>1836</v>
      </c>
      <c r="D2599" s="290" t="inlineStr">
        <is>
          <t>Google Workspace PT. EWI</t>
        </is>
      </c>
      <c r="E2599" s="306" t="inlineStr">
        <is>
          <t>-</t>
        </is>
      </c>
      <c r="F2599" s="307" t="n">
        <v>214896</v>
      </c>
      <c r="G2599" s="289" t="inlineStr">
        <is>
          <t>IDR</t>
        </is>
      </c>
      <c r="H2599" s="293" t="n">
        <v>1</v>
      </c>
      <c r="I2599" s="306" t="n"/>
      <c r="J2599" s="306" t="n"/>
      <c r="K2599" s="306" t="n"/>
      <c r="L2599" s="306" t="n"/>
      <c r="M2599" s="307">
        <f>$F2599*$H2599</f>
        <v/>
      </c>
      <c r="N2599" s="306" t="n"/>
      <c r="O2599" s="306" t="n"/>
      <c r="P2599" s="306" t="n"/>
      <c r="Q2599" s="306" t="n"/>
    </row>
    <row r="2600" ht="18.75" customHeight="1">
      <c r="B2600" s="288" t="n">
        <v>45001</v>
      </c>
      <c r="C2600" s="289" t="n">
        <v>1837</v>
      </c>
      <c r="D2600" s="290" t="inlineStr">
        <is>
          <t>Google Workspace PT. EWI</t>
        </is>
      </c>
      <c r="E2600" s="306" t="inlineStr">
        <is>
          <t>-</t>
        </is>
      </c>
      <c r="F2600" s="307" t="n">
        <v>214896</v>
      </c>
      <c r="G2600" s="289" t="inlineStr">
        <is>
          <t>IDR</t>
        </is>
      </c>
      <c r="H2600" s="293" t="n">
        <v>1</v>
      </c>
      <c r="I2600" s="306" t="n"/>
      <c r="J2600" s="306" t="n"/>
      <c r="K2600" s="306" t="n"/>
      <c r="L2600" s="306" t="n"/>
      <c r="M2600" s="307">
        <f>$F2600*$H2600</f>
        <v/>
      </c>
      <c r="N2600" s="306" t="n"/>
      <c r="O2600" s="306" t="n"/>
      <c r="P2600" s="306" t="n"/>
      <c r="Q2600" s="306" t="n"/>
    </row>
    <row r="2601" ht="18.75" customHeight="1">
      <c r="B2601" s="288" t="n">
        <v>45001</v>
      </c>
      <c r="C2601" s="289" t="n">
        <v>1838</v>
      </c>
      <c r="D2601" s="290" t="inlineStr">
        <is>
          <t>Google Workspace PT. EWI</t>
        </is>
      </c>
      <c r="E2601" s="306" t="inlineStr">
        <is>
          <t>-</t>
        </is>
      </c>
      <c r="F2601" s="307" t="n">
        <v>214896</v>
      </c>
      <c r="G2601" s="289" t="inlineStr">
        <is>
          <t>IDR</t>
        </is>
      </c>
      <c r="H2601" s="293" t="n">
        <v>1</v>
      </c>
      <c r="I2601" s="306" t="n"/>
      <c r="J2601" s="306" t="n"/>
      <c r="K2601" s="306" t="n"/>
      <c r="L2601" s="306" t="n"/>
      <c r="M2601" s="307">
        <f>$F2601*$H2601</f>
        <v/>
      </c>
      <c r="N2601" s="306" t="n"/>
      <c r="O2601" s="306" t="n"/>
      <c r="P2601" s="306" t="n"/>
      <c r="Q2601" s="306" t="n"/>
    </row>
    <row r="2602" ht="18.75" customHeight="1">
      <c r="B2602" s="288" t="n">
        <v>45001</v>
      </c>
      <c r="C2602" s="289" t="n">
        <v>1839</v>
      </c>
      <c r="D2602" s="290" t="inlineStr">
        <is>
          <t>Google Workspace PT. EWI</t>
        </is>
      </c>
      <c r="E2602" s="306" t="inlineStr">
        <is>
          <t>-</t>
        </is>
      </c>
      <c r="F2602" s="307" t="n">
        <v>214896</v>
      </c>
      <c r="G2602" s="289" t="inlineStr">
        <is>
          <t>IDR</t>
        </is>
      </c>
      <c r="H2602" s="293" t="n">
        <v>1</v>
      </c>
      <c r="I2602" s="306" t="n"/>
      <c r="J2602" s="306" t="n"/>
      <c r="K2602" s="306" t="n"/>
      <c r="L2602" s="306" t="n"/>
      <c r="M2602" s="307">
        <f>$F2602*$H2602</f>
        <v/>
      </c>
      <c r="N2602" s="306" t="n"/>
      <c r="O2602" s="306" t="n"/>
      <c r="P2602" s="306" t="n"/>
      <c r="Q2602" s="306" t="n"/>
    </row>
    <row r="2603" ht="18.75" customHeight="1">
      <c r="B2603" s="288" t="n">
        <v>45001</v>
      </c>
      <c r="C2603" s="289" t="n">
        <v>1840</v>
      </c>
      <c r="D2603" s="290" t="inlineStr">
        <is>
          <t>Google Workspace PT. EWI</t>
        </is>
      </c>
      <c r="E2603" s="306" t="inlineStr">
        <is>
          <t>-</t>
        </is>
      </c>
      <c r="F2603" s="307" t="n">
        <v>214896</v>
      </c>
      <c r="G2603" s="289" t="inlineStr">
        <is>
          <t>IDR</t>
        </is>
      </c>
      <c r="H2603" s="293" t="n">
        <v>1</v>
      </c>
      <c r="I2603" s="306" t="n"/>
      <c r="J2603" s="306" t="n"/>
      <c r="K2603" s="306" t="n"/>
      <c r="L2603" s="306" t="n"/>
      <c r="M2603" s="307">
        <f>$F2603*$H2603</f>
        <v/>
      </c>
      <c r="N2603" s="306" t="n"/>
      <c r="O2603" s="306" t="n"/>
      <c r="P2603" s="306" t="n"/>
      <c r="Q2603" s="306" t="n"/>
    </row>
    <row r="2604" ht="18.75" customHeight="1">
      <c r="B2604" s="288" t="n">
        <v>45032</v>
      </c>
      <c r="C2604" s="289" t="n">
        <v>1841</v>
      </c>
      <c r="D2604" s="290" t="inlineStr">
        <is>
          <t>Google Workspace PT. EWI</t>
        </is>
      </c>
      <c r="E2604" s="306" t="inlineStr">
        <is>
          <t>-</t>
        </is>
      </c>
      <c r="F2604" s="307" t="n">
        <v>214896</v>
      </c>
      <c r="G2604" s="289" t="inlineStr">
        <is>
          <t>IDR</t>
        </is>
      </c>
      <c r="H2604" s="293" t="n">
        <v>1</v>
      </c>
      <c r="I2604" s="306" t="n"/>
      <c r="J2604" s="306" t="n"/>
      <c r="K2604" s="306" t="n"/>
      <c r="L2604" s="306" t="n"/>
      <c r="M2604" s="307">
        <f>$F2604*$H2604</f>
        <v/>
      </c>
      <c r="N2604" s="306" t="n"/>
      <c r="O2604" s="306" t="n"/>
      <c r="P2604" s="306" t="n"/>
      <c r="Q2604" s="306" t="n"/>
    </row>
    <row r="2605" ht="18.75" customHeight="1">
      <c r="B2605" s="288" t="n">
        <v>45032</v>
      </c>
      <c r="C2605" s="289" t="n">
        <v>1842</v>
      </c>
      <c r="D2605" s="290" t="inlineStr">
        <is>
          <t>Google Workspace PT. EWI</t>
        </is>
      </c>
      <c r="E2605" s="306" t="inlineStr">
        <is>
          <t>-</t>
        </is>
      </c>
      <c r="F2605" s="307" t="n">
        <v>214896</v>
      </c>
      <c r="G2605" s="289" t="inlineStr">
        <is>
          <t>IDR</t>
        </is>
      </c>
      <c r="H2605" s="293" t="n">
        <v>1</v>
      </c>
      <c r="I2605" s="306" t="n"/>
      <c r="J2605" s="306" t="n"/>
      <c r="K2605" s="306" t="n"/>
      <c r="L2605" s="306" t="n"/>
      <c r="M2605" s="307">
        <f>$F2605*$H2605</f>
        <v/>
      </c>
      <c r="N2605" s="306" t="n"/>
      <c r="O2605" s="306" t="n"/>
      <c r="P2605" s="306" t="n"/>
      <c r="Q2605" s="306" t="n"/>
    </row>
    <row r="2606" ht="18.75" customHeight="1">
      <c r="B2606" s="288" t="n">
        <v>45032</v>
      </c>
      <c r="C2606" s="289" t="n">
        <v>1843</v>
      </c>
      <c r="D2606" s="290" t="inlineStr">
        <is>
          <t>Google Workspace PT. EWI</t>
        </is>
      </c>
      <c r="E2606" s="306" t="inlineStr">
        <is>
          <t>-</t>
        </is>
      </c>
      <c r="F2606" s="307" t="n">
        <v>214896</v>
      </c>
      <c r="G2606" s="289" t="inlineStr">
        <is>
          <t>IDR</t>
        </is>
      </c>
      <c r="H2606" s="293" t="n">
        <v>1</v>
      </c>
      <c r="I2606" s="306" t="n"/>
      <c r="J2606" s="306" t="n"/>
      <c r="K2606" s="306" t="n"/>
      <c r="L2606" s="306" t="n"/>
      <c r="M2606" s="307">
        <f>$F2606*$H2606</f>
        <v/>
      </c>
      <c r="N2606" s="306" t="n"/>
      <c r="O2606" s="306" t="n"/>
      <c r="P2606" s="306" t="n"/>
      <c r="Q2606" s="306" t="n"/>
    </row>
    <row r="2607" ht="18.75" customHeight="1">
      <c r="B2607" s="288" t="n">
        <v>45032</v>
      </c>
      <c r="C2607" s="289" t="n">
        <v>1844</v>
      </c>
      <c r="D2607" s="290" t="inlineStr">
        <is>
          <t>Google Workspace PT. EWI</t>
        </is>
      </c>
      <c r="E2607" s="306" t="inlineStr">
        <is>
          <t>-</t>
        </is>
      </c>
      <c r="F2607" s="307" t="n">
        <v>214896</v>
      </c>
      <c r="G2607" s="289" t="inlineStr">
        <is>
          <t>IDR</t>
        </is>
      </c>
      <c r="H2607" s="293" t="n">
        <v>1</v>
      </c>
      <c r="I2607" s="306" t="n"/>
      <c r="J2607" s="306" t="n"/>
      <c r="K2607" s="306" t="n"/>
      <c r="L2607" s="306" t="n"/>
      <c r="M2607" s="307">
        <f>$F2607*$H2607</f>
        <v/>
      </c>
      <c r="N2607" s="306" t="n"/>
      <c r="O2607" s="306" t="n"/>
      <c r="P2607" s="306" t="n"/>
      <c r="Q2607" s="306" t="n"/>
    </row>
    <row r="2608" ht="18.75" customHeight="1">
      <c r="B2608" s="288" t="n">
        <v>45062</v>
      </c>
      <c r="C2608" s="289" t="n">
        <v>1845</v>
      </c>
      <c r="D2608" s="290" t="inlineStr">
        <is>
          <t>Google Workspace PT. EWI</t>
        </is>
      </c>
      <c r="E2608" s="306" t="inlineStr">
        <is>
          <t>-</t>
        </is>
      </c>
      <c r="F2608" s="307" t="n">
        <v>214896</v>
      </c>
      <c r="G2608" s="289" t="inlineStr">
        <is>
          <t>IDR</t>
        </is>
      </c>
      <c r="H2608" s="293" t="n">
        <v>1</v>
      </c>
      <c r="I2608" s="306" t="n"/>
      <c r="J2608" s="306" t="n"/>
      <c r="K2608" s="306" t="n"/>
      <c r="L2608" s="306" t="n"/>
      <c r="M2608" s="307">
        <f>$F2608*$H2608</f>
        <v/>
      </c>
      <c r="N2608" s="306" t="n"/>
      <c r="O2608" s="306" t="n"/>
      <c r="P2608" s="306" t="n"/>
      <c r="Q2608" s="306" t="n"/>
    </row>
    <row r="2609" ht="18.75" customHeight="1">
      <c r="B2609" s="288" t="n">
        <v>45062</v>
      </c>
      <c r="C2609" s="289" t="n">
        <v>1846</v>
      </c>
      <c r="D2609" s="290" t="inlineStr">
        <is>
          <t>Google Workspace PT. EWI</t>
        </is>
      </c>
      <c r="E2609" s="306" t="inlineStr">
        <is>
          <t>-</t>
        </is>
      </c>
      <c r="F2609" s="307" t="n">
        <v>214896</v>
      </c>
      <c r="G2609" s="289" t="inlineStr">
        <is>
          <t>IDR</t>
        </is>
      </c>
      <c r="H2609" s="293" t="n">
        <v>1</v>
      </c>
      <c r="I2609" s="306" t="n"/>
      <c r="J2609" s="306" t="n"/>
      <c r="K2609" s="306" t="n"/>
      <c r="L2609" s="306" t="n"/>
      <c r="M2609" s="307">
        <f>$F2609*$H2609</f>
        <v/>
      </c>
      <c r="N2609" s="306" t="n"/>
      <c r="O2609" s="306" t="n"/>
      <c r="P2609" s="306" t="n"/>
      <c r="Q2609" s="306" t="n"/>
    </row>
    <row r="2610" ht="18.75" customHeight="1">
      <c r="B2610" s="288" t="n">
        <v>45062</v>
      </c>
      <c r="C2610" s="289" t="n">
        <v>1847</v>
      </c>
      <c r="D2610" s="290" t="inlineStr">
        <is>
          <t>Google Workspace PT. EWI</t>
        </is>
      </c>
      <c r="E2610" s="306" t="inlineStr">
        <is>
          <t>-</t>
        </is>
      </c>
      <c r="F2610" s="307" t="n">
        <v>214896</v>
      </c>
      <c r="G2610" s="289" t="inlineStr">
        <is>
          <t>IDR</t>
        </is>
      </c>
      <c r="H2610" s="293" t="n">
        <v>1</v>
      </c>
      <c r="I2610" s="306" t="n"/>
      <c r="J2610" s="306" t="n"/>
      <c r="K2610" s="306" t="n"/>
      <c r="L2610" s="306" t="n"/>
      <c r="M2610" s="307">
        <f>$F2610*$H2610</f>
        <v/>
      </c>
      <c r="N2610" s="306" t="n"/>
      <c r="O2610" s="306" t="n"/>
      <c r="P2610" s="306" t="n"/>
      <c r="Q2610" s="306" t="n"/>
    </row>
    <row r="2611" ht="18.75" customHeight="1">
      <c r="B2611" s="288" t="n">
        <v>45062</v>
      </c>
      <c r="C2611" s="289" t="n">
        <v>1848</v>
      </c>
      <c r="D2611" s="290" t="inlineStr">
        <is>
          <t>Google Workspace PT. EWI</t>
        </is>
      </c>
      <c r="E2611" s="306" t="inlineStr">
        <is>
          <t>-</t>
        </is>
      </c>
      <c r="F2611" s="307" t="n">
        <v>214896</v>
      </c>
      <c r="G2611" s="289" t="inlineStr">
        <is>
          <t>IDR</t>
        </is>
      </c>
      <c r="H2611" s="293" t="n">
        <v>1</v>
      </c>
      <c r="I2611" s="306" t="n"/>
      <c r="J2611" s="306" t="n"/>
      <c r="K2611" s="306" t="n"/>
      <c r="L2611" s="306" t="n"/>
      <c r="M2611" s="307">
        <f>$F2611*$H2611</f>
        <v/>
      </c>
      <c r="N2611" s="306" t="n"/>
      <c r="O2611" s="306" t="n"/>
      <c r="P2611" s="306" t="n"/>
      <c r="Q2611" s="306" t="n"/>
    </row>
    <row r="2612" ht="18.75" customHeight="1">
      <c r="B2612" s="288" t="n">
        <v>45093</v>
      </c>
      <c r="C2612" s="289" t="n">
        <v>1849</v>
      </c>
      <c r="D2612" s="290" t="inlineStr">
        <is>
          <t>Google Workspace PT. EWI</t>
        </is>
      </c>
      <c r="E2612" s="306" t="inlineStr">
        <is>
          <t>-</t>
        </is>
      </c>
      <c r="F2612" s="307" t="n">
        <v>214896</v>
      </c>
      <c r="G2612" s="289" t="inlineStr">
        <is>
          <t>IDR</t>
        </is>
      </c>
      <c r="H2612" s="293" t="n">
        <v>1</v>
      </c>
      <c r="I2612" s="306" t="n"/>
      <c r="J2612" s="306" t="n"/>
      <c r="K2612" s="306" t="n"/>
      <c r="L2612" s="306" t="n"/>
      <c r="M2612" s="307">
        <f>$F2612*$H2612</f>
        <v/>
      </c>
      <c r="N2612" s="306" t="n"/>
      <c r="O2612" s="306" t="n"/>
      <c r="P2612" s="306" t="n"/>
      <c r="Q2612" s="306" t="n"/>
    </row>
    <row r="2613" ht="18.75" customHeight="1">
      <c r="B2613" s="288" t="n">
        <v>45093</v>
      </c>
      <c r="C2613" s="289" t="n">
        <v>1850</v>
      </c>
      <c r="D2613" s="290" t="inlineStr">
        <is>
          <t>Google Workspace PT. EWI</t>
        </is>
      </c>
      <c r="E2613" s="306" t="inlineStr">
        <is>
          <t>-</t>
        </is>
      </c>
      <c r="F2613" s="307" t="n">
        <v>214896</v>
      </c>
      <c r="G2613" s="289" t="inlineStr">
        <is>
          <t>IDR</t>
        </is>
      </c>
      <c r="H2613" s="293" t="n">
        <v>1</v>
      </c>
      <c r="I2613" s="306" t="n"/>
      <c r="J2613" s="306" t="n"/>
      <c r="K2613" s="306" t="n"/>
      <c r="L2613" s="306" t="n"/>
      <c r="M2613" s="307">
        <f>$F2613*$H2613</f>
        <v/>
      </c>
      <c r="N2613" s="306" t="n"/>
      <c r="O2613" s="306" t="n"/>
      <c r="P2613" s="306" t="n"/>
      <c r="Q2613" s="306" t="n"/>
    </row>
    <row r="2614" ht="18.75" customHeight="1">
      <c r="B2614" s="288" t="n">
        <v>45093</v>
      </c>
      <c r="C2614" s="289" t="n">
        <v>1851</v>
      </c>
      <c r="D2614" s="290" t="inlineStr">
        <is>
          <t>Google Workspace PT. EWI</t>
        </is>
      </c>
      <c r="E2614" s="306" t="inlineStr">
        <is>
          <t>-</t>
        </is>
      </c>
      <c r="F2614" s="307" t="n">
        <v>214896</v>
      </c>
      <c r="G2614" s="289" t="inlineStr">
        <is>
          <t>IDR</t>
        </is>
      </c>
      <c r="H2614" s="293" t="n">
        <v>1</v>
      </c>
      <c r="I2614" s="306" t="n"/>
      <c r="J2614" s="306" t="n"/>
      <c r="K2614" s="306" t="n"/>
      <c r="L2614" s="306" t="n"/>
      <c r="M2614" s="307">
        <f>$F2614*$H2614</f>
        <v/>
      </c>
      <c r="N2614" s="306" t="n"/>
      <c r="O2614" s="306" t="n"/>
      <c r="P2614" s="306" t="n"/>
      <c r="Q2614" s="306" t="n"/>
    </row>
    <row r="2615" ht="18.75" customHeight="1">
      <c r="B2615" s="288" t="n">
        <v>45093</v>
      </c>
      <c r="C2615" s="289" t="n">
        <v>1852</v>
      </c>
      <c r="D2615" s="290" t="inlineStr">
        <is>
          <t>Google Workspace PT. EWI</t>
        </is>
      </c>
      <c r="E2615" s="306" t="inlineStr">
        <is>
          <t>-</t>
        </is>
      </c>
      <c r="F2615" s="307" t="n">
        <v>214896</v>
      </c>
      <c r="G2615" s="289" t="inlineStr">
        <is>
          <t>IDR</t>
        </is>
      </c>
      <c r="H2615" s="293" t="n">
        <v>1</v>
      </c>
      <c r="I2615" s="306" t="n"/>
      <c r="J2615" s="306" t="n"/>
      <c r="K2615" s="306" t="n"/>
      <c r="L2615" s="306" t="n"/>
      <c r="M2615" s="307">
        <f>$F2615*$H2615</f>
        <v/>
      </c>
      <c r="N2615" s="306" t="n"/>
      <c r="O2615" s="306" t="n"/>
      <c r="P2615" s="306" t="n"/>
      <c r="Q2615" s="306" t="n"/>
    </row>
    <row r="2616" ht="18.75" customHeight="1">
      <c r="B2616" s="288" t="n">
        <v>45123</v>
      </c>
      <c r="C2616" s="289" t="n">
        <v>1853</v>
      </c>
      <c r="D2616" s="290" t="inlineStr">
        <is>
          <t>Google Workspace PT. EWI</t>
        </is>
      </c>
      <c r="E2616" s="306" t="inlineStr">
        <is>
          <t>-</t>
        </is>
      </c>
      <c r="F2616" s="307" t="n">
        <v>214896</v>
      </c>
      <c r="G2616" s="289" t="inlineStr">
        <is>
          <t>IDR</t>
        </is>
      </c>
      <c r="H2616" s="293" t="n">
        <v>1</v>
      </c>
      <c r="I2616" s="306" t="n"/>
      <c r="J2616" s="306" t="n"/>
      <c r="K2616" s="306" t="n"/>
      <c r="L2616" s="306" t="n"/>
      <c r="M2616" s="307">
        <f>$F2616*$H2616</f>
        <v/>
      </c>
      <c r="N2616" s="306" t="n"/>
      <c r="O2616" s="306" t="n"/>
      <c r="P2616" s="306" t="n"/>
      <c r="Q2616" s="306" t="n"/>
    </row>
    <row r="2617" ht="18.75" customHeight="1">
      <c r="B2617" s="288" t="n">
        <v>45123</v>
      </c>
      <c r="C2617" s="289" t="n">
        <v>1854</v>
      </c>
      <c r="D2617" s="290" t="inlineStr">
        <is>
          <t>Google Workspace PT. EWI</t>
        </is>
      </c>
      <c r="E2617" s="306" t="inlineStr">
        <is>
          <t>-</t>
        </is>
      </c>
      <c r="F2617" s="307" t="n">
        <v>214896</v>
      </c>
      <c r="G2617" s="289" t="inlineStr">
        <is>
          <t>IDR</t>
        </is>
      </c>
      <c r="H2617" s="293" t="n">
        <v>1</v>
      </c>
      <c r="I2617" s="306" t="n"/>
      <c r="J2617" s="306" t="n"/>
      <c r="K2617" s="306" t="n"/>
      <c r="L2617" s="306" t="n"/>
      <c r="M2617" s="307">
        <f>$F2617*$H2617</f>
        <v/>
      </c>
      <c r="N2617" s="306" t="n"/>
      <c r="O2617" s="306" t="n"/>
      <c r="P2617" s="306" t="n"/>
      <c r="Q2617" s="306" t="n"/>
    </row>
    <row r="2618" ht="18.75" customHeight="1">
      <c r="B2618" s="288" t="n">
        <v>45123</v>
      </c>
      <c r="C2618" s="289" t="n">
        <v>1855</v>
      </c>
      <c r="D2618" s="290" t="inlineStr">
        <is>
          <t>Google Workspace PT. EWI</t>
        </is>
      </c>
      <c r="E2618" s="306" t="inlineStr">
        <is>
          <t>-</t>
        </is>
      </c>
      <c r="F2618" s="307" t="n">
        <v>214896</v>
      </c>
      <c r="G2618" s="289" t="inlineStr">
        <is>
          <t>IDR</t>
        </is>
      </c>
      <c r="H2618" s="293" t="n">
        <v>1</v>
      </c>
      <c r="I2618" s="306" t="n"/>
      <c r="J2618" s="306" t="n"/>
      <c r="K2618" s="306" t="n"/>
      <c r="L2618" s="306" t="n"/>
      <c r="M2618" s="307">
        <f>$F2618*$H2618</f>
        <v/>
      </c>
      <c r="N2618" s="306" t="n"/>
      <c r="O2618" s="306" t="n"/>
      <c r="P2618" s="306" t="n"/>
      <c r="Q2618" s="306" t="n"/>
    </row>
    <row r="2619" ht="18.75" customHeight="1">
      <c r="B2619" s="288" t="n">
        <v>45123</v>
      </c>
      <c r="C2619" s="289" t="n">
        <v>1856</v>
      </c>
      <c r="D2619" s="290" t="inlineStr">
        <is>
          <t>Google Workspace PT. EWI</t>
        </is>
      </c>
      <c r="E2619" s="306" t="inlineStr">
        <is>
          <t>-</t>
        </is>
      </c>
      <c r="F2619" s="307" t="n">
        <v>214896</v>
      </c>
      <c r="G2619" s="289" t="inlineStr">
        <is>
          <t>IDR</t>
        </is>
      </c>
      <c r="H2619" s="293" t="n">
        <v>1</v>
      </c>
      <c r="I2619" s="306" t="n"/>
      <c r="J2619" s="306" t="n"/>
      <c r="K2619" s="306" t="n"/>
      <c r="L2619" s="306" t="n"/>
      <c r="M2619" s="307">
        <f>$F2619*$H2619</f>
        <v/>
      </c>
      <c r="N2619" s="306" t="n"/>
      <c r="O2619" s="306" t="n"/>
      <c r="P2619" s="306" t="n"/>
      <c r="Q2619" s="306" t="n"/>
    </row>
    <row r="2620" ht="18.75" customHeight="1">
      <c r="B2620" s="288" t="n">
        <v>45154</v>
      </c>
      <c r="C2620" s="289" t="n">
        <v>1857</v>
      </c>
      <c r="D2620" s="290" t="inlineStr">
        <is>
          <t>Domain + Google Workspace PT. EWI</t>
        </is>
      </c>
      <c r="E2620" s="306" t="inlineStr">
        <is>
          <t>-</t>
        </is>
      </c>
      <c r="F2620" s="307" t="n">
        <v>399078</v>
      </c>
      <c r="G2620" s="289" t="inlineStr">
        <is>
          <t>IDR</t>
        </is>
      </c>
      <c r="H2620" s="293" t="n">
        <v>1</v>
      </c>
      <c r="I2620" s="306" t="n"/>
      <c r="J2620" s="306" t="n"/>
      <c r="K2620" s="306" t="n"/>
      <c r="L2620" s="306" t="n"/>
      <c r="M2620" s="307">
        <f>$F2620*$H2620</f>
        <v/>
      </c>
      <c r="N2620" s="306" t="n"/>
      <c r="O2620" s="306" t="n"/>
      <c r="P2620" s="306" t="n"/>
      <c r="Q2620" s="306" t="n"/>
    </row>
    <row r="2621" ht="18.75" customHeight="1">
      <c r="B2621" s="288" t="n">
        <v>45154</v>
      </c>
      <c r="C2621" s="289" t="n">
        <v>1858</v>
      </c>
      <c r="D2621" s="290" t="inlineStr">
        <is>
          <t>Domain + Google Workspace PT. EWI</t>
        </is>
      </c>
      <c r="E2621" s="306" t="inlineStr">
        <is>
          <t>-</t>
        </is>
      </c>
      <c r="F2621" s="307" t="n">
        <v>399078</v>
      </c>
      <c r="G2621" s="289" t="inlineStr">
        <is>
          <t>IDR</t>
        </is>
      </c>
      <c r="H2621" s="293" t="n">
        <v>1</v>
      </c>
      <c r="I2621" s="306" t="n"/>
      <c r="J2621" s="306" t="n"/>
      <c r="K2621" s="306" t="n"/>
      <c r="L2621" s="306" t="n"/>
      <c r="M2621" s="307">
        <f>$F2621*$H2621</f>
        <v/>
      </c>
      <c r="N2621" s="306" t="n"/>
      <c r="O2621" s="306" t="n"/>
      <c r="P2621" s="306" t="n"/>
      <c r="Q2621" s="306" t="n"/>
    </row>
    <row r="2622" ht="18.75" customHeight="1">
      <c r="B2622" s="288" t="n">
        <v>45154</v>
      </c>
      <c r="C2622" s="289" t="n">
        <v>1859</v>
      </c>
      <c r="D2622" s="290" t="inlineStr">
        <is>
          <t>Domain + Google Workspace PT. EWI</t>
        </is>
      </c>
      <c r="E2622" s="306" t="inlineStr">
        <is>
          <t>-</t>
        </is>
      </c>
      <c r="F2622" s="307" t="n">
        <v>399078</v>
      </c>
      <c r="G2622" s="289" t="inlineStr">
        <is>
          <t>IDR</t>
        </is>
      </c>
      <c r="H2622" s="293" t="n">
        <v>1</v>
      </c>
      <c r="I2622" s="306" t="n"/>
      <c r="J2622" s="306" t="n"/>
      <c r="K2622" s="306" t="n"/>
      <c r="L2622" s="306" t="n"/>
      <c r="M2622" s="307">
        <f>$F2622*$H2622</f>
        <v/>
      </c>
      <c r="N2622" s="306" t="n"/>
      <c r="O2622" s="306" t="n"/>
      <c r="P2622" s="306" t="n"/>
      <c r="Q2622" s="306" t="n"/>
    </row>
    <row r="2623" ht="18.75" customHeight="1">
      <c r="B2623" s="288" t="n">
        <v>45154</v>
      </c>
      <c r="C2623" s="289" t="n">
        <v>1860</v>
      </c>
      <c r="D2623" s="290" t="inlineStr">
        <is>
          <t>Domain + Google Workspace PT. EWI</t>
        </is>
      </c>
      <c r="E2623" s="306" t="inlineStr">
        <is>
          <t>-</t>
        </is>
      </c>
      <c r="F2623" s="307" t="n">
        <v>399078</v>
      </c>
      <c r="G2623" s="289" t="inlineStr">
        <is>
          <t>IDR</t>
        </is>
      </c>
      <c r="H2623" s="293" t="n">
        <v>1</v>
      </c>
      <c r="I2623" s="306" t="n"/>
      <c r="J2623" s="306" t="n"/>
      <c r="K2623" s="306" t="n"/>
      <c r="L2623" s="306" t="n"/>
      <c r="M2623" s="307">
        <f>$F2623*$H2623</f>
        <v/>
      </c>
      <c r="N2623" s="306" t="n"/>
      <c r="O2623" s="306" t="n"/>
      <c r="P2623" s="306" t="n"/>
      <c r="Q2623" s="306" t="n"/>
    </row>
    <row r="2624" ht="18.75" customHeight="1">
      <c r="B2624" s="288" t="n">
        <v>45185</v>
      </c>
      <c r="C2624" s="289" t="n">
        <v>1861</v>
      </c>
      <c r="D2624" s="290" t="inlineStr">
        <is>
          <t>Google Workspace PT. EWI</t>
        </is>
      </c>
      <c r="E2624" s="306" t="inlineStr">
        <is>
          <t>-</t>
        </is>
      </c>
      <c r="F2624" s="307" t="n">
        <v>214896</v>
      </c>
      <c r="G2624" s="289" t="inlineStr">
        <is>
          <t>IDR</t>
        </is>
      </c>
      <c r="H2624" s="293" t="n">
        <v>1</v>
      </c>
      <c r="I2624" s="306" t="n"/>
      <c r="J2624" s="306" t="n"/>
      <c r="K2624" s="306" t="n"/>
      <c r="L2624" s="306" t="n"/>
      <c r="M2624" s="307">
        <f>$F2624*$H2624</f>
        <v/>
      </c>
      <c r="N2624" s="306" t="n"/>
      <c r="O2624" s="306" t="n"/>
      <c r="P2624" s="306" t="n"/>
      <c r="Q2624" s="306" t="n"/>
    </row>
    <row r="2625" ht="18.75" customHeight="1">
      <c r="B2625" s="288" t="n">
        <v>45185</v>
      </c>
      <c r="C2625" s="289" t="n">
        <v>1862</v>
      </c>
      <c r="D2625" s="290" t="inlineStr">
        <is>
          <t>Google Workspace PT. EWI</t>
        </is>
      </c>
      <c r="E2625" s="306" t="inlineStr">
        <is>
          <t>-</t>
        </is>
      </c>
      <c r="F2625" s="307" t="n">
        <v>214896</v>
      </c>
      <c r="G2625" s="289" t="inlineStr">
        <is>
          <t>IDR</t>
        </is>
      </c>
      <c r="H2625" s="293" t="n">
        <v>1</v>
      </c>
      <c r="I2625" s="306" t="n"/>
      <c r="J2625" s="306" t="n"/>
      <c r="K2625" s="306" t="n"/>
      <c r="L2625" s="306" t="n"/>
      <c r="M2625" s="307">
        <f>$F2625*$H2625</f>
        <v/>
      </c>
      <c r="N2625" s="306" t="n"/>
      <c r="O2625" s="306" t="n"/>
      <c r="P2625" s="306" t="n"/>
      <c r="Q2625" s="306" t="n"/>
    </row>
    <row r="2626" ht="18.75" customHeight="1">
      <c r="B2626" s="288" t="n">
        <v>45185</v>
      </c>
      <c r="C2626" s="289" t="n">
        <v>1863</v>
      </c>
      <c r="D2626" s="290" t="inlineStr">
        <is>
          <t>Google Workspace PT. EWI</t>
        </is>
      </c>
      <c r="E2626" s="306" t="inlineStr">
        <is>
          <t>-</t>
        </is>
      </c>
      <c r="F2626" s="307" t="n">
        <v>214896</v>
      </c>
      <c r="G2626" s="289" t="inlineStr">
        <is>
          <t>IDR</t>
        </is>
      </c>
      <c r="H2626" s="293" t="n">
        <v>1</v>
      </c>
      <c r="I2626" s="306" t="n"/>
      <c r="J2626" s="306" t="n"/>
      <c r="K2626" s="306" t="n"/>
      <c r="L2626" s="306" t="n"/>
      <c r="M2626" s="307">
        <f>$F2626*$H2626</f>
        <v/>
      </c>
      <c r="N2626" s="306" t="n"/>
      <c r="O2626" s="306" t="n"/>
      <c r="P2626" s="306" t="n"/>
      <c r="Q2626" s="306" t="n"/>
    </row>
    <row r="2627" ht="18.75" customHeight="1">
      <c r="B2627" s="288" t="n">
        <v>45185</v>
      </c>
      <c r="C2627" s="289" t="n">
        <v>1864</v>
      </c>
      <c r="D2627" s="290" t="inlineStr">
        <is>
          <t>Google Workspace PT. EWI</t>
        </is>
      </c>
      <c r="E2627" s="306" t="inlineStr">
        <is>
          <t>-</t>
        </is>
      </c>
      <c r="F2627" s="307" t="n">
        <v>214896</v>
      </c>
      <c r="G2627" s="289" t="inlineStr">
        <is>
          <t>IDR</t>
        </is>
      </c>
      <c r="H2627" s="293" t="n">
        <v>1</v>
      </c>
      <c r="I2627" s="306" t="n"/>
      <c r="J2627" s="306" t="n"/>
      <c r="K2627" s="306" t="n"/>
      <c r="L2627" s="306" t="n"/>
      <c r="M2627" s="307">
        <f>$F2627*$H2627</f>
        <v/>
      </c>
      <c r="N2627" s="306" t="n"/>
      <c r="O2627" s="306" t="n"/>
      <c r="P2627" s="306" t="n"/>
      <c r="Q2627" s="306" t="n"/>
    </row>
    <row r="2628" ht="18.75" customHeight="1">
      <c r="B2628" s="288" t="n">
        <v>45215</v>
      </c>
      <c r="C2628" s="289" t="n">
        <v>1865</v>
      </c>
      <c r="D2628" s="290" t="inlineStr">
        <is>
          <t>Google Workspace PT. EWI</t>
        </is>
      </c>
      <c r="E2628" s="306" t="inlineStr">
        <is>
          <t>-</t>
        </is>
      </c>
      <c r="F2628" s="307" t="n">
        <v>306982</v>
      </c>
      <c r="G2628" s="289" t="inlineStr">
        <is>
          <t>IDR</t>
        </is>
      </c>
      <c r="H2628" s="293" t="n">
        <v>1</v>
      </c>
      <c r="I2628" s="306" t="n"/>
      <c r="J2628" s="306" t="n"/>
      <c r="K2628" s="306" t="n"/>
      <c r="L2628" s="306" t="n"/>
      <c r="M2628" s="307">
        <f>$F2628*$H2628</f>
        <v/>
      </c>
      <c r="N2628" s="306" t="n"/>
      <c r="O2628" s="306" t="n"/>
      <c r="P2628" s="306" t="n"/>
      <c r="Q2628" s="306" t="n"/>
    </row>
    <row r="2629" ht="18.75" customHeight="1">
      <c r="B2629" s="288" t="n">
        <v>45215</v>
      </c>
      <c r="C2629" s="289" t="n">
        <v>1866</v>
      </c>
      <c r="D2629" s="290" t="inlineStr">
        <is>
          <t>Google Workspace PT. EWI</t>
        </is>
      </c>
      <c r="E2629" s="306" t="inlineStr">
        <is>
          <t>-</t>
        </is>
      </c>
      <c r="F2629" s="307" t="n">
        <v>306982</v>
      </c>
      <c r="G2629" s="289" t="inlineStr">
        <is>
          <t>IDR</t>
        </is>
      </c>
      <c r="H2629" s="293" t="n">
        <v>1</v>
      </c>
      <c r="I2629" s="306" t="n"/>
      <c r="J2629" s="306" t="n"/>
      <c r="K2629" s="306" t="n"/>
      <c r="L2629" s="306" t="n"/>
      <c r="M2629" s="307">
        <f>$F2629*$H2629</f>
        <v/>
      </c>
      <c r="N2629" s="306" t="n"/>
      <c r="O2629" s="306" t="n"/>
      <c r="P2629" s="306" t="n"/>
      <c r="Q2629" s="306" t="n"/>
    </row>
    <row r="2630" ht="18.75" customHeight="1">
      <c r="B2630" s="288" t="n">
        <v>45215</v>
      </c>
      <c r="C2630" s="289" t="n">
        <v>1867</v>
      </c>
      <c r="D2630" s="290" t="inlineStr">
        <is>
          <t>Google Workspace PT. EWI</t>
        </is>
      </c>
      <c r="E2630" s="306" t="inlineStr">
        <is>
          <t>-</t>
        </is>
      </c>
      <c r="F2630" s="307" t="n">
        <v>306982</v>
      </c>
      <c r="G2630" s="289" t="inlineStr">
        <is>
          <t>IDR</t>
        </is>
      </c>
      <c r="H2630" s="293" t="n">
        <v>1</v>
      </c>
      <c r="I2630" s="306" t="n"/>
      <c r="J2630" s="306" t="n"/>
      <c r="K2630" s="306" t="n"/>
      <c r="L2630" s="306" t="n"/>
      <c r="M2630" s="307">
        <f>$F2630*$H2630</f>
        <v/>
      </c>
      <c r="N2630" s="306" t="n"/>
      <c r="O2630" s="306" t="n"/>
      <c r="P2630" s="306" t="n"/>
      <c r="Q2630" s="306" t="n"/>
    </row>
    <row r="2631" ht="18.75" customHeight="1">
      <c r="B2631" s="288" t="n">
        <v>45215</v>
      </c>
      <c r="C2631" s="289" t="n">
        <v>1868</v>
      </c>
      <c r="D2631" s="290" t="inlineStr">
        <is>
          <t>Google Workspace PT. EWI</t>
        </is>
      </c>
      <c r="E2631" s="306" t="inlineStr">
        <is>
          <t>-</t>
        </is>
      </c>
      <c r="F2631" s="307" t="n">
        <v>306982</v>
      </c>
      <c r="G2631" s="289" t="inlineStr">
        <is>
          <t>IDR</t>
        </is>
      </c>
      <c r="H2631" s="293" t="n">
        <v>1</v>
      </c>
      <c r="I2631" s="306" t="n"/>
      <c r="J2631" s="306" t="n"/>
      <c r="K2631" s="306" t="n"/>
      <c r="L2631" s="306" t="n"/>
      <c r="M2631" s="307">
        <f>$F2631*$H2631</f>
        <v/>
      </c>
      <c r="N2631" s="306" t="n"/>
      <c r="O2631" s="306" t="n"/>
      <c r="P2631" s="306" t="n"/>
      <c r="Q2631" s="306" t="n"/>
    </row>
    <row r="2632" ht="18.75" customHeight="1">
      <c r="B2632" s="288" t="n">
        <v>45246</v>
      </c>
      <c r="C2632" s="289" t="n">
        <v>1869</v>
      </c>
      <c r="D2632" s="290" t="inlineStr">
        <is>
          <t>Google Workspace PT. EWI</t>
        </is>
      </c>
      <c r="E2632" s="306" t="inlineStr">
        <is>
          <t>-</t>
        </is>
      </c>
      <c r="F2632" s="307" t="n">
        <v>306982</v>
      </c>
      <c r="G2632" s="289" t="inlineStr">
        <is>
          <t>IDR</t>
        </is>
      </c>
      <c r="H2632" s="293" t="n">
        <v>1</v>
      </c>
      <c r="I2632" s="306" t="n"/>
      <c r="J2632" s="306" t="n"/>
      <c r="K2632" s="306" t="n"/>
      <c r="L2632" s="306" t="n"/>
      <c r="M2632" s="307">
        <f>$F2632*$H2632</f>
        <v/>
      </c>
      <c r="N2632" s="306" t="n"/>
      <c r="O2632" s="306" t="n"/>
      <c r="P2632" s="306" t="n"/>
      <c r="Q2632" s="306" t="n"/>
    </row>
    <row r="2633" ht="18.75" customHeight="1">
      <c r="B2633" s="288" t="n">
        <v>45246</v>
      </c>
      <c r="C2633" s="289" t="n">
        <v>1870</v>
      </c>
      <c r="D2633" s="290" t="inlineStr">
        <is>
          <t>Google Workspace PT. EWI</t>
        </is>
      </c>
      <c r="E2633" s="306" t="inlineStr">
        <is>
          <t>-</t>
        </is>
      </c>
      <c r="F2633" s="307" t="n">
        <v>306982</v>
      </c>
      <c r="G2633" s="289" t="inlineStr">
        <is>
          <t>IDR</t>
        </is>
      </c>
      <c r="H2633" s="293" t="n">
        <v>1</v>
      </c>
      <c r="I2633" s="306" t="n"/>
      <c r="J2633" s="306" t="n"/>
      <c r="K2633" s="306" t="n"/>
      <c r="L2633" s="306" t="n"/>
      <c r="M2633" s="307">
        <f>$F2633*$H2633</f>
        <v/>
      </c>
      <c r="N2633" s="306" t="n"/>
      <c r="O2633" s="306" t="n"/>
      <c r="P2633" s="306" t="n"/>
      <c r="Q2633" s="306" t="n"/>
    </row>
    <row r="2634" ht="18.75" customHeight="1">
      <c r="B2634" s="288" t="n">
        <v>45246</v>
      </c>
      <c r="C2634" s="289" t="n">
        <v>1871</v>
      </c>
      <c r="D2634" s="290" t="inlineStr">
        <is>
          <t>Google Workspace PT. EWI</t>
        </is>
      </c>
      <c r="E2634" s="306" t="inlineStr">
        <is>
          <t>-</t>
        </is>
      </c>
      <c r="F2634" s="307" t="n">
        <v>306982</v>
      </c>
      <c r="G2634" s="289" t="inlineStr">
        <is>
          <t>IDR</t>
        </is>
      </c>
      <c r="H2634" s="293" t="n">
        <v>1</v>
      </c>
      <c r="I2634" s="306" t="n"/>
      <c r="J2634" s="306" t="n"/>
      <c r="K2634" s="306" t="n"/>
      <c r="L2634" s="306" t="n"/>
      <c r="M2634" s="307">
        <f>$F2634*$H2634</f>
        <v/>
      </c>
      <c r="N2634" s="306" t="n"/>
      <c r="O2634" s="306" t="n"/>
      <c r="P2634" s="306" t="n"/>
      <c r="Q2634" s="306" t="n"/>
    </row>
    <row r="2635" ht="18.75" customHeight="1">
      <c r="B2635" s="288" t="n">
        <v>45246</v>
      </c>
      <c r="C2635" s="289" t="n">
        <v>1872</v>
      </c>
      <c r="D2635" s="290" t="inlineStr">
        <is>
          <t>Google Workspace PT. EWI</t>
        </is>
      </c>
      <c r="E2635" s="306" t="inlineStr">
        <is>
          <t>-</t>
        </is>
      </c>
      <c r="F2635" s="307" t="n">
        <v>306982</v>
      </c>
      <c r="G2635" s="289" t="inlineStr">
        <is>
          <t>IDR</t>
        </is>
      </c>
      <c r="H2635" s="293" t="n">
        <v>1</v>
      </c>
      <c r="I2635" s="306" t="n"/>
      <c r="J2635" s="306" t="n"/>
      <c r="K2635" s="306" t="n"/>
      <c r="L2635" s="306" t="n"/>
      <c r="M2635" s="307">
        <f>$F2635*$H2635</f>
        <v/>
      </c>
      <c r="N2635" s="306" t="n"/>
      <c r="O2635" s="306" t="n"/>
      <c r="P2635" s="306" t="n"/>
      <c r="Q2635" s="306" t="n"/>
    </row>
    <row r="2636" ht="18.75" customHeight="1">
      <c r="B2636" s="288" t="n">
        <v>45276</v>
      </c>
      <c r="C2636" s="289" t="n">
        <v>1873</v>
      </c>
      <c r="D2636" s="290" t="inlineStr">
        <is>
          <t>Google Workspace PT. EWI</t>
        </is>
      </c>
      <c r="E2636" s="306" t="inlineStr">
        <is>
          <t>-</t>
        </is>
      </c>
      <c r="F2636" s="307" t="n">
        <v>306982</v>
      </c>
      <c r="G2636" s="289" t="inlineStr">
        <is>
          <t>IDR</t>
        </is>
      </c>
      <c r="H2636" s="293" t="n">
        <v>1</v>
      </c>
      <c r="I2636" s="306" t="n"/>
      <c r="J2636" s="306" t="n"/>
      <c r="K2636" s="306" t="n"/>
      <c r="L2636" s="306" t="n"/>
      <c r="M2636" s="307">
        <f>$F2636*$H2636</f>
        <v/>
      </c>
      <c r="N2636" s="306" t="n"/>
      <c r="O2636" s="306" t="n"/>
      <c r="P2636" s="306" t="n"/>
      <c r="Q2636" s="306" t="n"/>
    </row>
    <row r="2637" ht="18.75" customHeight="1">
      <c r="B2637" s="288" t="n">
        <v>45276</v>
      </c>
      <c r="C2637" s="289" t="n">
        <v>1874</v>
      </c>
      <c r="D2637" s="290" t="inlineStr">
        <is>
          <t>Google Workspace PT. EWI</t>
        </is>
      </c>
      <c r="E2637" s="306" t="inlineStr">
        <is>
          <t>-</t>
        </is>
      </c>
      <c r="F2637" s="307" t="n">
        <v>306982</v>
      </c>
      <c r="G2637" s="289" t="inlineStr">
        <is>
          <t>IDR</t>
        </is>
      </c>
      <c r="H2637" s="293" t="n">
        <v>1</v>
      </c>
      <c r="I2637" s="306" t="n"/>
      <c r="J2637" s="306" t="n"/>
      <c r="K2637" s="306" t="n"/>
      <c r="L2637" s="306" t="n"/>
      <c r="M2637" s="307">
        <f>$F2637*$H2637</f>
        <v/>
      </c>
      <c r="N2637" s="306" t="n"/>
      <c r="O2637" s="306" t="n"/>
      <c r="P2637" s="306" t="n"/>
      <c r="Q2637" s="306" t="n"/>
    </row>
    <row r="2638" ht="18.75" customHeight="1">
      <c r="B2638" s="288" t="n">
        <v>45276</v>
      </c>
      <c r="C2638" s="289" t="n">
        <v>1875</v>
      </c>
      <c r="D2638" s="290" t="inlineStr">
        <is>
          <t>Google Workspace PT. EWI</t>
        </is>
      </c>
      <c r="E2638" s="306" t="inlineStr">
        <is>
          <t>-</t>
        </is>
      </c>
      <c r="F2638" s="307" t="n">
        <v>306982</v>
      </c>
      <c r="G2638" s="289" t="inlineStr">
        <is>
          <t>IDR</t>
        </is>
      </c>
      <c r="H2638" s="293" t="n">
        <v>1</v>
      </c>
      <c r="I2638" s="306" t="n"/>
      <c r="J2638" s="306" t="n"/>
      <c r="K2638" s="306" t="n"/>
      <c r="L2638" s="306" t="n"/>
      <c r="M2638" s="307">
        <f>$F2638*$H2638</f>
        <v/>
      </c>
      <c r="N2638" s="306" t="n"/>
      <c r="O2638" s="306" t="n"/>
      <c r="P2638" s="306" t="n"/>
      <c r="Q2638" s="306" t="n"/>
    </row>
    <row r="2639" ht="18.75" customHeight="1">
      <c r="B2639" s="288" t="n">
        <v>45276</v>
      </c>
      <c r="C2639" s="289" t="n">
        <v>1876</v>
      </c>
      <c r="D2639" s="290" t="inlineStr">
        <is>
          <t>Google Workspace PT. EWI</t>
        </is>
      </c>
      <c r="E2639" s="306" t="inlineStr">
        <is>
          <t>-</t>
        </is>
      </c>
      <c r="F2639" s="307" t="n">
        <v>306982</v>
      </c>
      <c r="G2639" s="289" t="inlineStr">
        <is>
          <t>IDR</t>
        </is>
      </c>
      <c r="H2639" s="293" t="n">
        <v>1</v>
      </c>
      <c r="I2639" s="306" t="n"/>
      <c r="J2639" s="306" t="n"/>
      <c r="K2639" s="306" t="n"/>
      <c r="L2639" s="306" t="n"/>
      <c r="M2639" s="307">
        <f>$F2639*$H2639</f>
        <v/>
      </c>
      <c r="N2639" s="306" t="n"/>
      <c r="O2639" s="306" t="n"/>
      <c r="P2639" s="306" t="n"/>
      <c r="Q2639" s="306" t="n"/>
    </row>
    <row r="2640" ht="18.75" customHeight="1">
      <c r="B2640" s="288" t="n">
        <v>45307</v>
      </c>
      <c r="C2640" s="289" t="n">
        <v>1877</v>
      </c>
      <c r="D2640" s="290" t="inlineStr">
        <is>
          <t>Google Workspace PT. EWI</t>
        </is>
      </c>
      <c r="E2640" s="306" t="inlineStr">
        <is>
          <t>-</t>
        </is>
      </c>
      <c r="F2640" s="307" t="n">
        <v>306982</v>
      </c>
      <c r="G2640" s="289" t="inlineStr">
        <is>
          <t>IDR</t>
        </is>
      </c>
      <c r="H2640" s="293" t="n">
        <v>1</v>
      </c>
      <c r="I2640" s="306" t="n"/>
      <c r="J2640" s="306" t="n"/>
      <c r="K2640" s="306" t="n"/>
      <c r="L2640" s="306" t="n"/>
      <c r="M2640" s="307">
        <f>$F2640*$H2640</f>
        <v/>
      </c>
      <c r="N2640" s="306" t="n"/>
      <c r="O2640" s="306" t="n"/>
      <c r="P2640" s="306" t="n"/>
      <c r="Q2640" s="306" t="n"/>
    </row>
    <row r="2641" ht="18.75" customHeight="1">
      <c r="B2641" s="288" t="n">
        <v>45307</v>
      </c>
      <c r="C2641" s="289" t="n">
        <v>1878</v>
      </c>
      <c r="D2641" s="290" t="inlineStr">
        <is>
          <t>Google Workspace PT. EWI</t>
        </is>
      </c>
      <c r="E2641" s="306" t="inlineStr">
        <is>
          <t>-</t>
        </is>
      </c>
      <c r="F2641" s="307" t="n">
        <v>306982</v>
      </c>
      <c r="G2641" s="289" t="inlineStr">
        <is>
          <t>IDR</t>
        </is>
      </c>
      <c r="H2641" s="293" t="n">
        <v>1</v>
      </c>
      <c r="I2641" s="306" t="n"/>
      <c r="J2641" s="306" t="n"/>
      <c r="K2641" s="306" t="n"/>
      <c r="L2641" s="306" t="n"/>
      <c r="M2641" s="307">
        <f>$F2641*$H2641</f>
        <v/>
      </c>
      <c r="N2641" s="306" t="n"/>
      <c r="O2641" s="306" t="n"/>
      <c r="P2641" s="306" t="n"/>
      <c r="Q2641" s="306" t="n"/>
    </row>
    <row r="2642" ht="18.75" customHeight="1">
      <c r="B2642" s="288" t="n">
        <v>45307</v>
      </c>
      <c r="C2642" s="289" t="n">
        <v>1879</v>
      </c>
      <c r="D2642" s="290" t="inlineStr">
        <is>
          <t>Google Workspace PT. EWI</t>
        </is>
      </c>
      <c r="E2642" s="306" t="inlineStr">
        <is>
          <t>-</t>
        </is>
      </c>
      <c r="F2642" s="307" t="n">
        <v>306982</v>
      </c>
      <c r="G2642" s="289" t="inlineStr">
        <is>
          <t>IDR</t>
        </is>
      </c>
      <c r="H2642" s="293" t="n">
        <v>1</v>
      </c>
      <c r="I2642" s="306" t="n"/>
      <c r="J2642" s="306" t="n"/>
      <c r="K2642" s="306" t="n"/>
      <c r="L2642" s="306" t="n"/>
      <c r="M2642" s="307">
        <f>$F2642*$H2642</f>
        <v/>
      </c>
      <c r="N2642" s="306" t="n"/>
      <c r="O2642" s="306" t="n"/>
      <c r="P2642" s="306" t="n"/>
      <c r="Q2642" s="306" t="n"/>
    </row>
    <row r="2643" ht="18.75" customHeight="1">
      <c r="B2643" s="288" t="n">
        <v>45307</v>
      </c>
      <c r="C2643" s="289" t="n">
        <v>1880</v>
      </c>
      <c r="D2643" s="290" t="inlineStr">
        <is>
          <t>Google Workspace PT. EWI</t>
        </is>
      </c>
      <c r="E2643" s="306" t="inlineStr">
        <is>
          <t>-</t>
        </is>
      </c>
      <c r="F2643" s="307" t="n">
        <v>306982</v>
      </c>
      <c r="G2643" s="289" t="inlineStr">
        <is>
          <t>IDR</t>
        </is>
      </c>
      <c r="H2643" s="293" t="n">
        <v>1</v>
      </c>
      <c r="I2643" s="306" t="n"/>
      <c r="J2643" s="306" t="n"/>
      <c r="K2643" s="306" t="n"/>
      <c r="L2643" s="306" t="n"/>
      <c r="M2643" s="307">
        <f>$F2643*$H2643</f>
        <v/>
      </c>
      <c r="N2643" s="306" t="n"/>
      <c r="O2643" s="306" t="n"/>
      <c r="P2643" s="306" t="n"/>
      <c r="Q2643" s="306" t="n"/>
    </row>
    <row r="2644" ht="18.75" customHeight="1">
      <c r="B2644" s="288" t="n">
        <v>45338</v>
      </c>
      <c r="C2644" s="289" t="n">
        <v>1881</v>
      </c>
      <c r="D2644" s="290" t="inlineStr">
        <is>
          <t>Google Workspace PT. EWI</t>
        </is>
      </c>
      <c r="E2644" s="306" t="inlineStr">
        <is>
          <t>-</t>
        </is>
      </c>
      <c r="F2644" s="307" t="n">
        <v>306982</v>
      </c>
      <c r="G2644" s="289" t="inlineStr">
        <is>
          <t>IDR</t>
        </is>
      </c>
      <c r="H2644" s="293" t="n">
        <v>1</v>
      </c>
      <c r="I2644" s="306" t="n"/>
      <c r="J2644" s="306" t="n"/>
      <c r="K2644" s="306" t="n"/>
      <c r="L2644" s="306" t="n"/>
      <c r="M2644" s="307">
        <f>$F2644*$H2644</f>
        <v/>
      </c>
      <c r="N2644" s="306" t="n"/>
      <c r="O2644" s="306" t="n"/>
      <c r="P2644" s="306" t="n"/>
      <c r="Q2644" s="306" t="n"/>
    </row>
    <row r="2645" ht="18.75" customHeight="1">
      <c r="B2645" s="288" t="n">
        <v>45338</v>
      </c>
      <c r="C2645" s="289" t="n">
        <v>1882</v>
      </c>
      <c r="D2645" s="290" t="inlineStr">
        <is>
          <t>Google Workspace PT. EWI</t>
        </is>
      </c>
      <c r="E2645" s="306" t="inlineStr">
        <is>
          <t>-</t>
        </is>
      </c>
      <c r="F2645" s="307" t="n">
        <v>306982</v>
      </c>
      <c r="G2645" s="289" t="inlineStr">
        <is>
          <t>IDR</t>
        </is>
      </c>
      <c r="H2645" s="293" t="n">
        <v>1</v>
      </c>
      <c r="I2645" s="306" t="n"/>
      <c r="J2645" s="306" t="n"/>
      <c r="K2645" s="306" t="n"/>
      <c r="L2645" s="306" t="n"/>
      <c r="M2645" s="307">
        <f>$F2645*$H2645</f>
        <v/>
      </c>
      <c r="N2645" s="306" t="n"/>
      <c r="O2645" s="306" t="n"/>
      <c r="P2645" s="306" t="n"/>
      <c r="Q2645" s="306" t="n"/>
    </row>
    <row r="2646" ht="18.75" customHeight="1">
      <c r="B2646" s="288" t="n">
        <v>45338</v>
      </c>
      <c r="C2646" s="289" t="n">
        <v>1883</v>
      </c>
      <c r="D2646" s="290" t="inlineStr">
        <is>
          <t>Google Workspace PT. EWI</t>
        </is>
      </c>
      <c r="E2646" s="306" t="inlineStr">
        <is>
          <t>-</t>
        </is>
      </c>
      <c r="F2646" s="307" t="n">
        <v>306982</v>
      </c>
      <c r="G2646" s="289" t="inlineStr">
        <is>
          <t>IDR</t>
        </is>
      </c>
      <c r="H2646" s="293" t="n">
        <v>1</v>
      </c>
      <c r="I2646" s="306" t="n"/>
      <c r="J2646" s="306" t="n"/>
      <c r="K2646" s="306" t="n"/>
      <c r="L2646" s="306" t="n"/>
      <c r="M2646" s="307">
        <f>$F2646*$H2646</f>
        <v/>
      </c>
      <c r="N2646" s="306" t="n"/>
      <c r="O2646" s="306" t="n"/>
      <c r="P2646" s="306" t="n"/>
      <c r="Q2646" s="306" t="n"/>
    </row>
    <row r="2647" ht="18.75" customHeight="1">
      <c r="B2647" s="288" t="n">
        <v>45338</v>
      </c>
      <c r="C2647" s="289" t="n">
        <v>1884</v>
      </c>
      <c r="D2647" s="290" t="inlineStr">
        <is>
          <t>Google Workspace PT. EWI</t>
        </is>
      </c>
      <c r="E2647" s="306" t="inlineStr">
        <is>
          <t>-</t>
        </is>
      </c>
      <c r="F2647" s="307" t="n">
        <v>306982</v>
      </c>
      <c r="G2647" s="289" t="inlineStr">
        <is>
          <t>IDR</t>
        </is>
      </c>
      <c r="H2647" s="293" t="n">
        <v>1</v>
      </c>
      <c r="I2647" s="306" t="n"/>
      <c r="J2647" s="306" t="n"/>
      <c r="K2647" s="306" t="n"/>
      <c r="L2647" s="306" t="n"/>
      <c r="M2647" s="307">
        <f>$F2647*$H2647</f>
        <v/>
      </c>
      <c r="N2647" s="306" t="n"/>
      <c r="O2647" s="306" t="n"/>
      <c r="P2647" s="306" t="n"/>
      <c r="Q2647" s="306" t="n"/>
    </row>
    <row r="2648" ht="18.75" customHeight="1">
      <c r="B2648" s="288" t="n">
        <v>45367</v>
      </c>
      <c r="C2648" s="289" t="n">
        <v>1885</v>
      </c>
      <c r="D2648" s="290" t="inlineStr">
        <is>
          <t>Google Workspace PT. EWI</t>
        </is>
      </c>
      <c r="E2648" s="306" t="inlineStr">
        <is>
          <t>-</t>
        </is>
      </c>
      <c r="F2648" s="307" t="n">
        <v>306982</v>
      </c>
      <c r="G2648" s="289" t="inlineStr">
        <is>
          <t>IDR</t>
        </is>
      </c>
      <c r="H2648" s="293" t="n">
        <v>1</v>
      </c>
      <c r="I2648" s="306" t="n"/>
      <c r="J2648" s="306" t="n"/>
      <c r="K2648" s="306" t="n"/>
      <c r="L2648" s="306" t="n"/>
      <c r="M2648" s="307">
        <f>$F2648*$H2648</f>
        <v/>
      </c>
      <c r="N2648" s="306" t="n"/>
      <c r="O2648" s="306" t="n"/>
      <c r="P2648" s="306" t="n"/>
      <c r="Q2648" s="306" t="n"/>
    </row>
    <row r="2649" ht="18.75" customHeight="1">
      <c r="B2649" s="288" t="n">
        <v>45367</v>
      </c>
      <c r="C2649" s="289" t="n">
        <v>1886</v>
      </c>
      <c r="D2649" s="290" t="inlineStr">
        <is>
          <t>Google Workspace PT. EWI</t>
        </is>
      </c>
      <c r="E2649" s="306" t="inlineStr">
        <is>
          <t>-</t>
        </is>
      </c>
      <c r="F2649" s="307" t="n">
        <v>306982</v>
      </c>
      <c r="G2649" s="289" t="inlineStr">
        <is>
          <t>IDR</t>
        </is>
      </c>
      <c r="H2649" s="293" t="n">
        <v>1</v>
      </c>
      <c r="I2649" s="306" t="n"/>
      <c r="J2649" s="306" t="n"/>
      <c r="K2649" s="306" t="n"/>
      <c r="L2649" s="306" t="n"/>
      <c r="M2649" s="307">
        <f>$F2649*$H2649</f>
        <v/>
      </c>
      <c r="N2649" s="306" t="n"/>
      <c r="O2649" s="306" t="n"/>
      <c r="P2649" s="306" t="n"/>
      <c r="Q2649" s="306" t="n"/>
    </row>
    <row r="2650" ht="18.75" customHeight="1">
      <c r="B2650" s="288" t="n">
        <v>45367</v>
      </c>
      <c r="C2650" s="289" t="n">
        <v>1887</v>
      </c>
      <c r="D2650" s="290" t="inlineStr">
        <is>
          <t>Google Workspace PT. EWI</t>
        </is>
      </c>
      <c r="E2650" s="306" t="inlineStr">
        <is>
          <t>-</t>
        </is>
      </c>
      <c r="F2650" s="307" t="n">
        <v>306982</v>
      </c>
      <c r="G2650" s="289" t="inlineStr">
        <is>
          <t>IDR</t>
        </is>
      </c>
      <c r="H2650" s="293" t="n">
        <v>1</v>
      </c>
      <c r="I2650" s="306" t="n"/>
      <c r="J2650" s="306" t="n"/>
      <c r="K2650" s="306" t="n"/>
      <c r="L2650" s="306" t="n"/>
      <c r="M2650" s="307">
        <f>$F2650*$H2650</f>
        <v/>
      </c>
      <c r="N2650" s="306" t="n"/>
      <c r="O2650" s="306" t="n"/>
      <c r="P2650" s="306" t="n"/>
      <c r="Q2650" s="306" t="n"/>
    </row>
    <row r="2651" ht="18.75" customHeight="1">
      <c r="B2651" s="288" t="n">
        <v>45367</v>
      </c>
      <c r="C2651" s="289" t="n">
        <v>1888</v>
      </c>
      <c r="D2651" s="290" t="inlineStr">
        <is>
          <t>Google Workspace PT. EWI</t>
        </is>
      </c>
      <c r="E2651" s="306" t="inlineStr">
        <is>
          <t>-</t>
        </is>
      </c>
      <c r="F2651" s="307" t="n">
        <v>306982</v>
      </c>
      <c r="G2651" s="289" t="inlineStr">
        <is>
          <t>IDR</t>
        </is>
      </c>
      <c r="H2651" s="293" t="n">
        <v>1</v>
      </c>
      <c r="I2651" s="306" t="n"/>
      <c r="J2651" s="306" t="n"/>
      <c r="K2651" s="306" t="n"/>
      <c r="L2651" s="306" t="n"/>
      <c r="M2651" s="307">
        <f>$F2651*$H2651</f>
        <v/>
      </c>
      <c r="N2651" s="306" t="n"/>
      <c r="O2651" s="306" t="n"/>
      <c r="P2651" s="306" t="n"/>
      <c r="Q2651" s="306" t="n"/>
    </row>
    <row r="2652" ht="18.75" customHeight="1">
      <c r="B2652" s="288" t="n">
        <v>45398</v>
      </c>
      <c r="C2652" s="289" t="n">
        <v>1889</v>
      </c>
      <c r="D2652" s="290" t="inlineStr">
        <is>
          <t>Google Workspace PT. EWI</t>
        </is>
      </c>
      <c r="E2652" s="306" t="inlineStr">
        <is>
          <t>-</t>
        </is>
      </c>
      <c r="F2652" s="307" t="n">
        <v>306982</v>
      </c>
      <c r="G2652" s="289" t="inlineStr">
        <is>
          <t>IDR</t>
        </is>
      </c>
      <c r="H2652" s="293" t="n">
        <v>1</v>
      </c>
      <c r="I2652" s="306" t="n"/>
      <c r="J2652" s="306" t="n"/>
      <c r="K2652" s="306" t="n"/>
      <c r="L2652" s="306" t="n"/>
      <c r="M2652" s="307">
        <f>$F2652*$H2652</f>
        <v/>
      </c>
      <c r="N2652" s="306" t="n"/>
      <c r="O2652" s="306" t="n"/>
      <c r="P2652" s="306" t="n"/>
      <c r="Q2652" s="306" t="n"/>
    </row>
    <row r="2653" ht="18.75" customHeight="1">
      <c r="B2653" s="288" t="n">
        <v>45398</v>
      </c>
      <c r="C2653" s="289" t="n">
        <v>1890</v>
      </c>
      <c r="D2653" s="290" t="inlineStr">
        <is>
          <t>Google Workspace PT. EWI</t>
        </is>
      </c>
      <c r="E2653" s="306" t="inlineStr">
        <is>
          <t>-</t>
        </is>
      </c>
      <c r="F2653" s="307" t="n">
        <v>306982</v>
      </c>
      <c r="G2653" s="289" t="inlineStr">
        <is>
          <t>IDR</t>
        </is>
      </c>
      <c r="H2653" s="293" t="n">
        <v>1</v>
      </c>
      <c r="I2653" s="306" t="n"/>
      <c r="J2653" s="306" t="n"/>
      <c r="K2653" s="306" t="n"/>
      <c r="L2653" s="306" t="n"/>
      <c r="M2653" s="307">
        <f>$F2653*$H2653</f>
        <v/>
      </c>
      <c r="N2653" s="306" t="n"/>
      <c r="O2653" s="306" t="n"/>
      <c r="P2653" s="306" t="n"/>
      <c r="Q2653" s="306" t="n"/>
    </row>
    <row r="2654" ht="18.75" customHeight="1">
      <c r="B2654" s="288" t="n">
        <v>45398</v>
      </c>
      <c r="C2654" s="289" t="n">
        <v>1891</v>
      </c>
      <c r="D2654" s="290" t="inlineStr">
        <is>
          <t>Google Workspace PT. EWI</t>
        </is>
      </c>
      <c r="E2654" s="306" t="inlineStr">
        <is>
          <t>-</t>
        </is>
      </c>
      <c r="F2654" s="307" t="n">
        <v>306982</v>
      </c>
      <c r="G2654" s="289" t="inlineStr">
        <is>
          <t>IDR</t>
        </is>
      </c>
      <c r="H2654" s="293" t="n">
        <v>1</v>
      </c>
      <c r="I2654" s="306" t="n"/>
      <c r="J2654" s="306" t="n"/>
      <c r="K2654" s="306" t="n"/>
      <c r="L2654" s="306" t="n"/>
      <c r="M2654" s="307">
        <f>$F2654*$H2654</f>
        <v/>
      </c>
      <c r="N2654" s="306" t="n"/>
      <c r="O2654" s="306" t="n"/>
      <c r="P2654" s="306" t="n"/>
      <c r="Q2654" s="306" t="n"/>
    </row>
    <row r="2655" ht="18.75" customHeight="1">
      <c r="B2655" s="288" t="n">
        <v>45398</v>
      </c>
      <c r="C2655" s="289" t="n">
        <v>1892</v>
      </c>
      <c r="D2655" s="290" t="inlineStr">
        <is>
          <t>Google Workspace PT. EWI</t>
        </is>
      </c>
      <c r="E2655" s="306" t="inlineStr">
        <is>
          <t>-</t>
        </is>
      </c>
      <c r="F2655" s="307" t="n">
        <v>306982</v>
      </c>
      <c r="G2655" s="289" t="inlineStr">
        <is>
          <t>IDR</t>
        </is>
      </c>
      <c r="H2655" s="293" t="n">
        <v>1</v>
      </c>
      <c r="I2655" s="306" t="n"/>
      <c r="J2655" s="306" t="n"/>
      <c r="K2655" s="306" t="n"/>
      <c r="L2655" s="306" t="n"/>
      <c r="M2655" s="307">
        <f>$F2655*$H2655</f>
        <v/>
      </c>
      <c r="N2655" s="306" t="n"/>
      <c r="O2655" s="306" t="n"/>
      <c r="P2655" s="306" t="n"/>
      <c r="Q2655" s="306" t="n"/>
    </row>
    <row r="2656" ht="18.75" customHeight="1">
      <c r="B2656" s="288" t="n">
        <v>45428</v>
      </c>
      <c r="C2656" s="289" t="n">
        <v>1893</v>
      </c>
      <c r="D2656" s="290" t="inlineStr">
        <is>
          <t>Google Workspace PT. EWI</t>
        </is>
      </c>
      <c r="E2656" s="306" t="inlineStr">
        <is>
          <t>-</t>
        </is>
      </c>
      <c r="F2656" s="307" t="n">
        <v>306982</v>
      </c>
      <c r="G2656" s="289" t="inlineStr">
        <is>
          <t>IDR</t>
        </is>
      </c>
      <c r="H2656" s="293" t="n">
        <v>1</v>
      </c>
      <c r="I2656" s="306" t="n"/>
      <c r="J2656" s="306" t="n"/>
      <c r="K2656" s="306" t="n"/>
      <c r="L2656" s="306" t="n"/>
      <c r="M2656" s="307">
        <f>$F2656*$H2656</f>
        <v/>
      </c>
      <c r="N2656" s="306" t="n"/>
      <c r="O2656" s="306" t="n"/>
      <c r="P2656" s="306" t="n"/>
      <c r="Q2656" s="306" t="n"/>
    </row>
    <row r="2657" ht="18.75" customHeight="1">
      <c r="B2657" s="288" t="n">
        <v>45428</v>
      </c>
      <c r="C2657" s="289" t="n">
        <v>1894</v>
      </c>
      <c r="D2657" s="290" t="inlineStr">
        <is>
          <t>Google Workspace PT. EWI</t>
        </is>
      </c>
      <c r="E2657" s="306" t="inlineStr">
        <is>
          <t>-</t>
        </is>
      </c>
      <c r="F2657" s="307" t="n">
        <v>306982</v>
      </c>
      <c r="G2657" s="289" t="inlineStr">
        <is>
          <t>IDR</t>
        </is>
      </c>
      <c r="H2657" s="293" t="n">
        <v>1</v>
      </c>
      <c r="I2657" s="306" t="n"/>
      <c r="J2657" s="306" t="n"/>
      <c r="K2657" s="306" t="n"/>
      <c r="L2657" s="306" t="n"/>
      <c r="M2657" s="307">
        <f>$F2657*$H2657</f>
        <v/>
      </c>
      <c r="N2657" s="306" t="n"/>
      <c r="O2657" s="306" t="n"/>
      <c r="P2657" s="306" t="n"/>
      <c r="Q2657" s="306" t="n"/>
    </row>
    <row r="2658" ht="18.75" customHeight="1">
      <c r="B2658" s="288" t="n">
        <v>45428</v>
      </c>
      <c r="C2658" s="289" t="n">
        <v>1895</v>
      </c>
      <c r="D2658" s="290" t="inlineStr">
        <is>
          <t>Google Workspace PT. EWI</t>
        </is>
      </c>
      <c r="E2658" s="306" t="inlineStr">
        <is>
          <t>-</t>
        </is>
      </c>
      <c r="F2658" s="307" t="n">
        <v>306982</v>
      </c>
      <c r="G2658" s="289" t="inlineStr">
        <is>
          <t>IDR</t>
        </is>
      </c>
      <c r="H2658" s="293" t="n">
        <v>1</v>
      </c>
      <c r="I2658" s="306" t="n"/>
      <c r="J2658" s="306" t="n"/>
      <c r="K2658" s="306" t="n"/>
      <c r="L2658" s="306" t="n"/>
      <c r="M2658" s="307">
        <f>$F2658*$H2658</f>
        <v/>
      </c>
      <c r="N2658" s="306" t="n"/>
      <c r="O2658" s="306" t="n"/>
      <c r="P2658" s="306" t="n"/>
      <c r="Q2658" s="306" t="n"/>
    </row>
    <row r="2659" ht="18.75" customHeight="1">
      <c r="B2659" s="288" t="n">
        <v>45428</v>
      </c>
      <c r="C2659" s="289" t="n">
        <v>1896</v>
      </c>
      <c r="D2659" s="290" t="inlineStr">
        <is>
          <t>Google Workspace PT. EWI</t>
        </is>
      </c>
      <c r="E2659" s="306" t="inlineStr">
        <is>
          <t>-</t>
        </is>
      </c>
      <c r="F2659" s="307" t="n">
        <v>306982</v>
      </c>
      <c r="G2659" s="289" t="inlineStr">
        <is>
          <t>IDR</t>
        </is>
      </c>
      <c r="H2659" s="293" t="n">
        <v>1</v>
      </c>
      <c r="I2659" s="306" t="n"/>
      <c r="J2659" s="306" t="n"/>
      <c r="K2659" s="306" t="n"/>
      <c r="L2659" s="306" t="n"/>
      <c r="M2659" s="307">
        <f>$F2659*$H2659</f>
        <v/>
      </c>
      <c r="N2659" s="306" t="n"/>
      <c r="O2659" s="306" t="n"/>
      <c r="P2659" s="306" t="n"/>
      <c r="Q2659" s="306" t="n"/>
    </row>
    <row r="2660">
      <c r="B2660" s="312" t="n"/>
      <c r="C2660" s="312" t="n"/>
      <c r="D2660" s="285" t="inlineStr">
        <is>
          <t>Meal</t>
        </is>
      </c>
      <c r="E2660" s="312" t="n"/>
      <c r="F2660" s="312" t="n"/>
      <c r="G2660" s="312" t="n"/>
      <c r="H2660" s="312" t="n"/>
      <c r="I2660" s="312" t="n"/>
      <c r="J2660" s="312" t="n"/>
      <c r="K2660" s="312" t="n"/>
      <c r="L2660" s="312" t="n"/>
      <c r="M2660" s="312" t="n"/>
      <c r="N2660" s="312" t="n"/>
      <c r="O2660" s="312" t="n"/>
      <c r="P2660" s="312" t="n"/>
      <c r="Q2660" s="312" t="n"/>
    </row>
    <row r="2661" ht="18.75" customHeight="1">
      <c r="B2661" s="288" t="n">
        <v>45363</v>
      </c>
      <c r="C2661" s="289" t="n">
        <v>1897</v>
      </c>
      <c r="D2661" s="290" t="inlineStr">
        <is>
          <t>Meals 2 days @ 300,000/day</t>
        </is>
      </c>
      <c r="E2661" s="306" t="inlineStr">
        <is>
          <t>-</t>
        </is>
      </c>
      <c r="F2661" s="307" t="n">
        <v>600000</v>
      </c>
      <c r="G2661" s="289" t="inlineStr">
        <is>
          <t>IDR</t>
        </is>
      </c>
      <c r="H2661" s="293" t="n">
        <v>1</v>
      </c>
      <c r="I2661" s="306" t="n"/>
      <c r="J2661" s="306" t="n"/>
      <c r="K2661" s="306" t="n"/>
      <c r="L2661" s="307">
        <f>$F2661*$H2661</f>
        <v/>
      </c>
      <c r="M2661" s="306" t="n"/>
      <c r="N2661" s="306" t="n"/>
      <c r="O2661" s="306" t="n"/>
      <c r="P2661" s="306" t="n"/>
      <c r="Q2661" s="306" t="n"/>
    </row>
    <row r="2662" ht="18.75" customHeight="1">
      <c r="B2662" s="288" t="n">
        <v>45363</v>
      </c>
      <c r="C2662" s="289" t="n">
        <v>1898</v>
      </c>
      <c r="D2662" s="290" t="inlineStr">
        <is>
          <t>Meals 2 days @ 300,000/day</t>
        </is>
      </c>
      <c r="E2662" s="306" t="inlineStr">
        <is>
          <t>-</t>
        </is>
      </c>
      <c r="F2662" s="307" t="n">
        <v>600000</v>
      </c>
      <c r="G2662" s="289" t="inlineStr">
        <is>
          <t>IDR</t>
        </is>
      </c>
      <c r="H2662" s="293" t="n">
        <v>1</v>
      </c>
      <c r="I2662" s="306" t="n"/>
      <c r="J2662" s="306" t="n"/>
      <c r="K2662" s="306" t="n"/>
      <c r="L2662" s="307">
        <f>$F2662*$H2662</f>
        <v/>
      </c>
      <c r="M2662" s="306" t="n"/>
      <c r="N2662" s="306" t="n"/>
      <c r="O2662" s="306" t="n"/>
      <c r="P2662" s="306" t="n"/>
      <c r="Q2662" s="306" t="n"/>
    </row>
    <row r="2663" ht="18.75" customHeight="1">
      <c r="B2663" s="288" t="n">
        <v>45363</v>
      </c>
      <c r="C2663" s="289" t="n">
        <v>1899</v>
      </c>
      <c r="D2663" s="290" t="inlineStr">
        <is>
          <t>Meals 2 days @ 300,000/day</t>
        </is>
      </c>
      <c r="E2663" s="306" t="inlineStr">
        <is>
          <t>-</t>
        </is>
      </c>
      <c r="F2663" s="307" t="n">
        <v>600000</v>
      </c>
      <c r="G2663" s="289" t="inlineStr">
        <is>
          <t>IDR</t>
        </is>
      </c>
      <c r="H2663" s="293" t="n">
        <v>1</v>
      </c>
      <c r="I2663" s="306" t="n"/>
      <c r="J2663" s="306" t="n"/>
      <c r="K2663" s="306" t="n"/>
      <c r="L2663" s="307">
        <f>$F2663*$H2663</f>
        <v/>
      </c>
      <c r="M2663" s="306" t="n"/>
      <c r="N2663" s="306" t="n"/>
      <c r="O2663" s="306" t="n"/>
      <c r="P2663" s="306" t="n"/>
      <c r="Q2663" s="306" t="n"/>
    </row>
    <row r="2664" ht="18.75" customHeight="1">
      <c r="B2664" s="288" t="n">
        <v>45363</v>
      </c>
      <c r="C2664" s="289" t="n">
        <v>1900</v>
      </c>
      <c r="D2664" s="290" t="inlineStr">
        <is>
          <t>Meals 2 days @ 300,000/day</t>
        </is>
      </c>
      <c r="E2664" s="306" t="inlineStr">
        <is>
          <t>-</t>
        </is>
      </c>
      <c r="F2664" s="307" t="n">
        <v>600000</v>
      </c>
      <c r="G2664" s="289" t="inlineStr">
        <is>
          <t>IDR</t>
        </is>
      </c>
      <c r="H2664" s="293" t="n">
        <v>1</v>
      </c>
      <c r="I2664" s="306" t="n"/>
      <c r="J2664" s="306" t="n"/>
      <c r="K2664" s="306" t="n"/>
      <c r="L2664" s="307">
        <f>$F2664*$H2664</f>
        <v/>
      </c>
      <c r="M2664" s="306" t="n"/>
      <c r="N2664" s="306" t="n"/>
      <c r="O2664" s="306" t="n"/>
      <c r="P2664" s="306" t="n"/>
      <c r="Q2664" s="306" t="n"/>
    </row>
    <row r="2665" ht="18.75" customHeight="1">
      <c r="B2665" s="288" t="n">
        <v>45405</v>
      </c>
      <c r="C2665" s="289" t="n">
        <v>1901</v>
      </c>
      <c r="D2665" s="290" t="inlineStr">
        <is>
          <t>Meals 2 days @ 150,000/day</t>
        </is>
      </c>
      <c r="E2665" s="306" t="inlineStr">
        <is>
          <t>-</t>
        </is>
      </c>
      <c r="F2665" s="307" t="n">
        <v>300000</v>
      </c>
      <c r="G2665" s="289" t="inlineStr">
        <is>
          <t>IDR</t>
        </is>
      </c>
      <c r="H2665" s="293" t="n">
        <v>1</v>
      </c>
      <c r="I2665" s="306" t="n"/>
      <c r="J2665" s="306" t="n"/>
      <c r="K2665" s="306" t="n"/>
      <c r="L2665" s="307">
        <f>$F2665*$H2665</f>
        <v/>
      </c>
      <c r="M2665" s="306" t="n"/>
      <c r="N2665" s="306" t="n"/>
      <c r="O2665" s="306" t="n"/>
      <c r="P2665" s="306" t="n"/>
      <c r="Q2665" s="306" t="n"/>
    </row>
    <row r="2666" ht="18.75" customHeight="1">
      <c r="B2666" s="288" t="n">
        <v>45405</v>
      </c>
      <c r="C2666" s="289" t="n">
        <v>1902</v>
      </c>
      <c r="D2666" s="290" t="inlineStr">
        <is>
          <t>Meals 2 days @ 150,000/day</t>
        </is>
      </c>
      <c r="E2666" s="306" t="inlineStr">
        <is>
          <t>-</t>
        </is>
      </c>
      <c r="F2666" s="307" t="n">
        <v>300000</v>
      </c>
      <c r="G2666" s="289" t="inlineStr">
        <is>
          <t>IDR</t>
        </is>
      </c>
      <c r="H2666" s="293" t="n">
        <v>1</v>
      </c>
      <c r="I2666" s="306" t="n"/>
      <c r="J2666" s="306" t="n"/>
      <c r="K2666" s="306" t="n"/>
      <c r="L2666" s="307">
        <f>$F2666*$H2666</f>
        <v/>
      </c>
      <c r="M2666" s="306" t="n"/>
      <c r="N2666" s="306" t="n"/>
      <c r="O2666" s="306" t="n"/>
      <c r="P2666" s="306" t="n"/>
      <c r="Q2666" s="306" t="n"/>
    </row>
    <row r="2667" ht="18.75" customHeight="1">
      <c r="B2667" s="288" t="n">
        <v>45405</v>
      </c>
      <c r="C2667" s="289" t="n">
        <v>1903</v>
      </c>
      <c r="D2667" s="290" t="inlineStr">
        <is>
          <t>Meals 2 days @ 150,000/day</t>
        </is>
      </c>
      <c r="E2667" s="306" t="inlineStr">
        <is>
          <t>-</t>
        </is>
      </c>
      <c r="F2667" s="307" t="n">
        <v>300000</v>
      </c>
      <c r="G2667" s="289" t="inlineStr">
        <is>
          <t>IDR</t>
        </is>
      </c>
      <c r="H2667" s="293" t="n">
        <v>1</v>
      </c>
      <c r="I2667" s="306" t="n"/>
      <c r="J2667" s="306" t="n"/>
      <c r="K2667" s="306" t="n"/>
      <c r="L2667" s="307">
        <f>$F2667*$H2667</f>
        <v/>
      </c>
      <c r="M2667" s="306" t="n"/>
      <c r="N2667" s="306" t="n"/>
      <c r="O2667" s="306" t="n"/>
      <c r="P2667" s="306" t="n"/>
      <c r="Q2667" s="306" t="n"/>
    </row>
    <row r="2668" ht="18.75" customHeight="1">
      <c r="B2668" s="288" t="n">
        <v>45405</v>
      </c>
      <c r="C2668" s="289" t="n">
        <v>1904</v>
      </c>
      <c r="D2668" s="290" t="inlineStr">
        <is>
          <t>Meals 2 days @ 150,000/day</t>
        </is>
      </c>
      <c r="E2668" s="306" t="inlineStr">
        <is>
          <t>-</t>
        </is>
      </c>
      <c r="F2668" s="307" t="n">
        <v>300000</v>
      </c>
      <c r="G2668" s="289" t="inlineStr">
        <is>
          <t>IDR</t>
        </is>
      </c>
      <c r="H2668" s="293" t="n">
        <v>1</v>
      </c>
      <c r="I2668" s="306" t="n"/>
      <c r="J2668" s="306" t="n"/>
      <c r="K2668" s="306" t="n"/>
      <c r="L2668" s="307">
        <f>$F2668*$H2668</f>
        <v/>
      </c>
      <c r="M2668" s="306" t="n"/>
      <c r="N2668" s="306" t="n"/>
      <c r="O2668" s="306" t="n"/>
      <c r="P2668" s="306" t="n"/>
      <c r="Q2668" s="306" t="n"/>
    </row>
    <row r="2669" ht="18.75" customHeight="1">
      <c r="B2669" s="288" t="n">
        <v>45647</v>
      </c>
      <c r="C2669" s="289" t="n">
        <v>1905</v>
      </c>
      <c r="D2669" s="290" t="inlineStr">
        <is>
          <t>Meals 2 days @ 150,000/day</t>
        </is>
      </c>
      <c r="E2669" s="306" t="inlineStr">
        <is>
          <t>-</t>
        </is>
      </c>
      <c r="F2669" s="307" t="n">
        <v>300000</v>
      </c>
      <c r="G2669" s="289" t="inlineStr">
        <is>
          <t>IDR</t>
        </is>
      </c>
      <c r="H2669" s="293" t="n">
        <v>1</v>
      </c>
      <c r="I2669" s="306" t="n"/>
      <c r="J2669" s="306" t="n"/>
      <c r="K2669" s="306" t="n"/>
      <c r="L2669" s="307">
        <f>$F2669*$H2669</f>
        <v/>
      </c>
      <c r="M2669" s="306" t="n"/>
      <c r="N2669" s="306" t="n"/>
      <c r="O2669" s="306" t="n"/>
      <c r="P2669" s="306" t="n"/>
      <c r="Q2669" s="306" t="n"/>
    </row>
    <row r="2670" ht="18.75" customHeight="1">
      <c r="B2670" s="288" t="n">
        <v>45647</v>
      </c>
      <c r="C2670" s="289" t="n">
        <v>1906</v>
      </c>
      <c r="D2670" s="290" t="inlineStr">
        <is>
          <t>Meals 2 days @ 150,000/day</t>
        </is>
      </c>
      <c r="E2670" s="306" t="inlineStr">
        <is>
          <t>-</t>
        </is>
      </c>
      <c r="F2670" s="307" t="n">
        <v>300000</v>
      </c>
      <c r="G2670" s="289" t="inlineStr">
        <is>
          <t>IDR</t>
        </is>
      </c>
      <c r="H2670" s="293" t="n">
        <v>1</v>
      </c>
      <c r="I2670" s="306" t="n"/>
      <c r="J2670" s="306" t="n"/>
      <c r="K2670" s="306" t="n"/>
      <c r="L2670" s="307">
        <f>$F2670*$H2670</f>
        <v/>
      </c>
      <c r="M2670" s="306" t="n"/>
      <c r="N2670" s="306" t="n"/>
      <c r="O2670" s="306" t="n"/>
      <c r="P2670" s="306" t="n"/>
      <c r="Q2670" s="306" t="n"/>
    </row>
    <row r="2671" ht="18.75" customHeight="1">
      <c r="B2671" s="288" t="n">
        <v>45647</v>
      </c>
      <c r="C2671" s="289" t="n">
        <v>1907</v>
      </c>
      <c r="D2671" s="290" t="inlineStr">
        <is>
          <t>Meals 2 days @ 150,000/day</t>
        </is>
      </c>
      <c r="E2671" s="306" t="inlineStr">
        <is>
          <t>-</t>
        </is>
      </c>
      <c r="F2671" s="307" t="n">
        <v>300000</v>
      </c>
      <c r="G2671" s="289" t="inlineStr">
        <is>
          <t>IDR</t>
        </is>
      </c>
      <c r="H2671" s="293" t="n">
        <v>1</v>
      </c>
      <c r="I2671" s="306" t="n"/>
      <c r="J2671" s="306" t="n"/>
      <c r="K2671" s="306" t="n"/>
      <c r="L2671" s="307">
        <f>$F2671*$H2671</f>
        <v/>
      </c>
      <c r="M2671" s="306" t="n"/>
      <c r="N2671" s="306" t="n"/>
      <c r="O2671" s="306" t="n"/>
      <c r="P2671" s="306" t="n"/>
      <c r="Q2671" s="306" t="n"/>
    </row>
    <row r="2672" ht="18.75" customHeight="1">
      <c r="B2672" s="288" t="n">
        <v>45647</v>
      </c>
      <c r="C2672" s="289" t="n">
        <v>1908</v>
      </c>
      <c r="D2672" s="290" t="inlineStr">
        <is>
          <t>Meals 2 days @ 150,000/day</t>
        </is>
      </c>
      <c r="E2672" s="306" t="inlineStr">
        <is>
          <t>-</t>
        </is>
      </c>
      <c r="F2672" s="307" t="n">
        <v>300000</v>
      </c>
      <c r="G2672" s="289" t="inlineStr">
        <is>
          <t>IDR</t>
        </is>
      </c>
      <c r="H2672" s="293" t="n">
        <v>1</v>
      </c>
      <c r="I2672" s="306" t="n"/>
      <c r="J2672" s="306" t="n"/>
      <c r="K2672" s="306" t="n"/>
      <c r="L2672" s="307">
        <f>$F2672*$H2672</f>
        <v/>
      </c>
      <c r="M2672" s="306" t="n"/>
      <c r="N2672" s="306" t="n"/>
      <c r="O2672" s="306" t="n"/>
      <c r="P2672" s="306" t="n"/>
      <c r="Q2672" s="306" t="n"/>
    </row>
    <row r="2673">
      <c r="B2673" s="312" t="n"/>
      <c r="C2673" s="312" t="n"/>
      <c r="D2673" s="285" t="inlineStr">
        <is>
          <t>Transportation</t>
        </is>
      </c>
      <c r="E2673" s="312" t="n"/>
      <c r="F2673" s="312" t="n"/>
      <c r="G2673" s="312" t="n"/>
      <c r="H2673" s="312" t="n"/>
      <c r="I2673" s="312" t="n"/>
      <c r="J2673" s="312" t="n"/>
      <c r="K2673" s="312" t="n"/>
      <c r="L2673" s="312" t="n"/>
      <c r="M2673" s="312" t="n"/>
      <c r="N2673" s="312" t="n"/>
      <c r="O2673" s="312" t="n"/>
      <c r="P2673" s="312" t="n"/>
      <c r="Q2673" s="312" t="n"/>
    </row>
    <row r="2674" ht="18.75" customHeight="1">
      <c r="B2674" s="288" t="n">
        <v>45362</v>
      </c>
      <c r="C2674" s="289" t="n">
        <v>1909</v>
      </c>
      <c r="D2674" s="290" t="inlineStr">
        <is>
          <t>Taxi Home - CGK Airport</t>
        </is>
      </c>
      <c r="E2674" s="306" t="inlineStr">
        <is>
          <t>-</t>
        </is>
      </c>
      <c r="F2674" s="307" t="n">
        <v>200000</v>
      </c>
      <c r="G2674" s="289" t="inlineStr">
        <is>
          <t>IDR</t>
        </is>
      </c>
      <c r="H2674" s="293" t="n">
        <v>1</v>
      </c>
      <c r="I2674" s="306" t="n"/>
      <c r="J2674" s="306" t="n"/>
      <c r="K2674" s="306" t="n"/>
      <c r="L2674" s="307">
        <f>$F2674*$H2674</f>
        <v/>
      </c>
      <c r="M2674" s="306" t="n"/>
      <c r="N2674" s="306" t="n"/>
      <c r="O2674" s="306" t="n"/>
      <c r="P2674" s="306" t="n"/>
      <c r="Q2674" s="306" t="n"/>
    </row>
    <row r="2675" ht="18.75" customHeight="1">
      <c r="B2675" s="288" t="n">
        <v>45362</v>
      </c>
      <c r="C2675" s="289" t="n">
        <v>1910</v>
      </c>
      <c r="D2675" s="290" t="inlineStr">
        <is>
          <t>Train KLIA Airport to Hyperseal</t>
        </is>
      </c>
      <c r="E2675" s="306" t="inlineStr">
        <is>
          <t>-</t>
        </is>
      </c>
      <c r="F2675" s="307" t="n">
        <v>50</v>
      </c>
      <c r="G2675" s="289" t="inlineStr">
        <is>
          <t>MYR</t>
        </is>
      </c>
      <c r="H2675" s="293" t="n">
        <v>3636.89</v>
      </c>
      <c r="I2675" s="306" t="n"/>
      <c r="J2675" s="306" t="n"/>
      <c r="K2675" s="306" t="n"/>
      <c r="L2675" s="307">
        <f>$F2675*$H2675</f>
        <v/>
      </c>
      <c r="M2675" s="306" t="n"/>
      <c r="N2675" s="306" t="n"/>
      <c r="O2675" s="306" t="n"/>
      <c r="P2675" s="306" t="n"/>
      <c r="Q2675" s="306" t="n"/>
    </row>
    <row r="2676" ht="18.75" customHeight="1">
      <c r="B2676" s="288" t="n">
        <v>45362</v>
      </c>
      <c r="C2676" s="289" t="n">
        <v>1911</v>
      </c>
      <c r="D2676" s="290" t="inlineStr">
        <is>
          <t>Taxi Home - CGK Airport</t>
        </is>
      </c>
      <c r="E2676" s="306" t="inlineStr">
        <is>
          <t>-</t>
        </is>
      </c>
      <c r="F2676" s="307" t="n">
        <v>200000</v>
      </c>
      <c r="G2676" s="289" t="inlineStr">
        <is>
          <t>IDR</t>
        </is>
      </c>
      <c r="H2676" s="293" t="n">
        <v>1</v>
      </c>
      <c r="I2676" s="306" t="n"/>
      <c r="J2676" s="306" t="n"/>
      <c r="K2676" s="306" t="n"/>
      <c r="L2676" s="307">
        <f>$F2676*$H2676</f>
        <v/>
      </c>
      <c r="M2676" s="306" t="n"/>
      <c r="N2676" s="306" t="n"/>
      <c r="O2676" s="306" t="n"/>
      <c r="P2676" s="306" t="n"/>
      <c r="Q2676" s="306" t="n"/>
    </row>
    <row r="2677" ht="18.75" customHeight="1">
      <c r="B2677" s="288" t="n">
        <v>45362</v>
      </c>
      <c r="C2677" s="289" t="n">
        <v>1912</v>
      </c>
      <c r="D2677" s="290" t="inlineStr">
        <is>
          <t>Train KLIA Airport to Hyperseal</t>
        </is>
      </c>
      <c r="E2677" s="306" t="inlineStr">
        <is>
          <t>-</t>
        </is>
      </c>
      <c r="F2677" s="307" t="n">
        <v>50</v>
      </c>
      <c r="G2677" s="289" t="inlineStr">
        <is>
          <t>MYR</t>
        </is>
      </c>
      <c r="H2677" s="293" t="n">
        <v>3636.89</v>
      </c>
      <c r="I2677" s="306" t="n"/>
      <c r="J2677" s="306" t="n"/>
      <c r="K2677" s="306" t="n"/>
      <c r="L2677" s="307">
        <f>$F2677*$H2677</f>
        <v/>
      </c>
      <c r="M2677" s="306" t="n"/>
      <c r="N2677" s="306" t="n"/>
      <c r="O2677" s="306" t="n"/>
      <c r="P2677" s="306" t="n"/>
      <c r="Q2677" s="306" t="n"/>
    </row>
    <row r="2678" ht="18.75" customHeight="1">
      <c r="B2678" s="288" t="n">
        <v>45362</v>
      </c>
      <c r="C2678" s="289" t="n">
        <v>1913</v>
      </c>
      <c r="D2678" s="290" t="inlineStr">
        <is>
          <t>Taxi Home - CGK Airport</t>
        </is>
      </c>
      <c r="E2678" s="306" t="inlineStr">
        <is>
          <t>-</t>
        </is>
      </c>
      <c r="F2678" s="307" t="n">
        <v>200000</v>
      </c>
      <c r="G2678" s="289" t="inlineStr">
        <is>
          <t>IDR</t>
        </is>
      </c>
      <c r="H2678" s="293" t="n">
        <v>1</v>
      </c>
      <c r="I2678" s="306" t="n"/>
      <c r="J2678" s="306" t="n"/>
      <c r="K2678" s="306" t="n"/>
      <c r="L2678" s="307">
        <f>$F2678*$H2678</f>
        <v/>
      </c>
      <c r="M2678" s="306" t="n"/>
      <c r="N2678" s="306" t="n"/>
      <c r="O2678" s="306" t="n"/>
      <c r="P2678" s="306" t="n"/>
      <c r="Q2678" s="306" t="n"/>
    </row>
    <row r="2679" ht="18.75" customHeight="1">
      <c r="B2679" s="288" t="n">
        <v>45362</v>
      </c>
      <c r="C2679" s="289" t="n">
        <v>1914</v>
      </c>
      <c r="D2679" s="290" t="inlineStr">
        <is>
          <t>Train KLIA Airport to Hyperseal</t>
        </is>
      </c>
      <c r="E2679" s="306" t="inlineStr">
        <is>
          <t>-</t>
        </is>
      </c>
      <c r="F2679" s="307" t="n">
        <v>50</v>
      </c>
      <c r="G2679" s="289" t="inlineStr">
        <is>
          <t>MYR</t>
        </is>
      </c>
      <c r="H2679" s="293" t="n">
        <v>3636.89</v>
      </c>
      <c r="I2679" s="306" t="n"/>
      <c r="J2679" s="306" t="n"/>
      <c r="K2679" s="306" t="n"/>
      <c r="L2679" s="307">
        <f>$F2679*$H2679</f>
        <v/>
      </c>
      <c r="M2679" s="306" t="n"/>
      <c r="N2679" s="306" t="n"/>
      <c r="O2679" s="306" t="n"/>
      <c r="P2679" s="306" t="n"/>
      <c r="Q2679" s="306" t="n"/>
    </row>
    <row r="2680" ht="18.75" customHeight="1">
      <c r="B2680" s="288" t="n">
        <v>45362</v>
      </c>
      <c r="C2680" s="289" t="n">
        <v>1915</v>
      </c>
      <c r="D2680" s="290" t="inlineStr">
        <is>
          <t>Taxi Home - CGK Airport</t>
        </is>
      </c>
      <c r="E2680" s="306" t="inlineStr">
        <is>
          <t>-</t>
        </is>
      </c>
      <c r="F2680" s="307" t="n">
        <v>200000</v>
      </c>
      <c r="G2680" s="289" t="inlineStr">
        <is>
          <t>IDR</t>
        </is>
      </c>
      <c r="H2680" s="293" t="n">
        <v>1</v>
      </c>
      <c r="I2680" s="306" t="n"/>
      <c r="J2680" s="306" t="n"/>
      <c r="K2680" s="306" t="n"/>
      <c r="L2680" s="307">
        <f>$F2680*$H2680</f>
        <v/>
      </c>
      <c r="M2680" s="306" t="n"/>
      <c r="N2680" s="306" t="n"/>
      <c r="O2680" s="306" t="n"/>
      <c r="P2680" s="306" t="n"/>
      <c r="Q2680" s="306" t="n"/>
    </row>
    <row r="2681" ht="18.75" customHeight="1">
      <c r="B2681" s="288" t="n">
        <v>45362</v>
      </c>
      <c r="C2681" s="289" t="n">
        <v>1916</v>
      </c>
      <c r="D2681" s="290" t="inlineStr">
        <is>
          <t>Train KLIA Airport to Hyperseal</t>
        </is>
      </c>
      <c r="E2681" s="306" t="inlineStr">
        <is>
          <t>-</t>
        </is>
      </c>
      <c r="F2681" s="307" t="n">
        <v>50</v>
      </c>
      <c r="G2681" s="289" t="inlineStr">
        <is>
          <t>MYR</t>
        </is>
      </c>
      <c r="H2681" s="293" t="n">
        <v>3636.89</v>
      </c>
      <c r="I2681" s="306" t="n"/>
      <c r="J2681" s="306" t="n"/>
      <c r="K2681" s="306" t="n"/>
      <c r="L2681" s="307">
        <f>$F2681*$H2681</f>
        <v/>
      </c>
      <c r="M2681" s="306" t="n"/>
      <c r="N2681" s="306" t="n"/>
      <c r="O2681" s="306" t="n"/>
      <c r="P2681" s="306" t="n"/>
      <c r="Q2681" s="306" t="n"/>
    </row>
    <row r="2682" ht="18.75" customHeight="1">
      <c r="B2682" s="288" t="n">
        <v>45363</v>
      </c>
      <c r="C2682" s="289" t="n">
        <v>1917</v>
      </c>
      <c r="D2682" s="290" t="inlineStr">
        <is>
          <t>Flight KUL- CGK</t>
        </is>
      </c>
      <c r="E2682" s="306" t="inlineStr">
        <is>
          <t>-</t>
        </is>
      </c>
      <c r="F2682" s="307" t="n">
        <v>1897983</v>
      </c>
      <c r="G2682" s="289" t="inlineStr">
        <is>
          <t>IDR</t>
        </is>
      </c>
      <c r="H2682" s="293" t="n">
        <v>1</v>
      </c>
      <c r="I2682" s="306" t="n"/>
      <c r="J2682" s="306" t="n"/>
      <c r="K2682" s="306" t="n"/>
      <c r="L2682" s="307">
        <f>$F2682*$H2682</f>
        <v/>
      </c>
      <c r="M2682" s="306" t="n"/>
      <c r="N2682" s="306" t="n"/>
      <c r="O2682" s="306" t="n"/>
      <c r="P2682" s="306" t="n"/>
      <c r="Q2682" s="306" t="n"/>
    </row>
    <row r="2683" ht="18.75" customHeight="1">
      <c r="B2683" s="288" t="n">
        <v>45363</v>
      </c>
      <c r="C2683" s="289" t="n">
        <v>1918</v>
      </c>
      <c r="D2683" s="290" t="inlineStr">
        <is>
          <t>Train Hyperseal to KLIA Airport</t>
        </is>
      </c>
      <c r="E2683" s="306" t="inlineStr">
        <is>
          <t>-</t>
        </is>
      </c>
      <c r="F2683" s="307" t="n">
        <v>50</v>
      </c>
      <c r="G2683" s="289" t="inlineStr">
        <is>
          <t>MYR</t>
        </is>
      </c>
      <c r="H2683" s="293" t="n">
        <v>3636.89</v>
      </c>
      <c r="I2683" s="306" t="n"/>
      <c r="J2683" s="306" t="n"/>
      <c r="K2683" s="306" t="n"/>
      <c r="L2683" s="307">
        <f>$F2683*$H2683</f>
        <v/>
      </c>
      <c r="M2683" s="306" t="n"/>
      <c r="N2683" s="306" t="n"/>
      <c r="O2683" s="306" t="n"/>
      <c r="P2683" s="306" t="n"/>
      <c r="Q2683" s="306" t="n"/>
    </row>
    <row r="2684" ht="18.75" customHeight="1">
      <c r="B2684" s="288" t="n">
        <v>45363</v>
      </c>
      <c r="C2684" s="289" t="n">
        <v>1919</v>
      </c>
      <c r="D2684" s="290" t="inlineStr">
        <is>
          <t>Taxi CGK Airport to Home</t>
        </is>
      </c>
      <c r="E2684" s="306" t="inlineStr">
        <is>
          <t>-</t>
        </is>
      </c>
      <c r="F2684" s="307" t="n">
        <v>200000</v>
      </c>
      <c r="G2684" s="289" t="inlineStr">
        <is>
          <t>IDR</t>
        </is>
      </c>
      <c r="H2684" s="293" t="n">
        <v>1</v>
      </c>
      <c r="I2684" s="306" t="n"/>
      <c r="J2684" s="306" t="n"/>
      <c r="K2684" s="306" t="n"/>
      <c r="L2684" s="307">
        <f>$F2684*$H2684</f>
        <v/>
      </c>
      <c r="M2684" s="306" t="n"/>
      <c r="N2684" s="306" t="n"/>
      <c r="O2684" s="306" t="n"/>
      <c r="P2684" s="306" t="n"/>
      <c r="Q2684" s="306" t="n"/>
    </row>
    <row r="2685" ht="18.75" customHeight="1">
      <c r="B2685" s="288" t="n">
        <v>45363</v>
      </c>
      <c r="C2685" s="289" t="n">
        <v>1920</v>
      </c>
      <c r="D2685" s="290" t="inlineStr">
        <is>
          <t>Flight KUL- CGK</t>
        </is>
      </c>
      <c r="E2685" s="306" t="inlineStr">
        <is>
          <t>-</t>
        </is>
      </c>
      <c r="F2685" s="307" t="n">
        <v>1897983</v>
      </c>
      <c r="G2685" s="289" t="inlineStr">
        <is>
          <t>IDR</t>
        </is>
      </c>
      <c r="H2685" s="293" t="n">
        <v>1</v>
      </c>
      <c r="I2685" s="306" t="n"/>
      <c r="J2685" s="306" t="n"/>
      <c r="K2685" s="306" t="n"/>
      <c r="L2685" s="307">
        <f>$F2685*$H2685</f>
        <v/>
      </c>
      <c r="M2685" s="306" t="n"/>
      <c r="N2685" s="306" t="n"/>
      <c r="O2685" s="306" t="n"/>
      <c r="P2685" s="306" t="n"/>
      <c r="Q2685" s="306" t="n"/>
    </row>
    <row r="2686" ht="18.75" customHeight="1">
      <c r="B2686" s="288" t="n">
        <v>45363</v>
      </c>
      <c r="C2686" s="289" t="n">
        <v>1921</v>
      </c>
      <c r="D2686" s="290" t="inlineStr">
        <is>
          <t>Train Hyperseal to KLIA Airport</t>
        </is>
      </c>
      <c r="E2686" s="306" t="inlineStr">
        <is>
          <t>-</t>
        </is>
      </c>
      <c r="F2686" s="307" t="n">
        <v>50</v>
      </c>
      <c r="G2686" s="289" t="inlineStr">
        <is>
          <t>MYR</t>
        </is>
      </c>
      <c r="H2686" s="293" t="n">
        <v>3636.89</v>
      </c>
      <c r="I2686" s="306" t="n"/>
      <c r="J2686" s="306" t="n"/>
      <c r="K2686" s="306" t="n"/>
      <c r="L2686" s="307">
        <f>$F2686*$H2686</f>
        <v/>
      </c>
      <c r="M2686" s="306" t="n"/>
      <c r="N2686" s="306" t="n"/>
      <c r="O2686" s="306" t="n"/>
      <c r="P2686" s="306" t="n"/>
      <c r="Q2686" s="306" t="n"/>
    </row>
    <row r="2687" ht="18.75" customHeight="1">
      <c r="B2687" s="288" t="n">
        <v>45363</v>
      </c>
      <c r="C2687" s="289" t="n">
        <v>1922</v>
      </c>
      <c r="D2687" s="290" t="inlineStr">
        <is>
          <t>Taxi CGK Airport to Home</t>
        </is>
      </c>
      <c r="E2687" s="306" t="inlineStr">
        <is>
          <t>-</t>
        </is>
      </c>
      <c r="F2687" s="307" t="n">
        <v>200000</v>
      </c>
      <c r="G2687" s="289" t="inlineStr">
        <is>
          <t>IDR</t>
        </is>
      </c>
      <c r="H2687" s="293" t="n">
        <v>1</v>
      </c>
      <c r="I2687" s="306" t="n"/>
      <c r="J2687" s="306" t="n"/>
      <c r="K2687" s="306" t="n"/>
      <c r="L2687" s="307">
        <f>$F2687*$H2687</f>
        <v/>
      </c>
      <c r="M2687" s="306" t="n"/>
      <c r="N2687" s="306" t="n"/>
      <c r="O2687" s="306" t="n"/>
      <c r="P2687" s="306" t="n"/>
      <c r="Q2687" s="306" t="n"/>
    </row>
    <row r="2688" ht="18.75" customHeight="1">
      <c r="B2688" s="288" t="n">
        <v>45363</v>
      </c>
      <c r="C2688" s="289" t="n">
        <v>1923</v>
      </c>
      <c r="D2688" s="290" t="inlineStr">
        <is>
          <t>Flight KUL- CGK</t>
        </is>
      </c>
      <c r="E2688" s="306" t="inlineStr">
        <is>
          <t>-</t>
        </is>
      </c>
      <c r="F2688" s="307" t="n">
        <v>1897983</v>
      </c>
      <c r="G2688" s="289" t="inlineStr">
        <is>
          <t>IDR</t>
        </is>
      </c>
      <c r="H2688" s="293" t="n">
        <v>1</v>
      </c>
      <c r="I2688" s="306" t="n"/>
      <c r="J2688" s="306" t="n"/>
      <c r="K2688" s="306" t="n"/>
      <c r="L2688" s="307">
        <f>$F2688*$H2688</f>
        <v/>
      </c>
      <c r="M2688" s="306" t="n"/>
      <c r="N2688" s="306" t="n"/>
      <c r="O2688" s="306" t="n"/>
      <c r="P2688" s="306" t="n"/>
      <c r="Q2688" s="306" t="n"/>
    </row>
    <row r="2689" ht="18.75" customHeight="1">
      <c r="B2689" s="288" t="n">
        <v>45363</v>
      </c>
      <c r="C2689" s="289" t="n">
        <v>1924</v>
      </c>
      <c r="D2689" s="290" t="inlineStr">
        <is>
          <t>Train Hyperseal to KLIA Airport</t>
        </is>
      </c>
      <c r="E2689" s="306" t="inlineStr">
        <is>
          <t>-</t>
        </is>
      </c>
      <c r="F2689" s="307" t="n">
        <v>50</v>
      </c>
      <c r="G2689" s="289" t="inlineStr">
        <is>
          <t>MYR</t>
        </is>
      </c>
      <c r="H2689" s="293" t="n">
        <v>3636.89</v>
      </c>
      <c r="I2689" s="306" t="n"/>
      <c r="J2689" s="306" t="n"/>
      <c r="K2689" s="306" t="n"/>
      <c r="L2689" s="307">
        <f>$F2689*$H2689</f>
        <v/>
      </c>
      <c r="M2689" s="306" t="n"/>
      <c r="N2689" s="306" t="n"/>
      <c r="O2689" s="306" t="n"/>
      <c r="P2689" s="306" t="n"/>
      <c r="Q2689" s="306" t="n"/>
    </row>
    <row r="2690" ht="18.75" customHeight="1">
      <c r="B2690" s="288" t="n">
        <v>45363</v>
      </c>
      <c r="C2690" s="289" t="n">
        <v>1925</v>
      </c>
      <c r="D2690" s="290" t="inlineStr">
        <is>
          <t>Taxi CGK Airport to Home</t>
        </is>
      </c>
      <c r="E2690" s="306" t="inlineStr">
        <is>
          <t>-</t>
        </is>
      </c>
      <c r="F2690" s="307" t="n">
        <v>200000</v>
      </c>
      <c r="G2690" s="289" t="inlineStr">
        <is>
          <t>IDR</t>
        </is>
      </c>
      <c r="H2690" s="293" t="n">
        <v>1</v>
      </c>
      <c r="I2690" s="306" t="n"/>
      <c r="J2690" s="306" t="n"/>
      <c r="K2690" s="306" t="n"/>
      <c r="L2690" s="307">
        <f>$F2690*$H2690</f>
        <v/>
      </c>
      <c r="M2690" s="306" t="n"/>
      <c r="N2690" s="306" t="n"/>
      <c r="O2690" s="306" t="n"/>
      <c r="P2690" s="306" t="n"/>
      <c r="Q2690" s="306" t="n"/>
    </row>
    <row r="2691" ht="18.75" customHeight="1">
      <c r="B2691" s="288" t="n">
        <v>45363</v>
      </c>
      <c r="C2691" s="289" t="n">
        <v>1926</v>
      </c>
      <c r="D2691" s="290" t="inlineStr">
        <is>
          <t>Flight KUL- CGK</t>
        </is>
      </c>
      <c r="E2691" s="306" t="inlineStr">
        <is>
          <t>-</t>
        </is>
      </c>
      <c r="F2691" s="307" t="n">
        <v>1897983</v>
      </c>
      <c r="G2691" s="289" t="inlineStr">
        <is>
          <t>IDR</t>
        </is>
      </c>
      <c r="H2691" s="293" t="n">
        <v>1</v>
      </c>
      <c r="I2691" s="306" t="n"/>
      <c r="J2691" s="306" t="n"/>
      <c r="K2691" s="306" t="n"/>
      <c r="L2691" s="307">
        <f>$F2691*$H2691</f>
        <v/>
      </c>
      <c r="M2691" s="306" t="n"/>
      <c r="N2691" s="306" t="n"/>
      <c r="O2691" s="306" t="n"/>
      <c r="P2691" s="306" t="n"/>
      <c r="Q2691" s="306" t="n"/>
    </row>
    <row r="2692" ht="18.75" customHeight="1">
      <c r="B2692" s="288" t="n">
        <v>45363</v>
      </c>
      <c r="C2692" s="289" t="n">
        <v>1927</v>
      </c>
      <c r="D2692" s="290" t="inlineStr">
        <is>
          <t>Train Hyperseal to KLIA Airport</t>
        </is>
      </c>
      <c r="E2692" s="306" t="inlineStr">
        <is>
          <t>-</t>
        </is>
      </c>
      <c r="F2692" s="307" t="n">
        <v>50</v>
      </c>
      <c r="G2692" s="289" t="inlineStr">
        <is>
          <t>MYR</t>
        </is>
      </c>
      <c r="H2692" s="293" t="n">
        <v>3636.89</v>
      </c>
      <c r="I2692" s="306" t="n"/>
      <c r="J2692" s="306" t="n"/>
      <c r="K2692" s="306" t="n"/>
      <c r="L2692" s="307">
        <f>$F2692*$H2692</f>
        <v/>
      </c>
      <c r="M2692" s="306" t="n"/>
      <c r="N2692" s="306" t="n"/>
      <c r="O2692" s="306" t="n"/>
      <c r="P2692" s="306" t="n"/>
      <c r="Q2692" s="306" t="n"/>
    </row>
    <row r="2693" ht="18.75" customHeight="1">
      <c r="B2693" s="288" t="n">
        <v>45363</v>
      </c>
      <c r="C2693" s="289" t="n">
        <v>1928</v>
      </c>
      <c r="D2693" s="290" t="inlineStr">
        <is>
          <t>Taxi CGK Airport to Home</t>
        </is>
      </c>
      <c r="E2693" s="306" t="inlineStr">
        <is>
          <t>-</t>
        </is>
      </c>
      <c r="F2693" s="307" t="n">
        <v>200000</v>
      </c>
      <c r="G2693" s="289" t="inlineStr">
        <is>
          <t>IDR</t>
        </is>
      </c>
      <c r="H2693" s="293" t="n">
        <v>1</v>
      </c>
      <c r="I2693" s="306" t="n"/>
      <c r="J2693" s="306" t="n"/>
      <c r="K2693" s="306" t="n"/>
      <c r="L2693" s="307">
        <f>$F2693*$H2693</f>
        <v/>
      </c>
      <c r="M2693" s="306" t="n"/>
      <c r="N2693" s="306" t="n"/>
      <c r="O2693" s="306" t="n"/>
      <c r="P2693" s="306" t="n"/>
      <c r="Q2693" s="306" t="n"/>
    </row>
    <row r="2694" ht="18.75" customHeight="1">
      <c r="B2694" s="288" t="n">
        <v>45404</v>
      </c>
      <c r="C2694" s="289" t="n">
        <v>1929</v>
      </c>
      <c r="D2694" s="290" t="inlineStr">
        <is>
          <t>Car 22-23 Apr 2024 (2 days) incl. Fuel &amp; Tol</t>
        </is>
      </c>
      <c r="E2694" s="306" t="inlineStr">
        <is>
          <t>-</t>
        </is>
      </c>
      <c r="F2694" s="307" t="n">
        <v>3000000</v>
      </c>
      <c r="G2694" s="289" t="inlineStr">
        <is>
          <t>IDR</t>
        </is>
      </c>
      <c r="H2694" s="293" t="n">
        <v>1</v>
      </c>
      <c r="I2694" s="306" t="n"/>
      <c r="J2694" s="306" t="n"/>
      <c r="K2694" s="306" t="n"/>
      <c r="L2694" s="307">
        <f>$F2694*$H2694</f>
        <v/>
      </c>
      <c r="M2694" s="306" t="n"/>
      <c r="N2694" s="306" t="n"/>
      <c r="O2694" s="306" t="n"/>
      <c r="P2694" s="306" t="n"/>
      <c r="Q2694" s="306" t="n"/>
    </row>
    <row r="2695" ht="18.75" customHeight="1">
      <c r="B2695" s="288" t="n">
        <v>45404</v>
      </c>
      <c r="C2695" s="289" t="n">
        <v>1930</v>
      </c>
      <c r="D2695" s="290" t="inlineStr">
        <is>
          <t>Car 22-23 Apr 2024 (2 days) incl. Fuel &amp; Tol</t>
        </is>
      </c>
      <c r="E2695" s="306" t="inlineStr">
        <is>
          <t>-</t>
        </is>
      </c>
      <c r="F2695" s="307" t="n">
        <v>3000000</v>
      </c>
      <c r="G2695" s="289" t="inlineStr">
        <is>
          <t>IDR</t>
        </is>
      </c>
      <c r="H2695" s="293" t="n">
        <v>1</v>
      </c>
      <c r="I2695" s="306" t="n"/>
      <c r="J2695" s="306" t="n"/>
      <c r="K2695" s="306" t="n"/>
      <c r="L2695" s="307">
        <f>$F2695*$H2695</f>
        <v/>
      </c>
      <c r="M2695" s="306" t="n"/>
      <c r="N2695" s="306" t="n"/>
      <c r="O2695" s="306" t="n"/>
      <c r="P2695" s="306" t="n"/>
      <c r="Q2695" s="306" t="n"/>
    </row>
    <row r="2696" ht="18.75" customHeight="1">
      <c r="B2696" s="288" t="n">
        <v>45404</v>
      </c>
      <c r="C2696" s="289" t="n">
        <v>1931</v>
      </c>
      <c r="D2696" s="290" t="inlineStr">
        <is>
          <t>Car 22-23 Apr 2024 (2 days) incl. Fuel &amp; Tol</t>
        </is>
      </c>
      <c r="E2696" s="306" t="inlineStr">
        <is>
          <t>-</t>
        </is>
      </c>
      <c r="F2696" s="307" t="n">
        <v>3000000</v>
      </c>
      <c r="G2696" s="289" t="inlineStr">
        <is>
          <t>IDR</t>
        </is>
      </c>
      <c r="H2696" s="293" t="n">
        <v>1</v>
      </c>
      <c r="I2696" s="306" t="n"/>
      <c r="J2696" s="306" t="n"/>
      <c r="K2696" s="306" t="n"/>
      <c r="L2696" s="307">
        <f>$F2696*$H2696</f>
        <v/>
      </c>
      <c r="M2696" s="306" t="n"/>
      <c r="N2696" s="306" t="n"/>
      <c r="O2696" s="306" t="n"/>
      <c r="P2696" s="306" t="n"/>
      <c r="Q2696" s="306" t="n"/>
    </row>
    <row r="2697" ht="18.75" customHeight="1">
      <c r="B2697" s="288" t="n">
        <v>45404</v>
      </c>
      <c r="C2697" s="289" t="n">
        <v>1932</v>
      </c>
      <c r="D2697" s="290" t="inlineStr">
        <is>
          <t>Car 22-23 Apr 2024 (2 days) incl. Fuel &amp; Tol</t>
        </is>
      </c>
      <c r="E2697" s="306" t="inlineStr">
        <is>
          <t>-</t>
        </is>
      </c>
      <c r="F2697" s="307" t="n">
        <v>3000000</v>
      </c>
      <c r="G2697" s="289" t="inlineStr">
        <is>
          <t>IDR</t>
        </is>
      </c>
      <c r="H2697" s="293" t="n">
        <v>1</v>
      </c>
      <c r="I2697" s="306" t="n"/>
      <c r="J2697" s="306" t="n"/>
      <c r="K2697" s="306" t="n"/>
      <c r="L2697" s="307">
        <f>$F2697*$H2697</f>
        <v/>
      </c>
      <c r="M2697" s="306" t="n"/>
      <c r="N2697" s="306" t="n"/>
      <c r="O2697" s="306" t="n"/>
      <c r="P2697" s="306" t="n"/>
      <c r="Q2697" s="306" t="n"/>
    </row>
    <row r="2698" ht="18.75" customHeight="1">
      <c r="B2698" s="288" t="n">
        <v>45412</v>
      </c>
      <c r="C2698" s="289" t="n">
        <v>1933</v>
      </c>
      <c r="D2698" s="290" t="inlineStr">
        <is>
          <t>Car 30 Apr-01 May 2024 (2 days) incl. Fuel &amp; Tol</t>
        </is>
      </c>
      <c r="E2698" s="306" t="inlineStr">
        <is>
          <t>-</t>
        </is>
      </c>
      <c r="F2698" s="307" t="n">
        <v>3000000</v>
      </c>
      <c r="G2698" s="289" t="inlineStr">
        <is>
          <t>IDR</t>
        </is>
      </c>
      <c r="H2698" s="293" t="n">
        <v>1</v>
      </c>
      <c r="I2698" s="306" t="n"/>
      <c r="J2698" s="306" t="n"/>
      <c r="K2698" s="306" t="n"/>
      <c r="L2698" s="307">
        <f>$F2698*$H2698</f>
        <v/>
      </c>
      <c r="M2698" s="306" t="n"/>
      <c r="N2698" s="306" t="n"/>
      <c r="O2698" s="306" t="n"/>
      <c r="P2698" s="306" t="n"/>
      <c r="Q2698" s="306" t="n"/>
    </row>
    <row r="2699" ht="18.75" customHeight="1">
      <c r="B2699" s="288" t="n">
        <v>45412</v>
      </c>
      <c r="C2699" s="289" t="n">
        <v>1934</v>
      </c>
      <c r="D2699" s="290" t="inlineStr">
        <is>
          <t>Car 30 Apr-01 May 2024 (2 days) incl. Fuel &amp; Tol</t>
        </is>
      </c>
      <c r="E2699" s="306" t="inlineStr">
        <is>
          <t>-</t>
        </is>
      </c>
      <c r="F2699" s="307" t="n">
        <v>3000000</v>
      </c>
      <c r="G2699" s="289" t="inlineStr">
        <is>
          <t>IDR</t>
        </is>
      </c>
      <c r="H2699" s="293" t="n">
        <v>1</v>
      </c>
      <c r="I2699" s="306" t="n"/>
      <c r="J2699" s="306" t="n"/>
      <c r="K2699" s="306" t="n"/>
      <c r="L2699" s="307">
        <f>$F2699*$H2699</f>
        <v/>
      </c>
      <c r="M2699" s="306" t="n"/>
      <c r="N2699" s="306" t="n"/>
      <c r="O2699" s="306" t="n"/>
      <c r="P2699" s="306" t="n"/>
      <c r="Q2699" s="306" t="n"/>
    </row>
    <row r="2700" ht="18.75" customHeight="1">
      <c r="B2700" s="288" t="n">
        <v>45412</v>
      </c>
      <c r="C2700" s="289" t="n">
        <v>1935</v>
      </c>
      <c r="D2700" s="290" t="inlineStr">
        <is>
          <t>Car 30 Apr-01 May 2024 (2 days) incl. Fuel &amp; Tol</t>
        </is>
      </c>
      <c r="E2700" s="306" t="inlineStr">
        <is>
          <t>-</t>
        </is>
      </c>
      <c r="F2700" s="307" t="n">
        <v>3000000</v>
      </c>
      <c r="G2700" s="289" t="inlineStr">
        <is>
          <t>IDR</t>
        </is>
      </c>
      <c r="H2700" s="293" t="n">
        <v>1</v>
      </c>
      <c r="I2700" s="306" t="n"/>
      <c r="J2700" s="306" t="n"/>
      <c r="K2700" s="306" t="n"/>
      <c r="L2700" s="307">
        <f>$F2700*$H2700</f>
        <v/>
      </c>
      <c r="M2700" s="306" t="n"/>
      <c r="N2700" s="306" t="n"/>
      <c r="O2700" s="306" t="n"/>
      <c r="P2700" s="306" t="n"/>
      <c r="Q2700" s="306" t="n"/>
    </row>
    <row r="2701" ht="18.75" customHeight="1">
      <c r="B2701" s="288" t="n">
        <v>45412</v>
      </c>
      <c r="C2701" s="289" t="n">
        <v>1936</v>
      </c>
      <c r="D2701" s="290" t="inlineStr">
        <is>
          <t>Car 30 Apr-01 May 2024 (2 days) incl. Fuel &amp; Tol</t>
        </is>
      </c>
      <c r="E2701" s="306" t="inlineStr">
        <is>
          <t>-</t>
        </is>
      </c>
      <c r="F2701" s="307" t="n">
        <v>3000000</v>
      </c>
      <c r="G2701" s="289" t="inlineStr">
        <is>
          <t>IDR</t>
        </is>
      </c>
      <c r="H2701" s="293" t="n">
        <v>1</v>
      </c>
      <c r="I2701" s="306" t="n"/>
      <c r="J2701" s="306" t="n"/>
      <c r="K2701" s="306" t="n"/>
      <c r="L2701" s="307">
        <f>$F2701*$H2701</f>
        <v/>
      </c>
      <c r="M2701" s="306" t="n"/>
      <c r="N2701" s="306" t="n"/>
      <c r="O2701" s="306" t="n"/>
      <c r="P2701" s="306" t="n"/>
      <c r="Q2701" s="306" t="n"/>
    </row>
    <row r="2702" ht="18.75" customHeight="1">
      <c r="B2702" s="288" t="n">
        <v>45646</v>
      </c>
      <c r="C2702" s="289" t="n">
        <v>1937</v>
      </c>
      <c r="D2702" s="290" t="inlineStr">
        <is>
          <t>Taxi Home to KCIC Train station</t>
        </is>
      </c>
      <c r="E2702" s="306" t="inlineStr">
        <is>
          <t>-</t>
        </is>
      </c>
      <c r="F2702" s="307" t="n">
        <v>100000</v>
      </c>
      <c r="G2702" s="289" t="inlineStr">
        <is>
          <t>IDR</t>
        </is>
      </c>
      <c r="H2702" s="293" t="n">
        <v>1</v>
      </c>
      <c r="I2702" s="306" t="n"/>
      <c r="J2702" s="306" t="n"/>
      <c r="K2702" s="306" t="n"/>
      <c r="L2702" s="307">
        <f>$F2702*$H2702</f>
        <v/>
      </c>
      <c r="M2702" s="306" t="n"/>
      <c r="N2702" s="306" t="n"/>
      <c r="O2702" s="306" t="n"/>
      <c r="P2702" s="306" t="n"/>
      <c r="Q2702" s="306" t="n"/>
    </row>
    <row r="2703" ht="18.75" customHeight="1">
      <c r="B2703" s="288" t="n">
        <v>45646</v>
      </c>
      <c r="C2703" s="289" t="n">
        <v>1938</v>
      </c>
      <c r="D2703" s="290" t="inlineStr">
        <is>
          <t>Train Round trip Jakarta - Bandung @200K/trip</t>
        </is>
      </c>
      <c r="E2703" s="306" t="inlineStr">
        <is>
          <t>-</t>
        </is>
      </c>
      <c r="F2703" s="307" t="n">
        <v>400000</v>
      </c>
      <c r="G2703" s="289" t="inlineStr">
        <is>
          <t>IDR</t>
        </is>
      </c>
      <c r="H2703" s="293" t="n">
        <v>1</v>
      </c>
      <c r="I2703" s="306" t="n"/>
      <c r="J2703" s="306" t="n"/>
      <c r="K2703" s="306" t="n"/>
      <c r="L2703" s="307">
        <f>$F2703*$H2703</f>
        <v/>
      </c>
      <c r="M2703" s="306" t="n"/>
      <c r="N2703" s="306" t="n"/>
      <c r="O2703" s="306" t="n"/>
      <c r="P2703" s="306" t="n"/>
      <c r="Q2703" s="306" t="n"/>
    </row>
    <row r="2704" ht="18.75" customHeight="1">
      <c r="B2704" s="288" t="n">
        <v>45646</v>
      </c>
      <c r="C2704" s="289" t="n">
        <v>1939</v>
      </c>
      <c r="D2704" s="290" t="inlineStr">
        <is>
          <t>Taxi Home to KCIC Train station</t>
        </is>
      </c>
      <c r="E2704" s="306" t="inlineStr">
        <is>
          <t>-</t>
        </is>
      </c>
      <c r="F2704" s="307" t="n">
        <v>100000</v>
      </c>
      <c r="G2704" s="289" t="inlineStr">
        <is>
          <t>IDR</t>
        </is>
      </c>
      <c r="H2704" s="293" t="n">
        <v>1</v>
      </c>
      <c r="I2704" s="306" t="n"/>
      <c r="J2704" s="306" t="n"/>
      <c r="K2704" s="306" t="n"/>
      <c r="L2704" s="307">
        <f>$F2704*$H2704</f>
        <v/>
      </c>
      <c r="M2704" s="306" t="n"/>
      <c r="N2704" s="306" t="n"/>
      <c r="O2704" s="306" t="n"/>
      <c r="P2704" s="306" t="n"/>
      <c r="Q2704" s="306" t="n"/>
    </row>
    <row r="2705" ht="18.75" customHeight="1">
      <c r="B2705" s="288" t="n">
        <v>45646</v>
      </c>
      <c r="C2705" s="289" t="n">
        <v>1940</v>
      </c>
      <c r="D2705" s="290" t="inlineStr">
        <is>
          <t>Train Round trip Jakarta - Bandung @200K/trip</t>
        </is>
      </c>
      <c r="E2705" s="306" t="inlineStr">
        <is>
          <t>-</t>
        </is>
      </c>
      <c r="F2705" s="307" t="n">
        <v>400000</v>
      </c>
      <c r="G2705" s="289" t="inlineStr">
        <is>
          <t>IDR</t>
        </is>
      </c>
      <c r="H2705" s="293" t="n">
        <v>1</v>
      </c>
      <c r="I2705" s="306" t="n"/>
      <c r="J2705" s="306" t="n"/>
      <c r="K2705" s="306" t="n"/>
      <c r="L2705" s="307">
        <f>$F2705*$H2705</f>
        <v/>
      </c>
      <c r="M2705" s="306" t="n"/>
      <c r="N2705" s="306" t="n"/>
      <c r="O2705" s="306" t="n"/>
      <c r="P2705" s="306" t="n"/>
      <c r="Q2705" s="306" t="n"/>
    </row>
    <row r="2706" ht="18.75" customHeight="1">
      <c r="B2706" s="288" t="n">
        <v>45646</v>
      </c>
      <c r="C2706" s="289" t="n">
        <v>1941</v>
      </c>
      <c r="D2706" s="290" t="inlineStr">
        <is>
          <t>Taxi Home to KCIC Train station</t>
        </is>
      </c>
      <c r="E2706" s="306" t="inlineStr">
        <is>
          <t>-</t>
        </is>
      </c>
      <c r="F2706" s="307" t="n">
        <v>100000</v>
      </c>
      <c r="G2706" s="289" t="inlineStr">
        <is>
          <t>IDR</t>
        </is>
      </c>
      <c r="H2706" s="293" t="n">
        <v>1</v>
      </c>
      <c r="I2706" s="306" t="n"/>
      <c r="J2706" s="306" t="n"/>
      <c r="K2706" s="306" t="n"/>
      <c r="L2706" s="307">
        <f>$F2706*$H2706</f>
        <v/>
      </c>
      <c r="M2706" s="306" t="n"/>
      <c r="N2706" s="306" t="n"/>
      <c r="O2706" s="306" t="n"/>
      <c r="P2706" s="306" t="n"/>
      <c r="Q2706" s="306" t="n"/>
    </row>
    <row r="2707" ht="18.75" customHeight="1">
      <c r="B2707" s="288" t="n">
        <v>45646</v>
      </c>
      <c r="C2707" s="289" t="n">
        <v>1942</v>
      </c>
      <c r="D2707" s="290" t="inlineStr">
        <is>
          <t>Train Round trip Jakarta - Bandung @200K/trip</t>
        </is>
      </c>
      <c r="E2707" s="306" t="inlineStr">
        <is>
          <t>-</t>
        </is>
      </c>
      <c r="F2707" s="307" t="n">
        <v>400000</v>
      </c>
      <c r="G2707" s="289" t="inlineStr">
        <is>
          <t>IDR</t>
        </is>
      </c>
      <c r="H2707" s="293" t="n">
        <v>1</v>
      </c>
      <c r="I2707" s="306" t="n"/>
      <c r="J2707" s="306" t="n"/>
      <c r="K2707" s="306" t="n"/>
      <c r="L2707" s="307">
        <f>$F2707*$H2707</f>
        <v/>
      </c>
      <c r="M2707" s="306" t="n"/>
      <c r="N2707" s="306" t="n"/>
      <c r="O2707" s="306" t="n"/>
      <c r="P2707" s="306" t="n"/>
      <c r="Q2707" s="306" t="n"/>
    </row>
    <row r="2708" ht="18.75" customHeight="1">
      <c r="B2708" s="288" t="n">
        <v>45646</v>
      </c>
      <c r="C2708" s="289" t="n">
        <v>1943</v>
      </c>
      <c r="D2708" s="290" t="inlineStr">
        <is>
          <t>Taxi Home to KCIC Train station</t>
        </is>
      </c>
      <c r="E2708" s="306" t="inlineStr">
        <is>
          <t>-</t>
        </is>
      </c>
      <c r="F2708" s="307" t="n">
        <v>100000</v>
      </c>
      <c r="G2708" s="289" t="inlineStr">
        <is>
          <t>IDR</t>
        </is>
      </c>
      <c r="H2708" s="293" t="n">
        <v>1</v>
      </c>
      <c r="I2708" s="306" t="n"/>
      <c r="J2708" s="306" t="n"/>
      <c r="K2708" s="306" t="n"/>
      <c r="L2708" s="307">
        <f>$F2708*$H2708</f>
        <v/>
      </c>
      <c r="M2708" s="306" t="n"/>
      <c r="N2708" s="306" t="n"/>
      <c r="O2708" s="306" t="n"/>
      <c r="P2708" s="306" t="n"/>
      <c r="Q2708" s="306" t="n"/>
    </row>
    <row r="2709" ht="18.75" customHeight="1">
      <c r="B2709" s="288" t="n">
        <v>45646</v>
      </c>
      <c r="C2709" s="289" t="n">
        <v>1944</v>
      </c>
      <c r="D2709" s="290" t="inlineStr">
        <is>
          <t>Train Round trip Jakarta - Bandung @200K/trip</t>
        </is>
      </c>
      <c r="E2709" s="306" t="inlineStr">
        <is>
          <t>-</t>
        </is>
      </c>
      <c r="F2709" s="307" t="n">
        <v>400000</v>
      </c>
      <c r="G2709" s="289" t="inlineStr">
        <is>
          <t>IDR</t>
        </is>
      </c>
      <c r="H2709" s="293" t="n">
        <v>1</v>
      </c>
      <c r="I2709" s="306" t="n"/>
      <c r="J2709" s="306" t="n"/>
      <c r="K2709" s="306" t="n"/>
      <c r="L2709" s="307">
        <f>$F2709*$H2709</f>
        <v/>
      </c>
      <c r="M2709" s="306" t="n"/>
      <c r="N2709" s="306" t="n"/>
      <c r="O2709" s="306" t="n"/>
      <c r="P2709" s="306" t="n"/>
      <c r="Q2709" s="306" t="n"/>
    </row>
    <row r="2710" ht="18.75" customHeight="1">
      <c r="B2710" s="288" t="n">
        <v>45647</v>
      </c>
      <c r="C2710" s="289" t="n">
        <v>1945</v>
      </c>
      <c r="D2710" s="290" t="inlineStr">
        <is>
          <t>Taxi from KCIC Stationa Halim to Home</t>
        </is>
      </c>
      <c r="E2710" s="306" t="inlineStr">
        <is>
          <t>-</t>
        </is>
      </c>
      <c r="F2710" s="307" t="n">
        <v>100000</v>
      </c>
      <c r="G2710" s="289" t="inlineStr">
        <is>
          <t>IDR</t>
        </is>
      </c>
      <c r="H2710" s="293" t="n">
        <v>1</v>
      </c>
      <c r="I2710" s="306" t="n"/>
      <c r="J2710" s="306" t="n"/>
      <c r="K2710" s="306" t="n"/>
      <c r="L2710" s="307">
        <f>$F2710*$H2710</f>
        <v/>
      </c>
      <c r="M2710" s="306" t="n"/>
      <c r="N2710" s="306" t="n"/>
      <c r="O2710" s="306" t="n"/>
      <c r="P2710" s="306" t="n"/>
      <c r="Q2710" s="306" t="n"/>
    </row>
    <row r="2711" ht="18.75" customHeight="1">
      <c r="B2711" s="288" t="n">
        <v>45647</v>
      </c>
      <c r="C2711" s="289" t="n">
        <v>1946</v>
      </c>
      <c r="D2711" s="290" t="inlineStr">
        <is>
          <t>Taxi from KCIC Stationa Halim to Home</t>
        </is>
      </c>
      <c r="E2711" s="306" t="inlineStr">
        <is>
          <t>-</t>
        </is>
      </c>
      <c r="F2711" s="307" t="n">
        <v>100000</v>
      </c>
      <c r="G2711" s="289" t="inlineStr">
        <is>
          <t>IDR</t>
        </is>
      </c>
      <c r="H2711" s="293" t="n">
        <v>1</v>
      </c>
      <c r="I2711" s="306" t="n"/>
      <c r="J2711" s="306" t="n"/>
      <c r="K2711" s="306" t="n"/>
      <c r="L2711" s="307">
        <f>$F2711*$H2711</f>
        <v/>
      </c>
      <c r="M2711" s="306" t="n"/>
      <c r="N2711" s="306" t="n"/>
      <c r="O2711" s="306" t="n"/>
      <c r="P2711" s="306" t="n"/>
      <c r="Q2711" s="306" t="n"/>
    </row>
    <row r="2712" ht="18.75" customHeight="1">
      <c r="B2712" s="288" t="n">
        <v>45647</v>
      </c>
      <c r="C2712" s="289" t="n">
        <v>1947</v>
      </c>
      <c r="D2712" s="290" t="inlineStr">
        <is>
          <t>Taxi from KCIC Stationa Halim to Home</t>
        </is>
      </c>
      <c r="E2712" s="306" t="inlineStr">
        <is>
          <t>-</t>
        </is>
      </c>
      <c r="F2712" s="307" t="n">
        <v>100000</v>
      </c>
      <c r="G2712" s="289" t="inlineStr">
        <is>
          <t>IDR</t>
        </is>
      </c>
      <c r="H2712" s="293" t="n">
        <v>1</v>
      </c>
      <c r="I2712" s="306" t="n"/>
      <c r="J2712" s="306" t="n"/>
      <c r="K2712" s="306" t="n"/>
      <c r="L2712" s="307">
        <f>$F2712*$H2712</f>
        <v/>
      </c>
      <c r="M2712" s="306" t="n"/>
      <c r="N2712" s="306" t="n"/>
      <c r="O2712" s="306" t="n"/>
      <c r="P2712" s="306" t="n"/>
      <c r="Q2712" s="306" t="n"/>
    </row>
    <row r="2713" ht="18.75" customHeight="1">
      <c r="B2713" s="288" t="n">
        <v>45647</v>
      </c>
      <c r="C2713" s="289" t="n">
        <v>1948</v>
      </c>
      <c r="D2713" s="290" t="inlineStr">
        <is>
          <t>Taxi from KCIC Stationa Halim to Home</t>
        </is>
      </c>
      <c r="E2713" s="306" t="inlineStr">
        <is>
          <t>-</t>
        </is>
      </c>
      <c r="F2713" s="307" t="n">
        <v>100000</v>
      </c>
      <c r="G2713" s="289" t="inlineStr">
        <is>
          <t>IDR</t>
        </is>
      </c>
      <c r="H2713" s="293" t="n">
        <v>1</v>
      </c>
      <c r="I2713" s="306" t="n"/>
      <c r="J2713" s="306" t="n"/>
      <c r="K2713" s="306" t="n"/>
      <c r="L2713" s="307">
        <f>$F2713*$H2713</f>
        <v/>
      </c>
      <c r="M2713" s="306" t="n"/>
      <c r="N2713" s="306" t="n"/>
      <c r="O2713" s="306" t="n"/>
      <c r="P2713" s="306" t="n"/>
      <c r="Q2713" s="306" t="n"/>
    </row>
    <row r="2714">
      <c r="B2714" s="310" t="inlineStr">
        <is>
          <t>Expense#46</t>
        </is>
      </c>
      <c r="C2714" s="311" t="inlineStr">
        <is>
          <t>:</t>
        </is>
      </c>
      <c r="D2714" s="310" t="inlineStr">
        <is>
          <t>Non trip - Training BSS - AC</t>
        </is>
      </c>
      <c r="E2714" s="311" t="n"/>
      <c r="F2714" s="311" t="n"/>
      <c r="G2714" s="311" t="n"/>
      <c r="H2714" s="311" t="n"/>
      <c r="I2714" s="311" t="n"/>
      <c r="J2714" s="311" t="n"/>
      <c r="K2714" s="311" t="n"/>
      <c r="L2714" s="311" t="n"/>
      <c r="M2714" s="311" t="n"/>
      <c r="N2714" s="311" t="n"/>
      <c r="O2714" s="311" t="n"/>
      <c r="P2714" s="311" t="n"/>
      <c r="Q2714" s="311" t="n"/>
    </row>
    <row r="2715">
      <c r="B2715" s="312" t="n"/>
      <c r="C2715" s="312" t="n"/>
      <c r="D2715" s="285" t="inlineStr">
        <is>
          <t>Training</t>
        </is>
      </c>
      <c r="E2715" s="312" t="n"/>
      <c r="F2715" s="312" t="n"/>
      <c r="G2715" s="312" t="n"/>
      <c r="H2715" s="312" t="n"/>
      <c r="I2715" s="312" t="n"/>
      <c r="J2715" s="312" t="n"/>
      <c r="K2715" s="312" t="n"/>
      <c r="L2715" s="312" t="n"/>
      <c r="M2715" s="312" t="n"/>
      <c r="N2715" s="312" t="n"/>
      <c r="O2715" s="312" t="n"/>
      <c r="P2715" s="312" t="n"/>
      <c r="Q2715" s="312" t="n"/>
    </row>
    <row r="2716" ht="18.75" customHeight="1">
      <c r="B2716" s="288" t="n">
        <v>45636</v>
      </c>
      <c r="C2716" s="289" t="n">
        <v>1949</v>
      </c>
      <c r="D2716" s="290" t="inlineStr">
        <is>
          <t>Traning Basic Sea Survival (BSS)</t>
        </is>
      </c>
      <c r="E2716" s="306" t="inlineStr">
        <is>
          <t>-</t>
        </is>
      </c>
      <c r="F2716" s="307" t="n">
        <v>2700000</v>
      </c>
      <c r="G2716" s="289" t="inlineStr">
        <is>
          <t>IDR</t>
        </is>
      </c>
      <c r="H2716" s="293" t="n">
        <v>1</v>
      </c>
      <c r="I2716" s="306" t="n"/>
      <c r="J2716" s="306" t="n"/>
      <c r="K2716" s="306" t="n"/>
      <c r="L2716" s="307">
        <f>$F2716*$H2716</f>
        <v/>
      </c>
      <c r="M2716" s="306" t="n"/>
      <c r="N2716" s="306" t="n"/>
      <c r="O2716" s="306" t="n"/>
      <c r="P2716" s="306" t="n"/>
      <c r="Q2716" s="306" t="n"/>
    </row>
    <row r="2717" ht="18.75" customHeight="1">
      <c r="B2717" s="288" t="n">
        <v>45636</v>
      </c>
      <c r="C2717" s="289" t="n">
        <v>1950</v>
      </c>
      <c r="D2717" s="290" t="inlineStr">
        <is>
          <t>Traning Basic Sea Survival (BSS)</t>
        </is>
      </c>
      <c r="E2717" s="306" t="inlineStr">
        <is>
          <t>-</t>
        </is>
      </c>
      <c r="F2717" s="307" t="n">
        <v>2700000</v>
      </c>
      <c r="G2717" s="289" t="inlineStr">
        <is>
          <t>IDR</t>
        </is>
      </c>
      <c r="H2717" s="293" t="n">
        <v>1</v>
      </c>
      <c r="I2717" s="306" t="n"/>
      <c r="J2717" s="306" t="n"/>
      <c r="K2717" s="306" t="n"/>
      <c r="L2717" s="307">
        <f>$F2717*$H2717</f>
        <v/>
      </c>
      <c r="M2717" s="306" t="n"/>
      <c r="N2717" s="306" t="n"/>
      <c r="O2717" s="306" t="n"/>
      <c r="P2717" s="306" t="n"/>
      <c r="Q2717" s="306" t="n"/>
    </row>
    <row r="2718" ht="18.75" customHeight="1">
      <c r="B2718" s="288" t="n">
        <v>45636</v>
      </c>
      <c r="C2718" s="289" t="n">
        <v>1951</v>
      </c>
      <c r="D2718" s="290" t="inlineStr">
        <is>
          <t>Traning Basic Sea Survival (BSS)</t>
        </is>
      </c>
      <c r="E2718" s="306" t="inlineStr">
        <is>
          <t>-</t>
        </is>
      </c>
      <c r="F2718" s="307" t="n">
        <v>2700000</v>
      </c>
      <c r="G2718" s="289" t="inlineStr">
        <is>
          <t>IDR</t>
        </is>
      </c>
      <c r="H2718" s="293" t="n">
        <v>1</v>
      </c>
      <c r="I2718" s="306" t="n"/>
      <c r="J2718" s="306" t="n"/>
      <c r="K2718" s="306" t="n"/>
      <c r="L2718" s="307">
        <f>$F2718*$H2718</f>
        <v/>
      </c>
      <c r="M2718" s="306" t="n"/>
      <c r="N2718" s="306" t="n"/>
      <c r="O2718" s="306" t="n"/>
      <c r="P2718" s="306" t="n"/>
      <c r="Q2718" s="306" t="n"/>
    </row>
    <row r="2719" ht="18.75" customHeight="1">
      <c r="B2719" s="288" t="n">
        <v>45636</v>
      </c>
      <c r="C2719" s="289" t="n">
        <v>1952</v>
      </c>
      <c r="D2719" s="290" t="inlineStr">
        <is>
          <t>Traning Basic Sea Survival (BSS)</t>
        </is>
      </c>
      <c r="E2719" s="306" t="inlineStr">
        <is>
          <t>-</t>
        </is>
      </c>
      <c r="F2719" s="307" t="n">
        <v>2700000</v>
      </c>
      <c r="G2719" s="289" t="inlineStr">
        <is>
          <t>IDR</t>
        </is>
      </c>
      <c r="H2719" s="293" t="n">
        <v>1</v>
      </c>
      <c r="I2719" s="306" t="n"/>
      <c r="J2719" s="306" t="n"/>
      <c r="K2719" s="306" t="n"/>
      <c r="L2719" s="307">
        <f>$F2719*$H2719</f>
        <v/>
      </c>
      <c r="M2719" s="306" t="n"/>
      <c r="N2719" s="306" t="n"/>
      <c r="O2719" s="306" t="n"/>
      <c r="P2719" s="306" t="n"/>
      <c r="Q2719" s="306" t="n"/>
    </row>
    <row r="2720">
      <c r="B2720" s="310" t="inlineStr">
        <is>
          <t>Expense#47</t>
        </is>
      </c>
      <c r="C2720" s="311" t="inlineStr">
        <is>
          <t>:</t>
        </is>
      </c>
      <c r="D2720" s="310" t="inlineStr">
        <is>
          <t>Trip Rakan : BSTTraining at HSSE Training Center PT Pertamina EP Zone 7 Cirebon</t>
        </is>
      </c>
      <c r="E2720" s="311" t="n"/>
      <c r="F2720" s="311" t="n"/>
      <c r="G2720" s="311" t="n"/>
      <c r="H2720" s="311" t="n"/>
      <c r="I2720" s="311" t="n"/>
      <c r="J2720" s="311" t="n"/>
      <c r="K2720" s="311" t="n"/>
      <c r="L2720" s="311" t="n"/>
      <c r="M2720" s="311" t="n"/>
      <c r="N2720" s="311" t="n"/>
      <c r="O2720" s="311" t="n"/>
      <c r="P2720" s="311" t="n"/>
      <c r="Q2720" s="311" t="n"/>
    </row>
    <row r="2721">
      <c r="B2721" s="312" t="n"/>
      <c r="C2721" s="312" t="n"/>
      <c r="D2721" s="285" t="inlineStr">
        <is>
          <t>Accommodation</t>
        </is>
      </c>
      <c r="E2721" s="312" t="n"/>
      <c r="F2721" s="312" t="n"/>
      <c r="G2721" s="312" t="n"/>
      <c r="H2721" s="312" t="n"/>
      <c r="I2721" s="312" t="n"/>
      <c r="J2721" s="312" t="n"/>
      <c r="K2721" s="312" t="n"/>
      <c r="L2721" s="312" t="n"/>
      <c r="M2721" s="312" t="n"/>
      <c r="N2721" s="312" t="n"/>
      <c r="O2721" s="312" t="n"/>
      <c r="P2721" s="312" t="n"/>
      <c r="Q2721" s="312" t="n"/>
    </row>
    <row r="2722" ht="34.5" customHeight="1">
      <c r="B2722" s="288" t="n">
        <v>45655</v>
      </c>
      <c r="C2722" s="289" t="n">
        <v>1953</v>
      </c>
      <c r="D2722" s="290" t="inlineStr">
        <is>
          <t>Accomodation Hotel (Pia Hotel 29 - 30 des, 1 Night)</t>
        </is>
      </c>
      <c r="E2722" s="306" t="inlineStr">
        <is>
          <t>-</t>
        </is>
      </c>
      <c r="F2722" s="307" t="n">
        <v>224000</v>
      </c>
      <c r="G2722" s="289" t="inlineStr">
        <is>
          <t>IDR</t>
        </is>
      </c>
      <c r="H2722" s="293" t="n">
        <v>1</v>
      </c>
      <c r="I2722" s="306" t="n"/>
      <c r="J2722" s="306" t="n"/>
      <c r="K2722" s="306" t="n"/>
      <c r="L2722" s="307">
        <f>$F2722*$H2722</f>
        <v/>
      </c>
      <c r="M2722" s="306" t="n"/>
      <c r="N2722" s="306" t="n"/>
      <c r="O2722" s="306" t="n"/>
      <c r="P2722" s="306" t="n"/>
      <c r="Q2722" s="306" t="n"/>
    </row>
    <row r="2723" ht="34.5" customHeight="1">
      <c r="B2723" s="288" t="n">
        <v>45655</v>
      </c>
      <c r="C2723" s="289" t="n">
        <v>1954</v>
      </c>
      <c r="D2723" s="290" t="inlineStr">
        <is>
          <t>Accomodation Hotel (Pia Hotel 29 - 30 des, 1 Night)</t>
        </is>
      </c>
      <c r="E2723" s="306" t="inlineStr">
        <is>
          <t>-</t>
        </is>
      </c>
      <c r="F2723" s="307" t="n">
        <v>224000</v>
      </c>
      <c r="G2723" s="289" t="inlineStr">
        <is>
          <t>IDR</t>
        </is>
      </c>
      <c r="H2723" s="293" t="n">
        <v>1</v>
      </c>
      <c r="I2723" s="306" t="n"/>
      <c r="J2723" s="306" t="n"/>
      <c r="K2723" s="306" t="n"/>
      <c r="L2723" s="307">
        <f>$F2723*$H2723</f>
        <v/>
      </c>
      <c r="M2723" s="306" t="n"/>
      <c r="N2723" s="306" t="n"/>
      <c r="O2723" s="306" t="n"/>
      <c r="P2723" s="306" t="n"/>
      <c r="Q2723" s="306" t="n"/>
    </row>
    <row r="2724" ht="34.5" customHeight="1">
      <c r="B2724" s="288" t="n">
        <v>45655</v>
      </c>
      <c r="C2724" s="289" t="n">
        <v>1955</v>
      </c>
      <c r="D2724" s="290" t="inlineStr">
        <is>
          <t>Accomodation Hotel (Pia Hotel 29 - 30 des, 1 Night)</t>
        </is>
      </c>
      <c r="E2724" s="306" t="inlineStr">
        <is>
          <t>-</t>
        </is>
      </c>
      <c r="F2724" s="307" t="n">
        <v>224000</v>
      </c>
      <c r="G2724" s="289" t="inlineStr">
        <is>
          <t>IDR</t>
        </is>
      </c>
      <c r="H2724" s="293" t="n">
        <v>1</v>
      </c>
      <c r="I2724" s="306" t="n"/>
      <c r="J2724" s="306" t="n"/>
      <c r="K2724" s="306" t="n"/>
      <c r="L2724" s="307">
        <f>$F2724*$H2724</f>
        <v/>
      </c>
      <c r="M2724" s="306" t="n"/>
      <c r="N2724" s="306" t="n"/>
      <c r="O2724" s="306" t="n"/>
      <c r="P2724" s="306" t="n"/>
      <c r="Q2724" s="306" t="n"/>
    </row>
    <row r="2725" ht="34.5" customHeight="1">
      <c r="B2725" s="288" t="n">
        <v>45655</v>
      </c>
      <c r="C2725" s="289" t="n">
        <v>1956</v>
      </c>
      <c r="D2725" s="290" t="inlineStr">
        <is>
          <t>Accomodation Hotel (Pia Hotel 29 - 30 des, 1 Night)</t>
        </is>
      </c>
      <c r="E2725" s="306" t="inlineStr">
        <is>
          <t>-</t>
        </is>
      </c>
      <c r="F2725" s="307" t="n">
        <v>224000</v>
      </c>
      <c r="G2725" s="289" t="inlineStr">
        <is>
          <t>IDR</t>
        </is>
      </c>
      <c r="H2725" s="293" t="n">
        <v>1</v>
      </c>
      <c r="I2725" s="306" t="n"/>
      <c r="J2725" s="306" t="n"/>
      <c r="K2725" s="306" t="n"/>
      <c r="L2725" s="307">
        <f>$F2725*$H2725</f>
        <v/>
      </c>
      <c r="M2725" s="306" t="n"/>
      <c r="N2725" s="306" t="n"/>
      <c r="O2725" s="306" t="n"/>
      <c r="P2725" s="306" t="n"/>
      <c r="Q2725" s="306" t="n"/>
    </row>
    <row r="2726">
      <c r="B2726" s="312" t="n"/>
      <c r="C2726" s="312" t="n"/>
      <c r="D2726" s="285" t="inlineStr">
        <is>
          <t>Allowance</t>
        </is>
      </c>
      <c r="E2726" s="312" t="n"/>
      <c r="F2726" s="312" t="n"/>
      <c r="G2726" s="312" t="n"/>
      <c r="H2726" s="312" t="n"/>
      <c r="I2726" s="312" t="n"/>
      <c r="J2726" s="312" t="n"/>
      <c r="K2726" s="312" t="n"/>
      <c r="L2726" s="312" t="n"/>
      <c r="M2726" s="312" t="n"/>
      <c r="N2726" s="312" t="n"/>
      <c r="O2726" s="312" t="n"/>
      <c r="P2726" s="312" t="n"/>
      <c r="Q2726" s="312" t="n"/>
    </row>
    <row r="2727" ht="34.5" customHeight="1">
      <c r="B2727" s="288" t="n">
        <v>45656</v>
      </c>
      <c r="C2727" s="289" t="n">
        <v>1957</v>
      </c>
      <c r="D2727" s="290" t="inlineStr">
        <is>
          <t>Meal Allowance 2 Days (29 - 30 December 2024)@ 150 rb</t>
        </is>
      </c>
      <c r="E2727" s="306" t="inlineStr">
        <is>
          <t>-</t>
        </is>
      </c>
      <c r="F2727" s="307" t="n">
        <v>300000</v>
      </c>
      <c r="G2727" s="289" t="inlineStr">
        <is>
          <t>IDR</t>
        </is>
      </c>
      <c r="H2727" s="293" t="n">
        <v>1</v>
      </c>
      <c r="I2727" s="306" t="n"/>
      <c r="J2727" s="306" t="n"/>
      <c r="K2727" s="306" t="n"/>
      <c r="L2727" s="307">
        <f>$F2727*$H2727</f>
        <v/>
      </c>
      <c r="M2727" s="306" t="n"/>
      <c r="N2727" s="306" t="n"/>
      <c r="O2727" s="306" t="n"/>
      <c r="P2727" s="306" t="n"/>
      <c r="Q2727" s="306" t="n"/>
    </row>
    <row r="2728" ht="34.5" customHeight="1">
      <c r="B2728" s="288" t="n">
        <v>45656</v>
      </c>
      <c r="C2728" s="289" t="n">
        <v>1958</v>
      </c>
      <c r="D2728" s="290" t="inlineStr">
        <is>
          <t>Meal Allowance 2 Days (29 - 30 December 2024)@ 150 rb</t>
        </is>
      </c>
      <c r="E2728" s="306" t="inlineStr">
        <is>
          <t>-</t>
        </is>
      </c>
      <c r="F2728" s="307" t="n">
        <v>300000</v>
      </c>
      <c r="G2728" s="289" t="inlineStr">
        <is>
          <t>IDR</t>
        </is>
      </c>
      <c r="H2728" s="293" t="n">
        <v>1</v>
      </c>
      <c r="I2728" s="306" t="n"/>
      <c r="J2728" s="306" t="n"/>
      <c r="K2728" s="306" t="n"/>
      <c r="L2728" s="307">
        <f>$F2728*$H2728</f>
        <v/>
      </c>
      <c r="M2728" s="306" t="n"/>
      <c r="N2728" s="306" t="n"/>
      <c r="O2728" s="306" t="n"/>
      <c r="P2728" s="306" t="n"/>
      <c r="Q2728" s="306" t="n"/>
    </row>
    <row r="2729" ht="34.5" customHeight="1">
      <c r="B2729" s="288" t="n">
        <v>45656</v>
      </c>
      <c r="C2729" s="289" t="n">
        <v>1959</v>
      </c>
      <c r="D2729" s="290" t="inlineStr">
        <is>
          <t>Meal Allowance 2 Days (29 - 30 December 2024)@ 150 rb</t>
        </is>
      </c>
      <c r="E2729" s="306" t="inlineStr">
        <is>
          <t>-</t>
        </is>
      </c>
      <c r="F2729" s="307" t="n">
        <v>300000</v>
      </c>
      <c r="G2729" s="289" t="inlineStr">
        <is>
          <t>IDR</t>
        </is>
      </c>
      <c r="H2729" s="293" t="n">
        <v>1</v>
      </c>
      <c r="I2729" s="306" t="n"/>
      <c r="J2729" s="306" t="n"/>
      <c r="K2729" s="306" t="n"/>
      <c r="L2729" s="307">
        <f>$F2729*$H2729</f>
        <v/>
      </c>
      <c r="M2729" s="306" t="n"/>
      <c r="N2729" s="306" t="n"/>
      <c r="O2729" s="306" t="n"/>
      <c r="P2729" s="306" t="n"/>
      <c r="Q2729" s="306" t="n"/>
    </row>
    <row r="2730" ht="34.5" customHeight="1">
      <c r="B2730" s="288" t="n">
        <v>45656</v>
      </c>
      <c r="C2730" s="289" t="n">
        <v>1960</v>
      </c>
      <c r="D2730" s="290" t="inlineStr">
        <is>
          <t>Meal Allowance 2 Days (29 - 30 December 2024)@ 150 rb</t>
        </is>
      </c>
      <c r="E2730" s="306" t="inlineStr">
        <is>
          <t>-</t>
        </is>
      </c>
      <c r="F2730" s="307" t="n">
        <v>300000</v>
      </c>
      <c r="G2730" s="289" t="inlineStr">
        <is>
          <t>IDR</t>
        </is>
      </c>
      <c r="H2730" s="293" t="n">
        <v>1</v>
      </c>
      <c r="I2730" s="306" t="n"/>
      <c r="J2730" s="306" t="n"/>
      <c r="K2730" s="306" t="n"/>
      <c r="L2730" s="307">
        <f>$F2730*$H2730</f>
        <v/>
      </c>
      <c r="M2730" s="306" t="n"/>
      <c r="N2730" s="306" t="n"/>
      <c r="O2730" s="306" t="n"/>
      <c r="P2730" s="306" t="n"/>
      <c r="Q2730" s="306" t="n"/>
    </row>
    <row r="2731">
      <c r="B2731" s="312" t="n"/>
      <c r="C2731" s="312" t="n"/>
      <c r="D2731" s="285" t="inlineStr">
        <is>
          <t>Transportation</t>
        </is>
      </c>
      <c r="E2731" s="312" t="n"/>
      <c r="F2731" s="312" t="n"/>
      <c r="G2731" s="312" t="n"/>
      <c r="H2731" s="312" t="n"/>
      <c r="I2731" s="312" t="n"/>
      <c r="J2731" s="312" t="n"/>
      <c r="K2731" s="312" t="n"/>
      <c r="L2731" s="312" t="n"/>
      <c r="M2731" s="312" t="n"/>
      <c r="N2731" s="312" t="n"/>
      <c r="O2731" s="312" t="n"/>
      <c r="P2731" s="312" t="n"/>
      <c r="Q2731" s="312" t="n"/>
    </row>
    <row r="2732" ht="18.75" customHeight="1">
      <c r="B2732" s="288" t="n">
        <v>45655</v>
      </c>
      <c r="C2732" s="289" t="n">
        <v>1961</v>
      </c>
      <c r="D2732" s="290" t="inlineStr">
        <is>
          <t>Transport Train, (Jakarta to Cirebon)</t>
        </is>
      </c>
      <c r="E2732" s="306" t="inlineStr">
        <is>
          <t>-</t>
        </is>
      </c>
      <c r="F2732" s="307" t="n">
        <v>200000</v>
      </c>
      <c r="G2732" s="289" t="inlineStr">
        <is>
          <t>IDR</t>
        </is>
      </c>
      <c r="H2732" s="293" t="n">
        <v>1</v>
      </c>
      <c r="I2732" s="306" t="n"/>
      <c r="J2732" s="306" t="n"/>
      <c r="K2732" s="306" t="n"/>
      <c r="L2732" s="307">
        <f>$F2732*$H2732</f>
        <v/>
      </c>
      <c r="M2732" s="306" t="n"/>
      <c r="N2732" s="306" t="n"/>
      <c r="O2732" s="306" t="n"/>
      <c r="P2732" s="306" t="n"/>
      <c r="Q2732" s="306" t="n"/>
    </row>
    <row r="2733" ht="18.75" customHeight="1">
      <c r="B2733" s="288" t="n">
        <v>45655</v>
      </c>
      <c r="C2733" s="289" t="n">
        <v>1962</v>
      </c>
      <c r="D2733" s="290" t="inlineStr">
        <is>
          <t>Gojek (Cirendeu to Gambir Station)</t>
        </is>
      </c>
      <c r="E2733" s="306" t="inlineStr">
        <is>
          <t>-</t>
        </is>
      </c>
      <c r="F2733" s="307" t="n">
        <v>61500</v>
      </c>
      <c r="G2733" s="289" t="inlineStr">
        <is>
          <t>IDR</t>
        </is>
      </c>
      <c r="H2733" s="293" t="n">
        <v>1</v>
      </c>
      <c r="I2733" s="306" t="n"/>
      <c r="J2733" s="306" t="n"/>
      <c r="K2733" s="306" t="n"/>
      <c r="L2733" s="307">
        <f>$F2733*$H2733</f>
        <v/>
      </c>
      <c r="M2733" s="306" t="n"/>
      <c r="N2733" s="306" t="n"/>
      <c r="O2733" s="306" t="n"/>
      <c r="P2733" s="306" t="n"/>
      <c r="Q2733" s="306" t="n"/>
    </row>
    <row r="2734" ht="18.75" customHeight="1">
      <c r="B2734" s="288" t="n">
        <v>45655</v>
      </c>
      <c r="C2734" s="289" t="n">
        <v>1963</v>
      </c>
      <c r="D2734" s="290" t="inlineStr">
        <is>
          <t>Gojek (Cirebon Station to Hotel)</t>
        </is>
      </c>
      <c r="E2734" s="306" t="inlineStr">
        <is>
          <t>-</t>
        </is>
      </c>
      <c r="F2734" s="307" t="n">
        <v>12500</v>
      </c>
      <c r="G2734" s="289" t="inlineStr">
        <is>
          <t>IDR</t>
        </is>
      </c>
      <c r="H2734" s="293" t="n">
        <v>1</v>
      </c>
      <c r="I2734" s="306" t="n"/>
      <c r="J2734" s="306" t="n"/>
      <c r="K2734" s="306" t="n"/>
      <c r="L2734" s="307">
        <f>$F2734*$H2734</f>
        <v/>
      </c>
      <c r="M2734" s="306" t="n"/>
      <c r="N2734" s="306" t="n"/>
      <c r="O2734" s="306" t="n"/>
      <c r="P2734" s="306" t="n"/>
      <c r="Q2734" s="306" t="n"/>
    </row>
    <row r="2735" ht="18.75" customHeight="1">
      <c r="B2735" s="288" t="n">
        <v>45655</v>
      </c>
      <c r="C2735" s="289" t="n">
        <v>1964</v>
      </c>
      <c r="D2735" s="290" t="inlineStr">
        <is>
          <t>Transport Train, (Jakarta to Cirebon)</t>
        </is>
      </c>
      <c r="E2735" s="306" t="inlineStr">
        <is>
          <t>-</t>
        </is>
      </c>
      <c r="F2735" s="307" t="n">
        <v>200000</v>
      </c>
      <c r="G2735" s="289" t="inlineStr">
        <is>
          <t>IDR</t>
        </is>
      </c>
      <c r="H2735" s="293" t="n">
        <v>1</v>
      </c>
      <c r="I2735" s="306" t="n"/>
      <c r="J2735" s="306" t="n"/>
      <c r="K2735" s="306" t="n"/>
      <c r="L2735" s="307">
        <f>$F2735*$H2735</f>
        <v/>
      </c>
      <c r="M2735" s="306" t="n"/>
      <c r="N2735" s="306" t="n"/>
      <c r="O2735" s="306" t="n"/>
      <c r="P2735" s="306" t="n"/>
      <c r="Q2735" s="306" t="n"/>
    </row>
    <row r="2736" ht="18.75" customHeight="1">
      <c r="B2736" s="288" t="n">
        <v>45655</v>
      </c>
      <c r="C2736" s="289" t="n">
        <v>1965</v>
      </c>
      <c r="D2736" s="290" t="inlineStr">
        <is>
          <t>Gojek (Cirendeu to Gambir Station)</t>
        </is>
      </c>
      <c r="E2736" s="306" t="inlineStr">
        <is>
          <t>-</t>
        </is>
      </c>
      <c r="F2736" s="307" t="n">
        <v>61500</v>
      </c>
      <c r="G2736" s="289" t="inlineStr">
        <is>
          <t>IDR</t>
        </is>
      </c>
      <c r="H2736" s="293" t="n">
        <v>1</v>
      </c>
      <c r="I2736" s="306" t="n"/>
      <c r="J2736" s="306" t="n"/>
      <c r="K2736" s="306" t="n"/>
      <c r="L2736" s="307">
        <f>$F2736*$H2736</f>
        <v/>
      </c>
      <c r="M2736" s="306" t="n"/>
      <c r="N2736" s="306" t="n"/>
      <c r="O2736" s="306" t="n"/>
      <c r="P2736" s="306" t="n"/>
      <c r="Q2736" s="306" t="n"/>
    </row>
    <row r="2737" ht="18.75" customHeight="1">
      <c r="B2737" s="288" t="n">
        <v>45655</v>
      </c>
      <c r="C2737" s="289" t="n">
        <v>1966</v>
      </c>
      <c r="D2737" s="290" t="inlineStr">
        <is>
          <t>Gojek (Cirebon Station to Hotel)</t>
        </is>
      </c>
      <c r="E2737" s="306" t="inlineStr">
        <is>
          <t>-</t>
        </is>
      </c>
      <c r="F2737" s="307" t="n">
        <v>12500</v>
      </c>
      <c r="G2737" s="289" t="inlineStr">
        <is>
          <t>IDR</t>
        </is>
      </c>
      <c r="H2737" s="293" t="n">
        <v>1</v>
      </c>
      <c r="I2737" s="306" t="n"/>
      <c r="J2737" s="306" t="n"/>
      <c r="K2737" s="306" t="n"/>
      <c r="L2737" s="307">
        <f>$F2737*$H2737</f>
        <v/>
      </c>
      <c r="M2737" s="306" t="n"/>
      <c r="N2737" s="306" t="n"/>
      <c r="O2737" s="306" t="n"/>
      <c r="P2737" s="306" t="n"/>
      <c r="Q2737" s="306" t="n"/>
    </row>
    <row r="2738" ht="18.75" customHeight="1">
      <c r="B2738" s="288" t="n">
        <v>45655</v>
      </c>
      <c r="C2738" s="289" t="n">
        <v>1967</v>
      </c>
      <c r="D2738" s="290" t="inlineStr">
        <is>
          <t>Transport Train, (Jakarta to Cirebon)</t>
        </is>
      </c>
      <c r="E2738" s="306" t="inlineStr">
        <is>
          <t>-</t>
        </is>
      </c>
      <c r="F2738" s="307" t="n">
        <v>200000</v>
      </c>
      <c r="G2738" s="289" t="inlineStr">
        <is>
          <t>IDR</t>
        </is>
      </c>
      <c r="H2738" s="293" t="n">
        <v>1</v>
      </c>
      <c r="I2738" s="306" t="n"/>
      <c r="J2738" s="306" t="n"/>
      <c r="K2738" s="306" t="n"/>
      <c r="L2738" s="307">
        <f>$F2738*$H2738</f>
        <v/>
      </c>
      <c r="M2738" s="306" t="n"/>
      <c r="N2738" s="306" t="n"/>
      <c r="O2738" s="306" t="n"/>
      <c r="P2738" s="306" t="n"/>
      <c r="Q2738" s="306" t="n"/>
    </row>
    <row r="2739" ht="18.75" customHeight="1">
      <c r="B2739" s="288" t="n">
        <v>45655</v>
      </c>
      <c r="C2739" s="289" t="n">
        <v>1968</v>
      </c>
      <c r="D2739" s="290" t="inlineStr">
        <is>
          <t>Gojek (Cirendeu to Gambir Station)</t>
        </is>
      </c>
      <c r="E2739" s="306" t="inlineStr">
        <is>
          <t>-</t>
        </is>
      </c>
      <c r="F2739" s="307" t="n">
        <v>61500</v>
      </c>
      <c r="G2739" s="289" t="inlineStr">
        <is>
          <t>IDR</t>
        </is>
      </c>
      <c r="H2739" s="293" t="n">
        <v>1</v>
      </c>
      <c r="I2739" s="306" t="n"/>
      <c r="J2739" s="306" t="n"/>
      <c r="K2739" s="306" t="n"/>
      <c r="L2739" s="307">
        <f>$F2739*$H2739</f>
        <v/>
      </c>
      <c r="M2739" s="306" t="n"/>
      <c r="N2739" s="306" t="n"/>
      <c r="O2739" s="306" t="n"/>
      <c r="P2739" s="306" t="n"/>
      <c r="Q2739" s="306" t="n"/>
    </row>
    <row r="2740" ht="18.75" customHeight="1">
      <c r="B2740" s="288" t="n">
        <v>45655</v>
      </c>
      <c r="C2740" s="289" t="n">
        <v>1969</v>
      </c>
      <c r="D2740" s="290" t="inlineStr">
        <is>
          <t>Gojek (Cirebon Station to Hotel)</t>
        </is>
      </c>
      <c r="E2740" s="306" t="inlineStr">
        <is>
          <t>-</t>
        </is>
      </c>
      <c r="F2740" s="307" t="n">
        <v>12500</v>
      </c>
      <c r="G2740" s="289" t="inlineStr">
        <is>
          <t>IDR</t>
        </is>
      </c>
      <c r="H2740" s="293" t="n">
        <v>1</v>
      </c>
      <c r="I2740" s="306" t="n"/>
      <c r="J2740" s="306" t="n"/>
      <c r="K2740" s="306" t="n"/>
      <c r="L2740" s="307">
        <f>$F2740*$H2740</f>
        <v/>
      </c>
      <c r="M2740" s="306" t="n"/>
      <c r="N2740" s="306" t="n"/>
      <c r="O2740" s="306" t="n"/>
      <c r="P2740" s="306" t="n"/>
      <c r="Q2740" s="306" t="n"/>
    </row>
    <row r="2741" ht="18.75" customHeight="1">
      <c r="B2741" s="288" t="n">
        <v>45655</v>
      </c>
      <c r="C2741" s="289" t="n">
        <v>1970</v>
      </c>
      <c r="D2741" s="290" t="inlineStr">
        <is>
          <t>Transport Train, (Jakarta to Cirebon)</t>
        </is>
      </c>
      <c r="E2741" s="306" t="inlineStr">
        <is>
          <t>-</t>
        </is>
      </c>
      <c r="F2741" s="307" t="n">
        <v>200000</v>
      </c>
      <c r="G2741" s="289" t="inlineStr">
        <is>
          <t>IDR</t>
        </is>
      </c>
      <c r="H2741" s="293" t="n">
        <v>1</v>
      </c>
      <c r="I2741" s="306" t="n"/>
      <c r="J2741" s="306" t="n"/>
      <c r="K2741" s="306" t="n"/>
      <c r="L2741" s="307">
        <f>$F2741*$H2741</f>
        <v/>
      </c>
      <c r="M2741" s="306" t="n"/>
      <c r="N2741" s="306" t="n"/>
      <c r="O2741" s="306" t="n"/>
      <c r="P2741" s="306" t="n"/>
      <c r="Q2741" s="306" t="n"/>
    </row>
    <row r="2742" ht="18.75" customHeight="1">
      <c r="B2742" s="288" t="n">
        <v>45655</v>
      </c>
      <c r="C2742" s="289" t="n">
        <v>1971</v>
      </c>
      <c r="D2742" s="290" t="inlineStr">
        <is>
          <t>Gojek (Cirendeu to Gambir Station)</t>
        </is>
      </c>
      <c r="E2742" s="306" t="inlineStr">
        <is>
          <t>-</t>
        </is>
      </c>
      <c r="F2742" s="307" t="n">
        <v>61500</v>
      </c>
      <c r="G2742" s="289" t="inlineStr">
        <is>
          <t>IDR</t>
        </is>
      </c>
      <c r="H2742" s="293" t="n">
        <v>1</v>
      </c>
      <c r="I2742" s="306" t="n"/>
      <c r="J2742" s="306" t="n"/>
      <c r="K2742" s="306" t="n"/>
      <c r="L2742" s="307">
        <f>$F2742*$H2742</f>
        <v/>
      </c>
      <c r="M2742" s="306" t="n"/>
      <c r="N2742" s="306" t="n"/>
      <c r="O2742" s="306" t="n"/>
      <c r="P2742" s="306" t="n"/>
      <c r="Q2742" s="306" t="n"/>
    </row>
    <row r="2743" ht="18.75" customHeight="1">
      <c r="B2743" s="288" t="n">
        <v>45655</v>
      </c>
      <c r="C2743" s="289" t="n">
        <v>1972</v>
      </c>
      <c r="D2743" s="290" t="inlineStr">
        <is>
          <t>Gojek (Cirebon Station to Hotel)</t>
        </is>
      </c>
      <c r="E2743" s="306" t="inlineStr">
        <is>
          <t>-</t>
        </is>
      </c>
      <c r="F2743" s="307" t="n">
        <v>12500</v>
      </c>
      <c r="G2743" s="289" t="inlineStr">
        <is>
          <t>IDR</t>
        </is>
      </c>
      <c r="H2743" s="293" t="n">
        <v>1</v>
      </c>
      <c r="I2743" s="306" t="n"/>
      <c r="J2743" s="306" t="n"/>
      <c r="K2743" s="306" t="n"/>
      <c r="L2743" s="307">
        <f>$F2743*$H2743</f>
        <v/>
      </c>
      <c r="M2743" s="306" t="n"/>
      <c r="N2743" s="306" t="n"/>
      <c r="O2743" s="306" t="n"/>
      <c r="P2743" s="306" t="n"/>
      <c r="Q2743" s="306" t="n"/>
    </row>
    <row r="2744" ht="18.75" customHeight="1">
      <c r="B2744" s="288" t="n">
        <v>45656</v>
      </c>
      <c r="C2744" s="289" t="n">
        <v>1973</v>
      </c>
      <c r="D2744" s="290" t="inlineStr">
        <is>
          <t>Transport Train (Cirebon to Jakarta)</t>
        </is>
      </c>
      <c r="E2744" s="306" t="inlineStr">
        <is>
          <t>-</t>
        </is>
      </c>
      <c r="F2744" s="307" t="n">
        <v>140000</v>
      </c>
      <c r="G2744" s="289" t="inlineStr">
        <is>
          <t>IDR</t>
        </is>
      </c>
      <c r="H2744" s="293" t="n">
        <v>1</v>
      </c>
      <c r="I2744" s="306" t="n"/>
      <c r="J2744" s="306" t="n"/>
      <c r="K2744" s="306" t="n"/>
      <c r="L2744" s="307">
        <f>$F2744*$H2744</f>
        <v/>
      </c>
      <c r="M2744" s="306" t="n"/>
      <c r="N2744" s="306" t="n"/>
      <c r="O2744" s="306" t="n"/>
      <c r="P2744" s="306" t="n"/>
      <c r="Q2744" s="306" t="n"/>
    </row>
    <row r="2745" ht="18.75" customHeight="1">
      <c r="B2745" s="288" t="n">
        <v>45656</v>
      </c>
      <c r="C2745" s="289" t="n">
        <v>1974</v>
      </c>
      <c r="D2745" s="290" t="inlineStr">
        <is>
          <t>Gojek (Hotel to HSSE Training Center PEP Zone 7)</t>
        </is>
      </c>
      <c r="E2745" s="306" t="inlineStr">
        <is>
          <t>-</t>
        </is>
      </c>
      <c r="F2745" s="307" t="n">
        <v>11000</v>
      </c>
      <c r="G2745" s="289" t="inlineStr">
        <is>
          <t>IDR</t>
        </is>
      </c>
      <c r="H2745" s="293" t="n">
        <v>1</v>
      </c>
      <c r="I2745" s="306" t="n"/>
      <c r="J2745" s="306" t="n"/>
      <c r="K2745" s="306" t="n"/>
      <c r="L2745" s="307">
        <f>$F2745*$H2745</f>
        <v/>
      </c>
      <c r="M2745" s="306" t="n"/>
      <c r="N2745" s="306" t="n"/>
      <c r="O2745" s="306" t="n"/>
      <c r="P2745" s="306" t="n"/>
      <c r="Q2745" s="306" t="n"/>
    </row>
    <row r="2746" ht="18.75" customHeight="1">
      <c r="B2746" s="288" t="n">
        <v>45656</v>
      </c>
      <c r="C2746" s="289" t="n">
        <v>1975</v>
      </c>
      <c r="D2746" s="290" t="inlineStr">
        <is>
          <t>Gojek (CSB to Cirebon Train Station)</t>
        </is>
      </c>
      <c r="E2746" s="306" t="inlineStr">
        <is>
          <t>-</t>
        </is>
      </c>
      <c r="F2746" s="307" t="n">
        <v>11000</v>
      </c>
      <c r="G2746" s="289" t="inlineStr">
        <is>
          <t>IDR</t>
        </is>
      </c>
      <c r="H2746" s="293" t="n">
        <v>1</v>
      </c>
      <c r="I2746" s="306" t="n"/>
      <c r="J2746" s="306" t="n"/>
      <c r="K2746" s="306" t="n"/>
      <c r="L2746" s="307">
        <f>$F2746*$H2746</f>
        <v/>
      </c>
      <c r="M2746" s="306" t="n"/>
      <c r="N2746" s="306" t="n"/>
      <c r="O2746" s="306" t="n"/>
      <c r="P2746" s="306" t="n"/>
      <c r="Q2746" s="306" t="n"/>
    </row>
    <row r="2747" ht="18.75" customHeight="1">
      <c r="B2747" s="288" t="n">
        <v>45656</v>
      </c>
      <c r="C2747" s="289" t="n">
        <v>1976</v>
      </c>
      <c r="D2747" s="290" t="inlineStr">
        <is>
          <t>Gojek (Gambir Station to Cirendeu)</t>
        </is>
      </c>
      <c r="E2747" s="306" t="inlineStr">
        <is>
          <t>-</t>
        </is>
      </c>
      <c r="F2747" s="307" t="n">
        <v>66000</v>
      </c>
      <c r="G2747" s="289" t="inlineStr">
        <is>
          <t>IDR</t>
        </is>
      </c>
      <c r="H2747" s="293" t="n">
        <v>1</v>
      </c>
      <c r="I2747" s="306" t="n"/>
      <c r="J2747" s="306" t="n"/>
      <c r="K2747" s="306" t="n"/>
      <c r="L2747" s="307">
        <f>$F2747*$H2747</f>
        <v/>
      </c>
      <c r="M2747" s="306" t="n"/>
      <c r="N2747" s="306" t="n"/>
      <c r="O2747" s="306" t="n"/>
      <c r="P2747" s="306" t="n"/>
      <c r="Q2747" s="306" t="n"/>
    </row>
    <row r="2748" ht="18.75" customHeight="1">
      <c r="B2748" s="288" t="n">
        <v>45656</v>
      </c>
      <c r="C2748" s="289" t="n">
        <v>1977</v>
      </c>
      <c r="D2748" s="290" t="inlineStr">
        <is>
          <t>Transport Train (Cirebon to Jakarta)</t>
        </is>
      </c>
      <c r="E2748" s="306" t="inlineStr">
        <is>
          <t>-</t>
        </is>
      </c>
      <c r="F2748" s="307" t="n">
        <v>140000</v>
      </c>
      <c r="G2748" s="289" t="inlineStr">
        <is>
          <t>IDR</t>
        </is>
      </c>
      <c r="H2748" s="293" t="n">
        <v>1</v>
      </c>
      <c r="I2748" s="306" t="n"/>
      <c r="J2748" s="306" t="n"/>
      <c r="K2748" s="306" t="n"/>
      <c r="L2748" s="307">
        <f>$F2748*$H2748</f>
        <v/>
      </c>
      <c r="M2748" s="306" t="n"/>
      <c r="N2748" s="306" t="n"/>
      <c r="O2748" s="306" t="n"/>
      <c r="P2748" s="306" t="n"/>
      <c r="Q2748" s="306" t="n"/>
    </row>
    <row r="2749" ht="18.75" customHeight="1">
      <c r="B2749" s="288" t="n">
        <v>45656</v>
      </c>
      <c r="C2749" s="289" t="n">
        <v>1978</v>
      </c>
      <c r="D2749" s="290" t="inlineStr">
        <is>
          <t>Gojek (Hotel to HSSE Training Center PEP Zone 7)</t>
        </is>
      </c>
      <c r="E2749" s="306" t="inlineStr">
        <is>
          <t>-</t>
        </is>
      </c>
      <c r="F2749" s="307" t="n">
        <v>11000</v>
      </c>
      <c r="G2749" s="289" t="inlineStr">
        <is>
          <t>IDR</t>
        </is>
      </c>
      <c r="H2749" s="293" t="n">
        <v>1</v>
      </c>
      <c r="I2749" s="306" t="n"/>
      <c r="J2749" s="306" t="n"/>
      <c r="K2749" s="306" t="n"/>
      <c r="L2749" s="307">
        <f>$F2749*$H2749</f>
        <v/>
      </c>
      <c r="M2749" s="306" t="n"/>
      <c r="N2749" s="306" t="n"/>
      <c r="O2749" s="306" t="n"/>
      <c r="P2749" s="306" t="n"/>
      <c r="Q2749" s="306" t="n"/>
    </row>
    <row r="2750" ht="18.75" customHeight="1">
      <c r="B2750" s="288" t="n">
        <v>45656</v>
      </c>
      <c r="C2750" s="289" t="n">
        <v>1979</v>
      </c>
      <c r="D2750" s="290" t="inlineStr">
        <is>
          <t>Gojek (CSB to Cirebon Train Station)</t>
        </is>
      </c>
      <c r="E2750" s="306" t="inlineStr">
        <is>
          <t>-</t>
        </is>
      </c>
      <c r="F2750" s="307" t="n">
        <v>11000</v>
      </c>
      <c r="G2750" s="289" t="inlineStr">
        <is>
          <t>IDR</t>
        </is>
      </c>
      <c r="H2750" s="293" t="n">
        <v>1</v>
      </c>
      <c r="I2750" s="306" t="n"/>
      <c r="J2750" s="306" t="n"/>
      <c r="K2750" s="306" t="n"/>
      <c r="L2750" s="307">
        <f>$F2750*$H2750</f>
        <v/>
      </c>
      <c r="M2750" s="306" t="n"/>
      <c r="N2750" s="306" t="n"/>
      <c r="O2750" s="306" t="n"/>
      <c r="P2750" s="306" t="n"/>
      <c r="Q2750" s="306" t="n"/>
    </row>
    <row r="2751" ht="18.75" customHeight="1">
      <c r="B2751" s="288" t="n">
        <v>45656</v>
      </c>
      <c r="C2751" s="289" t="n">
        <v>1980</v>
      </c>
      <c r="D2751" s="290" t="inlineStr">
        <is>
          <t>Gojek (Gambir Station to Cirendeu)</t>
        </is>
      </c>
      <c r="E2751" s="306" t="inlineStr">
        <is>
          <t>-</t>
        </is>
      </c>
      <c r="F2751" s="307" t="n">
        <v>66000</v>
      </c>
      <c r="G2751" s="289" t="inlineStr">
        <is>
          <t>IDR</t>
        </is>
      </c>
      <c r="H2751" s="293" t="n">
        <v>1</v>
      </c>
      <c r="I2751" s="306" t="n"/>
      <c r="J2751" s="306" t="n"/>
      <c r="K2751" s="306" t="n"/>
      <c r="L2751" s="307">
        <f>$F2751*$H2751</f>
        <v/>
      </c>
      <c r="M2751" s="306" t="n"/>
      <c r="N2751" s="306" t="n"/>
      <c r="O2751" s="306" t="n"/>
      <c r="P2751" s="306" t="n"/>
      <c r="Q2751" s="306" t="n"/>
    </row>
    <row r="2752" ht="18.75" customHeight="1">
      <c r="B2752" s="288" t="n">
        <v>45656</v>
      </c>
      <c r="C2752" s="289" t="n">
        <v>1981</v>
      </c>
      <c r="D2752" s="290" t="inlineStr">
        <is>
          <t>Transport Train (Cirebon to Jakarta)</t>
        </is>
      </c>
      <c r="E2752" s="306" t="inlineStr">
        <is>
          <t>-</t>
        </is>
      </c>
      <c r="F2752" s="307" t="n">
        <v>140000</v>
      </c>
      <c r="G2752" s="289" t="inlineStr">
        <is>
          <t>IDR</t>
        </is>
      </c>
      <c r="H2752" s="293" t="n">
        <v>1</v>
      </c>
      <c r="I2752" s="306" t="n"/>
      <c r="J2752" s="306" t="n"/>
      <c r="K2752" s="306" t="n"/>
      <c r="L2752" s="307">
        <f>$F2752*$H2752</f>
        <v/>
      </c>
      <c r="M2752" s="306" t="n"/>
      <c r="N2752" s="306" t="n"/>
      <c r="O2752" s="306" t="n"/>
      <c r="P2752" s="306" t="n"/>
      <c r="Q2752" s="306" t="n"/>
    </row>
    <row r="2753" ht="18.75" customHeight="1">
      <c r="B2753" s="288" t="n">
        <v>45656</v>
      </c>
      <c r="C2753" s="289" t="n">
        <v>1982</v>
      </c>
      <c r="D2753" s="290" t="inlineStr">
        <is>
          <t>Gojek (Hotel to HSSE Training Center PEP Zone 7)</t>
        </is>
      </c>
      <c r="E2753" s="306" t="inlineStr">
        <is>
          <t>-</t>
        </is>
      </c>
      <c r="F2753" s="307" t="n">
        <v>11000</v>
      </c>
      <c r="G2753" s="289" t="inlineStr">
        <is>
          <t>IDR</t>
        </is>
      </c>
      <c r="H2753" s="293" t="n">
        <v>1</v>
      </c>
      <c r="I2753" s="306" t="n"/>
      <c r="J2753" s="306" t="n"/>
      <c r="K2753" s="306" t="n"/>
      <c r="L2753" s="307">
        <f>$F2753*$H2753</f>
        <v/>
      </c>
      <c r="M2753" s="306" t="n"/>
      <c r="N2753" s="306" t="n"/>
      <c r="O2753" s="306" t="n"/>
      <c r="P2753" s="306" t="n"/>
      <c r="Q2753" s="306" t="n"/>
    </row>
    <row r="2754" ht="18.75" customHeight="1">
      <c r="B2754" s="288" t="n">
        <v>45656</v>
      </c>
      <c r="C2754" s="289" t="n">
        <v>1983</v>
      </c>
      <c r="D2754" s="290" t="inlineStr">
        <is>
          <t>Gojek (CSB to Cirebon Train Station)</t>
        </is>
      </c>
      <c r="E2754" s="306" t="inlineStr">
        <is>
          <t>-</t>
        </is>
      </c>
      <c r="F2754" s="307" t="n">
        <v>11000</v>
      </c>
      <c r="G2754" s="289" t="inlineStr">
        <is>
          <t>IDR</t>
        </is>
      </c>
      <c r="H2754" s="293" t="n">
        <v>1</v>
      </c>
      <c r="I2754" s="306" t="n"/>
      <c r="J2754" s="306" t="n"/>
      <c r="K2754" s="306" t="n"/>
      <c r="L2754" s="307">
        <f>$F2754*$H2754</f>
        <v/>
      </c>
      <c r="M2754" s="306" t="n"/>
      <c r="N2754" s="306" t="n"/>
      <c r="O2754" s="306" t="n"/>
      <c r="P2754" s="306" t="n"/>
      <c r="Q2754" s="306" t="n"/>
    </row>
    <row r="2755" ht="18.75" customHeight="1">
      <c r="B2755" s="288" t="n">
        <v>45656</v>
      </c>
      <c r="C2755" s="289" t="n">
        <v>1984</v>
      </c>
      <c r="D2755" s="290" t="inlineStr">
        <is>
          <t>Gojek (Gambir Station to Cirendeu)</t>
        </is>
      </c>
      <c r="E2755" s="306" t="inlineStr">
        <is>
          <t>-</t>
        </is>
      </c>
      <c r="F2755" s="307" t="n">
        <v>66000</v>
      </c>
      <c r="G2755" s="289" t="inlineStr">
        <is>
          <t>IDR</t>
        </is>
      </c>
      <c r="H2755" s="293" t="n">
        <v>1</v>
      </c>
      <c r="I2755" s="306" t="n"/>
      <c r="J2755" s="306" t="n"/>
      <c r="K2755" s="306" t="n"/>
      <c r="L2755" s="307">
        <f>$F2755*$H2755</f>
        <v/>
      </c>
      <c r="M2755" s="306" t="n"/>
      <c r="N2755" s="306" t="n"/>
      <c r="O2755" s="306" t="n"/>
      <c r="P2755" s="306" t="n"/>
      <c r="Q2755" s="306" t="n"/>
    </row>
    <row r="2756" ht="18.75" customHeight="1">
      <c r="B2756" s="288" t="n">
        <v>45656</v>
      </c>
      <c r="C2756" s="289" t="n">
        <v>1985</v>
      </c>
      <c r="D2756" s="290" t="inlineStr">
        <is>
          <t>Transport Train (Cirebon to Jakarta)</t>
        </is>
      </c>
      <c r="E2756" s="306" t="inlineStr">
        <is>
          <t>-</t>
        </is>
      </c>
      <c r="F2756" s="307" t="n">
        <v>140000</v>
      </c>
      <c r="G2756" s="289" t="inlineStr">
        <is>
          <t>IDR</t>
        </is>
      </c>
      <c r="H2756" s="293" t="n">
        <v>1</v>
      </c>
      <c r="I2756" s="306" t="n"/>
      <c r="J2756" s="306" t="n"/>
      <c r="K2756" s="306" t="n"/>
      <c r="L2756" s="307">
        <f>$F2756*$H2756</f>
        <v/>
      </c>
      <c r="M2756" s="306" t="n"/>
      <c r="N2756" s="306" t="n"/>
      <c r="O2756" s="306" t="n"/>
      <c r="P2756" s="306" t="n"/>
      <c r="Q2756" s="306" t="n"/>
    </row>
    <row r="2757" ht="18.75" customHeight="1">
      <c r="B2757" s="288" t="n">
        <v>45656</v>
      </c>
      <c r="C2757" s="289" t="n">
        <v>1986</v>
      </c>
      <c r="D2757" s="290" t="inlineStr">
        <is>
          <t>Gojek (Hotel to HSSE Training Center PEP Zone 7)</t>
        </is>
      </c>
      <c r="E2757" s="306" t="inlineStr">
        <is>
          <t>-</t>
        </is>
      </c>
      <c r="F2757" s="307" t="n">
        <v>11000</v>
      </c>
      <c r="G2757" s="289" t="inlineStr">
        <is>
          <t>IDR</t>
        </is>
      </c>
      <c r="H2757" s="293" t="n">
        <v>1</v>
      </c>
      <c r="I2757" s="306" t="n"/>
      <c r="J2757" s="306" t="n"/>
      <c r="K2757" s="306" t="n"/>
      <c r="L2757" s="307">
        <f>$F2757*$H2757</f>
        <v/>
      </c>
      <c r="M2757" s="306" t="n"/>
      <c r="N2757" s="306" t="n"/>
      <c r="O2757" s="306" t="n"/>
      <c r="P2757" s="306" t="n"/>
      <c r="Q2757" s="306" t="n"/>
    </row>
    <row r="2758" ht="18.75" customHeight="1">
      <c r="B2758" s="288" t="n">
        <v>45656</v>
      </c>
      <c r="C2758" s="289" t="n">
        <v>1987</v>
      </c>
      <c r="D2758" s="290" t="inlineStr">
        <is>
          <t>Gojek (CSB to Cirebon Train Station)</t>
        </is>
      </c>
      <c r="E2758" s="306" t="inlineStr">
        <is>
          <t>-</t>
        </is>
      </c>
      <c r="F2758" s="307" t="n">
        <v>11000</v>
      </c>
      <c r="G2758" s="289" t="inlineStr">
        <is>
          <t>IDR</t>
        </is>
      </c>
      <c r="H2758" s="293" t="n">
        <v>1</v>
      </c>
      <c r="I2758" s="306" t="n"/>
      <c r="J2758" s="306" t="n"/>
      <c r="K2758" s="306" t="n"/>
      <c r="L2758" s="307">
        <f>$F2758*$H2758</f>
        <v/>
      </c>
      <c r="M2758" s="306" t="n"/>
      <c r="N2758" s="306" t="n"/>
      <c r="O2758" s="306" t="n"/>
      <c r="P2758" s="306" t="n"/>
      <c r="Q2758" s="306" t="n"/>
    </row>
    <row r="2759" ht="18.75" customHeight="1">
      <c r="B2759" s="288" t="n">
        <v>45656</v>
      </c>
      <c r="C2759" s="289" t="n">
        <v>1988</v>
      </c>
      <c r="D2759" s="290" t="inlineStr">
        <is>
          <t>Gojek (Gambir Station to Cirendeu)</t>
        </is>
      </c>
      <c r="E2759" s="306" t="inlineStr">
        <is>
          <t>-</t>
        </is>
      </c>
      <c r="F2759" s="307" t="n">
        <v>66000</v>
      </c>
      <c r="G2759" s="289" t="inlineStr">
        <is>
          <t>IDR</t>
        </is>
      </c>
      <c r="H2759" s="293" t="n">
        <v>1</v>
      </c>
      <c r="I2759" s="306" t="n"/>
      <c r="J2759" s="306" t="n"/>
      <c r="K2759" s="306" t="n"/>
      <c r="L2759" s="307">
        <f>$F2759*$H2759</f>
        <v/>
      </c>
      <c r="M2759" s="306" t="n"/>
      <c r="N2759" s="306" t="n"/>
      <c r="O2759" s="306" t="n"/>
      <c r="P2759" s="306" t="n"/>
      <c r="Q2759" s="306" t="n"/>
    </row>
    <row r="2760">
      <c r="B2760" s="313" t="inlineStr">
        <is>
          <t>TOTAL</t>
        </is>
      </c>
      <c r="C2760" s="314" t="n"/>
      <c r="D2760" s="314" t="n"/>
      <c r="E2760" s="314" t="n"/>
      <c r="F2760" s="314" t="n"/>
      <c r="G2760" s="314" t="n"/>
      <c r="H2760" s="314" t="n"/>
      <c r="I2760" s="315" t="n">
        <v>1424048012</v>
      </c>
      <c r="J2760" s="315" t="n">
        <v>3966000000</v>
      </c>
      <c r="K2760" s="315" t="n">
        <v>1470980000</v>
      </c>
      <c r="L2760" s="315" t="n">
        <v>4661892587.727999</v>
      </c>
      <c r="M2760" s="315" t="n">
        <v>51618564</v>
      </c>
      <c r="N2760" s="315" t="n">
        <v>802070280</v>
      </c>
      <c r="O2760" s="315" t="n">
        <v>19980000</v>
      </c>
      <c r="P2760" s="315" t="n">
        <v>154194870</v>
      </c>
      <c r="Q2760" s="315" t="n">
        <v>811680000</v>
      </c>
      <c r="R2760" s="283" t="n"/>
      <c r="S2760" s="283" t="n"/>
      <c r="T2760" s="283" t="n"/>
      <c r="U2760" s="283" t="n"/>
      <c r="V2760" s="283" t="n"/>
      <c r="W2760" s="283" t="n"/>
      <c r="X2760" s="283" t="n"/>
      <c r="Y2760" s="283" t="n"/>
      <c r="Z2760" s="283" t="n"/>
      <c r="AA2760" s="283" t="n"/>
      <c r="AB2760" s="283" t="n"/>
      <c r="AC2760" s="283" t="n"/>
      <c r="AD2760" s="283" t="n"/>
      <c r="AE2760" s="283" t="n"/>
      <c r="AF2760" s="283" t="n"/>
      <c r="AG2760" s="283" t="n"/>
      <c r="AH2760" s="283" t="n"/>
      <c r="AI2760" s="283" t="n"/>
      <c r="AJ2760" s="283" t="n"/>
      <c r="AK2760" s="283" t="n"/>
      <c r="AL2760" s="283" t="n"/>
      <c r="AM2760" s="283" t="n"/>
      <c r="AN2760" s="283" t="n"/>
      <c r="AO2760" s="283" t="n"/>
      <c r="AP2760" s="283" t="n"/>
      <c r="AQ2760" s="283" t="n"/>
      <c r="AR2760" s="283" t="n"/>
      <c r="AS2760" s="283" t="n"/>
      <c r="AT2760" s="283" t="n"/>
      <c r="AU2760" s="283" t="n"/>
      <c r="AV2760" s="283" t="n"/>
      <c r="AW2760" s="283" t="n"/>
      <c r="AX2760" s="283" t="n"/>
      <c r="AY2760" s="283" t="n"/>
      <c r="AZ2760" s="283" t="n"/>
      <c r="BA2760" s="283" t="n"/>
      <c r="BB2760" s="283" t="n"/>
      <c r="BC2760" s="283" t="n"/>
      <c r="BD2760" s="283" t="n"/>
      <c r="BE2760" s="283" t="n"/>
      <c r="BF2760" s="283" t="n"/>
      <c r="BG2760" s="283" t="n"/>
      <c r="BH2760" s="283" t="n"/>
    </row>
  </sheetData>
  <mergeCells count="529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F305:F306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G305:G306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F6:F7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94:E394"/>
    <mergeCell ref="D323:E323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B2760:H2760"/>
    <mergeCell ref="D57:E57"/>
    <mergeCell ref="D355:E355"/>
    <mergeCell ref="D293:E293"/>
    <mergeCell ref="D32:E32"/>
    <mergeCell ref="D97:E97"/>
    <mergeCell ref="D268:E268"/>
    <mergeCell ref="H305:H306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16" t="n"/>
      <c r="B1" s="316" t="n"/>
      <c r="C1" s="316" t="n"/>
      <c r="D1" s="316" t="n"/>
      <c r="E1" s="317" t="n"/>
    </row>
    <row r="2" ht="37.25" customHeight="1">
      <c r="A2" s="316" t="n"/>
      <c r="B2" s="316" t="n"/>
      <c r="C2" s="316" t="n"/>
      <c r="D2" s="316" t="n"/>
      <c r="E2" s="317" t="n"/>
    </row>
    <row r="3" ht="33.6" customHeight="1">
      <c r="A3" s="316" t="n"/>
      <c r="B3" s="318" t="inlineStr">
        <is>
          <t>PT. EXSPAN WIRELINE INDONESIA</t>
        </is>
      </c>
      <c r="F3" s="319" t="n"/>
      <c r="G3" s="320" t="inlineStr">
        <is>
          <t>PT. EXSPAN WIRELINE INDONESIA</t>
        </is>
      </c>
      <c r="H3" s="320" t="n"/>
      <c r="I3" s="320" t="n"/>
      <c r="J3" s="320" t="n"/>
    </row>
    <row r="4" ht="20.45" customHeight="1">
      <c r="A4" s="316" t="n"/>
      <c r="B4" s="321" t="inlineStr">
        <is>
          <t>LABA RUGI | TAHUN 2024</t>
        </is>
      </c>
      <c r="F4" s="319" t="n"/>
      <c r="G4" s="322" t="inlineStr">
        <is>
          <t>NERACA |TAHUN YANG BERAKHIR, 31 DESEMBER 2024</t>
        </is>
      </c>
      <c r="H4" s="322" t="n"/>
      <c r="I4" s="322" t="n"/>
      <c r="J4" s="322" t="n"/>
    </row>
    <row r="5" ht="6" customHeight="1">
      <c r="A5" s="316" t="n"/>
      <c r="B5" s="316" t="n"/>
      <c r="C5" s="316" t="n"/>
      <c r="D5" s="316" t="n"/>
      <c r="E5" s="317" t="n"/>
      <c r="F5" s="319" t="n"/>
      <c r="G5" s="319" t="n"/>
      <c r="H5" s="323" t="n"/>
      <c r="I5" s="323" t="n"/>
      <c r="J5" s="323" t="n"/>
    </row>
    <row r="6" ht="15.4" customHeight="1">
      <c r="A6" s="316" t="n"/>
      <c r="B6" s="324" t="n"/>
      <c r="C6" s="325" t="n"/>
      <c r="D6" s="326" t="inlineStr">
        <is>
          <t>PT. Exspan Wireline Indonesia</t>
        </is>
      </c>
      <c r="E6" s="221" t="n"/>
      <c r="F6" s="319" t="n"/>
      <c r="G6" s="327" t="n"/>
      <c r="H6" s="328" t="n"/>
      <c r="I6" s="326" t="inlineStr">
        <is>
          <t>PT. Exspan Wireline Indonesia</t>
        </is>
      </c>
      <c r="J6" s="221" t="n"/>
    </row>
    <row r="7" ht="15.4" customHeight="1">
      <c r="A7" s="316" t="n"/>
      <c r="B7" s="329" t="n"/>
      <c r="C7" s="330" t="n"/>
      <c r="D7" s="331" t="inlineStr">
        <is>
          <t>(Rp)</t>
        </is>
      </c>
      <c r="E7" s="226" t="n"/>
      <c r="F7" s="319" t="n"/>
      <c r="G7" s="332" t="n"/>
      <c r="H7" s="333" t="n"/>
      <c r="I7" s="331" t="inlineStr">
        <is>
          <t>(Rp)</t>
        </is>
      </c>
      <c r="J7" s="226" t="n"/>
    </row>
    <row r="8" ht="15" customHeight="1">
      <c r="A8" s="287" t="n"/>
      <c r="B8" s="334" t="inlineStr">
        <is>
          <t>PENDAPATAN</t>
        </is>
      </c>
      <c r="C8" s="335" t="n"/>
      <c r="D8" s="336" t="n"/>
      <c r="E8" s="337" t="n"/>
      <c r="F8" s="319" t="n"/>
      <c r="G8" s="338" t="inlineStr">
        <is>
          <t>AKTIVA</t>
        </is>
      </c>
      <c r="H8" s="339" t="inlineStr">
        <is>
          <t>AKTIVA</t>
        </is>
      </c>
      <c r="I8" s="340" t="n"/>
      <c r="J8" s="337" t="n"/>
    </row>
    <row r="9" ht="15" customHeight="1">
      <c r="A9" s="287" t="n"/>
      <c r="B9" s="341" t="n"/>
      <c r="C9" s="342" t="inlineStr">
        <is>
          <t>PENDAPATAN LANGSUNG</t>
        </is>
      </c>
      <c r="D9" s="343" t="inlineStr">
        <is>
          <t>Rp</t>
        </is>
      </c>
      <c r="E9" s="344">
        <f>SUM('Revenue-Cost_2024'!F8:F280)</f>
        <v/>
      </c>
      <c r="F9" s="319" t="n"/>
      <c r="G9" s="345" t="inlineStr">
        <is>
          <t>AKTIVA LANCAR</t>
        </is>
      </c>
      <c r="H9" s="346" t="inlineStr">
        <is>
          <t>AKTIVA LANCAR</t>
        </is>
      </c>
      <c r="I9" s="347" t="n"/>
      <c r="J9" s="344" t="n"/>
    </row>
    <row r="10" ht="15" customHeight="1">
      <c r="A10" s="287" t="n"/>
      <c r="B10" s="341" t="n"/>
      <c r="C10" s="342" t="inlineStr">
        <is>
          <t>PENDAPATAN LAIN LAIN</t>
        </is>
      </c>
      <c r="D10" s="343" t="inlineStr">
        <is>
          <t>Rp</t>
        </is>
      </c>
      <c r="E10" s="344">
        <f>SUM('Revenue-Cost_2024'!F281:F301)</f>
        <v/>
      </c>
      <c r="F10" s="319" t="n"/>
      <c r="G10" s="345" t="n"/>
      <c r="H10" s="346" t="inlineStr">
        <is>
          <t xml:space="preserve">  KAS DAN SETARA KAS TAHUN SEBELUMNYA</t>
        </is>
      </c>
      <c r="I10" s="343" t="inlineStr">
        <is>
          <t>Rp</t>
        </is>
      </c>
      <c r="J10" s="344" t="n">
        <v>161401093</v>
      </c>
    </row>
    <row r="11" ht="15" customHeight="1">
      <c r="A11" s="287" t="n"/>
      <c r="B11" s="341" t="n"/>
      <c r="C11" s="342" t="n"/>
      <c r="D11" s="343" t="n"/>
      <c r="E11" s="344" t="n"/>
      <c r="F11" s="319" t="n"/>
      <c r="G11" s="345" t="n"/>
      <c r="H11" s="346" t="inlineStr">
        <is>
          <t xml:space="preserve">  KAS DAN SETARA KAS TAHUN LAPORAN</t>
        </is>
      </c>
      <c r="I11" s="343" t="inlineStr">
        <is>
          <t>Rp</t>
        </is>
      </c>
      <c r="J11" s="344">
        <f>ROUND(E41-'Business Summary'!E13, 0)</f>
        <v/>
      </c>
    </row>
    <row r="12" ht="15" customHeight="1">
      <c r="A12" s="287" t="n"/>
      <c r="B12" s="348" t="inlineStr">
        <is>
          <t>TOTAL PENDAPATAN</t>
        </is>
      </c>
      <c r="C12" s="349" t="n"/>
      <c r="D12" s="350" t="inlineStr">
        <is>
          <t>Rp</t>
        </is>
      </c>
      <c r="E12" s="351">
        <f>SUM(E9:E11)</f>
        <v/>
      </c>
      <c r="F12" s="319" t="n"/>
      <c r="G12" s="345" t="n"/>
      <c r="H12" s="346" t="inlineStr">
        <is>
          <t xml:space="preserve">  PIUTANG USAHA</t>
        </is>
      </c>
      <c r="I12" s="343" t="inlineStr">
        <is>
          <t>Rp</t>
        </is>
      </c>
      <c r="J12" s="344" t="n">
        <v>0</v>
      </c>
    </row>
    <row r="13" ht="15" customHeight="1">
      <c r="A13" s="287" t="n"/>
      <c r="B13" s="341" t="n"/>
      <c r="C13" s="342" t="n"/>
      <c r="D13" s="343" t="n"/>
      <c r="E13" s="344" t="n"/>
      <c r="F13" s="319" t="n"/>
      <c r="G13" s="345" t="n"/>
      <c r="H13" s="346" t="inlineStr">
        <is>
          <t xml:space="preserve">  PAJAK BAYAR DI MUKA (pph23)</t>
        </is>
      </c>
      <c r="I13" s="343" t="inlineStr">
        <is>
          <t>Rp</t>
        </is>
      </c>
      <c r="J13" s="344" t="n">
        <v>0</v>
      </c>
    </row>
    <row r="14" ht="15" customHeight="1">
      <c r="A14" s="287" t="n"/>
      <c r="B14" s="334" t="inlineStr">
        <is>
          <t>BEBAN LANGSUNG</t>
        </is>
      </c>
      <c r="C14" s="335" t="n"/>
      <c r="D14" s="336" t="n"/>
      <c r="E14" s="337" t="n"/>
      <c r="F14" s="319" t="n"/>
      <c r="G14" s="345" t="n"/>
      <c r="H14" s="346" t="inlineStr">
        <is>
          <t xml:space="preserve">  BIAYA BAYAR DI MUKA</t>
        </is>
      </c>
      <c r="I14" s="343" t="inlineStr">
        <is>
          <t>Rp</t>
        </is>
      </c>
      <c r="J14" s="344" t="n">
        <v>0</v>
      </c>
    </row>
    <row r="15" ht="15" customHeight="1">
      <c r="A15" s="287" t="n"/>
      <c r="B15" s="341" t="n"/>
      <c r="C15" s="342" t="inlineStr">
        <is>
          <t>BIAYA SEWA PERALATAN</t>
        </is>
      </c>
      <c r="D15" s="343" t="inlineStr">
        <is>
          <t>Rp</t>
        </is>
      </c>
      <c r="E15" s="344">
        <f>'Revenue-Cost_2024'!I2760</f>
        <v/>
      </c>
      <c r="F15" s="319" t="n"/>
      <c r="G15" s="352" t="n"/>
      <c r="H15" s="346" t="inlineStr">
        <is>
          <t xml:space="preserve">  PIUTANG LAIN LAIN</t>
        </is>
      </c>
      <c r="I15" s="343" t="inlineStr">
        <is>
          <t>Rp</t>
        </is>
      </c>
      <c r="J15" s="344" t="n">
        <v>0</v>
      </c>
    </row>
    <row r="16" ht="15" customHeight="1">
      <c r="A16" s="287" t="n"/>
      <c r="B16" s="341" t="n"/>
      <c r="C16" s="342" t="inlineStr">
        <is>
          <t>BIAYA RESEARCH (R&amp;D)</t>
        </is>
      </c>
      <c r="D16" s="343" t="inlineStr">
        <is>
          <t>Rp</t>
        </is>
      </c>
      <c r="E16" s="344">
        <f>'Revenue-Cost_2024'!J2760</f>
        <v/>
      </c>
      <c r="F16" s="319" t="n"/>
      <c r="G16" s="353" t="n"/>
      <c r="H16" s="354" t="inlineStr">
        <is>
          <t>TOTAL AKTIVA LANCAR</t>
        </is>
      </c>
      <c r="I16" s="350" t="inlineStr">
        <is>
          <t>Rp</t>
        </is>
      </c>
      <c r="J16" s="351">
        <f>SUM(J10:J15)</f>
        <v/>
      </c>
    </row>
    <row r="17" ht="15" customHeight="1">
      <c r="A17" s="287" t="n"/>
      <c r="B17" s="341" t="n"/>
      <c r="C17" s="342" t="inlineStr">
        <is>
          <t>BIAYA INTERPRETASI LOG DATA</t>
        </is>
      </c>
      <c r="D17" s="343" t="inlineStr">
        <is>
          <t>Rp</t>
        </is>
      </c>
      <c r="E17" s="344">
        <f>'Revenue-Cost_2024'!K2760</f>
        <v/>
      </c>
      <c r="F17" s="319" t="n"/>
      <c r="G17" s="338" t="n"/>
      <c r="H17" s="339" t="inlineStr">
        <is>
          <t>ACTIVA TETAP</t>
        </is>
      </c>
      <c r="I17" s="340" t="n"/>
      <c r="J17" s="337" t="n"/>
    </row>
    <row r="18" ht="15" customHeight="1">
      <c r="A18" s="287" t="n"/>
      <c r="B18" s="341" t="n"/>
      <c r="C18" s="342" t="inlineStr">
        <is>
          <t>BIAYA OPERASI</t>
        </is>
      </c>
      <c r="D18" s="343" t="inlineStr">
        <is>
          <t>Rp</t>
        </is>
      </c>
      <c r="E18" s="344">
        <f>'Revenue-Cost_2024'!L2760</f>
        <v/>
      </c>
      <c r="F18" s="319" t="n"/>
      <c r="G18" s="345" t="inlineStr">
        <is>
          <t>ACTIVA TETAP</t>
        </is>
      </c>
      <c r="H18" s="346" t="n"/>
      <c r="I18" s="347" t="n"/>
      <c r="J18" s="344" t="n"/>
    </row>
    <row r="19" ht="15" customHeight="1">
      <c r="A19" s="287" t="n"/>
      <c r="B19" s="348" t="inlineStr">
        <is>
          <t>TOTAL BIAYA LANGSUNG</t>
        </is>
      </c>
      <c r="C19" s="349" t="n"/>
      <c r="D19" s="350" t="inlineStr">
        <is>
          <t>Rp</t>
        </is>
      </c>
      <c r="E19" s="351">
        <f>SUM(E15:E18)</f>
        <v/>
      </c>
      <c r="F19" s="319" t="n"/>
      <c r="G19" s="345" t="n"/>
      <c r="H19" s="346" t="n"/>
      <c r="I19" s="347" t="n"/>
      <c r="J19" s="344" t="n"/>
    </row>
    <row r="20" ht="15" customHeight="1">
      <c r="A20" s="287" t="n"/>
      <c r="B20" s="341" t="n"/>
      <c r="C20" s="342" t="n"/>
      <c r="D20" s="343" t="n"/>
      <c r="E20" s="344" t="n"/>
      <c r="F20" s="319" t="n"/>
      <c r="G20" s="345" t="n"/>
      <c r="H20" s="346" t="inlineStr">
        <is>
          <t xml:space="preserve">  INVENTARIS KANTOR</t>
        </is>
      </c>
      <c r="I20" s="343" t="inlineStr">
        <is>
          <t>Rp</t>
        </is>
      </c>
      <c r="J20" s="344" t="n">
        <v>0</v>
      </c>
    </row>
    <row r="21" ht="15" customHeight="1">
      <c r="A21" s="287" t="n"/>
      <c r="B21" s="334" t="inlineStr">
        <is>
          <t>BEBAN TIDAK LANGSUNG</t>
        </is>
      </c>
      <c r="C21" s="335" t="n"/>
      <c r="D21" s="336" t="n"/>
      <c r="E21" s="337" t="n"/>
      <c r="F21" s="319" t="n"/>
      <c r="G21" s="345" t="n"/>
      <c r="H21" s="346" t="n"/>
      <c r="I21" s="347" t="n"/>
      <c r="J21" s="344" t="n"/>
    </row>
    <row r="22" ht="15" customHeight="1">
      <c r="A22" s="287" t="n"/>
      <c r="B22" s="341" t="n"/>
      <c r="C22" s="342" t="inlineStr">
        <is>
          <t>BISNIS DEV</t>
        </is>
      </c>
      <c r="D22" s="343" t="inlineStr">
        <is>
          <t>Rp</t>
        </is>
      </c>
      <c r="E22" s="344">
        <f>'Revenue-Cost_2024'!Q2760</f>
        <v/>
      </c>
      <c r="F22" s="319" t="n"/>
      <c r="G22" s="353" t="n"/>
      <c r="H22" s="354" t="inlineStr">
        <is>
          <t>TOTAL AKTIVA TETAP</t>
        </is>
      </c>
      <c r="I22" s="350" t="inlineStr">
        <is>
          <t>Rp</t>
        </is>
      </c>
      <c r="J22" s="351">
        <f>J20</f>
        <v/>
      </c>
    </row>
    <row r="23" ht="15" customHeight="1">
      <c r="A23" s="287" t="n"/>
      <c r="B23" s="348" t="inlineStr">
        <is>
          <t>TOTAL BIAYA TIDAK LANGSUNG</t>
        </is>
      </c>
      <c r="C23" s="349" t="n"/>
      <c r="D23" s="350" t="inlineStr">
        <is>
          <t>Rp</t>
        </is>
      </c>
      <c r="E23" s="351">
        <f>SUM(E22:E22)</f>
        <v/>
      </c>
      <c r="F23" s="319" t="n"/>
      <c r="G23" s="345" t="n"/>
      <c r="H23" s="346" t="n"/>
      <c r="I23" s="347" t="n"/>
      <c r="J23" s="344" t="n"/>
    </row>
    <row r="24" ht="15" customHeight="1">
      <c r="A24" s="287" t="n"/>
      <c r="B24" s="341" t="n"/>
      <c r="C24" s="342" t="n"/>
      <c r="D24" s="343" t="n"/>
      <c r="E24" s="344" t="n"/>
      <c r="F24" s="319" t="n"/>
      <c r="G24" s="338" t="inlineStr">
        <is>
          <t>ACTIVA LAIN LAIN</t>
        </is>
      </c>
      <c r="H24" s="339" t="inlineStr">
        <is>
          <t>ACTIVA LAIN LAIN</t>
        </is>
      </c>
      <c r="I24" s="340" t="n"/>
      <c r="J24" s="337" t="n">
        <v>0</v>
      </c>
    </row>
    <row r="25" ht="15" customHeight="1">
      <c r="A25" s="287" t="n"/>
      <c r="B25" s="334" t="inlineStr">
        <is>
          <t>BIAYA ADMINISTRASI DAN UMUM</t>
        </is>
      </c>
      <c r="C25" s="335" t="n"/>
      <c r="D25" s="336" t="n"/>
      <c r="E25" s="337" t="n"/>
      <c r="F25" s="319" t="n"/>
      <c r="G25" s="353" t="n"/>
      <c r="H25" s="354" t="inlineStr">
        <is>
          <t xml:space="preserve">  TOTAL AKTIVA LAIN LAIN</t>
        </is>
      </c>
      <c r="I25" s="355" t="inlineStr">
        <is>
          <t>Rp</t>
        </is>
      </c>
      <c r="J25" s="351" t="n">
        <v>0</v>
      </c>
    </row>
    <row r="26" ht="15" customHeight="1">
      <c r="A26" s="287" t="n"/>
      <c r="B26" s="341" t="n"/>
      <c r="C26" s="342" t="inlineStr">
        <is>
          <t>ADMINISTRASI</t>
        </is>
      </c>
      <c r="D26" s="343" t="inlineStr">
        <is>
          <t>Rp</t>
        </is>
      </c>
      <c r="E26" s="344">
        <f>'Revenue-Cost_2024'!M2760</f>
        <v/>
      </c>
      <c r="F26" s="319" t="n"/>
      <c r="G26" s="345" t="n"/>
      <c r="H26" s="346" t="inlineStr">
        <is>
          <t>TOTAL AKTIVA LAIN LAIN</t>
        </is>
      </c>
      <c r="I26" s="343" t="inlineStr">
        <is>
          <t>Rp</t>
        </is>
      </c>
      <c r="J26" s="344">
        <f>SUM(J25:J25)</f>
        <v/>
      </c>
    </row>
    <row r="27" ht="15" customHeight="1">
      <c r="A27" s="287" t="n"/>
      <c r="B27" s="341" t="n"/>
      <c r="C27" s="342" t="inlineStr">
        <is>
          <t>PEMBELIAN BARANG</t>
        </is>
      </c>
      <c r="D27" s="343" t="inlineStr">
        <is>
          <t>Rp</t>
        </is>
      </c>
      <c r="E27" s="344">
        <f>'Revenue-Cost_2024'!N2760</f>
        <v/>
      </c>
      <c r="F27" s="319" t="n"/>
      <c r="G27" s="345" t="n"/>
      <c r="H27" s="346" t="n"/>
      <c r="I27" s="347" t="n"/>
      <c r="J27" s="344" t="n"/>
    </row>
    <row r="28" ht="15" customHeight="1">
      <c r="A28" s="287" t="n"/>
      <c r="B28" s="341" t="n"/>
      <c r="C28" s="342" t="inlineStr">
        <is>
          <t>SEWA KANTOR</t>
        </is>
      </c>
      <c r="D28" s="343" t="inlineStr">
        <is>
          <t>Rp</t>
        </is>
      </c>
      <c r="E28" s="344">
        <f>'Revenue-Cost_2024'!O2760</f>
        <v/>
      </c>
      <c r="F28" s="319" t="n"/>
      <c r="G28" s="356" t="inlineStr">
        <is>
          <t>TOTAL AKTIVA</t>
        </is>
      </c>
      <c r="H28" s="349" t="inlineStr">
        <is>
          <t>TOTAL AKTIVA</t>
        </is>
      </c>
      <c r="I28" s="350" t="inlineStr">
        <is>
          <t>Rp</t>
        </is>
      </c>
      <c r="J28" s="351">
        <f>J26+J22+J16</f>
        <v/>
      </c>
    </row>
    <row r="29" ht="15" customHeight="1">
      <c r="A29" s="287" t="n"/>
      <c r="B29" s="341" t="n"/>
      <c r="C29" s="342" t="inlineStr">
        <is>
          <t>KESEHATAN</t>
        </is>
      </c>
      <c r="D29" s="343" t="inlineStr">
        <is>
          <t>Rp</t>
        </is>
      </c>
      <c r="E29" s="344">
        <f>'Revenue-Cost_2024'!P2760</f>
        <v/>
      </c>
      <c r="F29" s="319" t="n"/>
      <c r="G29" s="345" t="n"/>
      <c r="H29" s="346" t="n"/>
      <c r="I29" s="347" t="n"/>
      <c r="J29" s="344" t="n"/>
    </row>
    <row r="30" ht="15" customHeight="1">
      <c r="A30" s="287" t="n"/>
      <c r="B30" s="348" t="inlineStr">
        <is>
          <t>TOTAL BIAYA ADMINISTRASI DAN UMUM</t>
        </is>
      </c>
      <c r="C30" s="349" t="n"/>
      <c r="D30" s="350" t="inlineStr">
        <is>
          <t>Rp</t>
        </is>
      </c>
      <c r="E30" s="351">
        <f>SUM(E26:E29)</f>
        <v/>
      </c>
      <c r="F30" s="319" t="n"/>
      <c r="G30" s="338" t="inlineStr">
        <is>
          <t>HUTANG DAN MODAL</t>
        </is>
      </c>
      <c r="H30" s="339" t="inlineStr">
        <is>
          <t>HUTANG DAN MODAL</t>
        </is>
      </c>
      <c r="I30" s="340" t="n"/>
      <c r="J30" s="337" t="n"/>
    </row>
    <row r="31" ht="15" customHeight="1">
      <c r="A31" s="287" t="n"/>
      <c r="B31" s="341" t="n"/>
      <c r="C31" s="342" t="n"/>
      <c r="D31" s="343" t="n"/>
      <c r="E31" s="344" t="n"/>
      <c r="F31" s="319" t="n"/>
      <c r="G31" s="345" t="n"/>
      <c r="H31" s="346" t="n"/>
      <c r="I31" s="347" t="n"/>
      <c r="J31" s="344" t="n"/>
    </row>
    <row r="32" ht="15" customHeight="1">
      <c r="A32" s="287" t="n"/>
      <c r="B32" s="348" t="inlineStr">
        <is>
          <t>TOTAL BIAYA</t>
        </is>
      </c>
      <c r="C32" s="349" t="n"/>
      <c r="D32" s="350" t="inlineStr">
        <is>
          <t>Rp</t>
        </is>
      </c>
      <c r="E32" s="351">
        <f>E19+E23+E30</f>
        <v/>
      </c>
      <c r="F32" s="319" t="n"/>
      <c r="G32" s="338" t="inlineStr">
        <is>
          <t>HUTANG LANCAR</t>
        </is>
      </c>
      <c r="H32" s="339" t="inlineStr">
        <is>
          <t>HUTANG LANCAR</t>
        </is>
      </c>
      <c r="I32" s="340" t="n"/>
      <c r="J32" s="337" t="n"/>
    </row>
    <row r="33" ht="15" customHeight="1">
      <c r="A33" s="287" t="n"/>
      <c r="B33" s="341" t="n"/>
      <c r="C33" s="342" t="n"/>
      <c r="D33" s="343" t="n"/>
      <c r="E33" s="344" t="n"/>
      <c r="F33" s="319" t="n"/>
      <c r="G33" s="345" t="n"/>
      <c r="H33" s="346" t="inlineStr">
        <is>
          <t xml:space="preserve">  HUTANG USAHA</t>
        </is>
      </c>
      <c r="I33" s="343" t="inlineStr">
        <is>
          <t>Rp</t>
        </is>
      </c>
      <c r="J33" s="344" t="n">
        <v>0</v>
      </c>
    </row>
    <row r="34" ht="15" customHeight="1">
      <c r="A34" s="287" t="n"/>
      <c r="B34" s="334" t="inlineStr">
        <is>
          <t>PENDAPATAN/BEBAN LAIN LAIN</t>
        </is>
      </c>
      <c r="C34" s="335" t="n"/>
      <c r="D34" s="336" t="n"/>
      <c r="E34" s="337" t="n"/>
      <c r="F34" s="319" t="n"/>
      <c r="G34" s="345" t="n"/>
      <c r="H34" s="342" t="inlineStr">
        <is>
          <t xml:space="preserve">  HUTANG GAJI</t>
        </is>
      </c>
      <c r="I34" s="343" t="inlineStr">
        <is>
          <t>Rp</t>
        </is>
      </c>
      <c r="J34" s="344" t="n">
        <v>0</v>
      </c>
    </row>
    <row r="35" ht="15" customHeight="1">
      <c r="A35" s="287" t="n"/>
      <c r="B35" s="341" t="n"/>
      <c r="C35" s="342" t="inlineStr">
        <is>
          <t>PENDAPATAN LAIN LAIN</t>
        </is>
      </c>
      <c r="D35" s="343" t="inlineStr">
        <is>
          <t>Rp</t>
        </is>
      </c>
      <c r="E35" s="344" t="n">
        <v>0</v>
      </c>
      <c r="F35" s="319" t="n"/>
      <c r="G35" s="345" t="n"/>
      <c r="H35" s="346" t="inlineStr">
        <is>
          <t xml:space="preserve">  HUTANG PEMEGANG SAHAM</t>
        </is>
      </c>
      <c r="I35" s="343" t="inlineStr">
        <is>
          <t>Rp</t>
        </is>
      </c>
      <c r="J35" s="344" t="n">
        <v>0</v>
      </c>
    </row>
    <row r="36" ht="15" customHeight="1">
      <c r="A36" s="287" t="n"/>
      <c r="B36" s="341" t="n"/>
      <c r="C36" s="342" t="n"/>
      <c r="D36" s="343" t="n"/>
      <c r="E36" s="344" t="n"/>
      <c r="F36" s="319" t="n"/>
      <c r="G36" s="345" t="n"/>
      <c r="H36" s="346" t="inlineStr">
        <is>
          <t xml:space="preserve">  BIAYA YANG MASIH HARUS DI BAYAR</t>
        </is>
      </c>
      <c r="I36" s="343" t="inlineStr">
        <is>
          <t>Rp</t>
        </is>
      </c>
      <c r="J36" s="344" t="n">
        <v>0</v>
      </c>
    </row>
    <row r="37" ht="15" customHeight="1">
      <c r="A37" s="287" t="n"/>
      <c r="B37" s="348" t="inlineStr">
        <is>
          <t>LABA RUGI SEBELUM PAJAK</t>
        </is>
      </c>
      <c r="C37" s="349" t="n"/>
      <c r="D37" s="350" t="inlineStr">
        <is>
          <t>Rp</t>
        </is>
      </c>
      <c r="E37" s="351">
        <f>E12-E32</f>
        <v/>
      </c>
      <c r="F37" s="319" t="n"/>
      <c r="G37" s="341" t="n"/>
      <c r="H37" s="342" t="n"/>
      <c r="I37" s="343" t="n"/>
      <c r="J37" s="344" t="n"/>
    </row>
    <row r="38" ht="15" customHeight="1">
      <c r="A38" s="287" t="n"/>
      <c r="B38" s="341" t="n"/>
      <c r="C38" s="342" t="n"/>
      <c r="D38" s="343" t="n"/>
      <c r="E38" s="344" t="n"/>
      <c r="F38" s="319" t="n"/>
      <c r="G38" s="353" t="n"/>
      <c r="H38" s="354" t="inlineStr">
        <is>
          <t>TOTAL HUTANG LANCAR</t>
        </is>
      </c>
      <c r="I38" s="355" t="inlineStr">
        <is>
          <t>Rp</t>
        </is>
      </c>
      <c r="J38" s="351">
        <f>SUM(J33:J36)</f>
        <v/>
      </c>
    </row>
    <row r="39" ht="15" customHeight="1">
      <c r="A39" s="287" t="n"/>
      <c r="B39" s="348" t="inlineStr">
        <is>
          <t>CORPORATE TAX (PPh 29)</t>
        </is>
      </c>
      <c r="C39" s="349" t="n"/>
      <c r="D39" s="350" t="inlineStr">
        <is>
          <t>Rp</t>
        </is>
      </c>
      <c r="E39" s="351" t="n">
        <v>0</v>
      </c>
      <c r="F39" s="319" t="n"/>
      <c r="G39" s="345" t="n"/>
      <c r="H39" s="346" t="n"/>
      <c r="I39" s="347" t="n"/>
      <c r="J39" s="344" t="n"/>
    </row>
    <row r="40" ht="15" customHeight="1">
      <c r="A40" s="287" t="n"/>
      <c r="B40" s="341" t="n"/>
      <c r="C40" s="342" t="n"/>
      <c r="D40" s="343" t="n"/>
      <c r="E40" s="344" t="n"/>
      <c r="F40" s="319" t="n"/>
      <c r="G40" s="338" t="inlineStr">
        <is>
          <t>MODAL</t>
        </is>
      </c>
      <c r="H40" s="339" t="inlineStr">
        <is>
          <t>MODAL</t>
        </is>
      </c>
      <c r="I40" s="340" t="n"/>
      <c r="J40" s="337" t="n"/>
    </row>
    <row r="41" ht="15" customHeight="1">
      <c r="A41" s="287" t="n"/>
      <c r="B41" s="357" t="inlineStr">
        <is>
          <t>LABA / RUGI BERSIH</t>
        </is>
      </c>
      <c r="C41" s="358" t="n"/>
      <c r="D41" s="359" t="inlineStr">
        <is>
          <t>Rp</t>
        </is>
      </c>
      <c r="E41" s="360">
        <f>E37-E39</f>
        <v/>
      </c>
      <c r="F41" s="319" t="n"/>
      <c r="G41" s="345" t="n"/>
      <c r="H41" s="346" t="inlineStr">
        <is>
          <t xml:space="preserve">  MODAL SAHAM</t>
        </is>
      </c>
      <c r="I41" s="343" t="inlineStr">
        <is>
          <t>Rp</t>
        </is>
      </c>
      <c r="J41" s="344" t="n">
        <v>0</v>
      </c>
    </row>
    <row r="42" ht="14.25" customHeight="1">
      <c r="A42" s="287" t="n"/>
      <c r="B42" s="287" t="n"/>
      <c r="C42" s="287" t="n"/>
      <c r="D42" s="287" t="n"/>
      <c r="E42" s="287" t="n"/>
      <c r="F42" s="287" t="n"/>
      <c r="G42" s="341" t="n"/>
      <c r="H42" s="342" t="inlineStr">
        <is>
          <t xml:space="preserve">  LABA DI TAHAN</t>
        </is>
      </c>
      <c r="I42" s="343" t="inlineStr">
        <is>
          <t>Rp</t>
        </is>
      </c>
      <c r="J42" s="344" t="n">
        <v>0</v>
      </c>
    </row>
    <row r="43" ht="14.25" customHeight="1">
      <c r="A43" s="287" t="n"/>
      <c r="B43" s="287" t="n"/>
      <c r="C43" s="287" t="n"/>
      <c r="D43" s="287" t="n"/>
      <c r="E43" s="287" t="n"/>
      <c r="F43" s="287" t="n"/>
      <c r="G43" s="341" t="n"/>
      <c r="H43" s="342" t="inlineStr">
        <is>
          <t xml:space="preserve">  TOTAL LABA (RUGI) DITAHAN</t>
        </is>
      </c>
      <c r="I43" s="343" t="inlineStr">
        <is>
          <t>Rp</t>
        </is>
      </c>
      <c r="J43" s="344">
        <f>J28-J38-J41-J42</f>
        <v/>
      </c>
    </row>
    <row r="44" ht="14.25" customHeight="1">
      <c r="A44" s="287" t="n"/>
      <c r="B44" s="287" t="n"/>
      <c r="C44" s="287" t="n"/>
      <c r="D44" s="287" t="n"/>
      <c r="E44" s="287" t="n"/>
      <c r="F44" s="287" t="n"/>
      <c r="G44" s="348" t="n"/>
      <c r="H44" s="349" t="inlineStr">
        <is>
          <t>TOTAL MODAL</t>
        </is>
      </c>
      <c r="I44" s="350" t="inlineStr">
        <is>
          <t>Rp</t>
        </is>
      </c>
      <c r="J44" s="351">
        <f>SUM(J41:J43)</f>
        <v/>
      </c>
    </row>
    <row r="45" ht="14.25" customHeight="1">
      <c r="A45" s="287" t="n"/>
      <c r="B45" s="287" t="n"/>
      <c r="C45" s="287" t="n"/>
      <c r="D45" s="287" t="n"/>
      <c r="E45" s="287" t="n"/>
      <c r="F45" s="287" t="n"/>
      <c r="G45" s="341" t="n"/>
      <c r="H45" s="342" t="n"/>
      <c r="I45" s="343" t="n"/>
      <c r="J45" s="344" t="n"/>
    </row>
    <row r="46" ht="14.65" customHeight="1">
      <c r="A46" s="287" t="n"/>
      <c r="B46" s="287" t="n"/>
      <c r="C46" s="287" t="n"/>
      <c r="D46" s="287" t="n"/>
      <c r="E46" s="287" t="n"/>
      <c r="F46" s="287" t="n"/>
      <c r="G46" s="357" t="n"/>
      <c r="H46" s="358" t="inlineStr">
        <is>
          <t>TOTAL HUTANG DAN MODAL</t>
        </is>
      </c>
      <c r="I46" s="359" t="inlineStr">
        <is>
          <t>Rp</t>
        </is>
      </c>
      <c r="J46" s="360">
        <f>J44+J38</f>
        <v/>
      </c>
    </row>
    <row r="47" ht="4.5" customHeight="1">
      <c r="A47" s="287" t="n"/>
      <c r="B47" s="287" t="n"/>
      <c r="C47" s="287" t="n"/>
      <c r="D47" s="287" t="n"/>
      <c r="E47" s="287" t="n"/>
      <c r="F47" s="287" t="n"/>
      <c r="G47" s="287" t="n"/>
      <c r="H47" s="287" t="n"/>
      <c r="I47" s="287" t="n"/>
      <c r="J47" s="287" t="n"/>
    </row>
    <row r="48" ht="50.65" customHeight="1">
      <c r="A48" s="287" t="n"/>
      <c r="B48" s="287" t="n"/>
      <c r="C48" s="287" t="n"/>
      <c r="D48" s="287" t="n"/>
      <c r="E48" s="287" t="n"/>
      <c r="F48" s="287" t="n"/>
      <c r="G48" s="287" t="n"/>
      <c r="H48" s="287" t="n"/>
      <c r="I48" s="287" t="n"/>
      <c r="J48" s="287" t="n"/>
    </row>
    <row r="49" ht="16.8" customHeight="1">
      <c r="A49" s="287" t="n"/>
      <c r="B49" s="361" t="inlineStr">
        <is>
          <t>Nama Lengkap</t>
        </is>
      </c>
      <c r="F49" s="287" t="n"/>
      <c r="G49" s="361" t="inlineStr">
        <is>
          <t>Nama Lengkap</t>
        </is>
      </c>
    </row>
    <row r="50" ht="15.6" customHeight="1">
      <c r="A50" s="287" t="n"/>
      <c r="B50" s="362" t="inlineStr">
        <is>
          <t>Direktur</t>
        </is>
      </c>
      <c r="F50" s="287" t="n"/>
      <c r="G50" s="362" t="inlineStr">
        <is>
          <t>Direktur</t>
        </is>
      </c>
    </row>
    <row r="51" ht="14.25" customHeight="1">
      <c r="A51" s="287" t="n"/>
      <c r="B51" s="287" t="n"/>
      <c r="C51" s="287" t="n"/>
      <c r="D51" s="287" t="n"/>
      <c r="E51" s="287" t="n"/>
      <c r="F51" s="287" t="n"/>
      <c r="G51" s="287" t="n"/>
      <c r="H51" s="287" t="n"/>
    </row>
    <row r="52" ht="14.25" customHeight="1">
      <c r="A52" s="287" t="n"/>
      <c r="B52" s="287" t="n"/>
      <c r="C52" s="287" t="n"/>
      <c r="D52" s="287" t="n"/>
      <c r="E52" s="287" t="n"/>
      <c r="F52" s="287" t="n"/>
      <c r="G52" s="287" t="n"/>
      <c r="H52" s="287" t="n"/>
      <c r="J52" s="363" t="n"/>
    </row>
    <row r="53">
      <c r="A53" s="287" t="n"/>
      <c r="B53" s="287" t="n"/>
      <c r="C53" s="287" t="n"/>
      <c r="D53" s="287" t="n"/>
      <c r="E53" s="287" t="n"/>
      <c r="F53" s="287" t="n"/>
      <c r="G53" s="287" t="n"/>
      <c r="H53" s="287" t="n"/>
    </row>
    <row r="54">
      <c r="A54" s="287" t="n"/>
      <c r="B54" s="287" t="n"/>
      <c r="C54" s="287" t="n"/>
      <c r="D54" s="287" t="n"/>
      <c r="E54" s="287" t="n"/>
      <c r="F54" s="287" t="n"/>
      <c r="G54" s="287" t="n"/>
      <c r="H54" s="287" t="n"/>
    </row>
    <row r="55">
      <c r="A55" s="287" t="n"/>
      <c r="B55" s="287" t="n"/>
      <c r="C55" s="287" t="n"/>
      <c r="D55" s="287" t="n"/>
      <c r="E55" s="287" t="n"/>
      <c r="F55" s="287" t="n"/>
      <c r="G55" s="287" t="n"/>
      <c r="H55" s="287" t="n"/>
    </row>
    <row r="56">
      <c r="A56" s="287" t="n"/>
      <c r="B56" s="287" t="n"/>
      <c r="C56" s="287" t="n"/>
      <c r="D56" s="287" t="n"/>
      <c r="E56" s="287" t="n"/>
      <c r="F56" s="287" t="n"/>
      <c r="G56" s="287" t="n"/>
      <c r="H56" s="287" t="n"/>
    </row>
    <row r="57">
      <c r="A57" s="287" t="n"/>
      <c r="B57" s="287" t="n"/>
      <c r="C57" s="287" t="n"/>
      <c r="D57" s="287" t="n"/>
      <c r="E57" s="287" t="n"/>
      <c r="F57" s="287" t="n"/>
      <c r="G57" s="287" t="n"/>
      <c r="H57" s="287" t="n"/>
    </row>
    <row r="58">
      <c r="A58" s="287" t="n"/>
      <c r="B58" s="287" t="n"/>
      <c r="C58" s="287" t="n"/>
      <c r="D58" s="287" t="n"/>
      <c r="E58" s="287" t="n"/>
      <c r="F58" s="287" t="n"/>
      <c r="G58" s="287" t="n"/>
      <c r="H58" s="287" t="n"/>
    </row>
    <row r="59">
      <c r="A59" s="287" t="n"/>
      <c r="B59" s="287" t="n"/>
      <c r="C59" s="287" t="n"/>
      <c r="D59" s="287" t="n"/>
      <c r="E59" s="287" t="n"/>
      <c r="F59" s="287" t="n"/>
      <c r="G59" s="287" t="n"/>
      <c r="H59" s="287" t="n"/>
    </row>
    <row r="60">
      <c r="A60" s="287" t="n"/>
      <c r="B60" s="287" t="n"/>
      <c r="C60" s="287" t="n"/>
      <c r="D60" s="287" t="n"/>
      <c r="E60" s="287" t="n"/>
      <c r="F60" s="287" t="n"/>
      <c r="G60" s="287" t="n"/>
      <c r="H60" s="287" t="n"/>
    </row>
    <row r="61">
      <c r="A61" s="287" t="n"/>
      <c r="B61" s="287" t="n"/>
      <c r="C61" s="287" t="n"/>
      <c r="D61" s="287" t="n"/>
      <c r="E61" s="287" t="n"/>
      <c r="F61" s="287" t="n"/>
      <c r="G61" s="287" t="n"/>
      <c r="H61" s="287" t="n"/>
    </row>
    <row r="62">
      <c r="A62" s="287" t="n"/>
      <c r="B62" s="287" t="n"/>
      <c r="C62" s="287" t="n"/>
      <c r="D62" s="287" t="n"/>
      <c r="E62" s="287" t="n"/>
      <c r="F62" s="287" t="n"/>
      <c r="G62" s="287" t="n"/>
      <c r="H62" s="287" t="n"/>
    </row>
    <row r="63">
      <c r="A63" s="287" t="n"/>
      <c r="B63" s="287" t="n"/>
      <c r="C63" s="287" t="n"/>
      <c r="D63" s="287" t="n"/>
      <c r="E63" s="287" t="n"/>
      <c r="F63" s="287" t="n"/>
      <c r="G63" s="287" t="n"/>
      <c r="H63" s="287" t="n"/>
    </row>
    <row r="64">
      <c r="A64" s="287" t="n"/>
      <c r="B64" s="287" t="n"/>
      <c r="C64" s="287" t="n"/>
      <c r="D64" s="287" t="n"/>
      <c r="E64" s="287" t="n"/>
      <c r="F64" s="287" t="n"/>
      <c r="G64" s="287" t="n"/>
      <c r="H64" s="287" t="n"/>
    </row>
    <row r="65">
      <c r="A65" s="287" t="n"/>
      <c r="B65" s="287" t="n"/>
      <c r="C65" s="287" t="n"/>
      <c r="D65" s="287" t="n"/>
      <c r="E65" s="287" t="n"/>
      <c r="F65" s="287" t="n"/>
      <c r="G65" s="287" t="n"/>
      <c r="H65" s="287" t="n"/>
    </row>
    <row r="66">
      <c r="A66" s="287" t="n"/>
      <c r="B66" s="287" t="n"/>
      <c r="C66" s="287" t="n"/>
      <c r="D66" s="287" t="n"/>
      <c r="E66" s="287" t="n"/>
      <c r="F66" s="287" t="n"/>
      <c r="G66" s="287" t="n"/>
      <c r="H66" s="287" t="n"/>
    </row>
    <row r="67">
      <c r="A67" s="287" t="n"/>
      <c r="B67" s="287" t="n"/>
      <c r="C67" s="287" t="n"/>
      <c r="D67" s="287" t="n"/>
      <c r="E67" s="287" t="n"/>
      <c r="F67" s="287" t="n"/>
      <c r="G67" s="287" t="n"/>
      <c r="H67" s="287" t="n"/>
    </row>
    <row r="68">
      <c r="A68" s="287" t="n"/>
      <c r="B68" s="287" t="n"/>
      <c r="C68" s="287" t="n"/>
      <c r="D68" s="287" t="n"/>
      <c r="E68" s="287" t="n"/>
      <c r="F68" s="287" t="n"/>
      <c r="G68" s="287" t="n"/>
      <c r="H68" s="287" t="n"/>
    </row>
    <row r="69">
      <c r="A69" s="287" t="n"/>
      <c r="B69" s="287" t="n"/>
      <c r="C69" s="287" t="n"/>
      <c r="D69" s="287" t="n"/>
      <c r="E69" s="287" t="n"/>
      <c r="F69" s="287" t="n"/>
      <c r="G69" s="287" t="n"/>
      <c r="H69" s="287" t="n"/>
    </row>
    <row r="70">
      <c r="A70" s="287" t="n"/>
      <c r="B70" s="287" t="n"/>
      <c r="C70" s="287" t="n"/>
      <c r="D70" s="287" t="n"/>
      <c r="E70" s="287" t="n"/>
      <c r="F70" s="287" t="n"/>
      <c r="G70" s="287" t="n"/>
      <c r="H70" s="287" t="n"/>
    </row>
    <row r="71">
      <c r="A71" s="287" t="n"/>
      <c r="B71" s="287" t="n"/>
      <c r="C71" s="287" t="n"/>
      <c r="D71" s="287" t="n"/>
      <c r="E71" s="287" t="n"/>
      <c r="F71" s="287" t="n"/>
      <c r="G71" s="287" t="n"/>
      <c r="H71" s="287" t="n"/>
    </row>
    <row r="72">
      <c r="A72" s="287" t="n"/>
      <c r="B72" s="287" t="n"/>
      <c r="C72" s="287" t="n"/>
      <c r="D72" s="287" t="n"/>
      <c r="E72" s="287" t="n"/>
      <c r="F72" s="287" t="n"/>
      <c r="G72" s="287" t="n"/>
      <c r="H72" s="287" t="n"/>
    </row>
    <row r="73">
      <c r="A73" s="287" t="n"/>
      <c r="B73" s="287" t="n"/>
      <c r="C73" s="287" t="n"/>
      <c r="D73" s="287" t="n"/>
      <c r="E73" s="287" t="n"/>
      <c r="F73" s="287" t="n"/>
      <c r="G73" s="287" t="n"/>
      <c r="H73" s="287" t="n"/>
    </row>
    <row r="74">
      <c r="A74" s="287" t="n"/>
      <c r="B74" s="287" t="n"/>
      <c r="C74" s="287" t="n"/>
      <c r="D74" s="287" t="n"/>
      <c r="E74" s="287" t="n"/>
      <c r="F74" s="287" t="n"/>
      <c r="G74" s="287" t="n"/>
      <c r="H74" s="287" t="n"/>
    </row>
    <row r="75">
      <c r="A75" s="287" t="n"/>
      <c r="B75" s="287" t="n"/>
      <c r="C75" s="287" t="n"/>
      <c r="D75" s="287" t="n"/>
      <c r="E75" s="287" t="n"/>
      <c r="F75" s="287" t="n"/>
      <c r="G75" s="287" t="n"/>
      <c r="H75" s="287" t="n"/>
    </row>
    <row r="76">
      <c r="A76" s="287" t="n"/>
      <c r="B76" s="287" t="n"/>
      <c r="C76" s="287" t="n"/>
      <c r="D76" s="287" t="n"/>
      <c r="E76" s="287" t="n"/>
      <c r="F76" s="287" t="n"/>
      <c r="G76" s="287" t="n"/>
      <c r="H76" s="287" t="n"/>
    </row>
    <row r="77">
      <c r="A77" s="287" t="n"/>
      <c r="B77" s="287" t="n"/>
      <c r="C77" s="287" t="n"/>
      <c r="D77" s="287" t="n"/>
      <c r="E77" s="287" t="n"/>
      <c r="F77" s="287" t="n"/>
      <c r="G77" s="287" t="n"/>
      <c r="H77" s="287" t="n"/>
    </row>
    <row r="78">
      <c r="A78" s="287" t="n"/>
      <c r="B78" s="287" t="n"/>
      <c r="C78" s="287" t="n"/>
      <c r="D78" s="287" t="n"/>
      <c r="E78" s="287" t="n"/>
      <c r="F78" s="287" t="n"/>
      <c r="G78" s="287" t="n"/>
      <c r="H78" s="287" t="n"/>
    </row>
    <row r="79">
      <c r="A79" s="287" t="n"/>
      <c r="B79" s="287" t="n"/>
      <c r="C79" s="287" t="n"/>
      <c r="D79" s="287" t="n"/>
      <c r="E79" s="287" t="n"/>
      <c r="F79" s="287" t="n"/>
      <c r="G79" s="287" t="n"/>
      <c r="H79" s="287" t="n"/>
    </row>
    <row r="80">
      <c r="A80" s="287" t="n"/>
      <c r="B80" s="287" t="n"/>
      <c r="C80" s="287" t="n"/>
      <c r="D80" s="287" t="n"/>
      <c r="E80" s="287" t="n"/>
      <c r="F80" s="287" t="n"/>
      <c r="G80" s="287" t="n"/>
      <c r="H80" s="287" t="n"/>
    </row>
    <row r="81">
      <c r="A81" s="287" t="n"/>
      <c r="B81" s="287" t="n"/>
      <c r="C81" s="287" t="n"/>
      <c r="D81" s="287" t="n"/>
      <c r="E81" s="287" t="n"/>
      <c r="F81" s="287" t="n"/>
      <c r="G81" s="287" t="n"/>
      <c r="H81" s="287" t="n"/>
    </row>
    <row r="82">
      <c r="A82" s="287" t="n"/>
      <c r="B82" s="287" t="n"/>
      <c r="C82" s="287" t="n"/>
      <c r="D82" s="287" t="n"/>
      <c r="E82" s="287" t="n"/>
      <c r="F82" s="287" t="n"/>
      <c r="G82" s="287" t="n"/>
      <c r="H82" s="287" t="n"/>
    </row>
    <row r="83">
      <c r="A83" s="287" t="n"/>
      <c r="B83" s="287" t="n"/>
      <c r="C83" s="287" t="n"/>
      <c r="D83" s="287" t="n"/>
      <c r="E83" s="287" t="n"/>
      <c r="F83" s="287" t="n"/>
      <c r="G83" s="287" t="n"/>
      <c r="H83" s="287" t="n"/>
    </row>
    <row r="84">
      <c r="A84" s="287" t="n"/>
      <c r="B84" s="287" t="n"/>
      <c r="C84" s="287" t="n"/>
      <c r="D84" s="287" t="n"/>
      <c r="E84" s="287" t="n"/>
      <c r="F84" s="287" t="n"/>
      <c r="G84" s="287" t="n"/>
      <c r="H84" s="287" t="n"/>
    </row>
    <row r="85">
      <c r="A85" s="287" t="n"/>
      <c r="B85" s="287" t="n"/>
      <c r="C85" s="287" t="n"/>
      <c r="D85" s="287" t="n"/>
      <c r="E85" s="287" t="n"/>
      <c r="F85" s="287" t="n"/>
      <c r="G85" s="287" t="n"/>
      <c r="H85" s="287" t="n"/>
    </row>
    <row r="86">
      <c r="A86" s="287" t="n"/>
      <c r="B86" s="287" t="n"/>
      <c r="C86" s="287" t="n"/>
      <c r="D86" s="287" t="n"/>
      <c r="E86" s="287" t="n"/>
      <c r="F86" s="287" t="n"/>
      <c r="G86" s="287" t="n"/>
      <c r="H86" s="287" t="n"/>
    </row>
    <row r="87">
      <c r="A87" s="287" t="n"/>
      <c r="B87" s="287" t="n"/>
      <c r="C87" s="287" t="n"/>
      <c r="D87" s="287" t="n"/>
      <c r="E87" s="287" t="n"/>
      <c r="F87" s="287" t="n"/>
      <c r="G87" s="287" t="n"/>
      <c r="H87" s="287" t="n"/>
    </row>
    <row r="88">
      <c r="A88" s="287" t="n"/>
      <c r="B88" s="287" t="n"/>
      <c r="C88" s="287" t="n"/>
      <c r="D88" s="287" t="n"/>
      <c r="E88" s="287" t="n"/>
      <c r="F88" s="287" t="n"/>
      <c r="G88" s="287" t="n"/>
      <c r="H88" s="287" t="n"/>
    </row>
    <row r="89">
      <c r="A89" s="287" t="n"/>
      <c r="B89" s="287" t="n"/>
      <c r="C89" s="287" t="n"/>
      <c r="D89" s="287" t="n"/>
      <c r="E89" s="287" t="n"/>
      <c r="F89" s="287" t="n"/>
      <c r="G89" s="287" t="n"/>
      <c r="H89" s="287" t="n"/>
    </row>
    <row r="90">
      <c r="A90" s="287" t="n"/>
      <c r="B90" s="287" t="n"/>
      <c r="C90" s="287" t="n"/>
      <c r="D90" s="287" t="n"/>
      <c r="E90" s="287" t="n"/>
      <c r="F90" s="287" t="n"/>
      <c r="G90" s="287" t="n"/>
      <c r="H90" s="287" t="n"/>
    </row>
    <row r="91">
      <c r="A91" s="287" t="n"/>
      <c r="B91" s="287" t="n"/>
      <c r="C91" s="287" t="n"/>
      <c r="D91" s="287" t="n"/>
      <c r="E91" s="287" t="n"/>
      <c r="F91" s="287" t="n"/>
      <c r="G91" s="287" t="n"/>
      <c r="H91" s="287" t="n"/>
    </row>
    <row r="92">
      <c r="A92" s="287" t="n"/>
      <c r="B92" s="287" t="n"/>
      <c r="C92" s="287" t="n"/>
      <c r="D92" s="287" t="n"/>
      <c r="E92" s="287" t="n"/>
      <c r="F92" s="287" t="n"/>
      <c r="G92" s="287" t="n"/>
      <c r="H92" s="287" t="n"/>
    </row>
    <row r="93">
      <c r="A93" s="287" t="n"/>
      <c r="B93" s="287" t="n"/>
      <c r="C93" s="287" t="n"/>
      <c r="D93" s="287" t="n"/>
      <c r="E93" s="287" t="n"/>
      <c r="F93" s="287" t="n"/>
      <c r="G93" s="287" t="n"/>
      <c r="H93" s="287" t="n"/>
    </row>
    <row r="94">
      <c r="A94" s="287" t="n"/>
      <c r="B94" s="287" t="n"/>
      <c r="C94" s="287" t="n"/>
      <c r="D94" s="287" t="n"/>
      <c r="E94" s="287" t="n"/>
      <c r="F94" s="287" t="n"/>
      <c r="G94" s="287" t="n"/>
      <c r="H94" s="287" t="n"/>
    </row>
    <row r="95">
      <c r="A95" s="287" t="n"/>
      <c r="B95" s="287" t="n"/>
      <c r="C95" s="287" t="n"/>
      <c r="D95" s="287" t="n"/>
      <c r="E95" s="287" t="n"/>
      <c r="F95" s="287" t="n"/>
      <c r="G95" s="287" t="n"/>
      <c r="H95" s="287" t="n"/>
    </row>
    <row r="96" ht="64.5" customHeight="1">
      <c r="A96" s="287" t="n"/>
      <c r="B96" s="287" t="n"/>
      <c r="C96" s="287" t="n"/>
      <c r="D96" s="287" t="n"/>
      <c r="E96" s="287" t="n"/>
      <c r="F96" s="287" t="n"/>
      <c r="G96" s="287" t="n"/>
      <c r="H96" s="287" t="n"/>
    </row>
    <row r="97">
      <c r="A97" s="287" t="n"/>
      <c r="B97" s="287" t="n"/>
      <c r="C97" s="287" t="n"/>
      <c r="D97" s="287" t="n"/>
      <c r="E97" s="287" t="n"/>
      <c r="F97" s="287" t="n"/>
      <c r="G97" s="287" t="n"/>
      <c r="H97" s="287" t="n"/>
    </row>
    <row r="98">
      <c r="A98" s="287" t="n"/>
      <c r="B98" s="287" t="n"/>
      <c r="C98" s="287" t="n"/>
      <c r="D98" s="287" t="n"/>
      <c r="E98" s="287" t="n"/>
      <c r="F98" s="287" t="n"/>
      <c r="G98" s="287" t="n"/>
      <c r="H98" s="287" t="n"/>
    </row>
    <row r="99">
      <c r="A99" s="287" t="n"/>
      <c r="B99" s="287" t="n"/>
      <c r="C99" s="287" t="n"/>
      <c r="D99" s="287" t="n"/>
      <c r="E99" s="287" t="n"/>
      <c r="F99" s="287" t="n"/>
      <c r="G99" s="287" t="n"/>
      <c r="H99" s="287" t="n"/>
    </row>
    <row r="100">
      <c r="A100" s="287" t="n"/>
      <c r="B100" s="287" t="n"/>
      <c r="C100" s="287" t="n"/>
      <c r="D100" s="287" t="n"/>
      <c r="E100" s="287" t="n"/>
      <c r="F100" s="287" t="n"/>
      <c r="G100" s="287" t="n"/>
      <c r="H100" s="287" t="n"/>
    </row>
    <row r="101">
      <c r="A101" s="287" t="n"/>
      <c r="B101" s="287" t="n"/>
      <c r="C101" s="287" t="n"/>
      <c r="D101" s="287" t="n"/>
      <c r="E101" s="287" t="n"/>
      <c r="F101" s="287" t="n"/>
      <c r="G101" s="287" t="n"/>
      <c r="H101" s="287" t="n"/>
    </row>
    <row r="102">
      <c r="A102" s="287" t="n"/>
      <c r="B102" s="287" t="n"/>
      <c r="C102" s="287" t="n"/>
      <c r="D102" s="287" t="n"/>
      <c r="E102" s="287" t="n"/>
      <c r="F102" s="287" t="n"/>
      <c r="G102" s="287" t="n"/>
      <c r="H102" s="287" t="n"/>
    </row>
    <row r="103">
      <c r="A103" s="287" t="n"/>
      <c r="B103" s="287" t="n"/>
      <c r="C103" s="287" t="n"/>
      <c r="D103" s="287" t="n"/>
      <c r="E103" s="287" t="n"/>
      <c r="F103" s="287" t="n"/>
      <c r="G103" s="287" t="n"/>
      <c r="H103" s="287" t="n"/>
    </row>
    <row r="104">
      <c r="A104" s="287" t="n"/>
      <c r="B104" s="287" t="n"/>
      <c r="C104" s="287" t="n"/>
      <c r="D104" s="287" t="n"/>
      <c r="E104" s="287" t="n"/>
      <c r="F104" s="287" t="n"/>
      <c r="G104" s="287" t="n"/>
      <c r="H104" s="287" t="n"/>
    </row>
    <row r="105">
      <c r="A105" s="287" t="n"/>
      <c r="B105" s="287" t="n"/>
      <c r="C105" s="287" t="n"/>
      <c r="D105" s="287" t="n"/>
      <c r="E105" s="287" t="n"/>
      <c r="F105" s="287" t="n"/>
      <c r="G105" s="287" t="n"/>
      <c r="H105" s="287" t="n"/>
    </row>
    <row r="106">
      <c r="A106" s="287" t="n"/>
      <c r="B106" s="287" t="n"/>
      <c r="C106" s="287" t="n"/>
      <c r="D106" s="287" t="n"/>
      <c r="E106" s="287" t="n"/>
      <c r="F106" s="287" t="n"/>
      <c r="G106" s="287" t="n"/>
      <c r="H106" s="287" t="n"/>
    </row>
    <row r="107">
      <c r="A107" s="287" t="n"/>
      <c r="B107" s="287" t="n"/>
      <c r="C107" s="287" t="n"/>
      <c r="D107" s="287" t="n"/>
      <c r="E107" s="287" t="n"/>
      <c r="F107" s="287" t="n"/>
      <c r="G107" s="287" t="n"/>
      <c r="H107" s="287" t="n"/>
    </row>
    <row r="108">
      <c r="A108" s="287" t="n"/>
      <c r="B108" s="287" t="n"/>
      <c r="C108" s="287" t="n"/>
      <c r="D108" s="287" t="n"/>
      <c r="E108" s="287" t="n"/>
      <c r="F108" s="287" t="n"/>
      <c r="G108" s="287" t="n"/>
      <c r="H108" s="287" t="n"/>
    </row>
    <row r="109">
      <c r="A109" s="287" t="n"/>
      <c r="B109" s="287" t="n"/>
      <c r="C109" s="287" t="n"/>
      <c r="D109" s="287" t="n"/>
      <c r="E109" s="287" t="n"/>
      <c r="F109" s="287" t="n"/>
      <c r="G109" s="287" t="n"/>
      <c r="H109" s="287" t="n"/>
    </row>
    <row r="110">
      <c r="A110" s="287" t="n"/>
      <c r="B110" s="287" t="n"/>
      <c r="C110" s="287" t="n"/>
      <c r="D110" s="287" t="n"/>
      <c r="E110" s="287" t="n"/>
      <c r="F110" s="287" t="n"/>
      <c r="G110" s="287" t="n"/>
      <c r="H110" s="287" t="n"/>
    </row>
    <row r="111">
      <c r="A111" s="287" t="n"/>
      <c r="B111" s="287" t="n"/>
      <c r="C111" s="287" t="n"/>
      <c r="D111" s="287" t="n"/>
      <c r="E111" s="287" t="n"/>
      <c r="F111" s="287" t="n"/>
      <c r="G111" s="287" t="n"/>
      <c r="H111" s="287" t="n"/>
    </row>
    <row r="112">
      <c r="A112" s="287" t="n"/>
      <c r="B112" s="287" t="n"/>
      <c r="C112" s="287" t="n"/>
      <c r="D112" s="287" t="n"/>
      <c r="E112" s="287" t="n"/>
      <c r="F112" s="287" t="n"/>
      <c r="G112" s="287" t="n"/>
      <c r="H112" s="287" t="n"/>
    </row>
    <row r="113">
      <c r="A113" s="287" t="n"/>
      <c r="B113" s="287" t="n"/>
      <c r="C113" s="287" t="n"/>
      <c r="D113" s="287" t="n"/>
      <c r="E113" s="287" t="n"/>
      <c r="F113" s="287" t="n"/>
      <c r="G113" s="287" t="n"/>
      <c r="H113" s="287" t="n"/>
    </row>
    <row r="114">
      <c r="A114" s="287" t="n"/>
      <c r="B114" s="287" t="n"/>
      <c r="C114" s="287" t="n"/>
      <c r="D114" s="287" t="n"/>
      <c r="E114" s="287" t="n"/>
      <c r="F114" s="287" t="n"/>
      <c r="G114" s="287" t="n"/>
      <c r="H114" s="287" t="n"/>
    </row>
    <row r="115">
      <c r="A115" s="287" t="n"/>
      <c r="B115" s="287" t="n"/>
      <c r="C115" s="287" t="n"/>
      <c r="D115" s="287" t="n"/>
      <c r="E115" s="287" t="n"/>
      <c r="F115" s="287" t="n"/>
      <c r="G115" s="287" t="n"/>
      <c r="H115" s="287" t="n"/>
    </row>
    <row r="116">
      <c r="A116" s="287" t="n"/>
      <c r="B116" s="287" t="n"/>
      <c r="C116" s="287" t="n"/>
      <c r="D116" s="287" t="n"/>
      <c r="E116" s="287" t="n"/>
      <c r="F116" s="287" t="n"/>
      <c r="G116" s="287" t="n"/>
      <c r="H116" s="287" t="n"/>
    </row>
    <row r="117">
      <c r="A117" s="287" t="n"/>
      <c r="B117" s="287" t="n"/>
      <c r="C117" s="287" t="n"/>
      <c r="D117" s="287" t="n"/>
      <c r="E117" s="287" t="n"/>
      <c r="F117" s="287" t="n"/>
      <c r="G117" s="287" t="n"/>
      <c r="H117" s="287" t="n"/>
    </row>
    <row r="118">
      <c r="A118" s="287" t="n"/>
      <c r="B118" s="287" t="n"/>
      <c r="C118" s="287" t="n"/>
      <c r="D118" s="287" t="n"/>
      <c r="E118" s="287" t="n"/>
      <c r="F118" s="287" t="n"/>
      <c r="G118" s="287" t="n"/>
      <c r="H118" s="287" t="n"/>
    </row>
    <row r="119">
      <c r="A119" s="287" t="n"/>
      <c r="B119" s="287" t="n"/>
      <c r="C119" s="287" t="n"/>
      <c r="D119" s="287" t="n"/>
      <c r="E119" s="287" t="n"/>
      <c r="F119" s="287" t="n"/>
      <c r="G119" s="287" t="n"/>
      <c r="H119" s="287" t="n"/>
    </row>
    <row r="120">
      <c r="A120" s="287" t="n"/>
      <c r="B120" s="287" t="n"/>
      <c r="C120" s="287" t="n"/>
      <c r="D120" s="287" t="n"/>
      <c r="E120" s="287" t="n"/>
      <c r="F120" s="287" t="n"/>
      <c r="G120" s="287" t="n"/>
      <c r="H120" s="287" t="n"/>
    </row>
    <row r="121">
      <c r="A121" s="287" t="n"/>
      <c r="B121" s="287" t="n"/>
      <c r="C121" s="287" t="n"/>
      <c r="D121" s="287" t="n"/>
      <c r="E121" s="287" t="n"/>
      <c r="F121" s="287" t="n"/>
      <c r="G121" s="287" t="n"/>
      <c r="H121" s="287" t="n"/>
    </row>
    <row r="122">
      <c r="A122" s="287" t="n"/>
      <c r="B122" s="287" t="n"/>
      <c r="C122" s="287" t="n"/>
      <c r="D122" s="287" t="n"/>
      <c r="E122" s="287" t="n"/>
      <c r="F122" s="287" t="n"/>
      <c r="G122" s="287" t="n"/>
      <c r="H122" s="287" t="n"/>
    </row>
    <row r="123">
      <c r="A123" s="287" t="n"/>
      <c r="B123" s="287" t="n"/>
      <c r="C123" s="287" t="n"/>
      <c r="D123" s="287" t="n"/>
      <c r="E123" s="287" t="n"/>
      <c r="F123" s="287" t="n"/>
      <c r="G123" s="287" t="n"/>
      <c r="H123" s="287" t="n"/>
    </row>
    <row r="124">
      <c r="A124" s="287" t="n"/>
      <c r="B124" s="287" t="n"/>
      <c r="C124" s="287" t="n"/>
      <c r="D124" s="287" t="n"/>
      <c r="E124" s="287" t="n"/>
      <c r="F124" s="287" t="n"/>
      <c r="G124" s="287" t="n"/>
      <c r="H124" s="287" t="n"/>
    </row>
    <row r="125">
      <c r="A125" s="287" t="n"/>
      <c r="B125" s="287" t="n"/>
      <c r="C125" s="287" t="n"/>
      <c r="D125" s="287" t="n"/>
      <c r="E125" s="287" t="n"/>
      <c r="F125" s="287" t="n"/>
      <c r="G125" s="287" t="n"/>
      <c r="H125" s="287" t="n"/>
    </row>
    <row r="126">
      <c r="A126" s="287" t="n"/>
      <c r="B126" s="287" t="n"/>
      <c r="C126" s="287" t="n"/>
      <c r="D126" s="287" t="n"/>
      <c r="E126" s="287" t="n"/>
      <c r="F126" s="287" t="n"/>
      <c r="G126" s="287" t="n"/>
      <c r="H126" s="287" t="n"/>
    </row>
    <row r="127">
      <c r="A127" s="287" t="n"/>
      <c r="B127" s="287" t="n"/>
      <c r="C127" s="287" t="n"/>
      <c r="D127" s="287" t="n"/>
      <c r="E127" s="287" t="n"/>
      <c r="F127" s="287" t="n"/>
      <c r="G127" s="287" t="n"/>
      <c r="H127" s="287" t="n"/>
    </row>
    <row r="128">
      <c r="A128" s="287" t="n"/>
      <c r="B128" s="287" t="n"/>
      <c r="C128" s="287" t="n"/>
      <c r="D128" s="287" t="n"/>
      <c r="E128" s="287" t="n"/>
      <c r="F128" s="287" t="n"/>
      <c r="G128" s="287" t="n"/>
      <c r="H128" s="287" t="n"/>
    </row>
    <row r="129">
      <c r="A129" s="287" t="n"/>
      <c r="B129" s="287" t="n"/>
      <c r="C129" s="287" t="n"/>
      <c r="D129" s="287" t="n"/>
      <c r="E129" s="287" t="n"/>
      <c r="F129" s="287" t="n"/>
      <c r="G129" s="287" t="n"/>
      <c r="H129" s="287" t="n"/>
    </row>
    <row r="130">
      <c r="A130" s="287" t="n"/>
      <c r="B130" s="287" t="n"/>
      <c r="C130" s="287" t="n"/>
      <c r="D130" s="287" t="n"/>
      <c r="E130" s="287" t="n"/>
      <c r="F130" s="287" t="n"/>
      <c r="G130" s="287" t="n"/>
      <c r="H130" s="287" t="n"/>
    </row>
    <row r="131">
      <c r="A131" s="287" t="n"/>
      <c r="B131" s="287" t="n"/>
      <c r="C131" s="287" t="n"/>
      <c r="D131" s="287" t="n"/>
      <c r="E131" s="287" t="n"/>
      <c r="F131" s="287" t="n"/>
      <c r="G131" s="287" t="n"/>
      <c r="H131" s="287" t="n"/>
    </row>
    <row r="132">
      <c r="A132" s="287" t="n"/>
      <c r="B132" s="287" t="n"/>
      <c r="C132" s="287" t="n"/>
      <c r="D132" s="287" t="n"/>
      <c r="E132" s="287" t="n"/>
      <c r="F132" s="287" t="n"/>
      <c r="G132" s="287" t="n"/>
      <c r="H132" s="287" t="n"/>
    </row>
    <row r="133">
      <c r="A133" s="287" t="n"/>
      <c r="B133" s="287" t="n"/>
      <c r="C133" s="287" t="n"/>
      <c r="D133" s="287" t="n"/>
      <c r="E133" s="287" t="n"/>
      <c r="F133" s="287" t="n"/>
      <c r="G133" s="287" t="n"/>
      <c r="H133" s="287" t="n"/>
    </row>
    <row r="134">
      <c r="A134" s="287" t="n"/>
      <c r="B134" s="287" t="n"/>
      <c r="C134" s="287" t="n"/>
      <c r="D134" s="287" t="n"/>
      <c r="E134" s="287" t="n"/>
      <c r="F134" s="287" t="n"/>
      <c r="G134" s="287" t="n"/>
      <c r="H134" s="287" t="n"/>
    </row>
    <row r="135">
      <c r="A135" s="287" t="n"/>
      <c r="B135" s="287" t="n"/>
      <c r="C135" s="287" t="n"/>
      <c r="D135" s="287" t="n"/>
      <c r="E135" s="287" t="n"/>
      <c r="F135" s="287" t="n"/>
      <c r="G135" s="287" t="n"/>
      <c r="H135" s="287" t="n"/>
    </row>
    <row r="136">
      <c r="A136" s="287" t="n"/>
      <c r="B136" s="287" t="n"/>
      <c r="C136" s="287" t="n"/>
      <c r="D136" s="287" t="n"/>
      <c r="E136" s="287" t="n"/>
      <c r="F136" s="287" t="n"/>
      <c r="G136" s="287" t="n"/>
      <c r="H136" s="287" t="n"/>
    </row>
    <row r="137">
      <c r="A137" s="287" t="n"/>
      <c r="B137" s="287" t="n"/>
      <c r="C137" s="287" t="n"/>
      <c r="D137" s="287" t="n"/>
      <c r="E137" s="287" t="n"/>
      <c r="F137" s="287" t="n"/>
      <c r="G137" s="287" t="n"/>
      <c r="H137" s="287" t="n"/>
    </row>
    <row r="138">
      <c r="A138" s="287" t="n"/>
      <c r="B138" s="287" t="n"/>
      <c r="C138" s="287" t="n"/>
      <c r="D138" s="287" t="n"/>
      <c r="E138" s="287" t="n"/>
      <c r="F138" s="287" t="n"/>
      <c r="G138" s="287" t="n"/>
      <c r="H138" s="287" t="n"/>
    </row>
    <row r="139">
      <c r="A139" s="287" t="n"/>
      <c r="B139" s="287" t="n"/>
      <c r="C139" s="287" t="n"/>
      <c r="D139" s="287" t="n"/>
      <c r="E139" s="287" t="n"/>
      <c r="F139" s="287" t="n"/>
      <c r="G139" s="287" t="n"/>
      <c r="H139" s="287" t="n"/>
    </row>
    <row r="140">
      <c r="A140" s="287" t="n"/>
      <c r="B140" s="287" t="n"/>
      <c r="C140" s="287" t="n"/>
      <c r="D140" s="287" t="n"/>
      <c r="E140" s="287" t="n"/>
      <c r="F140" s="287" t="n"/>
      <c r="G140" s="287" t="n"/>
      <c r="H140" s="287" t="n"/>
    </row>
    <row r="141">
      <c r="A141" s="287" t="n"/>
      <c r="B141" s="287" t="n"/>
      <c r="C141" s="287" t="n"/>
      <c r="D141" s="287" t="n"/>
      <c r="E141" s="287" t="n"/>
      <c r="F141" s="287" t="n"/>
      <c r="G141" s="287" t="n"/>
      <c r="H141" s="287" t="n"/>
    </row>
    <row r="142">
      <c r="A142" s="287" t="n"/>
      <c r="B142" s="287" t="n"/>
      <c r="C142" s="287" t="n"/>
      <c r="D142" s="287" t="n"/>
      <c r="E142" s="287" t="n"/>
      <c r="F142" s="287" t="n"/>
      <c r="G142" s="287" t="n"/>
      <c r="H142" s="287" t="n"/>
    </row>
    <row r="143">
      <c r="A143" s="287" t="n"/>
      <c r="B143" s="287" t="n"/>
      <c r="C143" s="287" t="n"/>
      <c r="D143" s="287" t="n"/>
      <c r="E143" s="287" t="n"/>
      <c r="F143" s="287" t="n"/>
      <c r="G143" s="287" t="n"/>
      <c r="H143" s="287" t="n"/>
    </row>
    <row r="144">
      <c r="A144" s="287" t="n"/>
      <c r="B144" s="287" t="n"/>
      <c r="C144" s="287" t="n"/>
      <c r="D144" s="287" t="n"/>
      <c r="E144" s="287" t="n"/>
      <c r="F144" s="287" t="n"/>
      <c r="G144" s="287" t="n"/>
      <c r="H144" s="287" t="n"/>
    </row>
    <row r="145">
      <c r="A145" s="287" t="n"/>
      <c r="B145" s="287" t="n"/>
      <c r="C145" s="287" t="n"/>
      <c r="D145" s="287" t="n"/>
      <c r="E145" s="287" t="n"/>
      <c r="F145" s="287" t="n"/>
      <c r="G145" s="287" t="n"/>
      <c r="H145" s="287" t="n"/>
    </row>
    <row r="146">
      <c r="A146" s="287" t="n"/>
      <c r="B146" s="287" t="n"/>
      <c r="C146" s="287" t="n"/>
      <c r="D146" s="287" t="n"/>
      <c r="E146" s="287" t="n"/>
      <c r="F146" s="287" t="n"/>
      <c r="G146" s="287" t="n"/>
      <c r="H146" s="287" t="n"/>
    </row>
    <row r="147">
      <c r="A147" s="287" t="n"/>
      <c r="B147" s="287" t="n"/>
      <c r="C147" s="287" t="n"/>
      <c r="D147" s="287" t="n"/>
      <c r="E147" s="287" t="n"/>
      <c r="F147" s="287" t="n"/>
      <c r="G147" s="287" t="n"/>
      <c r="H147" s="287" t="n"/>
    </row>
    <row r="148">
      <c r="A148" s="287" t="n"/>
      <c r="B148" s="287" t="n"/>
      <c r="C148" s="287" t="n"/>
      <c r="D148" s="287" t="n"/>
      <c r="E148" s="287" t="n"/>
      <c r="F148" s="287" t="n"/>
      <c r="G148" s="287" t="n"/>
      <c r="H148" s="287" t="n"/>
    </row>
    <row r="149">
      <c r="A149" s="287" t="n"/>
      <c r="B149" s="287" t="n"/>
      <c r="C149" s="287" t="n"/>
      <c r="D149" s="287" t="n"/>
      <c r="E149" s="287" t="n"/>
      <c r="F149" s="287" t="n"/>
      <c r="G149" s="287" t="n"/>
      <c r="H149" s="287" t="n"/>
    </row>
    <row r="150">
      <c r="A150" s="287" t="n"/>
      <c r="B150" s="287" t="n"/>
      <c r="C150" s="287" t="n"/>
      <c r="D150" s="287" t="n"/>
      <c r="E150" s="287" t="n"/>
      <c r="F150" s="287" t="n"/>
      <c r="G150" s="287" t="n"/>
      <c r="H150" s="287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16" t="n"/>
      <c r="B1" s="316" t="n"/>
      <c r="C1" s="316" t="n"/>
      <c r="D1" s="316" t="n"/>
      <c r="E1" s="317" t="n"/>
    </row>
    <row r="2" ht="37.25" customHeight="1">
      <c r="A2" s="316" t="n"/>
      <c r="B2" s="316" t="n"/>
      <c r="C2" s="316" t="n"/>
      <c r="D2" s="316" t="n"/>
      <c r="E2" s="317" t="n"/>
    </row>
    <row r="3" ht="33.6" customHeight="1">
      <c r="A3" s="316" t="n"/>
      <c r="B3" s="318" t="inlineStr">
        <is>
          <t>PT. EXSPAN WIRELINE INDONESIA</t>
        </is>
      </c>
      <c r="F3" s="319" t="n"/>
    </row>
    <row r="4" ht="20.45" customHeight="1">
      <c r="A4" s="316" t="n"/>
      <c r="B4" s="321" t="inlineStr">
        <is>
          <t>BUSINESS SUMMARY | TAHUN 2024</t>
        </is>
      </c>
      <c r="F4" s="319" t="n"/>
    </row>
    <row r="5" ht="6" customHeight="1">
      <c r="A5" s="316" t="n"/>
      <c r="B5" s="316" t="n"/>
      <c r="C5" s="316" t="n"/>
      <c r="D5" s="316" t="n"/>
      <c r="E5" s="317" t="n"/>
      <c r="F5" s="319" t="n"/>
    </row>
    <row r="6" ht="20" customHeight="1">
      <c r="A6" s="316" t="n"/>
      <c r="B6" s="364" t="inlineStr">
        <is>
          <t>#</t>
        </is>
      </c>
      <c r="C6" s="364" t="inlineStr">
        <is>
          <t>Items</t>
        </is>
      </c>
      <c r="D6" s="365" t="inlineStr">
        <is>
          <t>Amount</t>
        </is>
      </c>
      <c r="E6" s="227" t="n"/>
      <c r="F6" s="319" t="n"/>
    </row>
    <row r="7" ht="20" customHeight="1">
      <c r="A7" s="316" t="n"/>
      <c r="B7" s="366" t="n">
        <v>1</v>
      </c>
      <c r="C7" s="367" t="inlineStr">
        <is>
          <t>Revenue</t>
        </is>
      </c>
      <c r="D7" s="368" t="inlineStr">
        <is>
          <t>Rp</t>
        </is>
      </c>
      <c r="E7" s="369">
        <f>SUM('Revenue-Cost_2024'!F8:F301)</f>
        <v/>
      </c>
      <c r="F7" s="319" t="n"/>
    </row>
    <row r="8" ht="20" customHeight="1">
      <c r="A8" s="316" t="n"/>
      <c r="B8" s="366" t="n">
        <v>2</v>
      </c>
      <c r="C8" s="367" t="inlineStr">
        <is>
          <t>Revenue Diterima (Setelah Pajak)</t>
        </is>
      </c>
      <c r="D8" s="368" t="inlineStr">
        <is>
          <t>Rp</t>
        </is>
      </c>
      <c r="E8" s="369">
        <f>E7-SUM('Revenue-Cost_2024'!N8:N301)</f>
        <v/>
      </c>
      <c r="F8" s="319" t="n"/>
    </row>
    <row r="9" ht="20" customHeight="1">
      <c r="A9" s="316" t="n"/>
      <c r="B9" s="366" t="n">
        <v>3</v>
      </c>
      <c r="C9" s="367" t="inlineStr">
        <is>
          <t>Biaya</t>
        </is>
      </c>
      <c r="D9" s="368" t="inlineStr">
        <is>
          <t>Rp</t>
        </is>
      </c>
      <c r="E9" s="369">
        <f>SUM('Revenue-Cost_2024'!I2760:Q2760)</f>
        <v/>
      </c>
      <c r="F9" s="319" t="n"/>
    </row>
    <row r="10" ht="20" customHeight="1">
      <c r="A10" s="316" t="n"/>
      <c r="B10" s="366" t="n">
        <v>4</v>
      </c>
      <c r="C10" s="367" t="inlineStr">
        <is>
          <t>Profit SebelumTax</t>
        </is>
      </c>
      <c r="D10" s="368" t="inlineStr">
        <is>
          <t>Rp</t>
        </is>
      </c>
      <c r="E10" s="369">
        <f>E7-E9</f>
        <v/>
      </c>
      <c r="F10" s="319" t="n"/>
    </row>
    <row r="11" ht="20" customHeight="1">
      <c r="A11" s="316" t="n"/>
      <c r="B11" s="366" t="n">
        <v>5</v>
      </c>
      <c r="C11" s="367" t="inlineStr">
        <is>
          <t>PPh Badan (22%*50%)</t>
        </is>
      </c>
      <c r="D11" s="368" t="inlineStr">
        <is>
          <t>Rp</t>
        </is>
      </c>
      <c r="E11" s="369">
        <f>E10*22%*50%</f>
        <v/>
      </c>
      <c r="F11" s="319" t="n"/>
    </row>
    <row r="12" ht="20" customHeight="1">
      <c r="A12" s="316" t="n"/>
      <c r="B12" s="366" t="n">
        <v>6</v>
      </c>
      <c r="C12" s="367" t="inlineStr">
        <is>
          <t>PPh 23 Dipotong oleh client</t>
        </is>
      </c>
      <c r="D12" s="368" t="inlineStr">
        <is>
          <t>Rp</t>
        </is>
      </c>
      <c r="E12" s="369">
        <f>SUM('Revenue-Cost_2024'!N8:N301)</f>
        <v/>
      </c>
      <c r="F12" s="319" t="n"/>
    </row>
    <row r="13" ht="20" customHeight="1">
      <c r="A13" s="316" t="n"/>
      <c r="B13" s="366" t="n">
        <v>7</v>
      </c>
      <c r="C13" s="367" t="inlineStr">
        <is>
          <t>Kekurangan Bayar PPh Badan</t>
        </is>
      </c>
      <c r="D13" s="368" t="inlineStr">
        <is>
          <t>Rp</t>
        </is>
      </c>
      <c r="E13" s="370">
        <f>E11-E12</f>
        <v/>
      </c>
      <c r="F13" s="319" t="n"/>
    </row>
    <row r="14" ht="20" customHeight="1">
      <c r="A14" s="316" t="n"/>
      <c r="B14" s="366" t="n">
        <v>8</v>
      </c>
      <c r="C14" s="367" t="inlineStr">
        <is>
          <t>Profit After Tax</t>
        </is>
      </c>
      <c r="D14" s="368" t="inlineStr">
        <is>
          <t>Rp</t>
        </is>
      </c>
      <c r="E14" s="369">
        <f>E10-E13</f>
        <v/>
      </c>
      <c r="F14" s="319" t="n"/>
    </row>
    <row r="15" ht="20" customHeight="1">
      <c r="A15" s="316" t="n"/>
      <c r="B15" s="366" t="n">
        <v>9</v>
      </c>
      <c r="C15" s="367" t="inlineStr">
        <is>
          <t>Deviden Dibagi</t>
        </is>
      </c>
      <c r="D15" s="368" t="inlineStr">
        <is>
          <t>Rp</t>
        </is>
      </c>
      <c r="E15" s="369">
        <f>E14-E16</f>
        <v/>
      </c>
      <c r="F15" s="319" t="n"/>
    </row>
    <row r="16" ht="20" customHeight="1">
      <c r="A16" s="316" t="n"/>
      <c r="B16" s="366" t="n">
        <v>10</v>
      </c>
      <c r="C16" s="367" t="inlineStr">
        <is>
          <t>Profit Ditahan</t>
        </is>
      </c>
      <c r="D16" s="368" t="inlineStr">
        <is>
          <t>Rp</t>
        </is>
      </c>
      <c r="E16" s="369" t="n">
        <v>53207545</v>
      </c>
      <c r="F16" s="319" t="n"/>
    </row>
    <row r="17" ht="13.9" customHeight="1">
      <c r="A17" s="316" t="n"/>
      <c r="B17" s="316" t="n"/>
      <c r="C17" s="316" t="n"/>
      <c r="D17" s="316" t="n"/>
      <c r="E17" s="317" t="n"/>
      <c r="F17" s="319" t="n"/>
    </row>
    <row r="18" ht="17.65" customHeight="1">
      <c r="A18" s="316" t="n"/>
      <c r="B18" s="371" t="inlineStr">
        <is>
          <t>DEVIDEN</t>
        </is>
      </c>
      <c r="F18" s="319" t="n"/>
    </row>
    <row r="19" ht="20" customHeight="1">
      <c r="A19" s="316" t="n"/>
      <c r="B19" s="372" t="inlineStr">
        <is>
          <t>#</t>
        </is>
      </c>
      <c r="C19" s="372" t="inlineStr">
        <is>
          <t>Nama Lengkap</t>
        </is>
      </c>
      <c r="D19" s="373" t="inlineStr">
        <is>
          <t>Rp</t>
        </is>
      </c>
      <c r="E19" s="374" t="inlineStr">
        <is>
          <t>Amount</t>
        </is>
      </c>
      <c r="F19" s="319" t="n"/>
      <c r="G19" s="375" t="inlineStr"/>
    </row>
    <row r="20" ht="20" customHeight="1">
      <c r="A20" s="316" t="n"/>
      <c r="B20" s="376" t="n">
        <v>1</v>
      </c>
      <c r="C20" s="377" t="inlineStr">
        <is>
          <t>Anevril Chairulsyah</t>
        </is>
      </c>
      <c r="D20" s="378" t="inlineStr">
        <is>
          <t>Rp</t>
        </is>
      </c>
      <c r="E20" s="379">
        <f>IF(C20="","",ROUND($E$15/COUNTA($C$20:$C$21), 0))</f>
        <v/>
      </c>
      <c r="F20" s="380" t="n"/>
      <c r="G20" s="381" t="inlineStr">
        <is>
          <t>Pajak 10%</t>
        </is>
      </c>
    </row>
    <row r="21" ht="20" customHeight="1">
      <c r="A21" s="382" t="n"/>
      <c r="B21" s="383" t="n">
        <v>2</v>
      </c>
      <c r="C21" s="384" t="inlineStr">
        <is>
          <t>Alan Muhadjir</t>
        </is>
      </c>
      <c r="D21" s="385" t="inlineStr">
        <is>
          <t>Rp</t>
        </is>
      </c>
      <c r="E21" s="386">
        <f>IF(C21="","",ROUND($E$15/COUNTA($C$20:$C$21), 0))</f>
        <v/>
      </c>
      <c r="F21" s="380" t="n"/>
      <c r="G21" s="387" t="inlineStr">
        <is>
          <t>Pajak 10%</t>
        </is>
      </c>
    </row>
    <row r="22" ht="14.25" customHeight="1">
      <c r="A22" s="382" t="n"/>
      <c r="B22" s="387" t="n"/>
      <c r="C22" s="387" t="n"/>
      <c r="D22" s="387" t="n"/>
      <c r="E22" s="387" t="n"/>
      <c r="F22" s="380" t="n"/>
      <c r="G22" s="387" t="n"/>
    </row>
    <row r="23">
      <c r="B23" s="387" t="n"/>
      <c r="C23" s="387" t="n"/>
      <c r="D23" s="387" t="n"/>
      <c r="E23" s="387" t="n"/>
      <c r="F23" s="387" t="n"/>
      <c r="G23" s="387" t="n"/>
    </row>
    <row r="24">
      <c r="B24" s="387" t="n"/>
      <c r="C24" s="387" t="n"/>
      <c r="D24" s="387" t="n"/>
      <c r="E24" s="387" t="n"/>
      <c r="F24" s="387" t="n"/>
      <c r="G24" s="387" t="n"/>
    </row>
    <row r="25">
      <c r="B25" s="387" t="n"/>
      <c r="C25" s="387" t="n"/>
      <c r="D25" s="387" t="n"/>
      <c r="E25" s="387" t="n"/>
      <c r="F25" s="387" t="n"/>
      <c r="G25" s="387" t="n"/>
    </row>
    <row r="26">
      <c r="B26" s="387" t="n"/>
      <c r="C26" s="387" t="n"/>
      <c r="D26" s="387" t="n"/>
      <c r="E26" s="387" t="n"/>
      <c r="F26" s="387" t="n"/>
      <c r="G26" s="387" t="n"/>
    </row>
    <row r="27">
      <c r="B27" s="387" t="n"/>
      <c r="C27" s="387" t="n"/>
      <c r="D27" s="387" t="n"/>
      <c r="E27" s="387" t="n"/>
      <c r="F27" s="387" t="n"/>
      <c r="G27" s="387" t="n"/>
    </row>
    <row r="28">
      <c r="B28" s="387" t="n"/>
      <c r="C28" s="387" t="n"/>
      <c r="D28" s="387" t="n"/>
      <c r="E28" s="387" t="n"/>
      <c r="F28" s="387" t="n"/>
      <c r="G28" s="387" t="n"/>
    </row>
    <row r="29">
      <c r="B29" s="387" t="n"/>
      <c r="C29" s="387" t="n"/>
      <c r="D29" s="387" t="n"/>
      <c r="E29" s="387" t="n"/>
      <c r="F29" s="387" t="n"/>
      <c r="G29" s="387" t="n"/>
    </row>
    <row r="30">
      <c r="B30" s="387" t="n"/>
      <c r="C30" s="387" t="n"/>
      <c r="D30" s="387" t="n"/>
      <c r="E30" s="387" t="n"/>
      <c r="F30" s="387" t="n"/>
      <c r="G30" s="387" t="n"/>
    </row>
    <row r="31">
      <c r="B31" s="387" t="n"/>
      <c r="C31" s="387" t="n"/>
      <c r="D31" s="387" t="n"/>
      <c r="E31" s="387" t="n"/>
      <c r="F31" s="387" t="n"/>
      <c r="G31" s="387" t="n"/>
    </row>
    <row r="32">
      <c r="B32" s="387" t="n"/>
      <c r="C32" s="387" t="n"/>
      <c r="D32" s="387" t="n"/>
      <c r="E32" s="387" t="n"/>
      <c r="F32" s="387" t="n"/>
      <c r="G32" s="387" t="n"/>
    </row>
    <row r="33">
      <c r="B33" s="387" t="n"/>
      <c r="C33" s="387" t="n"/>
      <c r="D33" s="387" t="n"/>
      <c r="E33" s="387" t="n"/>
      <c r="F33" s="387" t="n"/>
      <c r="G33" s="387" t="n"/>
    </row>
    <row r="34">
      <c r="B34" s="387" t="n"/>
      <c r="C34" s="387" t="n"/>
      <c r="D34" s="387" t="n"/>
      <c r="E34" s="387" t="n"/>
      <c r="F34" s="387" t="n"/>
      <c r="G34" s="387" t="n"/>
    </row>
    <row r="35">
      <c r="B35" s="387" t="n"/>
      <c r="C35" s="387" t="n"/>
      <c r="D35" s="387" t="n"/>
      <c r="E35" s="387" t="n"/>
      <c r="F35" s="387" t="n"/>
      <c r="G35" s="387" t="n"/>
    </row>
    <row r="36">
      <c r="B36" s="387" t="n"/>
      <c r="C36" s="387" t="n"/>
      <c r="D36" s="387" t="n"/>
      <c r="E36" s="387" t="n"/>
      <c r="F36" s="387" t="n"/>
      <c r="G36" s="387" t="n"/>
    </row>
    <row r="37">
      <c r="B37" s="387" t="n"/>
      <c r="C37" s="387" t="n"/>
      <c r="D37" s="387" t="n"/>
      <c r="E37" s="387" t="n"/>
      <c r="F37" s="387" t="n"/>
      <c r="G37" s="387" t="n"/>
    </row>
    <row r="38">
      <c r="B38" s="387" t="n"/>
      <c r="C38" s="387" t="n"/>
      <c r="D38" s="387" t="n"/>
      <c r="E38" s="387" t="n"/>
      <c r="F38" s="387" t="n"/>
      <c r="G38" s="387" t="n"/>
    </row>
    <row r="39">
      <c r="B39" s="387" t="n"/>
      <c r="C39" s="387" t="n"/>
      <c r="D39" s="387" t="n"/>
      <c r="E39" s="387" t="n"/>
      <c r="F39" s="387" t="n"/>
      <c r="G39" s="387" t="n"/>
    </row>
    <row r="40">
      <c r="B40" s="387" t="n"/>
      <c r="C40" s="387" t="n"/>
      <c r="D40" s="387" t="n"/>
      <c r="E40" s="387" t="n"/>
      <c r="F40" s="387" t="n"/>
      <c r="G40" s="387" t="n"/>
    </row>
    <row r="41">
      <c r="B41" s="387" t="n"/>
      <c r="C41" s="387" t="n"/>
      <c r="D41" s="387" t="n"/>
      <c r="E41" s="387" t="n"/>
      <c r="F41" s="387" t="n"/>
      <c r="G41" s="387" t="n"/>
    </row>
    <row r="42">
      <c r="B42" s="387" t="n"/>
      <c r="C42" s="387" t="n"/>
      <c r="D42" s="387" t="n"/>
      <c r="E42" s="387" t="n"/>
      <c r="F42" s="387" t="n"/>
      <c r="G42" s="387" t="n"/>
    </row>
    <row r="43">
      <c r="B43" s="387" t="n"/>
      <c r="C43" s="387" t="n"/>
      <c r="D43" s="387" t="n"/>
      <c r="E43" s="387" t="n"/>
      <c r="F43" s="387" t="n"/>
      <c r="G43" s="387" t="n"/>
    </row>
    <row r="44">
      <c r="B44" s="387" t="n"/>
      <c r="C44" s="387" t="n"/>
      <c r="D44" s="387" t="n"/>
      <c r="E44" s="387" t="n"/>
      <c r="F44" s="387" t="n"/>
      <c r="G44" s="387" t="n"/>
    </row>
    <row r="45">
      <c r="B45" s="387" t="n"/>
      <c r="C45" s="387" t="n"/>
      <c r="D45" s="387" t="n"/>
      <c r="E45" s="387" t="n"/>
      <c r="F45" s="387" t="n"/>
      <c r="G45" s="387" t="n"/>
    </row>
    <row r="46">
      <c r="B46" s="387" t="n"/>
      <c r="C46" s="387" t="n"/>
      <c r="D46" s="387" t="n"/>
      <c r="E46" s="387" t="n"/>
      <c r="F46" s="387" t="n"/>
      <c r="G46" s="387" t="n"/>
    </row>
    <row r="47">
      <c r="B47" s="387" t="n"/>
      <c r="C47" s="387" t="n"/>
      <c r="D47" s="387" t="n"/>
      <c r="E47" s="387" t="n"/>
      <c r="F47" s="387" t="n"/>
      <c r="G47" s="387" t="n"/>
    </row>
    <row r="48">
      <c r="B48" s="387" t="n"/>
      <c r="C48" s="387" t="n"/>
      <c r="D48" s="387" t="n"/>
      <c r="E48" s="387" t="n"/>
      <c r="F48" s="387" t="n"/>
      <c r="G48" s="387" t="n"/>
    </row>
    <row r="49">
      <c r="B49" s="387" t="n"/>
      <c r="C49" s="387" t="n"/>
      <c r="D49" s="387" t="n"/>
      <c r="E49" s="387" t="n"/>
      <c r="F49" s="387" t="n"/>
      <c r="G49" s="387" t="n"/>
    </row>
    <row r="50">
      <c r="B50" s="387" t="n"/>
      <c r="C50" s="387" t="n"/>
      <c r="D50" s="387" t="n"/>
      <c r="E50" s="387" t="n"/>
      <c r="F50" s="387" t="n"/>
      <c r="G50" s="387" t="n"/>
    </row>
    <row r="51">
      <c r="B51" s="387" t="n"/>
      <c r="C51" s="387" t="n"/>
      <c r="D51" s="387" t="n"/>
      <c r="E51" s="387" t="n"/>
      <c r="F51" s="387" t="n"/>
      <c r="G51" s="387" t="n"/>
    </row>
    <row r="52">
      <c r="B52" s="387" t="n"/>
      <c r="C52" s="387" t="n"/>
      <c r="D52" s="387" t="n"/>
      <c r="E52" s="387" t="n"/>
      <c r="F52" s="387" t="n"/>
      <c r="G52" s="387" t="n"/>
    </row>
    <row r="53">
      <c r="B53" s="387" t="n"/>
      <c r="C53" s="387" t="n"/>
      <c r="D53" s="387" t="n"/>
      <c r="E53" s="387" t="n"/>
      <c r="F53" s="387" t="n"/>
      <c r="G53" s="387" t="n"/>
    </row>
    <row r="54">
      <c r="B54" s="387" t="n"/>
      <c r="C54" s="387" t="n"/>
      <c r="D54" s="387" t="n"/>
      <c r="E54" s="387" t="n"/>
      <c r="F54" s="387" t="n"/>
      <c r="G54" s="387" t="n"/>
    </row>
    <row r="55">
      <c r="B55" s="387" t="n"/>
      <c r="C55" s="387" t="n"/>
      <c r="D55" s="387" t="n"/>
      <c r="E55" s="387" t="n"/>
      <c r="F55" s="387" t="n"/>
      <c r="G55" s="387" t="n"/>
    </row>
    <row r="56">
      <c r="B56" s="387" t="n"/>
      <c r="C56" s="387" t="n"/>
      <c r="D56" s="387" t="n"/>
      <c r="E56" s="387" t="n"/>
      <c r="F56" s="387" t="n"/>
      <c r="G56" s="387" t="n"/>
    </row>
    <row r="57">
      <c r="B57" s="387" t="n"/>
      <c r="C57" s="387" t="n"/>
      <c r="D57" s="387" t="n"/>
      <c r="E57" s="387" t="n"/>
      <c r="F57" s="387" t="n"/>
      <c r="G57" s="387" t="n"/>
    </row>
    <row r="58">
      <c r="B58" s="387" t="n"/>
      <c r="C58" s="387" t="n"/>
      <c r="D58" s="387" t="n"/>
      <c r="E58" s="387" t="n"/>
      <c r="F58" s="387" t="n"/>
      <c r="G58" s="387" t="n"/>
    </row>
    <row r="59">
      <c r="B59" s="387" t="n"/>
      <c r="C59" s="387" t="n"/>
      <c r="D59" s="387" t="n"/>
      <c r="E59" s="387" t="n"/>
      <c r="F59" s="387" t="n"/>
      <c r="G59" s="387" t="n"/>
    </row>
    <row r="60">
      <c r="B60" s="387" t="n"/>
      <c r="C60" s="387" t="n"/>
      <c r="D60" s="387" t="n"/>
      <c r="E60" s="387" t="n"/>
      <c r="F60" s="387" t="n"/>
      <c r="G60" s="387" t="n"/>
    </row>
    <row r="61">
      <c r="B61" s="387" t="n"/>
      <c r="C61" s="387" t="n"/>
      <c r="D61" s="387" t="n"/>
      <c r="E61" s="387" t="n"/>
      <c r="F61" s="387" t="n"/>
      <c r="G61" s="387" t="n"/>
    </row>
    <row r="62">
      <c r="B62" s="387" t="n"/>
      <c r="C62" s="387" t="n"/>
      <c r="D62" s="387" t="n"/>
      <c r="E62" s="387" t="n"/>
      <c r="F62" s="387" t="n"/>
      <c r="G62" s="387" t="n"/>
    </row>
    <row r="63" ht="64.5" customHeight="1">
      <c r="B63" s="387" t="n"/>
      <c r="C63" s="387" t="n"/>
      <c r="D63" s="387" t="n"/>
      <c r="E63" s="387" t="n"/>
      <c r="F63" s="387" t="n"/>
      <c r="G63" s="387" t="n"/>
    </row>
    <row r="64">
      <c r="B64" s="387" t="n"/>
      <c r="C64" s="387" t="n"/>
      <c r="D64" s="387" t="n"/>
      <c r="E64" s="387" t="n"/>
      <c r="F64" s="387" t="n"/>
      <c r="G64" s="387" t="n"/>
    </row>
    <row r="65">
      <c r="B65" s="387" t="n"/>
      <c r="C65" s="387" t="n"/>
      <c r="D65" s="387" t="n"/>
      <c r="E65" s="387" t="n"/>
      <c r="F65" s="387" t="n"/>
      <c r="G65" s="387" t="n"/>
    </row>
    <row r="66">
      <c r="B66" s="387" t="n"/>
      <c r="C66" s="387" t="n"/>
      <c r="D66" s="387" t="n"/>
      <c r="E66" s="387" t="n"/>
      <c r="F66" s="387" t="n"/>
      <c r="G66" s="387" t="n"/>
    </row>
    <row r="67">
      <c r="B67" s="387" t="n"/>
      <c r="C67" s="387" t="n"/>
      <c r="D67" s="387" t="n"/>
      <c r="E67" s="387" t="n"/>
      <c r="F67" s="387" t="n"/>
      <c r="G67" s="387" t="n"/>
    </row>
    <row r="68">
      <c r="B68" s="387" t="n"/>
      <c r="C68" s="387" t="n"/>
      <c r="D68" s="387" t="n"/>
      <c r="E68" s="387" t="n"/>
      <c r="F68" s="387" t="n"/>
      <c r="G68" s="387" t="n"/>
    </row>
    <row r="69">
      <c r="B69" s="387" t="n"/>
      <c r="C69" s="387" t="n"/>
      <c r="D69" s="387" t="n"/>
      <c r="E69" s="387" t="n"/>
      <c r="F69" s="387" t="n"/>
      <c r="G69" s="387" t="n"/>
    </row>
    <row r="70">
      <c r="B70" s="387" t="n"/>
      <c r="C70" s="387" t="n"/>
      <c r="D70" s="387" t="n"/>
      <c r="E70" s="387" t="n"/>
      <c r="F70" s="387" t="n"/>
      <c r="G70" s="387" t="n"/>
    </row>
    <row r="71">
      <c r="B71" s="387" t="n"/>
      <c r="C71" s="387" t="n"/>
      <c r="D71" s="387" t="n"/>
      <c r="E71" s="387" t="n"/>
      <c r="F71" s="387" t="n"/>
      <c r="G71" s="387" t="n"/>
    </row>
    <row r="72">
      <c r="B72" s="387" t="n"/>
      <c r="C72" s="387" t="n"/>
      <c r="D72" s="387" t="n"/>
      <c r="E72" s="387" t="n"/>
      <c r="F72" s="387" t="n"/>
      <c r="G72" s="387" t="n"/>
    </row>
    <row r="73">
      <c r="B73" s="387" t="n"/>
      <c r="C73" s="387" t="n"/>
      <c r="D73" s="387" t="n"/>
      <c r="E73" s="387" t="n"/>
      <c r="F73" s="387" t="n"/>
      <c r="G73" s="387" t="n"/>
    </row>
    <row r="74">
      <c r="B74" s="387" t="n"/>
      <c r="C74" s="387" t="n"/>
      <c r="D74" s="387" t="n"/>
      <c r="E74" s="387" t="n"/>
      <c r="F74" s="387" t="n"/>
      <c r="G74" s="387" t="n"/>
    </row>
    <row r="75">
      <c r="B75" s="387" t="n"/>
      <c r="C75" s="387" t="n"/>
      <c r="D75" s="387" t="n"/>
      <c r="E75" s="387" t="n"/>
      <c r="F75" s="387" t="n"/>
      <c r="G75" s="387" t="n"/>
    </row>
    <row r="76">
      <c r="B76" s="387" t="n"/>
      <c r="C76" s="387" t="n"/>
      <c r="D76" s="387" t="n"/>
      <c r="E76" s="387" t="n"/>
      <c r="F76" s="387" t="n"/>
      <c r="G76" s="387" t="n"/>
    </row>
    <row r="77">
      <c r="B77" s="387" t="n"/>
      <c r="C77" s="387" t="n"/>
      <c r="D77" s="387" t="n"/>
      <c r="E77" s="387" t="n"/>
      <c r="F77" s="387" t="n"/>
      <c r="G77" s="387" t="n"/>
    </row>
    <row r="78">
      <c r="B78" s="387" t="n"/>
      <c r="C78" s="387" t="n"/>
      <c r="D78" s="387" t="n"/>
      <c r="E78" s="387" t="n"/>
      <c r="F78" s="387" t="n"/>
      <c r="G78" s="387" t="n"/>
    </row>
    <row r="79">
      <c r="B79" s="387" t="n"/>
      <c r="C79" s="387" t="n"/>
      <c r="D79" s="387" t="n"/>
      <c r="E79" s="387" t="n"/>
      <c r="F79" s="387" t="n"/>
      <c r="G79" s="387" t="n"/>
    </row>
    <row r="80">
      <c r="B80" s="387" t="n"/>
      <c r="C80" s="387" t="n"/>
      <c r="D80" s="387" t="n"/>
      <c r="E80" s="387" t="n"/>
      <c r="F80" s="387" t="n"/>
      <c r="G80" s="38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2026-04-28T13:42:29Z</dcterms:modified>
  <cp:lastModifiedBy>Diofavian - Student</cp:lastModifiedBy>
</cp:coreProperties>
</file>