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3" fontId="1" fillId="11" borderId="16" pivotButton="0" quotePrefix="0" xfId="0"/>
    <xf numFmtId="0" fontId="29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0" fontId="28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8" fillId="10" borderId="16" pivotButton="0" quotePrefix="0" xfId="0"/>
    <xf numFmtId="165" fontId="8" fillId="10" borderId="16" pivotButton="0" quotePrefix="0" xfId="0"/>
    <xf numFmtId="15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vertical="center"/>
    </xf>
    <xf numFmtId="165" fontId="30" fillId="12" borderId="16" applyAlignment="1" pivotButton="0" quotePrefix="0" xfId="1">
      <alignment vertical="center"/>
    </xf>
    <xf numFmtId="165" fontId="30" fillId="12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5" fontId="8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9" fontId="11" fillId="11" borderId="16" applyAlignment="1" pivotButton="0" quotePrefix="0" xfId="4">
      <alignment vertical="center"/>
    </xf>
    <xf numFmtId="0" fontId="11" fillId="11" borderId="16" applyAlignment="1" pivotButton="0" quotePrefix="0" xfId="0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5">
      <alignment vertical="center"/>
    </xf>
    <xf numFmtId="0" fontId="11" fillId="11" borderId="16" applyAlignment="1" pivotButton="0" quotePrefix="0" xfId="5">
      <alignment horizontal="left" vertical="center" wrapText="1"/>
    </xf>
    <xf numFmtId="165" fontId="11" fillId="11" borderId="16" applyAlignment="1" pivotButton="0" quotePrefix="0" xfId="1">
      <alignment vertical="center"/>
    </xf>
    <xf numFmtId="169" fontId="30" fillId="12" borderId="16" applyAlignment="1" pivotButton="0" quotePrefix="0" xfId="4">
      <alignment horizontal="left" vertical="center"/>
    </xf>
    <xf numFmtId="0" fontId="30" fillId="12" borderId="16" applyAlignment="1" pivotButton="0" quotePrefix="0" xfId="5">
      <alignment horizontal="left" vertical="center"/>
    </xf>
    <xf numFmtId="0" fontId="30" fillId="12" borderId="16" applyAlignment="1" pivotButton="0" quotePrefix="0" xfId="5">
      <alignment vertical="center"/>
    </xf>
    <xf numFmtId="0" fontId="11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left"/>
    </xf>
    <xf numFmtId="3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/>
    </xf>
    <xf numFmtId="15" fontId="28" fillId="11" borderId="16" pivotButton="0" quotePrefix="0" xfId="0"/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30" fillId="12" borderId="16" applyAlignment="1" pivotButton="0" quotePrefix="0" xfId="0">
      <alignment vertical="center"/>
    </xf>
    <xf numFmtId="164" fontId="10" fillId="11" borderId="16" applyAlignment="1" pivotButton="0" quotePrefix="0" xfId="0">
      <alignment horizontal="left"/>
    </xf>
    <xf numFmtId="170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30" fillId="12" borderId="16" applyAlignment="1" pivotButton="0" quotePrefix="0" xfId="0">
      <alignment horizontal="left" vertical="center"/>
    </xf>
    <xf numFmtId="164" fontId="30" fillId="12" borderId="16" applyAlignment="1" pivotButton="0" quotePrefix="0" xfId="0">
      <alignment vertical="center"/>
    </xf>
    <xf numFmtId="170" fontId="30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17" pivotButton="0" quotePrefix="0" xfId="0"/>
    <xf numFmtId="0" fontId="43" fillId="0" borderId="15" applyAlignment="1" pivotButton="0" quotePrefix="0" xfId="0">
      <alignment horizontal="general" vertical="bottom"/>
    </xf>
    <xf numFmtId="0" fontId="44" fillId="0" borderId="22" applyAlignment="1" pivotButton="0" quotePrefix="0" xfId="0">
      <alignment horizontal="left" vertical="center"/>
    </xf>
    <xf numFmtId="0" fontId="44" fillId="0" borderId="23" applyAlignment="1" pivotButton="0" quotePrefix="0" xfId="0">
      <alignment horizontal="left" vertical="center"/>
    </xf>
    <xf numFmtId="0" fontId="44" fillId="0" borderId="22" applyAlignment="1" pivotButton="0" quotePrefix="0" xfId="0">
      <alignment horizontal="right" vertical="center"/>
    </xf>
    <xf numFmtId="3" fontId="44" fillId="0" borderId="23" applyAlignment="1" pivotButton="0" quotePrefix="0" xfId="0">
      <alignment horizontal="right" vertical="center"/>
    </xf>
    <xf numFmtId="2" fontId="44" fillId="0" borderId="22" applyAlignment="1" pivotButton="0" quotePrefix="0" xfId="0">
      <alignment horizontal="left" vertical="center"/>
    </xf>
    <xf numFmtId="2" fontId="44" fillId="0" borderId="23" applyAlignment="1" pivotButton="0" quotePrefix="0" xfId="0">
      <alignment horizontal="left" vertical="center"/>
    </xf>
    <xf numFmtId="2" fontId="44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4" fillId="0" borderId="26" applyAlignment="1" pivotButton="0" quotePrefix="0" xfId="0">
      <alignment horizontal="left" vertical="center"/>
    </xf>
    <xf numFmtId="0" fontId="44" fillId="0" borderId="27" applyAlignment="1" pivotButton="0" quotePrefix="0" xfId="0">
      <alignment horizontal="left" vertical="center"/>
    </xf>
    <xf numFmtId="0" fontId="44" fillId="0" borderId="26" applyAlignment="1" pivotButton="0" quotePrefix="0" xfId="0">
      <alignment horizontal="right" vertical="center"/>
    </xf>
    <xf numFmtId="3" fontId="44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4" fillId="0" borderId="26" applyAlignment="1" pivotButton="0" quotePrefix="0" xfId="0">
      <alignment horizontal="left" vertical="center"/>
    </xf>
    <xf numFmtId="2" fontId="44" fillId="0" borderId="27" applyAlignment="1" pivotButton="0" quotePrefix="0" xfId="0">
      <alignment horizontal="left" vertical="center"/>
    </xf>
    <xf numFmtId="2" fontId="44" fillId="0" borderId="26" applyAlignment="1" pivotButton="0" quotePrefix="0" xfId="0">
      <alignment horizontal="right" vertical="center"/>
    </xf>
    <xf numFmtId="41" fontId="44" fillId="0" borderId="26" applyAlignment="1" pivotButton="0" quotePrefix="0" xfId="0">
      <alignment horizontal="left" vertical="center"/>
    </xf>
    <xf numFmtId="0" fontId="44" fillId="0" borderId="28" applyAlignment="1" pivotButton="0" quotePrefix="0" xfId="0">
      <alignment horizontal="left" vertical="center"/>
    </xf>
    <xf numFmtId="0" fontId="44" fillId="0" borderId="29" applyAlignment="1" pivotButton="0" quotePrefix="0" xfId="0">
      <alignment horizontal="left" vertical="center"/>
    </xf>
    <xf numFmtId="0" fontId="44" fillId="0" borderId="28" applyAlignment="1" pivotButton="0" quotePrefix="0" xfId="0">
      <alignment horizontal="right" vertical="center"/>
    </xf>
    <xf numFmtId="3" fontId="44" fillId="0" borderId="29" applyAlignment="1" pivotButton="0" quotePrefix="0" xfId="0">
      <alignment horizontal="right" vertical="center"/>
    </xf>
    <xf numFmtId="0" fontId="31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0" applyAlignment="1" pivotButton="0" quotePrefix="0" xfId="0">
      <alignment horizontal="left"/>
    </xf>
    <xf numFmtId="3" fontId="41" fillId="6" borderId="31" applyAlignment="1" pivotButton="0" quotePrefix="0" xfId="0">
      <alignment horizontal="right"/>
    </xf>
    <xf numFmtId="3" fontId="41" fillId="9" borderId="31" applyAlignment="1" pivotButton="0" quotePrefix="0" xfId="0">
      <alignment horizontal="right"/>
    </xf>
    <xf numFmtId="0" fontId="45" fillId="6" borderId="0" pivotButton="0" quotePrefix="0" xfId="0"/>
    <xf numFmtId="0" fontId="45" fillId="6" borderId="16" applyAlignment="1" pivotButton="0" quotePrefix="0" xfId="0">
      <alignment horizontal="center" vertical="center"/>
    </xf>
    <xf numFmtId="0" fontId="45" fillId="6" borderId="30" applyAlignment="1" pivotButton="0" quotePrefix="0" xfId="0">
      <alignment horizontal="center" vertical="center"/>
    </xf>
    <xf numFmtId="165" fontId="45" fillId="6" borderId="31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6" borderId="16" applyAlignment="1" pivotButton="0" quotePrefix="0" xfId="0">
      <alignment horizontal="center"/>
    </xf>
    <xf numFmtId="0" fontId="46" fillId="6" borderId="16" applyAlignment="1" pivotButton="0" quotePrefix="0" xfId="0">
      <alignment horizontal="left"/>
    </xf>
    <xf numFmtId="0" fontId="46" fillId="6" borderId="30" applyAlignment="1" pivotButton="0" quotePrefix="0" xfId="0">
      <alignment horizontal="left"/>
    </xf>
    <xf numFmtId="3" fontId="46" fillId="6" borderId="31" applyAlignment="1" pivotButton="0" quotePrefix="0" xfId="0">
      <alignment horizontal="right"/>
    </xf>
    <xf numFmtId="0" fontId="32" fillId="13" borderId="32" pivotButton="0" quotePrefix="0" xfId="0"/>
    <xf numFmtId="0" fontId="12" fillId="6" borderId="32" pivotButton="0" quotePrefix="0" xfId="0"/>
    <xf numFmtId="0" fontId="38" fillId="6" borderId="0" pivotButton="0" quotePrefix="0" xfId="0"/>
    <xf numFmtId="0" fontId="46" fillId="0" borderId="16" applyAlignment="1" pivotButton="0" quotePrefix="0" xfId="0">
      <alignment horizontal="center"/>
    </xf>
    <xf numFmtId="0" fontId="46" fillId="0" borderId="16" applyAlignment="1" pivotButton="0" quotePrefix="0" xfId="0">
      <alignment horizontal="left"/>
    </xf>
    <xf numFmtId="0" fontId="46" fillId="0" borderId="30" applyAlignment="1" pivotButton="0" quotePrefix="0" xfId="0">
      <alignment horizontal="left"/>
    </xf>
    <xf numFmtId="3" fontId="46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 ht="15.5" customHeight="1">
      <c r="B303" s="249" t="n"/>
      <c r="C303" s="15" t="n"/>
      <c r="D303" s="170" t="n"/>
      <c r="E303" s="227" t="n"/>
      <c r="F303" s="250" t="n"/>
      <c r="G303" s="15" t="n"/>
      <c r="H303" s="251" t="n"/>
      <c r="I303" s="15" t="n"/>
      <c r="J303" s="18" t="n"/>
      <c r="K303" s="249" t="n"/>
      <c r="L303" s="252" t="n"/>
      <c r="M303" s="253" t="n"/>
      <c r="N303" s="253" t="n"/>
      <c r="O303" s="252" t="n"/>
      <c r="P303" s="18" t="n"/>
      <c r="Q303" s="262" t="n"/>
    </row>
    <row r="304" ht="15.5" customHeight="1">
      <c r="B304" s="249" t="inlineStr">
        <is>
          <t>PAJAK PENGELUARAN</t>
        </is>
      </c>
      <c r="C304" s="15" t="n">
        <v>17</v>
      </c>
      <c r="D304" s="170" t="inlineStr">
        <is>
          <t>ALFA Service PDP-075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INV017</t>
        </is>
      </c>
      <c r="J304" s="18" t="inlineStr">
        <is>
          <t>SI Jak</t>
        </is>
      </c>
      <c r="K304" s="249" t="n">
        <v>45350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  <c r="Q304" s="262" t="n"/>
    </row>
    <row r="305" ht="15.5" customHeight="1">
      <c r="B305" s="263" t="n">
        <v>45302</v>
      </c>
      <c r="C305" s="264" t="n">
        <v>18</v>
      </c>
      <c r="D305" s="264" t="inlineStr">
        <is>
          <t>ALFA Service PDP-075 Pertamina Zona#4</t>
        </is>
      </c>
      <c r="E305" s="221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INV017</t>
        </is>
      </c>
      <c r="J305" s="18" t="inlineStr">
        <is>
          <t>SI Jak</t>
        </is>
      </c>
      <c r="K305" s="249" t="n">
        <v>45350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  <c r="Q305" s="262" t="n"/>
    </row>
    <row r="306" ht="15.5" customHeight="1">
      <c r="B306" s="224" t="n"/>
      <c r="C306" s="224" t="n"/>
      <c r="D306" s="225" t="n"/>
      <c r="E306" s="226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INV017</t>
        </is>
      </c>
      <c r="J306" s="18" t="inlineStr">
        <is>
          <t>SI Jak</t>
        </is>
      </c>
      <c r="K306" s="249" t="n">
        <v>45350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  <c r="Q306" s="262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0" t="n">
        <v>33836000</v>
      </c>
      <c r="G307" s="15" t="inlineStr">
        <is>
          <t>IDR</t>
        </is>
      </c>
      <c r="H307" s="251" t="n">
        <v>1</v>
      </c>
      <c r="I307" s="251" t="n">
        <v>33836000</v>
      </c>
      <c r="J307" s="252" t="n">
        <v>33836000</v>
      </c>
      <c r="K307" s="249" t="n"/>
      <c r="L307" s="252" t="n"/>
      <c r="M307" s="253" t="n"/>
      <c r="N307" s="253" t="n"/>
      <c r="O307" s="252" t="n"/>
      <c r="P307" s="18" t="n"/>
      <c r="Q307" s="26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0" t="n">
        <v>33836000</v>
      </c>
      <c r="G308" s="15" t="inlineStr">
        <is>
          <t>IDR</t>
        </is>
      </c>
      <c r="H308" s="251" t="n">
        <v>1</v>
      </c>
      <c r="I308" s="251" t="n">
        <v>33836000</v>
      </c>
      <c r="J308" s="252" t="n">
        <v>33836000</v>
      </c>
      <c r="K308" s="249" t="n"/>
      <c r="L308" s="252" t="n"/>
      <c r="M308" s="253" t="n"/>
      <c r="N308" s="253" t="n"/>
      <c r="O308" s="252" t="n"/>
      <c r="P308" s="18" t="n"/>
      <c r="Q308" s="26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0" t="n">
        <v>33836000</v>
      </c>
      <c r="G309" s="15" t="inlineStr">
        <is>
          <t>IDR</t>
        </is>
      </c>
      <c r="H309" s="251" t="n">
        <v>1</v>
      </c>
      <c r="I309" s="251" t="n">
        <v>33836000</v>
      </c>
      <c r="J309" s="252" t="n">
        <v>33836000</v>
      </c>
      <c r="K309" s="249" t="n"/>
      <c r="L309" s="252" t="n"/>
      <c r="M309" s="253" t="n"/>
      <c r="N309" s="253" t="n"/>
      <c r="O309" s="252" t="n"/>
      <c r="P309" s="18" t="n"/>
      <c r="Q309" s="26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0" t="n">
        <v>33836000</v>
      </c>
      <c r="G310" s="15" t="inlineStr">
        <is>
          <t>IDR</t>
        </is>
      </c>
      <c r="H310" s="251" t="n">
        <v>1</v>
      </c>
      <c r="I310" s="251" t="n">
        <v>33836000</v>
      </c>
      <c r="J310" s="252" t="n">
        <v>33836000</v>
      </c>
      <c r="K310" s="249" t="n"/>
      <c r="L310" s="252" t="n"/>
      <c r="M310" s="253" t="n"/>
      <c r="N310" s="253" t="n"/>
      <c r="O310" s="252" t="n"/>
      <c r="P310" s="18" t="n"/>
      <c r="Q310" s="26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0" t="n">
        <v>33836000</v>
      </c>
      <c r="G311" s="15" t="inlineStr">
        <is>
          <t>IDR</t>
        </is>
      </c>
      <c r="H311" s="251" t="n">
        <v>1</v>
      </c>
      <c r="I311" s="251" t="n">
        <v>33836000</v>
      </c>
      <c r="J311" s="252" t="n">
        <v>33836000</v>
      </c>
      <c r="K311" s="249" t="n"/>
      <c r="L311" s="252" t="n"/>
      <c r="M311" s="253" t="n"/>
      <c r="N311" s="253" t="n"/>
      <c r="O311" s="252" t="n"/>
      <c r="P311" s="18" t="n"/>
      <c r="Q311" s="26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0" t="n">
        <v>33836000</v>
      </c>
      <c r="G312" s="15" t="inlineStr">
        <is>
          <t>IDR</t>
        </is>
      </c>
      <c r="H312" s="251" t="n">
        <v>1</v>
      </c>
      <c r="I312" s="251" t="n">
        <v>33836000</v>
      </c>
      <c r="J312" s="252" t="n">
        <v>33836000</v>
      </c>
      <c r="K312" s="249" t="n"/>
      <c r="L312" s="252" t="n"/>
      <c r="M312" s="253" t="n"/>
      <c r="N312" s="253" t="n"/>
      <c r="O312" s="252" t="n"/>
      <c r="P312" s="18" t="n"/>
      <c r="Q312" s="26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0" t="n">
        <v>33836000</v>
      </c>
      <c r="G313" s="15" t="inlineStr">
        <is>
          <t>IDR</t>
        </is>
      </c>
      <c r="H313" s="251" t="n">
        <v>1</v>
      </c>
      <c r="I313" s="251" t="n">
        <v>33836000</v>
      </c>
      <c r="J313" s="252" t="n">
        <v>33836000</v>
      </c>
      <c r="K313" s="249" t="n"/>
      <c r="L313" s="252" t="n"/>
      <c r="M313" s="253" t="n"/>
      <c r="N313" s="253" t="n"/>
      <c r="O313" s="252" t="n"/>
      <c r="P313" s="18" t="n"/>
      <c r="Q313" s="26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0" t="n">
        <v>33836000</v>
      </c>
      <c r="G314" s="15" t="inlineStr">
        <is>
          <t>IDR</t>
        </is>
      </c>
      <c r="H314" s="251" t="n">
        <v>1</v>
      </c>
      <c r="I314" s="251" t="n">
        <v>33836000</v>
      </c>
      <c r="J314" s="252" t="n">
        <v>33836000</v>
      </c>
      <c r="K314" s="249" t="n"/>
      <c r="L314" s="252" t="n"/>
      <c r="M314" s="253" t="n"/>
      <c r="N314" s="253" t="n"/>
      <c r="O314" s="252" t="n"/>
      <c r="P314" s="18" t="n"/>
      <c r="Q314" s="26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0" t="n">
        <v>33836000</v>
      </c>
      <c r="G315" s="15" t="inlineStr">
        <is>
          <t>IDR</t>
        </is>
      </c>
      <c r="H315" s="251" t="n">
        <v>1</v>
      </c>
      <c r="I315" s="251" t="n">
        <v>33836000</v>
      </c>
      <c r="J315" s="252" t="n">
        <v>33836000</v>
      </c>
      <c r="K315" s="249" t="n"/>
      <c r="L315" s="252" t="n"/>
      <c r="M315" s="253" t="n"/>
      <c r="N315" s="253" t="n"/>
      <c r="O315" s="252" t="n"/>
      <c r="P315" s="18" t="n"/>
      <c r="Q315" s="26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0" t="n">
        <v>33836000</v>
      </c>
      <c r="G316" s="15" t="inlineStr">
        <is>
          <t>IDR</t>
        </is>
      </c>
      <c r="H316" s="251" t="n">
        <v>1</v>
      </c>
      <c r="I316" s="251" t="n">
        <v>33836000</v>
      </c>
      <c r="J316" s="252" t="n">
        <v>33836000</v>
      </c>
      <c r="K316" s="249" t="n"/>
      <c r="L316" s="252" t="n"/>
      <c r="M316" s="253" t="n"/>
      <c r="N316" s="253" t="n"/>
      <c r="O316" s="252" t="n"/>
      <c r="P316" s="18" t="n"/>
      <c r="Q316" s="26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0" t="n">
        <v>33836000</v>
      </c>
      <c r="G317" s="15" t="inlineStr">
        <is>
          <t>IDR</t>
        </is>
      </c>
      <c r="H317" s="251" t="n">
        <v>1</v>
      </c>
      <c r="I317" s="251" t="n">
        <v>33836000</v>
      </c>
      <c r="J317" s="252" t="n">
        <v>33836000</v>
      </c>
      <c r="K317" s="249" t="n"/>
      <c r="L317" s="252" t="n"/>
      <c r="M317" s="253" t="n"/>
      <c r="N317" s="253" t="n"/>
      <c r="O317" s="252" t="n"/>
      <c r="P317" s="18" t="n"/>
      <c r="Q317" s="26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0" t="n">
        <v>33836000</v>
      </c>
      <c r="G318" s="15" t="inlineStr">
        <is>
          <t>IDR</t>
        </is>
      </c>
      <c r="H318" s="251" t="n">
        <v>1</v>
      </c>
      <c r="I318" s="251" t="n">
        <v>33836000</v>
      </c>
      <c r="J318" s="252" t="n">
        <v>33836000</v>
      </c>
      <c r="K318" s="249" t="n"/>
      <c r="L318" s="252" t="n"/>
      <c r="M318" s="253" t="n"/>
      <c r="N318" s="253" t="n"/>
      <c r="O318" s="252" t="n"/>
      <c r="P318" s="18" t="n"/>
      <c r="Q318" s="26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0" t="n">
        <v>33836000</v>
      </c>
      <c r="G319" s="15" t="inlineStr">
        <is>
          <t>IDR</t>
        </is>
      </c>
      <c r="H319" s="251" t="n">
        <v>1</v>
      </c>
      <c r="I319" s="251" t="n">
        <v>33836000</v>
      </c>
      <c r="J319" s="252" t="n">
        <v>33836000</v>
      </c>
      <c r="K319" s="249" t="n"/>
      <c r="L319" s="252" t="n"/>
      <c r="M319" s="253" t="n"/>
      <c r="N319" s="253" t="n"/>
      <c r="O319" s="252" t="n"/>
      <c r="P319" s="18" t="n"/>
      <c r="Q319" s="26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0" t="n">
        <v>33836000</v>
      </c>
      <c r="G320" s="15" t="inlineStr">
        <is>
          <t>IDR</t>
        </is>
      </c>
      <c r="H320" s="251" t="n">
        <v>1</v>
      </c>
      <c r="I320" s="251" t="n">
        <v>33836000</v>
      </c>
      <c r="J320" s="252" t="n">
        <v>33836000</v>
      </c>
      <c r="K320" s="249" t="n"/>
      <c r="L320" s="252" t="n"/>
      <c r="M320" s="253" t="n"/>
      <c r="N320" s="253" t="n"/>
      <c r="O320" s="252" t="n"/>
      <c r="P320" s="18" t="n"/>
      <c r="Q320" s="26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0" t="n">
        <v>33836000</v>
      </c>
      <c r="G321" s="15" t="inlineStr">
        <is>
          <t>IDR</t>
        </is>
      </c>
      <c r="H321" s="251" t="n">
        <v>1</v>
      </c>
      <c r="I321" s="251" t="n">
        <v>33836000</v>
      </c>
      <c r="J321" s="252" t="n">
        <v>33836000</v>
      </c>
      <c r="K321" s="249" t="n"/>
      <c r="L321" s="252" t="n"/>
      <c r="M321" s="253" t="n"/>
      <c r="N321" s="253" t="n"/>
      <c r="O321" s="252" t="n"/>
      <c r="P321" s="18" t="n"/>
      <c r="Q321" s="26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0" t="n">
        <v>33836000</v>
      </c>
      <c r="G322" s="15" t="inlineStr">
        <is>
          <t>IDR</t>
        </is>
      </c>
      <c r="H322" s="251" t="n">
        <v>1</v>
      </c>
      <c r="I322" s="251" t="n">
        <v>33836000</v>
      </c>
      <c r="J322" s="252" t="n">
        <v>33836000</v>
      </c>
      <c r="K322" s="249" t="n"/>
      <c r="L322" s="252" t="n"/>
      <c r="M322" s="253" t="n"/>
      <c r="N322" s="253" t="n"/>
      <c r="O322" s="252" t="n"/>
      <c r="P322" s="18" t="n"/>
      <c r="Q322" s="26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0" t="n">
        <v>33836000</v>
      </c>
      <c r="G323" s="15" t="inlineStr">
        <is>
          <t>IDR</t>
        </is>
      </c>
      <c r="H323" s="251" t="n">
        <v>1</v>
      </c>
      <c r="I323" s="251" t="n">
        <v>33836000</v>
      </c>
      <c r="J323" s="252" t="n">
        <v>33836000</v>
      </c>
      <c r="K323" s="249" t="n"/>
      <c r="L323" s="252" t="n"/>
      <c r="M323" s="253" t="n"/>
      <c r="N323" s="253" t="n"/>
      <c r="O323" s="252" t="n"/>
      <c r="P323" s="18" t="n"/>
      <c r="Q323" s="26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0" t="n">
        <v>33836000</v>
      </c>
      <c r="G324" s="15" t="inlineStr">
        <is>
          <t>IDR</t>
        </is>
      </c>
      <c r="H324" s="251" t="n">
        <v>1</v>
      </c>
      <c r="I324" s="251" t="n">
        <v>33836000</v>
      </c>
      <c r="J324" s="252" t="n">
        <v>33836000</v>
      </c>
      <c r="K324" s="249" t="n"/>
      <c r="L324" s="252" t="n"/>
      <c r="M324" s="253" t="n"/>
      <c r="N324" s="253" t="n"/>
      <c r="O324" s="252" t="n"/>
      <c r="P324" s="18" t="n"/>
      <c r="Q324" s="26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0" t="n">
        <v>33836000</v>
      </c>
      <c r="G325" s="15" t="inlineStr">
        <is>
          <t>IDR</t>
        </is>
      </c>
      <c r="H325" s="251" t="n">
        <v>1</v>
      </c>
      <c r="I325" s="251" t="n">
        <v>33836000</v>
      </c>
      <c r="J325" s="252" t="n">
        <v>33836000</v>
      </c>
      <c r="K325" s="249" t="n"/>
      <c r="L325" s="252" t="n"/>
      <c r="M325" s="253" t="n"/>
      <c r="N325" s="253" t="n"/>
      <c r="O325" s="252" t="n"/>
      <c r="P325" s="18" t="n"/>
      <c r="Q325" s="26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0" t="n">
        <v>33836000</v>
      </c>
      <c r="G326" s="15" t="inlineStr">
        <is>
          <t>IDR</t>
        </is>
      </c>
      <c r="H326" s="251" t="n">
        <v>1</v>
      </c>
      <c r="I326" s="251" t="n">
        <v>33836000</v>
      </c>
      <c r="J326" s="252" t="n">
        <v>33836000</v>
      </c>
      <c r="K326" s="249" t="n"/>
      <c r="L326" s="252" t="n"/>
      <c r="M326" s="253" t="n"/>
      <c r="N326" s="253" t="n"/>
      <c r="O326" s="252" t="n"/>
      <c r="P326" s="18" t="n"/>
      <c r="Q326" s="26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0" t="n">
        <v>33836000</v>
      </c>
      <c r="G327" s="15" t="inlineStr">
        <is>
          <t>IDR</t>
        </is>
      </c>
      <c r="H327" s="251" t="n">
        <v>1</v>
      </c>
      <c r="I327" s="251" t="n">
        <v>33836000</v>
      </c>
      <c r="J327" s="252" t="n">
        <v>33836000</v>
      </c>
      <c r="K327" s="249" t="n"/>
      <c r="L327" s="252" t="n"/>
      <c r="M327" s="253" t="n"/>
      <c r="N327" s="253" t="n"/>
      <c r="O327" s="252" t="n"/>
      <c r="P327" s="18" t="n"/>
      <c r="Q327" s="26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0" t="n">
        <v>33836000</v>
      </c>
      <c r="G328" s="15" t="inlineStr">
        <is>
          <t>IDR</t>
        </is>
      </c>
      <c r="H328" s="251" t="n">
        <v>1</v>
      </c>
      <c r="I328" s="251" t="n">
        <v>33836000</v>
      </c>
      <c r="J328" s="252" t="n">
        <v>33836000</v>
      </c>
      <c r="K328" s="249" t="n"/>
      <c r="L328" s="252" t="n"/>
      <c r="M328" s="253" t="n"/>
      <c r="N328" s="253" t="n"/>
      <c r="O328" s="252" t="n"/>
      <c r="P328" s="18" t="n"/>
      <c r="Q328" s="26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0" t="n">
        <v>33836000</v>
      </c>
      <c r="G329" s="15" t="inlineStr">
        <is>
          <t>IDR</t>
        </is>
      </c>
      <c r="H329" s="251" t="n">
        <v>1</v>
      </c>
      <c r="I329" s="251" t="n">
        <v>33836000</v>
      </c>
      <c r="J329" s="252" t="n">
        <v>33836000</v>
      </c>
      <c r="K329" s="249" t="n"/>
      <c r="L329" s="252" t="n"/>
      <c r="M329" s="253" t="n"/>
      <c r="N329" s="253" t="n"/>
      <c r="O329" s="252" t="n"/>
      <c r="P329" s="18" t="n"/>
      <c r="Q329" s="26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0" t="n">
        <v>33836000</v>
      </c>
      <c r="G330" s="15" t="inlineStr">
        <is>
          <t>IDR</t>
        </is>
      </c>
      <c r="H330" s="251" t="n">
        <v>1</v>
      </c>
      <c r="I330" s="251" t="n">
        <v>33836000</v>
      </c>
      <c r="J330" s="252" t="n">
        <v>33836000</v>
      </c>
      <c r="K330" s="249" t="n"/>
      <c r="L330" s="252" t="n"/>
      <c r="M330" s="253" t="n"/>
      <c r="N330" s="253" t="n"/>
      <c r="O330" s="252" t="n"/>
      <c r="P330" s="18" t="n"/>
      <c r="Q330" s="26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0" t="n">
        <v>33836000</v>
      </c>
      <c r="G331" s="15" t="inlineStr">
        <is>
          <t>IDR</t>
        </is>
      </c>
      <c r="H331" s="251" t="n">
        <v>1</v>
      </c>
      <c r="I331" s="251" t="n">
        <v>33836000</v>
      </c>
      <c r="J331" s="252" t="n">
        <v>33836000</v>
      </c>
      <c r="K331" s="249" t="n"/>
      <c r="L331" s="252" t="n"/>
      <c r="M331" s="253" t="n"/>
      <c r="N331" s="253" t="n"/>
      <c r="O331" s="252" t="n"/>
      <c r="P331" s="18" t="n"/>
      <c r="Q331" s="26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0" t="n">
        <v>33836000</v>
      </c>
      <c r="G332" s="15" t="inlineStr">
        <is>
          <t>IDR</t>
        </is>
      </c>
      <c r="H332" s="251" t="n">
        <v>1</v>
      </c>
      <c r="I332" s="251" t="n">
        <v>33836000</v>
      </c>
      <c r="J332" s="252" t="n">
        <v>33836000</v>
      </c>
      <c r="K332" s="249" t="n"/>
      <c r="L332" s="252" t="n"/>
      <c r="M332" s="253" t="n"/>
      <c r="N332" s="253" t="n"/>
      <c r="O332" s="252" t="n"/>
      <c r="P332" s="18" t="n"/>
      <c r="Q332" s="26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0" t="n">
        <v>33836000</v>
      </c>
      <c r="G333" s="15" t="inlineStr">
        <is>
          <t>IDR</t>
        </is>
      </c>
      <c r="H333" s="251" t="n">
        <v>1</v>
      </c>
      <c r="I333" s="251" t="n">
        <v>33836000</v>
      </c>
      <c r="J333" s="252" t="n">
        <v>33836000</v>
      </c>
      <c r="K333" s="249" t="n"/>
      <c r="L333" s="252" t="n"/>
      <c r="M333" s="253" t="n"/>
      <c r="N333" s="253" t="n"/>
      <c r="O333" s="252" t="n"/>
      <c r="P333" s="18" t="n"/>
      <c r="Q333" s="26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0" t="n">
        <v>33836000</v>
      </c>
      <c r="G334" s="15" t="inlineStr">
        <is>
          <t>IDR</t>
        </is>
      </c>
      <c r="H334" s="251" t="n">
        <v>1</v>
      </c>
      <c r="I334" s="251" t="n">
        <v>33836000</v>
      </c>
      <c r="J334" s="252" t="n">
        <v>33836000</v>
      </c>
      <c r="K334" s="249" t="n"/>
      <c r="L334" s="252" t="n"/>
      <c r="M334" s="253" t="n"/>
      <c r="N334" s="253" t="n"/>
      <c r="O334" s="252" t="n"/>
      <c r="P334" s="18" t="n"/>
      <c r="Q334" s="26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0" t="n">
        <v>33836000</v>
      </c>
      <c r="G335" s="15" t="inlineStr">
        <is>
          <t>IDR</t>
        </is>
      </c>
      <c r="H335" s="251" t="n">
        <v>1</v>
      </c>
      <c r="I335" s="251" t="n">
        <v>33836000</v>
      </c>
      <c r="J335" s="252" t="n">
        <v>33836000</v>
      </c>
      <c r="K335" s="249" t="n"/>
      <c r="L335" s="252" t="n"/>
      <c r="M335" s="253" t="n"/>
      <c r="N335" s="253" t="n"/>
      <c r="O335" s="252" t="n"/>
      <c r="P335" s="18" t="n"/>
      <c r="Q335" s="26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0" t="n">
        <v>33836000</v>
      </c>
      <c r="G336" s="15" t="inlineStr">
        <is>
          <t>IDR</t>
        </is>
      </c>
      <c r="H336" s="251" t="n">
        <v>1</v>
      </c>
      <c r="I336" s="251" t="n">
        <v>33836000</v>
      </c>
      <c r="J336" s="252" t="n">
        <v>33836000</v>
      </c>
      <c r="K336" s="249" t="n"/>
      <c r="L336" s="252" t="n"/>
      <c r="M336" s="253" t="n"/>
      <c r="N336" s="253" t="n"/>
      <c r="O336" s="252" t="n"/>
      <c r="P336" s="18" t="n"/>
      <c r="Q336" s="26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0" t="n">
        <v>33836000</v>
      </c>
      <c r="G337" s="15" t="inlineStr">
        <is>
          <t>IDR</t>
        </is>
      </c>
      <c r="H337" s="251" t="n">
        <v>1</v>
      </c>
      <c r="I337" s="251" t="n">
        <v>33836000</v>
      </c>
      <c r="J337" s="252" t="n">
        <v>33836000</v>
      </c>
      <c r="K337" s="249" t="n"/>
      <c r="L337" s="252" t="n"/>
      <c r="M337" s="253" t="n"/>
      <c r="N337" s="253" t="n"/>
      <c r="O337" s="252" t="n"/>
      <c r="P337" s="18" t="n"/>
      <c r="Q337" s="26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0" t="n">
        <v>33836000</v>
      </c>
      <c r="G338" s="15" t="inlineStr">
        <is>
          <t>IDR</t>
        </is>
      </c>
      <c r="H338" s="251" t="n">
        <v>1</v>
      </c>
      <c r="I338" s="251" t="n">
        <v>33836000</v>
      </c>
      <c r="J338" s="252" t="n">
        <v>33836000</v>
      </c>
      <c r="K338" s="249" t="n"/>
      <c r="L338" s="252" t="n"/>
      <c r="M338" s="253" t="n"/>
      <c r="N338" s="253" t="n"/>
      <c r="O338" s="252" t="n"/>
      <c r="P338" s="18" t="n"/>
      <c r="Q338" s="26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0" t="n">
        <v>33836000</v>
      </c>
      <c r="G339" s="15" t="inlineStr">
        <is>
          <t>IDR</t>
        </is>
      </c>
      <c r="H339" s="251" t="n">
        <v>1</v>
      </c>
      <c r="I339" s="251" t="n">
        <v>33836000</v>
      </c>
      <c r="J339" s="252" t="n">
        <v>33836000</v>
      </c>
      <c r="K339" s="249" t="n"/>
      <c r="L339" s="252" t="n"/>
      <c r="M339" s="253" t="n"/>
      <c r="N339" s="253" t="n"/>
      <c r="O339" s="252" t="n"/>
      <c r="P339" s="18" t="n"/>
      <c r="Q339" s="26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0" t="n">
        <v>33836000</v>
      </c>
      <c r="G340" s="15" t="inlineStr">
        <is>
          <t>IDR</t>
        </is>
      </c>
      <c r="H340" s="251" t="n">
        <v>1</v>
      </c>
      <c r="I340" s="251" t="n">
        <v>33836000</v>
      </c>
      <c r="J340" s="252" t="n">
        <v>33836000</v>
      </c>
      <c r="K340" s="249" t="n"/>
      <c r="L340" s="252" t="n"/>
      <c r="M340" s="253" t="n"/>
      <c r="N340" s="253" t="n"/>
      <c r="O340" s="252" t="n"/>
      <c r="P340" s="18" t="n"/>
      <c r="Q340" s="26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0" t="n">
        <v>33836000</v>
      </c>
      <c r="G341" s="15" t="inlineStr">
        <is>
          <t>IDR</t>
        </is>
      </c>
      <c r="H341" s="251" t="n">
        <v>1</v>
      </c>
      <c r="I341" s="251" t="n">
        <v>33836000</v>
      </c>
      <c r="J341" s="252" t="n">
        <v>33836000</v>
      </c>
      <c r="K341" s="249" t="n"/>
      <c r="L341" s="252" t="n"/>
      <c r="M341" s="253" t="n"/>
      <c r="N341" s="253" t="n"/>
      <c r="O341" s="252" t="n"/>
      <c r="P341" s="18" t="n"/>
      <c r="Q341" s="26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0" t="n">
        <v>33836000</v>
      </c>
      <c r="G342" s="15" t="inlineStr">
        <is>
          <t>IDR</t>
        </is>
      </c>
      <c r="H342" s="251" t="n">
        <v>1</v>
      </c>
      <c r="I342" s="251" t="n">
        <v>33836000</v>
      </c>
      <c r="J342" s="252" t="n">
        <v>33836000</v>
      </c>
      <c r="K342" s="249" t="n"/>
      <c r="L342" s="252" t="n"/>
      <c r="M342" s="253" t="n"/>
      <c r="N342" s="253" t="n"/>
      <c r="O342" s="252" t="n"/>
      <c r="P342" s="18" t="n"/>
      <c r="Q342" s="26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0" t="n">
        <v>33836000</v>
      </c>
      <c r="G343" s="15" t="inlineStr">
        <is>
          <t>IDR</t>
        </is>
      </c>
      <c r="H343" s="251" t="n">
        <v>1</v>
      </c>
      <c r="I343" s="251" t="n">
        <v>33836000</v>
      </c>
      <c r="J343" s="252" t="n">
        <v>33836000</v>
      </c>
      <c r="K343" s="249" t="n"/>
      <c r="L343" s="252" t="n"/>
      <c r="M343" s="253" t="n"/>
      <c r="N343" s="253" t="n"/>
      <c r="O343" s="252" t="n"/>
      <c r="P343" s="18" t="n"/>
      <c r="Q343" s="26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0" t="n">
        <v>33836000</v>
      </c>
      <c r="G344" s="15" t="inlineStr">
        <is>
          <t>IDR</t>
        </is>
      </c>
      <c r="H344" s="251" t="n">
        <v>1</v>
      </c>
      <c r="I344" s="251" t="n">
        <v>33836000</v>
      </c>
      <c r="J344" s="252" t="n">
        <v>33836000</v>
      </c>
      <c r="K344" s="249" t="n"/>
      <c r="L344" s="252" t="n"/>
      <c r="M344" s="253" t="n"/>
      <c r="N344" s="253" t="n"/>
      <c r="O344" s="252" t="n"/>
      <c r="P344" s="18" t="n"/>
      <c r="Q344" s="26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0" t="n">
        <v>33836000</v>
      </c>
      <c r="G345" s="15" t="inlineStr">
        <is>
          <t>IDR</t>
        </is>
      </c>
      <c r="H345" s="251" t="n">
        <v>1</v>
      </c>
      <c r="I345" s="251" t="n">
        <v>33836000</v>
      </c>
      <c r="J345" s="252" t="n">
        <v>33836000</v>
      </c>
      <c r="K345" s="249" t="n"/>
      <c r="L345" s="252" t="n"/>
      <c r="M345" s="253" t="n"/>
      <c r="N345" s="253" t="n"/>
      <c r="O345" s="252" t="n"/>
      <c r="P345" s="18" t="n"/>
      <c r="Q345" s="26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0" t="n">
        <v>33836000</v>
      </c>
      <c r="G346" s="15" t="inlineStr">
        <is>
          <t>IDR</t>
        </is>
      </c>
      <c r="H346" s="251" t="n">
        <v>1</v>
      </c>
      <c r="I346" s="251" t="n">
        <v>33836000</v>
      </c>
      <c r="J346" s="252" t="n">
        <v>33836000</v>
      </c>
      <c r="K346" s="249" t="n"/>
      <c r="L346" s="252" t="n"/>
      <c r="M346" s="253" t="n"/>
      <c r="N346" s="253" t="n"/>
      <c r="O346" s="252" t="n"/>
      <c r="P346" s="18" t="n"/>
      <c r="Q346" s="26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0" t="n">
        <v>33836000</v>
      </c>
      <c r="G347" s="15" t="inlineStr">
        <is>
          <t>IDR</t>
        </is>
      </c>
      <c r="H347" s="251" t="n">
        <v>1</v>
      </c>
      <c r="I347" s="251" t="n">
        <v>33836000</v>
      </c>
      <c r="J347" s="252" t="n">
        <v>33836000</v>
      </c>
      <c r="K347" s="249" t="n"/>
      <c r="L347" s="252" t="n"/>
      <c r="M347" s="253" t="n"/>
      <c r="N347" s="253" t="n"/>
      <c r="O347" s="252" t="n"/>
      <c r="P347" s="18" t="n"/>
      <c r="Q347" s="26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0" t="n">
        <v>33836000</v>
      </c>
      <c r="G348" s="15" t="inlineStr">
        <is>
          <t>IDR</t>
        </is>
      </c>
      <c r="H348" s="251" t="n">
        <v>1</v>
      </c>
      <c r="I348" s="251" t="n">
        <v>33836000</v>
      </c>
      <c r="J348" s="252" t="n">
        <v>33836000</v>
      </c>
      <c r="K348" s="249" t="n"/>
      <c r="L348" s="252" t="n"/>
      <c r="M348" s="253" t="n"/>
      <c r="N348" s="253" t="n"/>
      <c r="O348" s="252" t="n"/>
      <c r="P348" s="18" t="n"/>
      <c r="Q348" s="26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0" t="n">
        <v>16500000</v>
      </c>
      <c r="G349" s="15" t="inlineStr">
        <is>
          <t>IDR</t>
        </is>
      </c>
      <c r="H349" s="251" t="n">
        <v>1</v>
      </c>
      <c r="I349" s="251" t="n">
        <v>16500000</v>
      </c>
      <c r="J349" s="252" t="n">
        <v>16500000</v>
      </c>
      <c r="K349" s="249" t="n"/>
      <c r="L349" s="252" t="n"/>
      <c r="M349" s="253" t="n"/>
      <c r="N349" s="253" t="n"/>
      <c r="O349" s="252" t="n"/>
      <c r="P349" s="18" t="n"/>
      <c r="Q349" s="26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0" t="n">
        <v>16500000</v>
      </c>
      <c r="G350" s="15" t="inlineStr">
        <is>
          <t>IDR</t>
        </is>
      </c>
      <c r="H350" s="251" t="n">
        <v>1</v>
      </c>
      <c r="I350" s="251" t="n">
        <v>16500000</v>
      </c>
      <c r="J350" s="252" t="n">
        <v>16500000</v>
      </c>
      <c r="K350" s="249" t="n"/>
      <c r="L350" s="252" t="n"/>
      <c r="M350" s="253" t="n"/>
      <c r="N350" s="253" t="n"/>
      <c r="O350" s="252" t="n"/>
      <c r="P350" s="18" t="n"/>
      <c r="Q350" s="26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0" t="n">
        <v>16500000</v>
      </c>
      <c r="G351" s="15" t="inlineStr">
        <is>
          <t>IDR</t>
        </is>
      </c>
      <c r="H351" s="251" t="n">
        <v>1</v>
      </c>
      <c r="I351" s="251" t="n">
        <v>16500000</v>
      </c>
      <c r="J351" s="252" t="n">
        <v>16500000</v>
      </c>
      <c r="K351" s="249" t="n"/>
      <c r="L351" s="252" t="n"/>
      <c r="M351" s="253" t="n"/>
      <c r="N351" s="253" t="n"/>
      <c r="O351" s="252" t="n"/>
      <c r="P351" s="18" t="n"/>
      <c r="Q351" s="26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0" t="n">
        <v>16500000</v>
      </c>
      <c r="G352" s="15" t="inlineStr">
        <is>
          <t>IDR</t>
        </is>
      </c>
      <c r="H352" s="251" t="n">
        <v>1</v>
      </c>
      <c r="I352" s="251" t="n">
        <v>16500000</v>
      </c>
      <c r="J352" s="252" t="n">
        <v>16500000</v>
      </c>
      <c r="K352" s="249" t="n"/>
      <c r="L352" s="252" t="n"/>
      <c r="M352" s="253" t="n"/>
      <c r="N352" s="253" t="n"/>
      <c r="O352" s="252" t="n"/>
      <c r="P352" s="18" t="n"/>
      <c r="Q352" s="26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0" t="n">
        <v>16500000</v>
      </c>
      <c r="G353" s="15" t="inlineStr">
        <is>
          <t>IDR</t>
        </is>
      </c>
      <c r="H353" s="251" t="n">
        <v>1</v>
      </c>
      <c r="I353" s="251" t="n">
        <v>16500000</v>
      </c>
      <c r="J353" s="252" t="n">
        <v>16500000</v>
      </c>
      <c r="K353" s="249" t="n"/>
      <c r="L353" s="252" t="n"/>
      <c r="M353" s="253" t="n"/>
      <c r="N353" s="253" t="n"/>
      <c r="O353" s="252" t="n"/>
      <c r="P353" s="18" t="n"/>
      <c r="Q353" s="26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0" t="n">
        <v>16500000</v>
      </c>
      <c r="G354" s="15" t="inlineStr">
        <is>
          <t>IDR</t>
        </is>
      </c>
      <c r="H354" s="251" t="n">
        <v>1</v>
      </c>
      <c r="I354" s="251" t="n">
        <v>16500000</v>
      </c>
      <c r="J354" s="252" t="n">
        <v>16500000</v>
      </c>
      <c r="K354" s="249" t="n"/>
      <c r="L354" s="252" t="n"/>
      <c r="M354" s="253" t="n"/>
      <c r="N354" s="253" t="n"/>
      <c r="O354" s="252" t="n"/>
      <c r="P354" s="18" t="n"/>
      <c r="Q354" s="26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0" t="n">
        <v>16500000</v>
      </c>
      <c r="G355" s="15" t="inlineStr">
        <is>
          <t>IDR</t>
        </is>
      </c>
      <c r="H355" s="251" t="n">
        <v>1</v>
      </c>
      <c r="I355" s="251" t="n">
        <v>16500000</v>
      </c>
      <c r="J355" s="252" t="n">
        <v>16500000</v>
      </c>
      <c r="K355" s="249" t="n"/>
      <c r="L355" s="252" t="n"/>
      <c r="M355" s="253" t="n"/>
      <c r="N355" s="253" t="n"/>
      <c r="O355" s="252" t="n"/>
      <c r="P355" s="18" t="n"/>
      <c r="Q355" s="26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0" t="n">
        <v>16500000</v>
      </c>
      <c r="G356" s="15" t="inlineStr">
        <is>
          <t>IDR</t>
        </is>
      </c>
      <c r="H356" s="251" t="n">
        <v>1</v>
      </c>
      <c r="I356" s="251" t="n">
        <v>16500000</v>
      </c>
      <c r="J356" s="252" t="n">
        <v>16500000</v>
      </c>
      <c r="K356" s="249" t="n"/>
      <c r="L356" s="252" t="n"/>
      <c r="M356" s="253" t="n"/>
      <c r="N356" s="253" t="n"/>
      <c r="O356" s="252" t="n"/>
      <c r="P356" s="18" t="n"/>
      <c r="Q356" s="26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0" t="n">
        <v>16500000</v>
      </c>
      <c r="G357" s="15" t="inlineStr">
        <is>
          <t>IDR</t>
        </is>
      </c>
      <c r="H357" s="251" t="n">
        <v>1</v>
      </c>
      <c r="I357" s="251" t="n">
        <v>16500000</v>
      </c>
      <c r="J357" s="252" t="n">
        <v>16500000</v>
      </c>
      <c r="K357" s="249" t="n"/>
      <c r="L357" s="252" t="n"/>
      <c r="M357" s="253" t="n"/>
      <c r="N357" s="253" t="n"/>
      <c r="O357" s="252" t="n"/>
      <c r="P357" s="18" t="n"/>
      <c r="Q357" s="26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0" t="n">
        <v>16500000</v>
      </c>
      <c r="G358" s="15" t="inlineStr">
        <is>
          <t>IDR</t>
        </is>
      </c>
      <c r="H358" s="251" t="n">
        <v>1</v>
      </c>
      <c r="I358" s="251" t="n">
        <v>16500000</v>
      </c>
      <c r="J358" s="252" t="n">
        <v>16500000</v>
      </c>
      <c r="K358" s="249" t="n"/>
      <c r="L358" s="252" t="n"/>
      <c r="M358" s="253" t="n"/>
      <c r="N358" s="253" t="n"/>
      <c r="O358" s="252" t="n"/>
      <c r="P358" s="18" t="n"/>
      <c r="Q358" s="26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0" t="n">
        <v>16500000</v>
      </c>
      <c r="G359" s="15" t="inlineStr">
        <is>
          <t>IDR</t>
        </is>
      </c>
      <c r="H359" s="251" t="n">
        <v>1</v>
      </c>
      <c r="I359" s="251" t="n">
        <v>16500000</v>
      </c>
      <c r="J359" s="252" t="n">
        <v>16500000</v>
      </c>
      <c r="K359" s="249" t="n"/>
      <c r="L359" s="252" t="n"/>
      <c r="M359" s="253" t="n"/>
      <c r="N359" s="253" t="n"/>
      <c r="O359" s="252" t="n"/>
      <c r="P359" s="18" t="n"/>
      <c r="Q359" s="26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0" t="n">
        <v>16500000</v>
      </c>
      <c r="G360" s="15" t="inlineStr">
        <is>
          <t>IDR</t>
        </is>
      </c>
      <c r="H360" s="251" t="n">
        <v>1</v>
      </c>
      <c r="I360" s="251" t="n">
        <v>16500000</v>
      </c>
      <c r="J360" s="252" t="n">
        <v>16500000</v>
      </c>
      <c r="K360" s="249" t="n"/>
      <c r="L360" s="252" t="n"/>
      <c r="M360" s="253" t="n"/>
      <c r="N360" s="253" t="n"/>
      <c r="O360" s="252" t="n"/>
      <c r="P360" s="18" t="n"/>
      <c r="Q360" s="26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0" t="n">
        <v>16500000</v>
      </c>
      <c r="G361" s="15" t="inlineStr">
        <is>
          <t>IDR</t>
        </is>
      </c>
      <c r="H361" s="251" t="n">
        <v>1</v>
      </c>
      <c r="I361" s="251" t="n">
        <v>16500000</v>
      </c>
      <c r="J361" s="252" t="n">
        <v>16500000</v>
      </c>
      <c r="K361" s="249" t="n"/>
      <c r="L361" s="252" t="n"/>
      <c r="M361" s="253" t="n"/>
      <c r="N361" s="253" t="n"/>
      <c r="O361" s="252" t="n"/>
      <c r="P361" s="18" t="n"/>
      <c r="Q361" s="26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0" t="n">
        <v>16500000</v>
      </c>
      <c r="G362" s="15" t="inlineStr">
        <is>
          <t>IDR</t>
        </is>
      </c>
      <c r="H362" s="251" t="n">
        <v>1</v>
      </c>
      <c r="I362" s="251" t="n">
        <v>16500000</v>
      </c>
      <c r="J362" s="252" t="n">
        <v>16500000</v>
      </c>
      <c r="K362" s="249" t="n"/>
      <c r="L362" s="252" t="n"/>
      <c r="M362" s="253" t="n"/>
      <c r="N362" s="253" t="n"/>
      <c r="O362" s="252" t="n"/>
      <c r="P362" s="18" t="n"/>
      <c r="Q362" s="26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0" t="n">
        <v>16500000</v>
      </c>
      <c r="G363" s="15" t="inlineStr">
        <is>
          <t>IDR</t>
        </is>
      </c>
      <c r="H363" s="251" t="n">
        <v>1</v>
      </c>
      <c r="I363" s="251" t="n">
        <v>16500000</v>
      </c>
      <c r="J363" s="252" t="n">
        <v>16500000</v>
      </c>
      <c r="K363" s="249" t="n"/>
      <c r="L363" s="252" t="n"/>
      <c r="M363" s="253" t="n"/>
      <c r="N363" s="253" t="n"/>
      <c r="O363" s="252" t="n"/>
      <c r="P363" s="18" t="n"/>
      <c r="Q363" s="26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0" t="n">
        <v>16500000</v>
      </c>
      <c r="G364" s="15" t="inlineStr">
        <is>
          <t>IDR</t>
        </is>
      </c>
      <c r="H364" s="251" t="n">
        <v>1</v>
      </c>
      <c r="I364" s="251" t="n">
        <v>16500000</v>
      </c>
      <c r="J364" s="252" t="n">
        <v>16500000</v>
      </c>
      <c r="K364" s="249" t="n"/>
      <c r="L364" s="252" t="n"/>
      <c r="M364" s="253" t="n"/>
      <c r="N364" s="253" t="n"/>
      <c r="O364" s="252" t="n"/>
      <c r="P364" s="18" t="n"/>
      <c r="Q364" s="26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0" t="n">
        <v>16500000</v>
      </c>
      <c r="G365" s="15" t="inlineStr">
        <is>
          <t>IDR</t>
        </is>
      </c>
      <c r="H365" s="251" t="n">
        <v>1</v>
      </c>
      <c r="I365" s="251" t="n">
        <v>16500000</v>
      </c>
      <c r="J365" s="252" t="n">
        <v>16500000</v>
      </c>
      <c r="K365" s="249" t="n"/>
      <c r="L365" s="252" t="n"/>
      <c r="M365" s="253" t="n"/>
      <c r="N365" s="253" t="n"/>
      <c r="O365" s="252" t="n"/>
      <c r="P365" s="18" t="n"/>
      <c r="Q365" s="26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0" t="n">
        <v>16500000</v>
      </c>
      <c r="G366" s="15" t="inlineStr">
        <is>
          <t>IDR</t>
        </is>
      </c>
      <c r="H366" s="251" t="n">
        <v>1</v>
      </c>
      <c r="I366" s="251" t="n">
        <v>16500000</v>
      </c>
      <c r="J366" s="252" t="n">
        <v>16500000</v>
      </c>
      <c r="K366" s="249" t="n"/>
      <c r="L366" s="252" t="n"/>
      <c r="M366" s="253" t="n"/>
      <c r="N366" s="253" t="n"/>
      <c r="O366" s="252" t="n"/>
      <c r="P366" s="18" t="n"/>
      <c r="Q366" s="26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0" t="n">
        <v>16500000</v>
      </c>
      <c r="G367" s="15" t="inlineStr">
        <is>
          <t>IDR</t>
        </is>
      </c>
      <c r="H367" s="251" t="n">
        <v>1</v>
      </c>
      <c r="I367" s="251" t="n">
        <v>16500000</v>
      </c>
      <c r="J367" s="252" t="n">
        <v>16500000</v>
      </c>
      <c r="K367" s="249" t="n"/>
      <c r="L367" s="252" t="n"/>
      <c r="M367" s="253" t="n"/>
      <c r="N367" s="253" t="n"/>
      <c r="O367" s="252" t="n"/>
      <c r="P367" s="18" t="n"/>
      <c r="Q367" s="26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0" t="n">
        <v>16500000</v>
      </c>
      <c r="G368" s="15" t="inlineStr">
        <is>
          <t>IDR</t>
        </is>
      </c>
      <c r="H368" s="251" t="n">
        <v>1</v>
      </c>
      <c r="I368" s="251" t="n">
        <v>16500000</v>
      </c>
      <c r="J368" s="252" t="n">
        <v>16500000</v>
      </c>
      <c r="K368" s="249" t="n"/>
      <c r="L368" s="252" t="n"/>
      <c r="M368" s="253" t="n"/>
      <c r="N368" s="253" t="n"/>
      <c r="O368" s="252" t="n"/>
      <c r="P368" s="18" t="n"/>
      <c r="Q368" s="26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0" t="n">
        <v>16500000</v>
      </c>
      <c r="G369" s="15" t="inlineStr">
        <is>
          <t>IDR</t>
        </is>
      </c>
      <c r="H369" s="251" t="n">
        <v>1</v>
      </c>
      <c r="I369" s="251" t="n">
        <v>16500000</v>
      </c>
      <c r="J369" s="252" t="n">
        <v>16500000</v>
      </c>
      <c r="K369" s="249" t="n"/>
      <c r="L369" s="252" t="n"/>
      <c r="M369" s="253" t="n"/>
      <c r="N369" s="253" t="n"/>
      <c r="O369" s="252" t="n"/>
      <c r="P369" s="18" t="n"/>
      <c r="Q369" s="26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0" t="n">
        <v>25439666</v>
      </c>
      <c r="G370" s="15" t="inlineStr">
        <is>
          <t>IDR</t>
        </is>
      </c>
      <c r="H370" s="251" t="n">
        <v>1</v>
      </c>
      <c r="I370" s="15" t="n"/>
      <c r="J370" s="18" t="n"/>
      <c r="K370" s="252" t="n">
        <v>25439666</v>
      </c>
      <c r="L370" s="252" t="n">
        <v>25439666</v>
      </c>
      <c r="M370" s="253" t="n"/>
      <c r="N370" s="253" t="n"/>
      <c r="O370" s="252" t="n"/>
      <c r="P370" s="18" t="n"/>
      <c r="Q370" s="26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0" t="n">
        <v>96126126</v>
      </c>
      <c r="G371" s="15" t="inlineStr">
        <is>
          <t>IDR</t>
        </is>
      </c>
      <c r="H371" s="251" t="n">
        <v>1</v>
      </c>
      <c r="I371" s="251" t="n">
        <v>96126126</v>
      </c>
      <c r="J371" s="252" t="n">
        <v>97126126</v>
      </c>
      <c r="K371" s="249" t="n"/>
      <c r="L371" s="252" t="n"/>
      <c r="M371" s="253" t="n"/>
      <c r="N371" s="253" t="n"/>
      <c r="O371" s="252" t="n"/>
      <c r="P371" s="18" t="n"/>
      <c r="Q371" s="26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0" t="n">
        <v>25439666</v>
      </c>
      <c r="G372" s="15" t="inlineStr">
        <is>
          <t>IDR</t>
        </is>
      </c>
      <c r="H372" s="251" t="n">
        <v>1</v>
      </c>
      <c r="I372" s="15" t="n"/>
      <c r="J372" s="18" t="n"/>
      <c r="K372" s="252" t="n">
        <v>25439666</v>
      </c>
      <c r="L372" s="252" t="n">
        <v>25439666</v>
      </c>
      <c r="M372" s="253" t="n"/>
      <c r="N372" s="253" t="n"/>
      <c r="O372" s="252" t="n"/>
      <c r="P372" s="18" t="n"/>
      <c r="Q372" s="26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0" t="n">
        <v>96126126</v>
      </c>
      <c r="G373" s="15" t="inlineStr">
        <is>
          <t>IDR</t>
        </is>
      </c>
      <c r="H373" s="251" t="n">
        <v>1</v>
      </c>
      <c r="I373" s="251" t="n">
        <v>96126126</v>
      </c>
      <c r="J373" s="252" t="n">
        <v>97126126</v>
      </c>
      <c r="K373" s="249" t="n"/>
      <c r="L373" s="252" t="n"/>
      <c r="M373" s="253" t="n"/>
      <c r="N373" s="253" t="n"/>
      <c r="O373" s="252" t="n"/>
      <c r="P373" s="18" t="n"/>
      <c r="Q373" s="26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0" t="n">
        <v>25439666</v>
      </c>
      <c r="G374" s="15" t="inlineStr">
        <is>
          <t>IDR</t>
        </is>
      </c>
      <c r="H374" s="251" t="n">
        <v>1</v>
      </c>
      <c r="I374" s="15" t="n"/>
      <c r="J374" s="18" t="n"/>
      <c r="K374" s="252" t="n">
        <v>25439666</v>
      </c>
      <c r="L374" s="252" t="n">
        <v>25439666</v>
      </c>
      <c r="M374" s="253" t="n"/>
      <c r="N374" s="253" t="n"/>
      <c r="O374" s="252" t="n"/>
      <c r="P374" s="18" t="n"/>
      <c r="Q374" s="26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0" t="n">
        <v>96126126</v>
      </c>
      <c r="G375" s="15" t="inlineStr">
        <is>
          <t>IDR</t>
        </is>
      </c>
      <c r="H375" s="251" t="n">
        <v>1</v>
      </c>
      <c r="I375" s="251" t="n">
        <v>96126126</v>
      </c>
      <c r="J375" s="252" t="n">
        <v>97126126</v>
      </c>
      <c r="K375" s="249" t="n"/>
      <c r="L375" s="252" t="n"/>
      <c r="M375" s="253" t="n"/>
      <c r="N375" s="253" t="n"/>
      <c r="O375" s="252" t="n"/>
      <c r="P375" s="18" t="n"/>
      <c r="Q375" s="26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0" t="n">
        <v>25439666</v>
      </c>
      <c r="G376" s="15" t="inlineStr">
        <is>
          <t>IDR</t>
        </is>
      </c>
      <c r="H376" s="251" t="n">
        <v>1</v>
      </c>
      <c r="I376" s="15" t="n"/>
      <c r="J376" s="18" t="n"/>
      <c r="K376" s="252" t="n">
        <v>25439666</v>
      </c>
      <c r="L376" s="252" t="n">
        <v>25439666</v>
      </c>
      <c r="M376" s="253" t="n"/>
      <c r="N376" s="253" t="n"/>
      <c r="O376" s="252" t="n"/>
      <c r="P376" s="18" t="n"/>
      <c r="Q376" s="26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0" t="n">
        <v>96126126</v>
      </c>
      <c r="G377" s="15" t="inlineStr">
        <is>
          <t>IDR</t>
        </is>
      </c>
      <c r="H377" s="251" t="n">
        <v>1</v>
      </c>
      <c r="I377" s="251" t="n">
        <v>96126126</v>
      </c>
      <c r="J377" s="252" t="n">
        <v>97126126</v>
      </c>
      <c r="K377" s="249" t="n"/>
      <c r="L377" s="252" t="n"/>
      <c r="M377" s="253" t="n"/>
      <c r="N377" s="253" t="n"/>
      <c r="O377" s="252" t="n"/>
      <c r="P377" s="18" t="n"/>
      <c r="Q377" s="26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0" t="n">
        <v>25439666</v>
      </c>
      <c r="G378" s="15" t="inlineStr">
        <is>
          <t>IDR</t>
        </is>
      </c>
      <c r="H378" s="251" t="n">
        <v>1</v>
      </c>
      <c r="I378" s="15" t="n"/>
      <c r="J378" s="18" t="n"/>
      <c r="K378" s="252" t="n">
        <v>25439666</v>
      </c>
      <c r="L378" s="252" t="n">
        <v>25439666</v>
      </c>
      <c r="M378" s="253" t="n"/>
      <c r="N378" s="253" t="n"/>
      <c r="O378" s="252" t="n"/>
      <c r="P378" s="18" t="n"/>
      <c r="Q378" s="26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0" t="n">
        <v>96126126</v>
      </c>
      <c r="G379" s="15" t="inlineStr">
        <is>
          <t>IDR</t>
        </is>
      </c>
      <c r="H379" s="251" t="n">
        <v>1</v>
      </c>
      <c r="I379" s="251" t="n">
        <v>96126126</v>
      </c>
      <c r="J379" s="252" t="n">
        <v>97126126</v>
      </c>
      <c r="K379" s="249" t="n"/>
      <c r="L379" s="252" t="n"/>
      <c r="M379" s="253" t="n"/>
      <c r="N379" s="253" t="n"/>
      <c r="O379" s="252" t="n"/>
      <c r="P379" s="18" t="n"/>
      <c r="Q379" s="26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0" t="n">
        <v>25439666</v>
      </c>
      <c r="G380" s="15" t="inlineStr">
        <is>
          <t>IDR</t>
        </is>
      </c>
      <c r="H380" s="251" t="n">
        <v>1</v>
      </c>
      <c r="I380" s="15" t="n"/>
      <c r="J380" s="18" t="n"/>
      <c r="K380" s="252" t="n">
        <v>25439666</v>
      </c>
      <c r="L380" s="252" t="n">
        <v>25439666</v>
      </c>
      <c r="M380" s="253" t="n"/>
      <c r="N380" s="253" t="n"/>
      <c r="O380" s="252" t="n"/>
      <c r="P380" s="18" t="n"/>
      <c r="Q380" s="26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0" t="n">
        <v>96126126</v>
      </c>
      <c r="G381" s="15" t="inlineStr">
        <is>
          <t>IDR</t>
        </is>
      </c>
      <c r="H381" s="251" t="n">
        <v>1</v>
      </c>
      <c r="I381" s="251" t="n">
        <v>96126126</v>
      </c>
      <c r="J381" s="252" t="n">
        <v>97126126</v>
      </c>
      <c r="K381" s="249" t="n"/>
      <c r="L381" s="252" t="n"/>
      <c r="M381" s="253" t="n"/>
      <c r="N381" s="253" t="n"/>
      <c r="O381" s="252" t="n"/>
      <c r="P381" s="18" t="n"/>
      <c r="Q381" s="26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0" t="n">
        <v>25439666</v>
      </c>
      <c r="G382" s="15" t="inlineStr">
        <is>
          <t>IDR</t>
        </is>
      </c>
      <c r="H382" s="251" t="n">
        <v>1</v>
      </c>
      <c r="I382" s="15" t="n"/>
      <c r="J382" s="18" t="n"/>
      <c r="K382" s="252" t="n">
        <v>25439666</v>
      </c>
      <c r="L382" s="252" t="n">
        <v>25439666</v>
      </c>
      <c r="M382" s="253" t="n"/>
      <c r="N382" s="253" t="n"/>
      <c r="O382" s="252" t="n"/>
      <c r="P382" s="18" t="n"/>
      <c r="Q382" s="26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0" t="n">
        <v>96126126</v>
      </c>
      <c r="G383" s="15" t="inlineStr">
        <is>
          <t>IDR</t>
        </is>
      </c>
      <c r="H383" s="251" t="n">
        <v>1</v>
      </c>
      <c r="I383" s="251" t="n">
        <v>96126126</v>
      </c>
      <c r="J383" s="252" t="n">
        <v>97126126</v>
      </c>
      <c r="K383" s="249" t="n"/>
      <c r="L383" s="252" t="n"/>
      <c r="M383" s="253" t="n"/>
      <c r="N383" s="253" t="n"/>
      <c r="O383" s="252" t="n"/>
      <c r="P383" s="18" t="n"/>
      <c r="Q383" s="26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0" t="n">
        <v>25439666</v>
      </c>
      <c r="G384" s="15" t="inlineStr">
        <is>
          <t>IDR</t>
        </is>
      </c>
      <c r="H384" s="251" t="n">
        <v>1</v>
      </c>
      <c r="I384" s="15" t="n"/>
      <c r="J384" s="18" t="n"/>
      <c r="K384" s="252" t="n">
        <v>25439666</v>
      </c>
      <c r="L384" s="252" t="n">
        <v>25439666</v>
      </c>
      <c r="M384" s="253" t="n"/>
      <c r="N384" s="253" t="n"/>
      <c r="O384" s="252" t="n"/>
      <c r="P384" s="18" t="n"/>
      <c r="Q384" s="26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0" t="n">
        <v>96126126</v>
      </c>
      <c r="G385" s="15" t="inlineStr">
        <is>
          <t>IDR</t>
        </is>
      </c>
      <c r="H385" s="251" t="n">
        <v>1</v>
      </c>
      <c r="I385" s="251" t="n">
        <v>96126126</v>
      </c>
      <c r="J385" s="252" t="n">
        <v>97126126</v>
      </c>
      <c r="K385" s="249" t="n"/>
      <c r="L385" s="252" t="n"/>
      <c r="M385" s="253" t="n"/>
      <c r="N385" s="253" t="n"/>
      <c r="O385" s="252" t="n"/>
      <c r="P385" s="18" t="n"/>
      <c r="Q385" s="26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0" t="n">
        <v>25439666</v>
      </c>
      <c r="G386" s="15" t="inlineStr">
        <is>
          <t>IDR</t>
        </is>
      </c>
      <c r="H386" s="251" t="n">
        <v>1</v>
      </c>
      <c r="I386" s="15" t="n"/>
      <c r="J386" s="18" t="n"/>
      <c r="K386" s="252" t="n">
        <v>25439666</v>
      </c>
      <c r="L386" s="252" t="n">
        <v>25439666</v>
      </c>
      <c r="M386" s="253" t="n"/>
      <c r="N386" s="253" t="n"/>
      <c r="O386" s="252" t="n"/>
      <c r="P386" s="18" t="n"/>
      <c r="Q386" s="26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0" t="n">
        <v>96126126</v>
      </c>
      <c r="G387" s="15" t="inlineStr">
        <is>
          <t>IDR</t>
        </is>
      </c>
      <c r="H387" s="251" t="n">
        <v>1</v>
      </c>
      <c r="I387" s="251" t="n">
        <v>96126126</v>
      </c>
      <c r="J387" s="252" t="n">
        <v>97126126</v>
      </c>
      <c r="K387" s="249" t="n"/>
      <c r="L387" s="252" t="n"/>
      <c r="M387" s="253" t="n"/>
      <c r="N387" s="253" t="n"/>
      <c r="O387" s="252" t="n"/>
      <c r="P387" s="18" t="n"/>
      <c r="Q387" s="26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0" t="n">
        <v>25439666</v>
      </c>
      <c r="G388" s="15" t="inlineStr">
        <is>
          <t>IDR</t>
        </is>
      </c>
      <c r="H388" s="251" t="n">
        <v>1</v>
      </c>
      <c r="I388" s="15" t="n"/>
      <c r="J388" s="18" t="n"/>
      <c r="K388" s="252" t="n">
        <v>25439666</v>
      </c>
      <c r="L388" s="252" t="n">
        <v>25439666</v>
      </c>
      <c r="M388" s="253" t="n"/>
      <c r="N388" s="253" t="n"/>
      <c r="O388" s="252" t="n"/>
      <c r="P388" s="18" t="n"/>
      <c r="Q388" s="26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0" t="n">
        <v>96126126</v>
      </c>
      <c r="G389" s="15" t="inlineStr">
        <is>
          <t>IDR</t>
        </is>
      </c>
      <c r="H389" s="251" t="n">
        <v>1</v>
      </c>
      <c r="I389" s="251" t="n">
        <v>96126126</v>
      </c>
      <c r="J389" s="252" t="n">
        <v>97126126</v>
      </c>
      <c r="K389" s="249" t="n"/>
      <c r="L389" s="252" t="n"/>
      <c r="M389" s="253" t="n"/>
      <c r="N389" s="253" t="n"/>
      <c r="O389" s="252" t="n"/>
      <c r="P389" s="18" t="n"/>
      <c r="Q389" s="26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0" t="n">
        <v>25439666</v>
      </c>
      <c r="G390" s="15" t="inlineStr">
        <is>
          <t>IDR</t>
        </is>
      </c>
      <c r="H390" s="251" t="n">
        <v>1</v>
      </c>
      <c r="I390" s="15" t="n"/>
      <c r="J390" s="18" t="n"/>
      <c r="K390" s="252" t="n">
        <v>25439666</v>
      </c>
      <c r="L390" s="252" t="n">
        <v>25439666</v>
      </c>
      <c r="M390" s="253" t="n"/>
      <c r="N390" s="253" t="n"/>
      <c r="O390" s="252" t="n"/>
      <c r="P390" s="18" t="n"/>
      <c r="Q390" s="26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0" t="n">
        <v>96126126</v>
      </c>
      <c r="G391" s="15" t="inlineStr">
        <is>
          <t>IDR</t>
        </is>
      </c>
      <c r="H391" s="251" t="n">
        <v>1</v>
      </c>
      <c r="I391" s="251" t="n">
        <v>96126126</v>
      </c>
      <c r="J391" s="252" t="n">
        <v>97126126</v>
      </c>
      <c r="K391" s="249" t="n"/>
      <c r="L391" s="252" t="n"/>
      <c r="M391" s="253" t="n"/>
      <c r="N391" s="253" t="n"/>
      <c r="O391" s="252" t="n"/>
      <c r="P391" s="18" t="n"/>
      <c r="Q391" s="26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0" t="n">
        <v>25439666</v>
      </c>
      <c r="G392" s="15" t="inlineStr">
        <is>
          <t>IDR</t>
        </is>
      </c>
      <c r="H392" s="251" t="n">
        <v>1</v>
      </c>
      <c r="I392" s="15" t="n"/>
      <c r="J392" s="18" t="n"/>
      <c r="K392" s="252" t="n">
        <v>25439666</v>
      </c>
      <c r="L392" s="252" t="n">
        <v>25439666</v>
      </c>
      <c r="M392" s="253" t="n"/>
      <c r="N392" s="253" t="n"/>
      <c r="O392" s="252" t="n"/>
      <c r="P392" s="18" t="n"/>
      <c r="Q392" s="26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0" t="n">
        <v>96126126</v>
      </c>
      <c r="G393" s="15" t="inlineStr">
        <is>
          <t>IDR</t>
        </is>
      </c>
      <c r="H393" s="251" t="n">
        <v>1</v>
      </c>
      <c r="I393" s="251" t="n">
        <v>96126126</v>
      </c>
      <c r="J393" s="252" t="n">
        <v>97126126</v>
      </c>
      <c r="K393" s="249" t="n"/>
      <c r="L393" s="252" t="n"/>
      <c r="M393" s="253" t="n"/>
      <c r="N393" s="253" t="n"/>
      <c r="O393" s="252" t="n"/>
      <c r="P393" s="18" t="n"/>
      <c r="Q393" s="26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0" t="n">
        <v>25439666</v>
      </c>
      <c r="G394" s="15" t="inlineStr">
        <is>
          <t>IDR</t>
        </is>
      </c>
      <c r="H394" s="251" t="n">
        <v>1</v>
      </c>
      <c r="I394" s="15" t="n"/>
      <c r="J394" s="18" t="n"/>
      <c r="K394" s="252" t="n">
        <v>25439666</v>
      </c>
      <c r="L394" s="252" t="n">
        <v>25439666</v>
      </c>
      <c r="M394" s="253" t="n"/>
      <c r="N394" s="253" t="n"/>
      <c r="O394" s="252" t="n"/>
      <c r="P394" s="18" t="n"/>
      <c r="Q394" s="26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0" t="n">
        <v>96126126</v>
      </c>
      <c r="G395" s="15" t="inlineStr">
        <is>
          <t>IDR</t>
        </is>
      </c>
      <c r="H395" s="251" t="n">
        <v>1</v>
      </c>
      <c r="I395" s="251" t="n">
        <v>96126126</v>
      </c>
      <c r="J395" s="252" t="n">
        <v>97126126</v>
      </c>
      <c r="K395" s="249" t="n"/>
      <c r="L395" s="252" t="n"/>
      <c r="M395" s="253" t="n"/>
      <c r="N395" s="253" t="n"/>
      <c r="O395" s="252" t="n"/>
      <c r="P395" s="18" t="n"/>
      <c r="Q395" s="26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0" t="n">
        <v>25439666</v>
      </c>
      <c r="G396" s="15" t="inlineStr">
        <is>
          <t>IDR</t>
        </is>
      </c>
      <c r="H396" s="251" t="n">
        <v>1</v>
      </c>
      <c r="I396" s="15" t="n"/>
      <c r="J396" s="18" t="n"/>
      <c r="K396" s="252" t="n">
        <v>25439666</v>
      </c>
      <c r="L396" s="252" t="n">
        <v>25439666</v>
      </c>
      <c r="M396" s="253" t="n"/>
      <c r="N396" s="253" t="n"/>
      <c r="O396" s="252" t="n"/>
      <c r="P396" s="18" t="n"/>
      <c r="Q396" s="26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0" t="n">
        <v>96126126</v>
      </c>
      <c r="G397" s="15" t="inlineStr">
        <is>
          <t>IDR</t>
        </is>
      </c>
      <c r="H397" s="251" t="n">
        <v>1</v>
      </c>
      <c r="I397" s="251" t="n">
        <v>96126126</v>
      </c>
      <c r="J397" s="252" t="n">
        <v>97126126</v>
      </c>
      <c r="K397" s="249" t="n"/>
      <c r="L397" s="252" t="n"/>
      <c r="M397" s="253" t="n"/>
      <c r="N397" s="253" t="n"/>
      <c r="O397" s="252" t="n"/>
      <c r="P397" s="18" t="n"/>
      <c r="Q397" s="26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0" t="n">
        <v>25439666</v>
      </c>
      <c r="G398" s="15" t="inlineStr">
        <is>
          <t>IDR</t>
        </is>
      </c>
      <c r="H398" s="251" t="n">
        <v>1</v>
      </c>
      <c r="I398" s="15" t="n"/>
      <c r="J398" s="18" t="n"/>
      <c r="K398" s="252" t="n">
        <v>25439666</v>
      </c>
      <c r="L398" s="252" t="n">
        <v>25439666</v>
      </c>
      <c r="M398" s="253" t="n"/>
      <c r="N398" s="253" t="n"/>
      <c r="O398" s="252" t="n"/>
      <c r="P398" s="18" t="n"/>
      <c r="Q398" s="26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0" t="n">
        <v>96126126</v>
      </c>
      <c r="G399" s="15" t="inlineStr">
        <is>
          <t>IDR</t>
        </is>
      </c>
      <c r="H399" s="251" t="n">
        <v>1</v>
      </c>
      <c r="I399" s="251" t="n">
        <v>96126126</v>
      </c>
      <c r="J399" s="252" t="n">
        <v>97126126</v>
      </c>
      <c r="K399" s="249" t="n"/>
      <c r="L399" s="252" t="n"/>
      <c r="M399" s="253" t="n"/>
      <c r="N399" s="253" t="n"/>
      <c r="O399" s="252" t="n"/>
      <c r="P399" s="18" t="n"/>
      <c r="Q399" s="26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0" t="n">
        <v>25439666</v>
      </c>
      <c r="G400" s="15" t="inlineStr">
        <is>
          <t>IDR</t>
        </is>
      </c>
      <c r="H400" s="251" t="n">
        <v>1</v>
      </c>
      <c r="I400" s="15" t="n"/>
      <c r="J400" s="18" t="n"/>
      <c r="K400" s="252" t="n">
        <v>25439666</v>
      </c>
      <c r="L400" s="252" t="n">
        <v>25439666</v>
      </c>
      <c r="M400" s="253" t="n"/>
      <c r="N400" s="253" t="n"/>
      <c r="O400" s="252" t="n"/>
      <c r="P400" s="18" t="n"/>
      <c r="Q400" s="26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0" t="n">
        <v>96126126</v>
      </c>
      <c r="G401" s="15" t="inlineStr">
        <is>
          <t>IDR</t>
        </is>
      </c>
      <c r="H401" s="251" t="n">
        <v>1</v>
      </c>
      <c r="I401" s="251" t="n">
        <v>96126126</v>
      </c>
      <c r="J401" s="252" t="n">
        <v>97126126</v>
      </c>
      <c r="K401" s="249" t="n"/>
      <c r="L401" s="252" t="n"/>
      <c r="M401" s="253" t="n"/>
      <c r="N401" s="253" t="n"/>
      <c r="O401" s="252" t="n"/>
      <c r="P401" s="18" t="n"/>
      <c r="Q401" s="26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0" t="n">
        <v>25439666</v>
      </c>
      <c r="G402" s="15" t="inlineStr">
        <is>
          <t>IDR</t>
        </is>
      </c>
      <c r="H402" s="251" t="n">
        <v>1</v>
      </c>
      <c r="I402" s="15" t="n"/>
      <c r="J402" s="18" t="n"/>
      <c r="K402" s="252" t="n">
        <v>25439666</v>
      </c>
      <c r="L402" s="252" t="n">
        <v>25439666</v>
      </c>
      <c r="M402" s="253" t="n"/>
      <c r="N402" s="253" t="n"/>
      <c r="O402" s="252" t="n"/>
      <c r="P402" s="18" t="n"/>
      <c r="Q402" s="26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0" t="n">
        <v>96126126</v>
      </c>
      <c r="G403" s="15" t="inlineStr">
        <is>
          <t>IDR</t>
        </is>
      </c>
      <c r="H403" s="251" t="n">
        <v>1</v>
      </c>
      <c r="I403" s="251" t="n">
        <v>96126126</v>
      </c>
      <c r="J403" s="252" t="n">
        <v>97126126</v>
      </c>
      <c r="K403" s="249" t="n"/>
      <c r="L403" s="252" t="n"/>
      <c r="M403" s="253" t="n"/>
      <c r="N403" s="253" t="n"/>
      <c r="O403" s="252" t="n"/>
      <c r="P403" s="18" t="n"/>
      <c r="Q403" s="26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0" t="n">
        <v>25439666</v>
      </c>
      <c r="G404" s="15" t="inlineStr">
        <is>
          <t>IDR</t>
        </is>
      </c>
      <c r="H404" s="251" t="n">
        <v>1</v>
      </c>
      <c r="I404" s="15" t="n"/>
      <c r="J404" s="18" t="n"/>
      <c r="K404" s="252" t="n">
        <v>25439666</v>
      </c>
      <c r="L404" s="252" t="n">
        <v>25439666</v>
      </c>
      <c r="M404" s="253" t="n"/>
      <c r="N404" s="253" t="n"/>
      <c r="O404" s="252" t="n"/>
      <c r="P404" s="18" t="n"/>
      <c r="Q404" s="26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0" t="n">
        <v>96126126</v>
      </c>
      <c r="G405" s="15" t="inlineStr">
        <is>
          <t>IDR</t>
        </is>
      </c>
      <c r="H405" s="251" t="n">
        <v>1</v>
      </c>
      <c r="I405" s="251" t="n">
        <v>96126126</v>
      </c>
      <c r="J405" s="252" t="n">
        <v>97126126</v>
      </c>
      <c r="K405" s="249" t="n"/>
      <c r="L405" s="252" t="n"/>
      <c r="M405" s="253" t="n"/>
      <c r="N405" s="253" t="n"/>
      <c r="O405" s="252" t="n"/>
      <c r="P405" s="18" t="n"/>
      <c r="Q405" s="26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0" t="n">
        <v>25439666</v>
      </c>
      <c r="G406" s="15" t="inlineStr">
        <is>
          <t>IDR</t>
        </is>
      </c>
      <c r="H406" s="251" t="n">
        <v>1</v>
      </c>
      <c r="I406" s="15" t="n"/>
      <c r="J406" s="18" t="n"/>
      <c r="K406" s="252" t="n">
        <v>25439666</v>
      </c>
      <c r="L406" s="252" t="n">
        <v>25439666</v>
      </c>
      <c r="M406" s="253" t="n"/>
      <c r="N406" s="253" t="n"/>
      <c r="O406" s="252" t="n"/>
      <c r="P406" s="18" t="n"/>
      <c r="Q406" s="26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0" t="n">
        <v>96126126</v>
      </c>
      <c r="G407" s="15" t="inlineStr">
        <is>
          <t>IDR</t>
        </is>
      </c>
      <c r="H407" s="251" t="n">
        <v>1</v>
      </c>
      <c r="I407" s="251" t="n">
        <v>96126126</v>
      </c>
      <c r="J407" s="252" t="n">
        <v>97126126</v>
      </c>
      <c r="K407" s="249" t="n"/>
      <c r="L407" s="252" t="n"/>
      <c r="M407" s="253" t="n"/>
      <c r="N407" s="253" t="n"/>
      <c r="O407" s="252" t="n"/>
      <c r="P407" s="18" t="n"/>
      <c r="Q407" s="26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0" t="n">
        <v>25439666</v>
      </c>
      <c r="G408" s="15" t="inlineStr">
        <is>
          <t>IDR</t>
        </is>
      </c>
      <c r="H408" s="251" t="n">
        <v>1</v>
      </c>
      <c r="I408" s="15" t="n"/>
      <c r="J408" s="18" t="n"/>
      <c r="K408" s="252" t="n">
        <v>25439666</v>
      </c>
      <c r="L408" s="252" t="n">
        <v>25439666</v>
      </c>
      <c r="M408" s="253" t="n"/>
      <c r="N408" s="253" t="n"/>
      <c r="O408" s="252" t="n"/>
      <c r="P408" s="18" t="n"/>
      <c r="Q408" s="26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0" t="n">
        <v>96126126</v>
      </c>
      <c r="G409" s="15" t="inlineStr">
        <is>
          <t>IDR</t>
        </is>
      </c>
      <c r="H409" s="251" t="n">
        <v>1</v>
      </c>
      <c r="I409" s="251" t="n">
        <v>96126126</v>
      </c>
      <c r="J409" s="252" t="n">
        <v>97126126</v>
      </c>
      <c r="K409" s="249" t="n"/>
      <c r="L409" s="252" t="n"/>
      <c r="M409" s="253" t="n"/>
      <c r="N409" s="253" t="n"/>
      <c r="O409" s="252" t="n"/>
      <c r="P409" s="18" t="n"/>
      <c r="Q409" s="26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0" t="n">
        <v>25439666</v>
      </c>
      <c r="G410" s="15" t="inlineStr">
        <is>
          <t>IDR</t>
        </is>
      </c>
      <c r="H410" s="251" t="n">
        <v>1</v>
      </c>
      <c r="I410" s="15" t="n"/>
      <c r="J410" s="18" t="n"/>
      <c r="K410" s="252" t="n">
        <v>25439666</v>
      </c>
      <c r="L410" s="252" t="n">
        <v>25439666</v>
      </c>
      <c r="M410" s="253" t="n"/>
      <c r="N410" s="253" t="n"/>
      <c r="O410" s="252" t="n"/>
      <c r="P410" s="18" t="n"/>
      <c r="Q410" s="26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0" t="n">
        <v>96126126</v>
      </c>
      <c r="G411" s="15" t="inlineStr">
        <is>
          <t>IDR</t>
        </is>
      </c>
      <c r="H411" s="251" t="n">
        <v>1</v>
      </c>
      <c r="I411" s="251" t="n">
        <v>96126126</v>
      </c>
      <c r="J411" s="252" t="n">
        <v>97126126</v>
      </c>
      <c r="K411" s="249" t="n"/>
      <c r="L411" s="252" t="n"/>
      <c r="M411" s="253" t="n"/>
      <c r="N411" s="253" t="n"/>
      <c r="O411" s="252" t="n"/>
      <c r="P411" s="18" t="n"/>
      <c r="Q411" s="26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0" t="n">
        <v>9790000</v>
      </c>
      <c r="G412" s="15" t="inlineStr">
        <is>
          <t>IDR</t>
        </is>
      </c>
      <c r="H412" s="251" t="n">
        <v>1</v>
      </c>
      <c r="I412" s="251" t="n">
        <v>9790000</v>
      </c>
      <c r="J412" s="252" t="n">
        <v>9790000</v>
      </c>
      <c r="K412" s="249" t="n"/>
      <c r="L412" s="252" t="n"/>
      <c r="M412" s="253" t="n"/>
      <c r="N412" s="253" t="n"/>
      <c r="O412" s="252" t="n"/>
      <c r="P412" s="18" t="n"/>
      <c r="Q412" s="26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0" t="n">
        <v>9790000</v>
      </c>
      <c r="G413" s="15" t="inlineStr">
        <is>
          <t>IDR</t>
        </is>
      </c>
      <c r="H413" s="251" t="n">
        <v>1</v>
      </c>
      <c r="I413" s="251" t="n">
        <v>9790000</v>
      </c>
      <c r="J413" s="252" t="n">
        <v>9790000</v>
      </c>
      <c r="K413" s="249" t="n"/>
      <c r="L413" s="252" t="n"/>
      <c r="M413" s="253" t="n"/>
      <c r="N413" s="253" t="n"/>
      <c r="O413" s="252" t="n"/>
      <c r="P413" s="18" t="n"/>
      <c r="Q413" s="26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0" t="n">
        <v>9790000</v>
      </c>
      <c r="G414" s="15" t="inlineStr">
        <is>
          <t>IDR</t>
        </is>
      </c>
      <c r="H414" s="251" t="n">
        <v>1</v>
      </c>
      <c r="I414" s="251" t="n">
        <v>9790000</v>
      </c>
      <c r="J414" s="252" t="n">
        <v>9790000</v>
      </c>
      <c r="K414" s="249" t="n"/>
      <c r="L414" s="252" t="n"/>
      <c r="M414" s="253" t="n"/>
      <c r="N414" s="253" t="n"/>
      <c r="O414" s="252" t="n"/>
      <c r="P414" s="18" t="n"/>
      <c r="Q414" s="26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0" t="n">
        <v>9790000</v>
      </c>
      <c r="G415" s="15" t="inlineStr">
        <is>
          <t>IDR</t>
        </is>
      </c>
      <c r="H415" s="251" t="n">
        <v>1</v>
      </c>
      <c r="I415" s="251" t="n">
        <v>9790000</v>
      </c>
      <c r="J415" s="252" t="n">
        <v>9790000</v>
      </c>
      <c r="K415" s="249" t="n"/>
      <c r="L415" s="252" t="n"/>
      <c r="M415" s="253" t="n"/>
      <c r="N415" s="253" t="n"/>
      <c r="O415" s="252" t="n"/>
      <c r="P415" s="18" t="n"/>
      <c r="Q415" s="26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0" t="n">
        <v>9790000</v>
      </c>
      <c r="G416" s="15" t="inlineStr">
        <is>
          <t>IDR</t>
        </is>
      </c>
      <c r="H416" s="251" t="n">
        <v>1</v>
      </c>
      <c r="I416" s="251" t="n">
        <v>9790000</v>
      </c>
      <c r="J416" s="252" t="n">
        <v>9790000</v>
      </c>
      <c r="K416" s="249" t="n"/>
      <c r="L416" s="252" t="n"/>
      <c r="M416" s="253" t="n"/>
      <c r="N416" s="253" t="n"/>
      <c r="O416" s="252" t="n"/>
      <c r="P416" s="18" t="n"/>
      <c r="Q416" s="26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0" t="n">
        <v>9790000</v>
      </c>
      <c r="G417" s="15" t="inlineStr">
        <is>
          <t>IDR</t>
        </is>
      </c>
      <c r="H417" s="251" t="n">
        <v>1</v>
      </c>
      <c r="I417" s="251" t="n">
        <v>9790000</v>
      </c>
      <c r="J417" s="252" t="n">
        <v>9790000</v>
      </c>
      <c r="K417" s="249" t="n"/>
      <c r="L417" s="252" t="n"/>
      <c r="M417" s="253" t="n"/>
      <c r="N417" s="253" t="n"/>
      <c r="O417" s="252" t="n"/>
      <c r="P417" s="18" t="n"/>
      <c r="Q417" s="26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0" t="n">
        <v>9790000</v>
      </c>
      <c r="G418" s="15" t="inlineStr">
        <is>
          <t>IDR</t>
        </is>
      </c>
      <c r="H418" s="251" t="n">
        <v>1</v>
      </c>
      <c r="I418" s="251" t="n">
        <v>9790000</v>
      </c>
      <c r="J418" s="252" t="n">
        <v>9790000</v>
      </c>
      <c r="K418" s="249" t="n"/>
      <c r="L418" s="252" t="n"/>
      <c r="M418" s="253" t="n"/>
      <c r="N418" s="253" t="n"/>
      <c r="O418" s="252" t="n"/>
      <c r="P418" s="18" t="n"/>
      <c r="Q418" s="26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0" t="n">
        <v>9790000</v>
      </c>
      <c r="G419" s="15" t="inlineStr">
        <is>
          <t>IDR</t>
        </is>
      </c>
      <c r="H419" s="251" t="n">
        <v>1</v>
      </c>
      <c r="I419" s="251" t="n">
        <v>9790000</v>
      </c>
      <c r="J419" s="252" t="n">
        <v>9790000</v>
      </c>
      <c r="K419" s="249" t="n"/>
      <c r="L419" s="252" t="n"/>
      <c r="M419" s="253" t="n"/>
      <c r="N419" s="253" t="n"/>
      <c r="O419" s="252" t="n"/>
      <c r="P419" s="18" t="n"/>
      <c r="Q419" s="26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0" t="n">
        <v>9790000</v>
      </c>
      <c r="G420" s="15" t="inlineStr">
        <is>
          <t>IDR</t>
        </is>
      </c>
      <c r="H420" s="251" t="n">
        <v>1</v>
      </c>
      <c r="I420" s="251" t="n">
        <v>9790000</v>
      </c>
      <c r="J420" s="252" t="n">
        <v>9790000</v>
      </c>
      <c r="K420" s="249" t="n"/>
      <c r="L420" s="252" t="n"/>
      <c r="M420" s="253" t="n"/>
      <c r="N420" s="253" t="n"/>
      <c r="O420" s="252" t="n"/>
      <c r="P420" s="18" t="n"/>
      <c r="Q420" s="26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0" t="n">
        <v>9790000</v>
      </c>
      <c r="G421" s="15" t="inlineStr">
        <is>
          <t>IDR</t>
        </is>
      </c>
      <c r="H421" s="251" t="n">
        <v>1</v>
      </c>
      <c r="I421" s="251" t="n">
        <v>9790000</v>
      </c>
      <c r="J421" s="252" t="n">
        <v>9790000</v>
      </c>
      <c r="K421" s="249" t="n"/>
      <c r="L421" s="252" t="n"/>
      <c r="M421" s="253" t="n"/>
      <c r="N421" s="253" t="n"/>
      <c r="O421" s="252" t="n"/>
      <c r="P421" s="18" t="n"/>
      <c r="Q421" s="26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0" t="n">
        <v>9790000</v>
      </c>
      <c r="G422" s="15" t="inlineStr">
        <is>
          <t>IDR</t>
        </is>
      </c>
      <c r="H422" s="251" t="n">
        <v>1</v>
      </c>
      <c r="I422" s="251" t="n">
        <v>9790000</v>
      </c>
      <c r="J422" s="252" t="n">
        <v>9790000</v>
      </c>
      <c r="K422" s="249" t="n"/>
      <c r="L422" s="252" t="n"/>
      <c r="M422" s="253" t="n"/>
      <c r="N422" s="253" t="n"/>
      <c r="O422" s="252" t="n"/>
      <c r="P422" s="18" t="n"/>
      <c r="Q422" s="26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0" t="n">
        <v>9790000</v>
      </c>
      <c r="G423" s="15" t="inlineStr">
        <is>
          <t>IDR</t>
        </is>
      </c>
      <c r="H423" s="251" t="n">
        <v>1</v>
      </c>
      <c r="I423" s="251" t="n">
        <v>9790000</v>
      </c>
      <c r="J423" s="252" t="n">
        <v>9790000</v>
      </c>
      <c r="K423" s="249" t="n"/>
      <c r="L423" s="252" t="n"/>
      <c r="M423" s="253" t="n"/>
      <c r="N423" s="253" t="n"/>
      <c r="O423" s="252" t="n"/>
      <c r="P423" s="18" t="n"/>
      <c r="Q423" s="26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0" t="n">
        <v>9790000</v>
      </c>
      <c r="G424" s="15" t="inlineStr">
        <is>
          <t>IDR</t>
        </is>
      </c>
      <c r="H424" s="251" t="n">
        <v>1</v>
      </c>
      <c r="I424" s="251" t="n">
        <v>9790000</v>
      </c>
      <c r="J424" s="252" t="n">
        <v>9790000</v>
      </c>
      <c r="K424" s="249" t="n"/>
      <c r="L424" s="252" t="n"/>
      <c r="M424" s="253" t="n"/>
      <c r="N424" s="253" t="n"/>
      <c r="O424" s="252" t="n"/>
      <c r="P424" s="18" t="n"/>
      <c r="Q424" s="26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0" t="n">
        <v>9790000</v>
      </c>
      <c r="G425" s="15" t="inlineStr">
        <is>
          <t>IDR</t>
        </is>
      </c>
      <c r="H425" s="251" t="n">
        <v>1</v>
      </c>
      <c r="I425" s="251" t="n">
        <v>9790000</v>
      </c>
      <c r="J425" s="252" t="n">
        <v>9790000</v>
      </c>
      <c r="K425" s="249" t="n"/>
      <c r="L425" s="252" t="n"/>
      <c r="M425" s="253" t="n"/>
      <c r="N425" s="253" t="n"/>
      <c r="O425" s="252" t="n"/>
      <c r="P425" s="18" t="n"/>
      <c r="Q425" s="26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0" t="n">
        <v>9790000</v>
      </c>
      <c r="G426" s="15" t="inlineStr">
        <is>
          <t>IDR</t>
        </is>
      </c>
      <c r="H426" s="251" t="n">
        <v>1</v>
      </c>
      <c r="I426" s="251" t="n">
        <v>9790000</v>
      </c>
      <c r="J426" s="252" t="n">
        <v>9790000</v>
      </c>
      <c r="K426" s="249" t="n"/>
      <c r="L426" s="252" t="n"/>
      <c r="M426" s="253" t="n"/>
      <c r="N426" s="253" t="n"/>
      <c r="O426" s="252" t="n"/>
      <c r="P426" s="18" t="n"/>
      <c r="Q426" s="26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0" t="n">
        <v>9790000</v>
      </c>
      <c r="G427" s="15" t="inlineStr">
        <is>
          <t>IDR</t>
        </is>
      </c>
      <c r="H427" s="251" t="n">
        <v>1</v>
      </c>
      <c r="I427" s="251" t="n">
        <v>9790000</v>
      </c>
      <c r="J427" s="252" t="n">
        <v>9790000</v>
      </c>
      <c r="K427" s="249" t="n"/>
      <c r="L427" s="252" t="n"/>
      <c r="M427" s="253" t="n"/>
      <c r="N427" s="253" t="n"/>
      <c r="O427" s="252" t="n"/>
      <c r="P427" s="18" t="n"/>
      <c r="Q427" s="26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0" t="n">
        <v>9790000</v>
      </c>
      <c r="G428" s="15" t="inlineStr">
        <is>
          <t>IDR</t>
        </is>
      </c>
      <c r="H428" s="251" t="n">
        <v>1</v>
      </c>
      <c r="I428" s="251" t="n">
        <v>9790000</v>
      </c>
      <c r="J428" s="252" t="n">
        <v>9790000</v>
      </c>
      <c r="K428" s="249" t="n"/>
      <c r="L428" s="252" t="n"/>
      <c r="M428" s="253" t="n"/>
      <c r="N428" s="253" t="n"/>
      <c r="O428" s="252" t="n"/>
      <c r="P428" s="18" t="n"/>
      <c r="Q428" s="26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0" t="n">
        <v>9790000</v>
      </c>
      <c r="G429" s="15" t="inlineStr">
        <is>
          <t>IDR</t>
        </is>
      </c>
      <c r="H429" s="251" t="n">
        <v>1</v>
      </c>
      <c r="I429" s="251" t="n">
        <v>9790000</v>
      </c>
      <c r="J429" s="252" t="n">
        <v>9790000</v>
      </c>
      <c r="K429" s="249" t="n"/>
      <c r="L429" s="252" t="n"/>
      <c r="M429" s="253" t="n"/>
      <c r="N429" s="253" t="n"/>
      <c r="O429" s="252" t="n"/>
      <c r="P429" s="18" t="n"/>
      <c r="Q429" s="26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0" t="n">
        <v>9790000</v>
      </c>
      <c r="G430" s="15" t="inlineStr">
        <is>
          <t>IDR</t>
        </is>
      </c>
      <c r="H430" s="251" t="n">
        <v>1</v>
      </c>
      <c r="I430" s="251" t="n">
        <v>9790000</v>
      </c>
      <c r="J430" s="252" t="n">
        <v>9790000</v>
      </c>
      <c r="K430" s="249" t="n"/>
      <c r="L430" s="252" t="n"/>
      <c r="M430" s="253" t="n"/>
      <c r="N430" s="253" t="n"/>
      <c r="O430" s="252" t="n"/>
      <c r="P430" s="18" t="n"/>
      <c r="Q430" s="26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0" t="n">
        <v>9790000</v>
      </c>
      <c r="G431" s="15" t="inlineStr">
        <is>
          <t>IDR</t>
        </is>
      </c>
      <c r="H431" s="251" t="n">
        <v>1</v>
      </c>
      <c r="I431" s="251" t="n">
        <v>9790000</v>
      </c>
      <c r="J431" s="252" t="n">
        <v>9790000</v>
      </c>
      <c r="K431" s="249" t="n"/>
      <c r="L431" s="252" t="n"/>
      <c r="M431" s="253" t="n"/>
      <c r="N431" s="253" t="n"/>
      <c r="O431" s="252" t="n"/>
      <c r="P431" s="18" t="n"/>
      <c r="Q431" s="26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0" t="n">
        <v>9790000</v>
      </c>
      <c r="G432" s="15" t="inlineStr">
        <is>
          <t>IDR</t>
        </is>
      </c>
      <c r="H432" s="251" t="n">
        <v>1</v>
      </c>
      <c r="I432" s="251" t="n">
        <v>9790000</v>
      </c>
      <c r="J432" s="252" t="n">
        <v>9790000</v>
      </c>
      <c r="K432" s="249" t="n"/>
      <c r="L432" s="252" t="n"/>
      <c r="M432" s="253" t="n"/>
      <c r="N432" s="253" t="n"/>
      <c r="O432" s="252" t="n"/>
      <c r="P432" s="18" t="n"/>
      <c r="Q432" s="26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0" t="n">
        <v>17716045</v>
      </c>
      <c r="G433" s="15" t="inlineStr">
        <is>
          <t>IDR</t>
        </is>
      </c>
      <c r="H433" s="251" t="n">
        <v>1</v>
      </c>
      <c r="I433" s="15" t="n"/>
      <c r="J433" s="18" t="n"/>
      <c r="K433" s="249" t="n"/>
      <c r="L433" s="252" t="n"/>
      <c r="M433" s="253" t="n"/>
      <c r="N433" s="253" t="n"/>
      <c r="O433" s="252" t="n"/>
      <c r="P433" s="18" t="n"/>
      <c r="Q433" s="26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0" t="n">
        <v>17716045</v>
      </c>
      <c r="G434" s="15" t="inlineStr">
        <is>
          <t>IDR</t>
        </is>
      </c>
      <c r="H434" s="251" t="n">
        <v>1</v>
      </c>
      <c r="I434" s="15" t="n"/>
      <c r="J434" s="18" t="n"/>
      <c r="K434" s="249" t="n"/>
      <c r="L434" s="252" t="n"/>
      <c r="M434" s="253" t="n"/>
      <c r="N434" s="253" t="n"/>
      <c r="O434" s="252" t="n"/>
      <c r="P434" s="18" t="n"/>
      <c r="Q434" s="26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0" t="n">
        <v>17716045</v>
      </c>
      <c r="G435" s="15" t="inlineStr">
        <is>
          <t>IDR</t>
        </is>
      </c>
      <c r="H435" s="251" t="n">
        <v>1</v>
      </c>
      <c r="I435" s="15" t="n"/>
      <c r="J435" s="18" t="n"/>
      <c r="K435" s="249" t="n"/>
      <c r="L435" s="252" t="n"/>
      <c r="M435" s="253" t="n"/>
      <c r="N435" s="253" t="n"/>
      <c r="O435" s="252" t="n"/>
      <c r="P435" s="18" t="n"/>
      <c r="Q435" s="26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0" t="n">
        <v>17716045</v>
      </c>
      <c r="G436" s="15" t="inlineStr">
        <is>
          <t>IDR</t>
        </is>
      </c>
      <c r="H436" s="251" t="n">
        <v>1</v>
      </c>
      <c r="I436" s="15" t="n"/>
      <c r="J436" s="18" t="n"/>
      <c r="K436" s="249" t="n"/>
      <c r="L436" s="252" t="n"/>
      <c r="M436" s="253" t="n"/>
      <c r="N436" s="253" t="n"/>
      <c r="O436" s="252" t="n"/>
      <c r="P436" s="18" t="n"/>
      <c r="Q436" s="26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0" t="n">
        <v>17716045</v>
      </c>
      <c r="G437" s="15" t="inlineStr">
        <is>
          <t>IDR</t>
        </is>
      </c>
      <c r="H437" s="251" t="n">
        <v>1</v>
      </c>
      <c r="I437" s="15" t="n"/>
      <c r="J437" s="18" t="n"/>
      <c r="K437" s="249" t="n"/>
      <c r="L437" s="252" t="n"/>
      <c r="M437" s="253" t="n"/>
      <c r="N437" s="253" t="n"/>
      <c r="O437" s="252" t="n"/>
      <c r="P437" s="18" t="n"/>
      <c r="Q437" s="26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0" t="n">
        <v>17716045</v>
      </c>
      <c r="G438" s="15" t="inlineStr">
        <is>
          <t>IDR</t>
        </is>
      </c>
      <c r="H438" s="251" t="n">
        <v>1</v>
      </c>
      <c r="I438" s="15" t="n"/>
      <c r="J438" s="18" t="n"/>
      <c r="K438" s="249" t="n"/>
      <c r="L438" s="252" t="n"/>
      <c r="M438" s="253" t="n"/>
      <c r="N438" s="253" t="n"/>
      <c r="O438" s="252" t="n"/>
      <c r="P438" s="18" t="n"/>
      <c r="Q438" s="26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0" t="n">
        <v>17716045</v>
      </c>
      <c r="G439" s="15" t="inlineStr">
        <is>
          <t>IDR</t>
        </is>
      </c>
      <c r="H439" s="251" t="n">
        <v>1</v>
      </c>
      <c r="I439" s="15" t="n"/>
      <c r="J439" s="18" t="n"/>
      <c r="K439" s="249" t="n"/>
      <c r="L439" s="252" t="n"/>
      <c r="M439" s="253" t="n"/>
      <c r="N439" s="253" t="n"/>
      <c r="O439" s="252" t="n"/>
      <c r="P439" s="18" t="n"/>
      <c r="Q439" s="26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0" t="n">
        <v>17716045</v>
      </c>
      <c r="G440" s="15" t="inlineStr">
        <is>
          <t>IDR</t>
        </is>
      </c>
      <c r="H440" s="251" t="n">
        <v>1</v>
      </c>
      <c r="I440" s="15" t="n"/>
      <c r="J440" s="18" t="n"/>
      <c r="K440" s="249" t="n"/>
      <c r="L440" s="252" t="n"/>
      <c r="M440" s="253" t="n"/>
      <c r="N440" s="253" t="n"/>
      <c r="O440" s="252" t="n"/>
      <c r="P440" s="18" t="n"/>
      <c r="Q440" s="26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0" t="n">
        <v>17716045</v>
      </c>
      <c r="G441" s="15" t="inlineStr">
        <is>
          <t>IDR</t>
        </is>
      </c>
      <c r="H441" s="251" t="n">
        <v>1</v>
      </c>
      <c r="I441" s="15" t="n"/>
      <c r="J441" s="18" t="n"/>
      <c r="K441" s="249" t="n"/>
      <c r="L441" s="252" t="n"/>
      <c r="M441" s="253" t="n"/>
      <c r="N441" s="253" t="n"/>
      <c r="O441" s="252" t="n"/>
      <c r="P441" s="18" t="n"/>
      <c r="Q441" s="26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0" t="n">
        <v>17716045</v>
      </c>
      <c r="G442" s="15" t="inlineStr">
        <is>
          <t>IDR</t>
        </is>
      </c>
      <c r="H442" s="251" t="n">
        <v>1</v>
      </c>
      <c r="I442" s="15" t="n"/>
      <c r="J442" s="18" t="n"/>
      <c r="K442" s="249" t="n"/>
      <c r="L442" s="252" t="n"/>
      <c r="M442" s="253" t="n"/>
      <c r="N442" s="253" t="n"/>
      <c r="O442" s="252" t="n"/>
      <c r="P442" s="18" t="n"/>
      <c r="Q442" s="26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0" t="n">
        <v>17716045</v>
      </c>
      <c r="G443" s="15" t="inlineStr">
        <is>
          <t>IDR</t>
        </is>
      </c>
      <c r="H443" s="251" t="n">
        <v>1</v>
      </c>
      <c r="I443" s="15" t="n"/>
      <c r="J443" s="18" t="n"/>
      <c r="K443" s="249" t="n"/>
      <c r="L443" s="252" t="n"/>
      <c r="M443" s="253" t="n"/>
      <c r="N443" s="253" t="n"/>
      <c r="O443" s="252" t="n"/>
      <c r="P443" s="18" t="n"/>
      <c r="Q443" s="26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0" t="n">
        <v>17716045</v>
      </c>
      <c r="G444" s="15" t="inlineStr">
        <is>
          <t>IDR</t>
        </is>
      </c>
      <c r="H444" s="251" t="n">
        <v>1</v>
      </c>
      <c r="I444" s="15" t="n"/>
      <c r="J444" s="18" t="n"/>
      <c r="K444" s="249" t="n"/>
      <c r="L444" s="252" t="n"/>
      <c r="M444" s="253" t="n"/>
      <c r="N444" s="253" t="n"/>
      <c r="O444" s="252" t="n"/>
      <c r="P444" s="18" t="n"/>
      <c r="Q444" s="26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0" t="n">
        <v>17716045</v>
      </c>
      <c r="G445" s="15" t="inlineStr">
        <is>
          <t>IDR</t>
        </is>
      </c>
      <c r="H445" s="251" t="n">
        <v>1</v>
      </c>
      <c r="I445" s="15" t="n"/>
      <c r="J445" s="18" t="n"/>
      <c r="K445" s="249" t="n"/>
      <c r="L445" s="252" t="n"/>
      <c r="M445" s="253" t="n"/>
      <c r="N445" s="253" t="n"/>
      <c r="O445" s="252" t="n"/>
      <c r="P445" s="18" t="n"/>
      <c r="Q445" s="26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0" t="n">
        <v>17716045</v>
      </c>
      <c r="G446" s="15" t="inlineStr">
        <is>
          <t>IDR</t>
        </is>
      </c>
      <c r="H446" s="251" t="n">
        <v>1</v>
      </c>
      <c r="I446" s="15" t="n"/>
      <c r="J446" s="18" t="n"/>
      <c r="K446" s="249" t="n"/>
      <c r="L446" s="252" t="n"/>
      <c r="M446" s="253" t="n"/>
      <c r="N446" s="253" t="n"/>
      <c r="O446" s="252" t="n"/>
      <c r="P446" s="18" t="n"/>
      <c r="Q446" s="26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0" t="n">
        <v>17716045</v>
      </c>
      <c r="G447" s="15" t="inlineStr">
        <is>
          <t>IDR</t>
        </is>
      </c>
      <c r="H447" s="251" t="n">
        <v>1</v>
      </c>
      <c r="I447" s="15" t="n"/>
      <c r="J447" s="18" t="n"/>
      <c r="K447" s="249" t="n"/>
      <c r="L447" s="252" t="n"/>
      <c r="M447" s="253" t="n"/>
      <c r="N447" s="253" t="n"/>
      <c r="O447" s="252" t="n"/>
      <c r="P447" s="18" t="n"/>
      <c r="Q447" s="26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0" t="n">
        <v>17716045</v>
      </c>
      <c r="G448" s="15" t="inlineStr">
        <is>
          <t>IDR</t>
        </is>
      </c>
      <c r="H448" s="251" t="n">
        <v>1</v>
      </c>
      <c r="I448" s="15" t="n"/>
      <c r="J448" s="18" t="n"/>
      <c r="K448" s="249" t="n"/>
      <c r="L448" s="252" t="n"/>
      <c r="M448" s="253" t="n"/>
      <c r="N448" s="253" t="n"/>
      <c r="O448" s="252" t="n"/>
      <c r="P448" s="18" t="n"/>
      <c r="Q448" s="26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0" t="n">
        <v>17716045</v>
      </c>
      <c r="G449" s="15" t="inlineStr">
        <is>
          <t>IDR</t>
        </is>
      </c>
      <c r="H449" s="251" t="n">
        <v>1</v>
      </c>
      <c r="I449" s="15" t="n"/>
      <c r="J449" s="18" t="n"/>
      <c r="K449" s="249" t="n"/>
      <c r="L449" s="252" t="n"/>
      <c r="M449" s="253" t="n"/>
      <c r="N449" s="253" t="n"/>
      <c r="O449" s="252" t="n"/>
      <c r="P449" s="18" t="n"/>
      <c r="Q449" s="26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0" t="n">
        <v>17716045</v>
      </c>
      <c r="G450" s="15" t="inlineStr">
        <is>
          <t>IDR</t>
        </is>
      </c>
      <c r="H450" s="251" t="n">
        <v>1</v>
      </c>
      <c r="I450" s="15" t="n"/>
      <c r="J450" s="18" t="n"/>
      <c r="K450" s="249" t="n"/>
      <c r="L450" s="252" t="n"/>
      <c r="M450" s="253" t="n"/>
      <c r="N450" s="253" t="n"/>
      <c r="O450" s="252" t="n"/>
      <c r="P450" s="18" t="n"/>
      <c r="Q450" s="26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0" t="n">
        <v>17716045</v>
      </c>
      <c r="G451" s="15" t="inlineStr">
        <is>
          <t>IDR</t>
        </is>
      </c>
      <c r="H451" s="251" t="n">
        <v>1</v>
      </c>
      <c r="I451" s="15" t="n"/>
      <c r="J451" s="18" t="n"/>
      <c r="K451" s="249" t="n"/>
      <c r="L451" s="252" t="n"/>
      <c r="M451" s="253" t="n"/>
      <c r="N451" s="253" t="n"/>
      <c r="O451" s="252" t="n"/>
      <c r="P451" s="18" t="n"/>
      <c r="Q451" s="26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0" t="n">
        <v>17716045</v>
      </c>
      <c r="G452" s="15" t="inlineStr">
        <is>
          <t>IDR</t>
        </is>
      </c>
      <c r="H452" s="251" t="n">
        <v>1</v>
      </c>
      <c r="I452" s="15" t="n"/>
      <c r="J452" s="18" t="n"/>
      <c r="K452" s="249" t="n"/>
      <c r="L452" s="252" t="n"/>
      <c r="M452" s="253" t="n"/>
      <c r="N452" s="253" t="n"/>
      <c r="O452" s="252" t="n"/>
      <c r="P452" s="18" t="n"/>
      <c r="Q452" s="26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0" t="n">
        <v>17716045</v>
      </c>
      <c r="G453" s="15" t="inlineStr">
        <is>
          <t>IDR</t>
        </is>
      </c>
      <c r="H453" s="251" t="n">
        <v>1</v>
      </c>
      <c r="I453" s="15" t="n"/>
      <c r="J453" s="18" t="n"/>
      <c r="K453" s="249" t="n"/>
      <c r="L453" s="252" t="n"/>
      <c r="M453" s="253" t="n"/>
      <c r="N453" s="253" t="n"/>
      <c r="O453" s="252" t="n"/>
      <c r="P453" s="18" t="n"/>
      <c r="Q453" s="26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0" t="n">
        <v>33836000</v>
      </c>
      <c r="G454" s="15" t="inlineStr">
        <is>
          <t>IDR</t>
        </is>
      </c>
      <c r="H454" s="251" t="n">
        <v>1</v>
      </c>
      <c r="I454" s="251" t="n">
        <v>33836000</v>
      </c>
      <c r="J454" s="252" t="n">
        <v>33836000</v>
      </c>
      <c r="K454" s="249" t="n"/>
      <c r="L454" s="252" t="n"/>
      <c r="M454" s="253" t="n"/>
      <c r="N454" s="253" t="n"/>
      <c r="O454" s="252" t="n"/>
      <c r="P454" s="18" t="n"/>
      <c r="Q454" s="26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0" t="n">
        <v>33836000</v>
      </c>
      <c r="G455" s="15" t="inlineStr">
        <is>
          <t>IDR</t>
        </is>
      </c>
      <c r="H455" s="251" t="n">
        <v>1</v>
      </c>
      <c r="I455" s="251" t="n">
        <v>33836000</v>
      </c>
      <c r="J455" s="252" t="n">
        <v>33836000</v>
      </c>
      <c r="K455" s="249" t="n"/>
      <c r="L455" s="252" t="n"/>
      <c r="M455" s="253" t="n"/>
      <c r="N455" s="253" t="n"/>
      <c r="O455" s="252" t="n"/>
      <c r="P455" s="18" t="n"/>
      <c r="Q455" s="26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0" t="n">
        <v>33836000</v>
      </c>
      <c r="G456" s="15" t="inlineStr">
        <is>
          <t>IDR</t>
        </is>
      </c>
      <c r="H456" s="251" t="n">
        <v>1</v>
      </c>
      <c r="I456" s="251" t="n">
        <v>33836000</v>
      </c>
      <c r="J456" s="252" t="n">
        <v>33836000</v>
      </c>
      <c r="K456" s="249" t="n"/>
      <c r="L456" s="252" t="n"/>
      <c r="M456" s="253" t="n"/>
      <c r="N456" s="253" t="n"/>
      <c r="O456" s="252" t="n"/>
      <c r="P456" s="18" t="n"/>
      <c r="Q456" s="26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0" t="n">
        <v>33836000</v>
      </c>
      <c r="G457" s="15" t="inlineStr">
        <is>
          <t>IDR</t>
        </is>
      </c>
      <c r="H457" s="251" t="n">
        <v>1</v>
      </c>
      <c r="I457" s="251" t="n">
        <v>33836000</v>
      </c>
      <c r="J457" s="252" t="n">
        <v>33836000</v>
      </c>
      <c r="K457" s="249" t="n"/>
      <c r="L457" s="252" t="n"/>
      <c r="M457" s="253" t="n"/>
      <c r="N457" s="253" t="n"/>
      <c r="O457" s="252" t="n"/>
      <c r="P457" s="18" t="n"/>
      <c r="Q457" s="26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0" t="n">
        <v>33836000</v>
      </c>
      <c r="G458" s="15" t="inlineStr">
        <is>
          <t>IDR</t>
        </is>
      </c>
      <c r="H458" s="251" t="n">
        <v>1</v>
      </c>
      <c r="I458" s="251" t="n">
        <v>33836000</v>
      </c>
      <c r="J458" s="252" t="n">
        <v>33836000</v>
      </c>
      <c r="K458" s="249" t="n"/>
      <c r="L458" s="252" t="n"/>
      <c r="M458" s="253" t="n"/>
      <c r="N458" s="253" t="n"/>
      <c r="O458" s="252" t="n"/>
      <c r="P458" s="18" t="n"/>
      <c r="Q458" s="26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0" t="n">
        <v>33836000</v>
      </c>
      <c r="G459" s="15" t="inlineStr">
        <is>
          <t>IDR</t>
        </is>
      </c>
      <c r="H459" s="251" t="n">
        <v>1</v>
      </c>
      <c r="I459" s="251" t="n">
        <v>33836000</v>
      </c>
      <c r="J459" s="252" t="n">
        <v>33836000</v>
      </c>
      <c r="K459" s="249" t="n"/>
      <c r="L459" s="252" t="n"/>
      <c r="M459" s="253" t="n"/>
      <c r="N459" s="253" t="n"/>
      <c r="O459" s="252" t="n"/>
      <c r="P459" s="18" t="n"/>
      <c r="Q459" s="26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0" t="n">
        <v>33836000</v>
      </c>
      <c r="G460" s="15" t="inlineStr">
        <is>
          <t>IDR</t>
        </is>
      </c>
      <c r="H460" s="251" t="n">
        <v>1</v>
      </c>
      <c r="I460" s="251" t="n">
        <v>33836000</v>
      </c>
      <c r="J460" s="252" t="n">
        <v>33836000</v>
      </c>
      <c r="K460" s="249" t="n"/>
      <c r="L460" s="252" t="n"/>
      <c r="M460" s="253" t="n"/>
      <c r="N460" s="253" t="n"/>
      <c r="O460" s="252" t="n"/>
      <c r="P460" s="18" t="n"/>
      <c r="Q460" s="26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0" t="n">
        <v>33836000</v>
      </c>
      <c r="G461" s="15" t="inlineStr">
        <is>
          <t>IDR</t>
        </is>
      </c>
      <c r="H461" s="251" t="n">
        <v>1</v>
      </c>
      <c r="I461" s="251" t="n">
        <v>33836000</v>
      </c>
      <c r="J461" s="252" t="n">
        <v>33836000</v>
      </c>
      <c r="K461" s="249" t="n"/>
      <c r="L461" s="252" t="n"/>
      <c r="M461" s="253" t="n"/>
      <c r="N461" s="253" t="n"/>
      <c r="O461" s="252" t="n"/>
      <c r="P461" s="18" t="n"/>
      <c r="Q461" s="26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0" t="n">
        <v>33836000</v>
      </c>
      <c r="G462" s="15" t="inlineStr">
        <is>
          <t>IDR</t>
        </is>
      </c>
      <c r="H462" s="251" t="n">
        <v>1</v>
      </c>
      <c r="I462" s="251" t="n">
        <v>33836000</v>
      </c>
      <c r="J462" s="252" t="n">
        <v>33836000</v>
      </c>
      <c r="K462" s="249" t="n"/>
      <c r="L462" s="252" t="n"/>
      <c r="M462" s="253" t="n"/>
      <c r="N462" s="253" t="n"/>
      <c r="O462" s="252" t="n"/>
      <c r="P462" s="18" t="n"/>
      <c r="Q462" s="26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0" t="n">
        <v>33836000</v>
      </c>
      <c r="G463" s="15" t="inlineStr">
        <is>
          <t>IDR</t>
        </is>
      </c>
      <c r="H463" s="251" t="n">
        <v>1</v>
      </c>
      <c r="I463" s="251" t="n">
        <v>33836000</v>
      </c>
      <c r="J463" s="252" t="n">
        <v>33836000</v>
      </c>
      <c r="K463" s="249" t="n"/>
      <c r="L463" s="252" t="n"/>
      <c r="M463" s="253" t="n"/>
      <c r="N463" s="253" t="n"/>
      <c r="O463" s="252" t="n"/>
      <c r="P463" s="18" t="n"/>
      <c r="Q463" s="26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0" t="n">
        <v>33836000</v>
      </c>
      <c r="G464" s="15" t="inlineStr">
        <is>
          <t>IDR</t>
        </is>
      </c>
      <c r="H464" s="251" t="n">
        <v>1</v>
      </c>
      <c r="I464" s="251" t="n">
        <v>33836000</v>
      </c>
      <c r="J464" s="252" t="n">
        <v>33836000</v>
      </c>
      <c r="K464" s="249" t="n"/>
      <c r="L464" s="252" t="n"/>
      <c r="M464" s="253" t="n"/>
      <c r="N464" s="253" t="n"/>
      <c r="O464" s="252" t="n"/>
      <c r="P464" s="18" t="n"/>
      <c r="Q464" s="26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0" t="n">
        <v>33836000</v>
      </c>
      <c r="G465" s="15" t="inlineStr">
        <is>
          <t>IDR</t>
        </is>
      </c>
      <c r="H465" s="251" t="n">
        <v>1</v>
      </c>
      <c r="I465" s="251" t="n">
        <v>33836000</v>
      </c>
      <c r="J465" s="252" t="n">
        <v>33836000</v>
      </c>
      <c r="K465" s="249" t="n"/>
      <c r="L465" s="252" t="n"/>
      <c r="M465" s="253" t="n"/>
      <c r="N465" s="253" t="n"/>
      <c r="O465" s="252" t="n"/>
      <c r="P465" s="18" t="n"/>
      <c r="Q465" s="26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0" t="n">
        <v>33836000</v>
      </c>
      <c r="G466" s="15" t="inlineStr">
        <is>
          <t>IDR</t>
        </is>
      </c>
      <c r="H466" s="251" t="n">
        <v>1</v>
      </c>
      <c r="I466" s="251" t="n">
        <v>33836000</v>
      </c>
      <c r="J466" s="252" t="n">
        <v>33836000</v>
      </c>
      <c r="K466" s="249" t="n"/>
      <c r="L466" s="252" t="n"/>
      <c r="M466" s="253" t="n"/>
      <c r="N466" s="253" t="n"/>
      <c r="O466" s="252" t="n"/>
      <c r="P466" s="18" t="n"/>
      <c r="Q466" s="26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0" t="n">
        <v>33836000</v>
      </c>
      <c r="G467" s="15" t="inlineStr">
        <is>
          <t>IDR</t>
        </is>
      </c>
      <c r="H467" s="251" t="n">
        <v>1</v>
      </c>
      <c r="I467" s="251" t="n">
        <v>33836000</v>
      </c>
      <c r="J467" s="252" t="n">
        <v>33836000</v>
      </c>
      <c r="K467" s="249" t="n"/>
      <c r="L467" s="252" t="n"/>
      <c r="M467" s="253" t="n"/>
      <c r="N467" s="253" t="n"/>
      <c r="O467" s="252" t="n"/>
      <c r="P467" s="18" t="n"/>
      <c r="Q467" s="26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0" t="n">
        <v>33836000</v>
      </c>
      <c r="G468" s="15" t="inlineStr">
        <is>
          <t>IDR</t>
        </is>
      </c>
      <c r="H468" s="251" t="n">
        <v>1</v>
      </c>
      <c r="I468" s="251" t="n">
        <v>33836000</v>
      </c>
      <c r="J468" s="252" t="n">
        <v>33836000</v>
      </c>
      <c r="K468" s="249" t="n"/>
      <c r="L468" s="252" t="n"/>
      <c r="M468" s="253" t="n"/>
      <c r="N468" s="253" t="n"/>
      <c r="O468" s="252" t="n"/>
      <c r="P468" s="18" t="n"/>
      <c r="Q468" s="26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0" t="n">
        <v>33836000</v>
      </c>
      <c r="G469" s="15" t="inlineStr">
        <is>
          <t>IDR</t>
        </is>
      </c>
      <c r="H469" s="251" t="n">
        <v>1</v>
      </c>
      <c r="I469" s="251" t="n">
        <v>33836000</v>
      </c>
      <c r="J469" s="252" t="n">
        <v>33836000</v>
      </c>
      <c r="K469" s="249" t="n"/>
      <c r="L469" s="252" t="n"/>
      <c r="M469" s="253" t="n"/>
      <c r="N469" s="253" t="n"/>
      <c r="O469" s="252" t="n"/>
      <c r="P469" s="18" t="n"/>
      <c r="Q469" s="26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0" t="n">
        <v>33836000</v>
      </c>
      <c r="G470" s="15" t="inlineStr">
        <is>
          <t>IDR</t>
        </is>
      </c>
      <c r="H470" s="251" t="n">
        <v>1</v>
      </c>
      <c r="I470" s="251" t="n">
        <v>33836000</v>
      </c>
      <c r="J470" s="252" t="n">
        <v>33836000</v>
      </c>
      <c r="K470" s="249" t="n"/>
      <c r="L470" s="252" t="n"/>
      <c r="M470" s="253" t="n"/>
      <c r="N470" s="253" t="n"/>
      <c r="O470" s="252" t="n"/>
      <c r="P470" s="18" t="n"/>
      <c r="Q470" s="26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0" t="n">
        <v>33836000</v>
      </c>
      <c r="G471" s="15" t="inlineStr">
        <is>
          <t>IDR</t>
        </is>
      </c>
      <c r="H471" s="251" t="n">
        <v>1</v>
      </c>
      <c r="I471" s="251" t="n">
        <v>33836000</v>
      </c>
      <c r="J471" s="252" t="n">
        <v>33836000</v>
      </c>
      <c r="K471" s="249" t="n"/>
      <c r="L471" s="252" t="n"/>
      <c r="M471" s="253" t="n"/>
      <c r="N471" s="253" t="n"/>
      <c r="O471" s="252" t="n"/>
      <c r="P471" s="18" t="n"/>
      <c r="Q471" s="26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0" t="n">
        <v>33836000</v>
      </c>
      <c r="G472" s="15" t="inlineStr">
        <is>
          <t>IDR</t>
        </is>
      </c>
      <c r="H472" s="251" t="n">
        <v>1</v>
      </c>
      <c r="I472" s="251" t="n">
        <v>33836000</v>
      </c>
      <c r="J472" s="252" t="n">
        <v>33836000</v>
      </c>
      <c r="K472" s="249" t="n"/>
      <c r="L472" s="252" t="n"/>
      <c r="M472" s="253" t="n"/>
      <c r="N472" s="253" t="n"/>
      <c r="O472" s="252" t="n"/>
      <c r="P472" s="18" t="n"/>
      <c r="Q472" s="26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0" t="n">
        <v>33836000</v>
      </c>
      <c r="G473" s="15" t="inlineStr">
        <is>
          <t>IDR</t>
        </is>
      </c>
      <c r="H473" s="251" t="n">
        <v>1</v>
      </c>
      <c r="I473" s="251" t="n">
        <v>33836000</v>
      </c>
      <c r="J473" s="252" t="n">
        <v>33836000</v>
      </c>
      <c r="K473" s="249" t="n"/>
      <c r="L473" s="252" t="n"/>
      <c r="M473" s="253" t="n"/>
      <c r="N473" s="253" t="n"/>
      <c r="O473" s="252" t="n"/>
      <c r="P473" s="18" t="n"/>
      <c r="Q473" s="26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0" t="n">
        <v>33836000</v>
      </c>
      <c r="G474" s="15" t="inlineStr">
        <is>
          <t>IDR</t>
        </is>
      </c>
      <c r="H474" s="251" t="n">
        <v>1</v>
      </c>
      <c r="I474" s="251" t="n">
        <v>33836000</v>
      </c>
      <c r="J474" s="252" t="n">
        <v>33836000</v>
      </c>
      <c r="K474" s="249" t="n"/>
      <c r="L474" s="252" t="n"/>
      <c r="M474" s="253" t="n"/>
      <c r="N474" s="253" t="n"/>
      <c r="O474" s="252" t="n"/>
      <c r="P474" s="18" t="n"/>
      <c r="Q474" s="26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0" t="n">
        <v>56276000</v>
      </c>
      <c r="G475" s="15" t="inlineStr">
        <is>
          <t>IDR</t>
        </is>
      </c>
      <c r="H475" s="251" t="n">
        <v>1</v>
      </c>
      <c r="I475" s="251" t="n">
        <v>56276000</v>
      </c>
      <c r="J475" s="252" t="n">
        <v>56276000</v>
      </c>
      <c r="K475" s="249" t="n"/>
      <c r="L475" s="252" t="n"/>
      <c r="M475" s="253" t="n"/>
      <c r="N475" s="253" t="n"/>
      <c r="O475" s="252" t="n"/>
      <c r="P475" s="18" t="n"/>
      <c r="Q475" s="26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0" t="n">
        <v>1726469</v>
      </c>
      <c r="G476" s="15" t="inlineStr">
        <is>
          <t>IDR</t>
        </is>
      </c>
      <c r="H476" s="251" t="n">
        <v>1</v>
      </c>
      <c r="I476" s="15" t="n"/>
      <c r="J476" s="18" t="n"/>
      <c r="K476" s="249" t="n"/>
      <c r="L476" s="252" t="n"/>
      <c r="M476" s="253" t="n">
        <v>1726469</v>
      </c>
      <c r="N476" s="253" t="n">
        <v>1726469</v>
      </c>
      <c r="O476" s="252" t="n"/>
      <c r="P476" s="18" t="n"/>
      <c r="Q476" s="26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0" t="n">
        <v>56276000</v>
      </c>
      <c r="G477" s="15" t="inlineStr">
        <is>
          <t>IDR</t>
        </is>
      </c>
      <c r="H477" s="251" t="n">
        <v>1</v>
      </c>
      <c r="I477" s="251" t="n">
        <v>56276000</v>
      </c>
      <c r="J477" s="252" t="n">
        <v>56276000</v>
      </c>
      <c r="K477" s="249" t="n"/>
      <c r="L477" s="252" t="n"/>
      <c r="M477" s="253" t="n"/>
      <c r="N477" s="253" t="n"/>
      <c r="O477" s="252" t="n"/>
      <c r="P477" s="18" t="n"/>
      <c r="Q477" s="26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0" t="n">
        <v>1726469</v>
      </c>
      <c r="G478" s="15" t="inlineStr">
        <is>
          <t>IDR</t>
        </is>
      </c>
      <c r="H478" s="251" t="n">
        <v>1</v>
      </c>
      <c r="I478" s="15" t="n"/>
      <c r="J478" s="18" t="n"/>
      <c r="K478" s="249" t="n"/>
      <c r="L478" s="252" t="n"/>
      <c r="M478" s="253" t="n">
        <v>1726469</v>
      </c>
      <c r="N478" s="253" t="n">
        <v>1726469</v>
      </c>
      <c r="O478" s="252" t="n"/>
      <c r="P478" s="18" t="n"/>
      <c r="Q478" s="26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0" t="n">
        <v>56276000</v>
      </c>
      <c r="G479" s="15" t="inlineStr">
        <is>
          <t>IDR</t>
        </is>
      </c>
      <c r="H479" s="251" t="n">
        <v>1</v>
      </c>
      <c r="I479" s="251" t="n">
        <v>56276000</v>
      </c>
      <c r="J479" s="252" t="n">
        <v>56276000</v>
      </c>
      <c r="K479" s="249" t="n"/>
      <c r="L479" s="252" t="n"/>
      <c r="M479" s="253" t="n"/>
      <c r="N479" s="253" t="n"/>
      <c r="O479" s="252" t="n"/>
      <c r="P479" s="18" t="n"/>
      <c r="Q479" s="26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0" t="n">
        <v>1726469</v>
      </c>
      <c r="G480" s="15" t="inlineStr">
        <is>
          <t>IDR</t>
        </is>
      </c>
      <c r="H480" s="251" t="n">
        <v>1</v>
      </c>
      <c r="I480" s="15" t="n"/>
      <c r="J480" s="18" t="n"/>
      <c r="K480" s="249" t="n"/>
      <c r="L480" s="252" t="n"/>
      <c r="M480" s="253" t="n">
        <v>1726469</v>
      </c>
      <c r="N480" s="253" t="n">
        <v>1726469</v>
      </c>
      <c r="O480" s="252" t="n"/>
      <c r="P480" s="18" t="n"/>
      <c r="Q480" s="26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0" t="n">
        <v>56276000</v>
      </c>
      <c r="G481" s="15" t="inlineStr">
        <is>
          <t>IDR</t>
        </is>
      </c>
      <c r="H481" s="251" t="n">
        <v>1</v>
      </c>
      <c r="I481" s="251" t="n">
        <v>56276000</v>
      </c>
      <c r="J481" s="252" t="n">
        <v>56276000</v>
      </c>
      <c r="K481" s="249" t="n"/>
      <c r="L481" s="252" t="n"/>
      <c r="M481" s="253" t="n"/>
      <c r="N481" s="253" t="n"/>
      <c r="O481" s="252" t="n"/>
      <c r="P481" s="18" t="n"/>
      <c r="Q481" s="26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0" t="n">
        <v>1726469</v>
      </c>
      <c r="G482" s="15" t="inlineStr">
        <is>
          <t>IDR</t>
        </is>
      </c>
      <c r="H482" s="251" t="n">
        <v>1</v>
      </c>
      <c r="I482" s="15" t="n"/>
      <c r="J482" s="18" t="n"/>
      <c r="K482" s="249" t="n"/>
      <c r="L482" s="252" t="n"/>
      <c r="M482" s="253" t="n">
        <v>1726469</v>
      </c>
      <c r="N482" s="253" t="n">
        <v>1726469</v>
      </c>
      <c r="O482" s="252" t="n"/>
      <c r="P482" s="18" t="n"/>
      <c r="Q482" s="26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0" t="n">
        <v>56276000</v>
      </c>
      <c r="G483" s="15" t="inlineStr">
        <is>
          <t>IDR</t>
        </is>
      </c>
      <c r="H483" s="251" t="n">
        <v>1</v>
      </c>
      <c r="I483" s="251" t="n">
        <v>56276000</v>
      </c>
      <c r="J483" s="252" t="n">
        <v>56276000</v>
      </c>
      <c r="K483" s="249" t="n"/>
      <c r="L483" s="252" t="n"/>
      <c r="M483" s="253" t="n"/>
      <c r="N483" s="253" t="n"/>
      <c r="O483" s="252" t="n"/>
      <c r="P483" s="18" t="n"/>
      <c r="Q483" s="26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0" t="n">
        <v>1726469</v>
      </c>
      <c r="G484" s="15" t="inlineStr">
        <is>
          <t>IDR</t>
        </is>
      </c>
      <c r="H484" s="251" t="n">
        <v>1</v>
      </c>
      <c r="I484" s="15" t="n"/>
      <c r="J484" s="18" t="n"/>
      <c r="K484" s="249" t="n"/>
      <c r="L484" s="252" t="n"/>
      <c r="M484" s="253" t="n">
        <v>1726469</v>
      </c>
      <c r="N484" s="253" t="n">
        <v>1726469</v>
      </c>
      <c r="O484" s="252" t="n"/>
      <c r="P484" s="18" t="n"/>
      <c r="Q484" s="26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0" t="n">
        <v>56276000</v>
      </c>
      <c r="G485" s="15" t="inlineStr">
        <is>
          <t>IDR</t>
        </is>
      </c>
      <c r="H485" s="251" t="n">
        <v>1</v>
      </c>
      <c r="I485" s="251" t="n">
        <v>56276000</v>
      </c>
      <c r="J485" s="252" t="n">
        <v>56276000</v>
      </c>
      <c r="K485" s="249" t="n"/>
      <c r="L485" s="252" t="n"/>
      <c r="M485" s="253" t="n"/>
      <c r="N485" s="253" t="n"/>
      <c r="O485" s="252" t="n"/>
      <c r="P485" s="18" t="n"/>
      <c r="Q485" s="26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0" t="n">
        <v>1726469</v>
      </c>
      <c r="G486" s="15" t="inlineStr">
        <is>
          <t>IDR</t>
        </is>
      </c>
      <c r="H486" s="251" t="n">
        <v>1</v>
      </c>
      <c r="I486" s="15" t="n"/>
      <c r="J486" s="18" t="n"/>
      <c r="K486" s="249" t="n"/>
      <c r="L486" s="252" t="n"/>
      <c r="M486" s="253" t="n">
        <v>1726469</v>
      </c>
      <c r="N486" s="253" t="n">
        <v>1726469</v>
      </c>
      <c r="O486" s="252" t="n"/>
      <c r="P486" s="18" t="n"/>
      <c r="Q486" s="26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0" t="n">
        <v>56276000</v>
      </c>
      <c r="G487" s="15" t="inlineStr">
        <is>
          <t>IDR</t>
        </is>
      </c>
      <c r="H487" s="251" t="n">
        <v>1</v>
      </c>
      <c r="I487" s="251" t="n">
        <v>56276000</v>
      </c>
      <c r="J487" s="252" t="n">
        <v>56276000</v>
      </c>
      <c r="K487" s="249" t="n"/>
      <c r="L487" s="252" t="n"/>
      <c r="M487" s="253" t="n"/>
      <c r="N487" s="253" t="n"/>
      <c r="O487" s="252" t="n"/>
      <c r="P487" s="18" t="n"/>
      <c r="Q487" s="26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0" t="n">
        <v>1726469</v>
      </c>
      <c r="G488" s="15" t="inlineStr">
        <is>
          <t>IDR</t>
        </is>
      </c>
      <c r="H488" s="251" t="n">
        <v>1</v>
      </c>
      <c r="I488" s="15" t="n"/>
      <c r="J488" s="18" t="n"/>
      <c r="K488" s="249" t="n"/>
      <c r="L488" s="252" t="n"/>
      <c r="M488" s="253" t="n">
        <v>1726469</v>
      </c>
      <c r="N488" s="253" t="n">
        <v>1726469</v>
      </c>
      <c r="O488" s="252" t="n"/>
      <c r="P488" s="18" t="n"/>
      <c r="Q488" s="26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0" t="n">
        <v>56276000</v>
      </c>
      <c r="G489" s="15" t="inlineStr">
        <is>
          <t>IDR</t>
        </is>
      </c>
      <c r="H489" s="251" t="n">
        <v>1</v>
      </c>
      <c r="I489" s="251" t="n">
        <v>56276000</v>
      </c>
      <c r="J489" s="252" t="n">
        <v>56276000</v>
      </c>
      <c r="K489" s="249" t="n"/>
      <c r="L489" s="252" t="n"/>
      <c r="M489" s="253" t="n"/>
      <c r="N489" s="253" t="n"/>
      <c r="O489" s="252" t="n"/>
      <c r="P489" s="18" t="n"/>
      <c r="Q489" s="26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0" t="n">
        <v>1726469</v>
      </c>
      <c r="G490" s="15" t="inlineStr">
        <is>
          <t>IDR</t>
        </is>
      </c>
      <c r="H490" s="251" t="n">
        <v>1</v>
      </c>
      <c r="I490" s="15" t="n"/>
      <c r="J490" s="18" t="n"/>
      <c r="K490" s="249" t="n"/>
      <c r="L490" s="252" t="n"/>
      <c r="M490" s="253" t="n">
        <v>1726469</v>
      </c>
      <c r="N490" s="253" t="n">
        <v>1726469</v>
      </c>
      <c r="O490" s="252" t="n"/>
      <c r="P490" s="18" t="n"/>
      <c r="Q490" s="26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0" t="n">
        <v>56276000</v>
      </c>
      <c r="G491" s="15" t="inlineStr">
        <is>
          <t>IDR</t>
        </is>
      </c>
      <c r="H491" s="251" t="n">
        <v>1</v>
      </c>
      <c r="I491" s="251" t="n">
        <v>56276000</v>
      </c>
      <c r="J491" s="252" t="n">
        <v>56276000</v>
      </c>
      <c r="K491" s="249" t="n"/>
      <c r="L491" s="252" t="n"/>
      <c r="M491" s="253" t="n"/>
      <c r="N491" s="253" t="n"/>
      <c r="O491" s="252" t="n"/>
      <c r="P491" s="18" t="n"/>
      <c r="Q491" s="26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0" t="n">
        <v>1726469</v>
      </c>
      <c r="G492" s="15" t="inlineStr">
        <is>
          <t>IDR</t>
        </is>
      </c>
      <c r="H492" s="251" t="n">
        <v>1</v>
      </c>
      <c r="I492" s="15" t="n"/>
      <c r="J492" s="18" t="n"/>
      <c r="K492" s="249" t="n"/>
      <c r="L492" s="252" t="n"/>
      <c r="M492" s="253" t="n">
        <v>1726469</v>
      </c>
      <c r="N492" s="253" t="n">
        <v>1726469</v>
      </c>
      <c r="O492" s="252" t="n"/>
      <c r="P492" s="18" t="n"/>
      <c r="Q492" s="26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0" t="n">
        <v>56276000</v>
      </c>
      <c r="G493" s="15" t="inlineStr">
        <is>
          <t>IDR</t>
        </is>
      </c>
      <c r="H493" s="251" t="n">
        <v>1</v>
      </c>
      <c r="I493" s="251" t="n">
        <v>56276000</v>
      </c>
      <c r="J493" s="252" t="n">
        <v>56276000</v>
      </c>
      <c r="K493" s="249" t="n"/>
      <c r="L493" s="252" t="n"/>
      <c r="M493" s="253" t="n"/>
      <c r="N493" s="253" t="n"/>
      <c r="O493" s="252" t="n"/>
      <c r="P493" s="18" t="n"/>
      <c r="Q493" s="26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0" t="n">
        <v>1726469</v>
      </c>
      <c r="G494" s="15" t="inlineStr">
        <is>
          <t>IDR</t>
        </is>
      </c>
      <c r="H494" s="251" t="n">
        <v>1</v>
      </c>
      <c r="I494" s="15" t="n"/>
      <c r="J494" s="18" t="n"/>
      <c r="K494" s="249" t="n"/>
      <c r="L494" s="252" t="n"/>
      <c r="M494" s="253" t="n">
        <v>1726469</v>
      </c>
      <c r="N494" s="253" t="n">
        <v>1726469</v>
      </c>
      <c r="O494" s="252" t="n"/>
      <c r="P494" s="18" t="n"/>
      <c r="Q494" s="26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0" t="n">
        <v>56276000</v>
      </c>
      <c r="G495" s="15" t="inlineStr">
        <is>
          <t>IDR</t>
        </is>
      </c>
      <c r="H495" s="251" t="n">
        <v>1</v>
      </c>
      <c r="I495" s="251" t="n">
        <v>56276000</v>
      </c>
      <c r="J495" s="252" t="n">
        <v>56276000</v>
      </c>
      <c r="K495" s="249" t="n"/>
      <c r="L495" s="252" t="n"/>
      <c r="M495" s="253" t="n"/>
      <c r="N495" s="253" t="n"/>
      <c r="O495" s="252" t="n"/>
      <c r="P495" s="18" t="n"/>
      <c r="Q495" s="26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0" t="n">
        <v>1726469</v>
      </c>
      <c r="G496" s="15" t="inlineStr">
        <is>
          <t>IDR</t>
        </is>
      </c>
      <c r="H496" s="251" t="n">
        <v>1</v>
      </c>
      <c r="I496" s="15" t="n"/>
      <c r="J496" s="18" t="n"/>
      <c r="K496" s="249" t="n"/>
      <c r="L496" s="252" t="n"/>
      <c r="M496" s="253" t="n">
        <v>1726469</v>
      </c>
      <c r="N496" s="253" t="n">
        <v>1726469</v>
      </c>
      <c r="O496" s="252" t="n"/>
      <c r="P496" s="18" t="n"/>
      <c r="Q496" s="26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0" t="n">
        <v>56276000</v>
      </c>
      <c r="G497" s="15" t="inlineStr">
        <is>
          <t>IDR</t>
        </is>
      </c>
      <c r="H497" s="251" t="n">
        <v>1</v>
      </c>
      <c r="I497" s="251" t="n">
        <v>56276000</v>
      </c>
      <c r="J497" s="252" t="n">
        <v>56276000</v>
      </c>
      <c r="K497" s="249" t="n"/>
      <c r="L497" s="252" t="n"/>
      <c r="M497" s="253" t="n"/>
      <c r="N497" s="253" t="n"/>
      <c r="O497" s="252" t="n"/>
      <c r="P497" s="18" t="n"/>
      <c r="Q497" s="26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0" t="n">
        <v>1726469</v>
      </c>
      <c r="G498" s="15" t="inlineStr">
        <is>
          <t>IDR</t>
        </is>
      </c>
      <c r="H498" s="251" t="n">
        <v>1</v>
      </c>
      <c r="I498" s="15" t="n"/>
      <c r="J498" s="18" t="n"/>
      <c r="K498" s="249" t="n"/>
      <c r="L498" s="252" t="n"/>
      <c r="M498" s="253" t="n">
        <v>1726469</v>
      </c>
      <c r="N498" s="253" t="n">
        <v>1726469</v>
      </c>
      <c r="O498" s="252" t="n"/>
      <c r="P498" s="18" t="n"/>
      <c r="Q498" s="26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0" t="n">
        <v>56276000</v>
      </c>
      <c r="G499" s="15" t="inlineStr">
        <is>
          <t>IDR</t>
        </is>
      </c>
      <c r="H499" s="251" t="n">
        <v>1</v>
      </c>
      <c r="I499" s="251" t="n">
        <v>56276000</v>
      </c>
      <c r="J499" s="252" t="n">
        <v>56276000</v>
      </c>
      <c r="K499" s="249" t="n"/>
      <c r="L499" s="252" t="n"/>
      <c r="M499" s="253" t="n"/>
      <c r="N499" s="253" t="n"/>
      <c r="O499" s="252" t="n"/>
      <c r="P499" s="18" t="n"/>
      <c r="Q499" s="26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0" t="n">
        <v>1726469</v>
      </c>
      <c r="G500" s="15" t="inlineStr">
        <is>
          <t>IDR</t>
        </is>
      </c>
      <c r="H500" s="251" t="n">
        <v>1</v>
      </c>
      <c r="I500" s="15" t="n"/>
      <c r="J500" s="18" t="n"/>
      <c r="K500" s="249" t="n"/>
      <c r="L500" s="252" t="n"/>
      <c r="M500" s="253" t="n">
        <v>1726469</v>
      </c>
      <c r="N500" s="253" t="n">
        <v>1726469</v>
      </c>
      <c r="O500" s="252" t="n"/>
      <c r="P500" s="18" t="n"/>
      <c r="Q500" s="26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0" t="n">
        <v>56276000</v>
      </c>
      <c r="G501" s="15" t="inlineStr">
        <is>
          <t>IDR</t>
        </is>
      </c>
      <c r="H501" s="251" t="n">
        <v>1</v>
      </c>
      <c r="I501" s="251" t="n">
        <v>56276000</v>
      </c>
      <c r="J501" s="252" t="n">
        <v>56276000</v>
      </c>
      <c r="K501" s="249" t="n"/>
      <c r="L501" s="252" t="n"/>
      <c r="M501" s="253" t="n"/>
      <c r="N501" s="253" t="n"/>
      <c r="O501" s="252" t="n"/>
      <c r="P501" s="18" t="n"/>
      <c r="Q501" s="26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0" t="n">
        <v>1726469</v>
      </c>
      <c r="G502" s="15" t="inlineStr">
        <is>
          <t>IDR</t>
        </is>
      </c>
      <c r="H502" s="251" t="n">
        <v>1</v>
      </c>
      <c r="I502" s="15" t="n"/>
      <c r="J502" s="18" t="n"/>
      <c r="K502" s="249" t="n"/>
      <c r="L502" s="252" t="n"/>
      <c r="M502" s="253" t="n">
        <v>1726469</v>
      </c>
      <c r="N502" s="253" t="n">
        <v>1726469</v>
      </c>
      <c r="O502" s="252" t="n"/>
      <c r="P502" s="18" t="n"/>
      <c r="Q502" s="26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0" t="n">
        <v>56276000</v>
      </c>
      <c r="G503" s="15" t="inlineStr">
        <is>
          <t>IDR</t>
        </is>
      </c>
      <c r="H503" s="251" t="n">
        <v>1</v>
      </c>
      <c r="I503" s="251" t="n">
        <v>56276000</v>
      </c>
      <c r="J503" s="252" t="n">
        <v>56276000</v>
      </c>
      <c r="K503" s="249" t="n"/>
      <c r="L503" s="252" t="n"/>
      <c r="M503" s="253" t="n"/>
      <c r="N503" s="253" t="n"/>
      <c r="O503" s="252" t="n"/>
      <c r="P503" s="18" t="n"/>
      <c r="Q503" s="26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0" t="n">
        <v>1726469</v>
      </c>
      <c r="G504" s="15" t="inlineStr">
        <is>
          <t>IDR</t>
        </is>
      </c>
      <c r="H504" s="251" t="n">
        <v>1</v>
      </c>
      <c r="I504" s="15" t="n"/>
      <c r="J504" s="18" t="n"/>
      <c r="K504" s="249" t="n"/>
      <c r="L504" s="252" t="n"/>
      <c r="M504" s="253" t="n">
        <v>1726469</v>
      </c>
      <c r="N504" s="253" t="n">
        <v>1726469</v>
      </c>
      <c r="O504" s="252" t="n"/>
      <c r="P504" s="18" t="n"/>
      <c r="Q504" s="26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0" t="n">
        <v>56276000</v>
      </c>
      <c r="G505" s="15" t="inlineStr">
        <is>
          <t>IDR</t>
        </is>
      </c>
      <c r="H505" s="251" t="n">
        <v>1</v>
      </c>
      <c r="I505" s="251" t="n">
        <v>56276000</v>
      </c>
      <c r="J505" s="252" t="n">
        <v>56276000</v>
      </c>
      <c r="K505" s="249" t="n"/>
      <c r="L505" s="252" t="n"/>
      <c r="M505" s="253" t="n"/>
      <c r="N505" s="253" t="n"/>
      <c r="O505" s="252" t="n"/>
      <c r="P505" s="18" t="n"/>
      <c r="Q505" s="26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0" t="n">
        <v>1726469</v>
      </c>
      <c r="G506" s="15" t="inlineStr">
        <is>
          <t>IDR</t>
        </is>
      </c>
      <c r="H506" s="251" t="n">
        <v>1</v>
      </c>
      <c r="I506" s="15" t="n"/>
      <c r="J506" s="18" t="n"/>
      <c r="K506" s="249" t="n"/>
      <c r="L506" s="252" t="n"/>
      <c r="M506" s="253" t="n">
        <v>1726469</v>
      </c>
      <c r="N506" s="253" t="n">
        <v>1726469</v>
      </c>
      <c r="O506" s="252" t="n"/>
      <c r="P506" s="18" t="n"/>
      <c r="Q506" s="26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0" t="n">
        <v>56276000</v>
      </c>
      <c r="G507" s="15" t="inlineStr">
        <is>
          <t>IDR</t>
        </is>
      </c>
      <c r="H507" s="251" t="n">
        <v>1</v>
      </c>
      <c r="I507" s="251" t="n">
        <v>56276000</v>
      </c>
      <c r="J507" s="252" t="n">
        <v>56276000</v>
      </c>
      <c r="K507" s="249" t="n"/>
      <c r="L507" s="252" t="n"/>
      <c r="M507" s="253" t="n"/>
      <c r="N507" s="253" t="n"/>
      <c r="O507" s="252" t="n"/>
      <c r="P507" s="18" t="n"/>
      <c r="Q507" s="26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0" t="n">
        <v>1726469</v>
      </c>
      <c r="G508" s="15" t="inlineStr">
        <is>
          <t>IDR</t>
        </is>
      </c>
      <c r="H508" s="251" t="n">
        <v>1</v>
      </c>
      <c r="I508" s="15" t="n"/>
      <c r="J508" s="18" t="n"/>
      <c r="K508" s="249" t="n"/>
      <c r="L508" s="252" t="n"/>
      <c r="M508" s="253" t="n">
        <v>1726469</v>
      </c>
      <c r="N508" s="253" t="n">
        <v>1726469</v>
      </c>
      <c r="O508" s="252" t="n"/>
      <c r="P508" s="18" t="n"/>
      <c r="Q508" s="26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0" t="n">
        <v>56276000</v>
      </c>
      <c r="G509" s="15" t="inlineStr">
        <is>
          <t>IDR</t>
        </is>
      </c>
      <c r="H509" s="251" t="n">
        <v>1</v>
      </c>
      <c r="I509" s="251" t="n">
        <v>56276000</v>
      </c>
      <c r="J509" s="252" t="n">
        <v>56276000</v>
      </c>
      <c r="K509" s="249" t="n"/>
      <c r="L509" s="252" t="n"/>
      <c r="M509" s="253" t="n"/>
      <c r="N509" s="253" t="n"/>
      <c r="O509" s="252" t="n"/>
      <c r="P509" s="18" t="n"/>
      <c r="Q509" s="26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0" t="n">
        <v>1726469</v>
      </c>
      <c r="G510" s="15" t="inlineStr">
        <is>
          <t>IDR</t>
        </is>
      </c>
      <c r="H510" s="251" t="n">
        <v>1</v>
      </c>
      <c r="I510" s="15" t="n"/>
      <c r="J510" s="18" t="n"/>
      <c r="K510" s="249" t="n"/>
      <c r="L510" s="252" t="n"/>
      <c r="M510" s="253" t="n">
        <v>1726469</v>
      </c>
      <c r="N510" s="253" t="n">
        <v>1726469</v>
      </c>
      <c r="O510" s="252" t="n"/>
      <c r="P510" s="18" t="n"/>
      <c r="Q510" s="26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0" t="n">
        <v>56276000</v>
      </c>
      <c r="G511" s="15" t="inlineStr">
        <is>
          <t>IDR</t>
        </is>
      </c>
      <c r="H511" s="251" t="n">
        <v>1</v>
      </c>
      <c r="I511" s="251" t="n">
        <v>56276000</v>
      </c>
      <c r="J511" s="252" t="n">
        <v>56276000</v>
      </c>
      <c r="K511" s="249" t="n"/>
      <c r="L511" s="252" t="n"/>
      <c r="M511" s="253" t="n"/>
      <c r="N511" s="253" t="n"/>
      <c r="O511" s="252" t="n"/>
      <c r="P511" s="18" t="n"/>
      <c r="Q511" s="26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0" t="n">
        <v>1726469</v>
      </c>
      <c r="G512" s="15" t="inlineStr">
        <is>
          <t>IDR</t>
        </is>
      </c>
      <c r="H512" s="251" t="n">
        <v>1</v>
      </c>
      <c r="I512" s="15" t="n"/>
      <c r="J512" s="18" t="n"/>
      <c r="K512" s="249" t="n"/>
      <c r="L512" s="252" t="n"/>
      <c r="M512" s="253" t="n">
        <v>1726469</v>
      </c>
      <c r="N512" s="253" t="n">
        <v>1726469</v>
      </c>
      <c r="O512" s="252" t="n"/>
      <c r="P512" s="18" t="n"/>
      <c r="Q512" s="26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0" t="n">
        <v>56276000</v>
      </c>
      <c r="G513" s="15" t="inlineStr">
        <is>
          <t>IDR</t>
        </is>
      </c>
      <c r="H513" s="251" t="n">
        <v>1</v>
      </c>
      <c r="I513" s="251" t="n">
        <v>56276000</v>
      </c>
      <c r="J513" s="252" t="n">
        <v>56276000</v>
      </c>
      <c r="K513" s="249" t="n"/>
      <c r="L513" s="252" t="n"/>
      <c r="M513" s="253" t="n"/>
      <c r="N513" s="253" t="n"/>
      <c r="O513" s="252" t="n"/>
      <c r="P513" s="18" t="n"/>
      <c r="Q513" s="26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0" t="n">
        <v>1726469</v>
      </c>
      <c r="G514" s="15" t="inlineStr">
        <is>
          <t>IDR</t>
        </is>
      </c>
      <c r="H514" s="251" t="n">
        <v>1</v>
      </c>
      <c r="I514" s="15" t="n"/>
      <c r="J514" s="18" t="n"/>
      <c r="K514" s="249" t="n"/>
      <c r="L514" s="252" t="n"/>
      <c r="M514" s="253" t="n">
        <v>1726469</v>
      </c>
      <c r="N514" s="253" t="n">
        <v>1726469</v>
      </c>
      <c r="O514" s="252" t="n"/>
      <c r="P514" s="18" t="n"/>
      <c r="Q514" s="26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0" t="n">
        <v>56276000</v>
      </c>
      <c r="G515" s="15" t="inlineStr">
        <is>
          <t>IDR</t>
        </is>
      </c>
      <c r="H515" s="251" t="n">
        <v>1</v>
      </c>
      <c r="I515" s="251" t="n">
        <v>56276000</v>
      </c>
      <c r="J515" s="252" t="n">
        <v>56276000</v>
      </c>
      <c r="K515" s="249" t="n"/>
      <c r="L515" s="252" t="n"/>
      <c r="M515" s="253" t="n"/>
      <c r="N515" s="253" t="n"/>
      <c r="O515" s="252" t="n"/>
      <c r="P515" s="18" t="n"/>
      <c r="Q515" s="26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0" t="n">
        <v>1726469</v>
      </c>
      <c r="G516" s="15" t="inlineStr">
        <is>
          <t>IDR</t>
        </is>
      </c>
      <c r="H516" s="251" t="n">
        <v>1</v>
      </c>
      <c r="I516" s="15" t="n"/>
      <c r="J516" s="18" t="n"/>
      <c r="K516" s="249" t="n"/>
      <c r="L516" s="252" t="n"/>
      <c r="M516" s="253" t="n">
        <v>1726469</v>
      </c>
      <c r="N516" s="253" t="n">
        <v>1726469</v>
      </c>
      <c r="O516" s="252" t="n"/>
      <c r="P516" s="18" t="n"/>
      <c r="Q516" s="262" t="n"/>
    </row>
    <row r="517" ht="15.5" customHeight="1">
      <c r="B517" s="265" t="inlineStr">
        <is>
          <t>PENERIMAAN NEGARA (TAX) (IDR)</t>
        </is>
      </c>
      <c r="C517" s="266" t="n"/>
      <c r="D517" s="266" t="n"/>
      <c r="E517" s="266" t="n"/>
      <c r="F517" s="266" t="n"/>
      <c r="G517" s="266" t="n"/>
      <c r="H517" s="267" t="n"/>
      <c r="I517" s="268" t="inlineStr">
        <is>
          <t>PPN</t>
        </is>
      </c>
      <c r="J517" s="269">
        <f>SUM(J307:J516)</f>
        <v/>
      </c>
      <c r="K517" s="270" t="inlineStr">
        <is>
          <t>PPh</t>
        </is>
      </c>
      <c r="L517" s="269">
        <f>SUM(L307:L516)</f>
        <v/>
      </c>
      <c r="M517" s="269" t="inlineStr">
        <is>
          <t>PPh</t>
        </is>
      </c>
      <c r="N517" s="269">
        <f>SUM(N307:N516)</f>
        <v/>
      </c>
      <c r="O517" s="269" t="inlineStr">
        <is>
          <t>PPh</t>
        </is>
      </c>
      <c r="P517" s="269">
        <f>SUM(P307:P516)</f>
        <v/>
      </c>
      <c r="Q517" s="271" t="inlineStr">
        <is>
          <t>-</t>
        </is>
      </c>
    </row>
    <row r="518" ht="15.5" customHeight="1">
      <c r="B518" s="249" t="n"/>
      <c r="C518" s="15" t="n"/>
      <c r="D518" s="170" t="n"/>
      <c r="E518" s="227" t="n"/>
      <c r="F518" s="250" t="n"/>
      <c r="G518" s="15" t="n"/>
      <c r="H518" s="251" t="n"/>
      <c r="I518" s="15" t="n"/>
      <c r="J518" s="18" t="n"/>
      <c r="K518" s="249" t="n"/>
      <c r="L518" s="252" t="n"/>
      <c r="M518" s="253" t="n"/>
      <c r="N518" s="253" t="n"/>
      <c r="O518" s="252" t="n"/>
      <c r="P518" s="18" t="n"/>
      <c r="Q518" s="262" t="n"/>
    </row>
    <row r="519" ht="15.5" customHeight="1">
      <c r="B519" s="249" t="inlineStr">
        <is>
          <t>PENGELUARAN</t>
        </is>
      </c>
      <c r="C519" s="15" t="n">
        <v>32</v>
      </c>
      <c r="D519" s="170" t="inlineStr">
        <is>
          <t>Revenue data procesing MTD_Tomori</t>
        </is>
      </c>
      <c r="E519" s="227" t="n"/>
      <c r="F519" s="250" t="n">
        <v>150000000</v>
      </c>
      <c r="G519" s="15" t="inlineStr">
        <is>
          <t>IDR</t>
        </is>
      </c>
      <c r="H519" s="251" t="n">
        <v>1</v>
      </c>
      <c r="I519" s="15" t="inlineStr">
        <is>
          <t>INV015</t>
        </is>
      </c>
      <c r="J519" s="18" t="inlineStr">
        <is>
          <t>TGE</t>
        </is>
      </c>
      <c r="K519" s="249" t="n">
        <v>45399</v>
      </c>
      <c r="L519" s="252" t="n">
        <v>166500000</v>
      </c>
      <c r="M519" s="253" t="n">
        <v>16500000</v>
      </c>
      <c r="N519" s="253" t="n">
        <v>3000000</v>
      </c>
      <c r="O519" s="252" t="n">
        <v>0</v>
      </c>
      <c r="P519" s="18" t="inlineStr"/>
      <c r="Q519" s="262" t="n"/>
    </row>
    <row r="520" ht="60" customHeight="1">
      <c r="B520" s="272" t="n">
        <v>45301</v>
      </c>
      <c r="C520" s="273" t="n">
        <v>33</v>
      </c>
      <c r="D520" s="273" t="inlineStr">
        <is>
          <t>Revenue data procesing MTD_Tomori</t>
        </is>
      </c>
      <c r="E520" s="227" t="n"/>
      <c r="F520" s="274" t="n">
        <v>150000000</v>
      </c>
      <c r="G520" s="275" t="inlineStr">
        <is>
          <t>IDR</t>
        </is>
      </c>
      <c r="H520" s="276" t="n">
        <v>1</v>
      </c>
      <c r="I520" s="277" t="inlineStr">
        <is>
          <t>Biaya Sewa Peralatan</t>
        </is>
      </c>
      <c r="J520" s="277" t="inlineStr">
        <is>
          <t>Biaya Research (R&amp;D)</t>
        </is>
      </c>
      <c r="K520" s="278" t="inlineStr">
        <is>
          <t>Biaya Interpretasi Log Data</t>
        </is>
      </c>
      <c r="L520" s="279" t="inlineStr">
        <is>
          <t>Biaya Operasi</t>
        </is>
      </c>
      <c r="M520" s="279" t="inlineStr">
        <is>
          <t>Administrasi</t>
        </is>
      </c>
      <c r="N520" s="279" t="inlineStr">
        <is>
          <t>Pembelian Barang</t>
        </is>
      </c>
      <c r="O520" s="279" t="inlineStr">
        <is>
          <t>Sewa Kantor</t>
        </is>
      </c>
      <c r="P520" s="277" t="inlineStr">
        <is>
          <t>Kesehatan</t>
        </is>
      </c>
      <c r="Q520" s="277" t="inlineStr">
        <is>
          <t>Bisnis Dev</t>
        </is>
      </c>
      <c r="R520" s="280" t="n"/>
      <c r="S520" s="280" t="n"/>
      <c r="T520" s="280" t="n"/>
      <c r="U520" s="280" t="n"/>
      <c r="V520" s="280" t="n"/>
      <c r="W520" s="280" t="n"/>
      <c r="X520" s="280" t="n"/>
      <c r="Y520" s="280" t="n"/>
      <c r="Z520" s="280" t="n"/>
      <c r="AA520" s="280" t="n"/>
      <c r="AB520" s="280" t="n"/>
      <c r="AC520" s="280" t="n"/>
      <c r="AD520" s="280" t="n"/>
    </row>
    <row r="521" ht="15.5" customHeight="1">
      <c r="B521" s="281" t="n"/>
      <c r="C521" s="282" t="n"/>
      <c r="D521" s="283" t="inlineStr">
        <is>
          <t>Allowance</t>
        </is>
      </c>
      <c r="E521" s="284" t="n"/>
      <c r="F521" s="285" t="n"/>
      <c r="G521" s="282" t="n"/>
      <c r="H521" s="286" t="n"/>
      <c r="I521" s="282" t="n"/>
      <c r="J521" s="287" t="n"/>
      <c r="K521" s="281" t="n"/>
      <c r="L521" s="285" t="n"/>
      <c r="M521" s="288" t="n"/>
      <c r="N521" s="288" t="n"/>
      <c r="O521" s="285" t="n"/>
      <c r="P521" s="287" t="n"/>
      <c r="Q521" s="289" t="n"/>
      <c r="R521" s="280" t="n"/>
      <c r="S521" s="280" t="n"/>
      <c r="T521" s="280" t="n"/>
      <c r="U521" s="280" t="n"/>
      <c r="V521" s="280" t="n"/>
      <c r="W521" s="280" t="n"/>
      <c r="X521" s="280" t="n"/>
      <c r="Y521" s="280" t="n"/>
      <c r="Z521" s="280" t="n"/>
      <c r="AA521" s="280" t="n"/>
      <c r="AB521" s="280" t="n"/>
      <c r="AC521" s="280" t="n"/>
      <c r="AD521" s="280" t="n"/>
    </row>
    <row r="522" ht="15.5" customHeight="1">
      <c r="B522" s="290" t="n">
        <v>45388</v>
      </c>
      <c r="C522" s="291" t="n">
        <v>1</v>
      </c>
      <c r="D522" s="292" t="inlineStr">
        <is>
          <t>THR 2024_Yufitri</t>
        </is>
      </c>
      <c r="E522" s="293" t="inlineStr">
        <is>
          <t>BCA</t>
        </is>
      </c>
      <c r="F522" s="285" t="n">
        <v>3000000</v>
      </c>
      <c r="G522" s="294" t="inlineStr">
        <is>
          <t>IDR</t>
        </is>
      </c>
      <c r="H522" s="295" t="n">
        <v>1</v>
      </c>
      <c r="I522" s="282" t="n"/>
      <c r="J522" s="287" t="n"/>
      <c r="K522" s="281" t="n"/>
      <c r="L522" s="285" t="n">
        <v>3000000</v>
      </c>
      <c r="M522" s="288" t="n"/>
      <c r="N522" s="288" t="n"/>
      <c r="O522" s="285" t="n"/>
      <c r="P522" s="287" t="n"/>
      <c r="Q522" s="289" t="n"/>
      <c r="R522" s="280" t="n"/>
      <c r="S522" s="280" t="n"/>
      <c r="T522" s="280" t="n"/>
      <c r="U522" s="280" t="n"/>
      <c r="V522" s="280" t="n"/>
      <c r="W522" s="280" t="n"/>
      <c r="X522" s="280" t="n"/>
      <c r="Y522" s="280" t="n"/>
      <c r="Z522" s="280" t="n"/>
      <c r="AA522" s="280" t="n"/>
      <c r="AB522" s="280" t="n"/>
      <c r="AC522" s="280" t="n"/>
      <c r="AD522" s="280" t="n"/>
    </row>
    <row r="523" ht="15.5" customHeight="1">
      <c r="B523" s="281" t="n"/>
      <c r="C523" s="282" t="n"/>
      <c r="D523" s="283" t="inlineStr">
        <is>
          <t>Biaya Bank</t>
        </is>
      </c>
      <c r="E523" s="293" t="n"/>
      <c r="F523" s="285" t="n"/>
      <c r="G523" s="282" t="n"/>
      <c r="H523" s="286" t="n"/>
      <c r="I523" s="282" t="n"/>
      <c r="J523" s="287" t="n"/>
      <c r="K523" s="281" t="n"/>
      <c r="L523" s="285" t="n"/>
      <c r="M523" s="288" t="n"/>
      <c r="N523" s="288" t="n"/>
      <c r="O523" s="285" t="n"/>
      <c r="P523" s="287" t="n"/>
      <c r="Q523" s="289" t="n"/>
      <c r="R523" s="280" t="n"/>
      <c r="S523" s="280" t="n"/>
      <c r="T523" s="280" t="n"/>
      <c r="U523" s="280" t="n"/>
      <c r="V523" s="280" t="n"/>
      <c r="W523" s="280" t="n"/>
      <c r="X523" s="280" t="n"/>
      <c r="Y523" s="280" t="n"/>
      <c r="Z523" s="280" t="n"/>
      <c r="AA523" s="280" t="n"/>
      <c r="AB523" s="280" t="n"/>
      <c r="AC523" s="280" t="n"/>
      <c r="AD523" s="280" t="n"/>
    </row>
    <row r="524" ht="15.5" customHeight="1">
      <c r="B524" s="290" t="n">
        <v>45657</v>
      </c>
      <c r="C524" s="291" t="n">
        <v>2</v>
      </c>
      <c r="D524" s="292" t="inlineStr">
        <is>
          <t>Total Biaya Transaksi Bank selama 1 tahun</t>
        </is>
      </c>
      <c r="E524" s="293" t="inlineStr">
        <is>
          <t>-</t>
        </is>
      </c>
      <c r="F524" s="285" t="n">
        <v>1998587</v>
      </c>
      <c r="G524" s="294" t="inlineStr">
        <is>
          <t>IDR</t>
        </is>
      </c>
      <c r="H524" s="295" t="n">
        <v>1</v>
      </c>
      <c r="I524" s="282" t="n"/>
      <c r="J524" s="287" t="n"/>
      <c r="K524" s="281" t="n"/>
      <c r="L524" s="285" t="n"/>
      <c r="M524" s="288" t="n">
        <v>1998587</v>
      </c>
      <c r="N524" s="288" t="n"/>
      <c r="O524" s="285" t="n"/>
      <c r="P524" s="287" t="n"/>
      <c r="Q524" s="289" t="n"/>
      <c r="R524" s="280" t="n"/>
      <c r="S524" s="280" t="n"/>
      <c r="T524" s="280" t="n"/>
      <c r="U524" s="280" t="n"/>
      <c r="V524" s="280" t="n"/>
      <c r="W524" s="280" t="n"/>
      <c r="X524" s="280" t="n"/>
      <c r="Y524" s="280" t="n"/>
      <c r="Z524" s="280" t="n"/>
      <c r="AA524" s="280" t="n"/>
      <c r="AB524" s="280" t="n"/>
      <c r="AC524" s="280" t="n"/>
      <c r="AD524" s="280" t="n"/>
    </row>
    <row r="525" ht="15.5" customHeight="1">
      <c r="B525" s="281" t="n"/>
      <c r="C525" s="282" t="n"/>
      <c r="D525" s="283" t="inlineStr">
        <is>
          <t>Data Processing</t>
        </is>
      </c>
      <c r="E525" s="293" t="n"/>
      <c r="F525" s="285" t="n"/>
      <c r="G525" s="282" t="n"/>
      <c r="H525" s="286" t="n"/>
      <c r="I525" s="282" t="n"/>
      <c r="J525" s="287" t="n"/>
      <c r="K525" s="281" t="n"/>
      <c r="L525" s="285" t="n"/>
      <c r="M525" s="288" t="n"/>
      <c r="N525" s="288" t="n"/>
      <c r="O525" s="285" t="n"/>
      <c r="P525" s="287" t="n"/>
      <c r="Q525" s="289" t="n"/>
      <c r="R525" s="280" t="n"/>
      <c r="S525" s="280" t="n"/>
      <c r="T525" s="280" t="n"/>
      <c r="U525" s="280" t="n"/>
      <c r="V525" s="280" t="n"/>
      <c r="W525" s="280" t="n"/>
      <c r="X525" s="280" t="n"/>
      <c r="Y525" s="280" t="n"/>
      <c r="Z525" s="280" t="n"/>
      <c r="AA525" s="280" t="n"/>
      <c r="AB525" s="280" t="n"/>
      <c r="AC525" s="280" t="n"/>
      <c r="AD525" s="280" t="n"/>
    </row>
    <row r="526" ht="15.5" customHeight="1">
      <c r="B526" s="290" t="n">
        <v>45413</v>
      </c>
      <c r="C526" s="291" t="n">
        <v>3</v>
      </c>
      <c r="D526" s="292" t="inlineStr">
        <is>
          <t>Data proccesing MTD 4 well, project Tomori-Alan</t>
        </is>
      </c>
      <c r="E526" s="293" t="inlineStr">
        <is>
          <t>BCA</t>
        </is>
      </c>
      <c r="F526" s="285" t="n">
        <v>122625000</v>
      </c>
      <c r="G526" s="294" t="inlineStr">
        <is>
          <t>IDR</t>
        </is>
      </c>
      <c r="H526" s="295" t="n">
        <v>1</v>
      </c>
      <c r="I526" s="282" t="n"/>
      <c r="J526" s="287" t="n"/>
      <c r="K526" s="285" t="n">
        <v>122625000</v>
      </c>
      <c r="L526" s="285" t="n"/>
      <c r="M526" s="288" t="n"/>
      <c r="N526" s="288" t="n"/>
      <c r="O526" s="285" t="n"/>
      <c r="P526" s="287" t="n"/>
      <c r="Q526" s="289" t="n"/>
      <c r="R526" s="280" t="n"/>
      <c r="S526" s="280" t="n"/>
      <c r="T526" s="280" t="n"/>
      <c r="U526" s="280" t="n"/>
      <c r="V526" s="280" t="n"/>
      <c r="W526" s="280" t="n"/>
      <c r="X526" s="280" t="n"/>
      <c r="Y526" s="280" t="n"/>
      <c r="Z526" s="280" t="n"/>
      <c r="AA526" s="280" t="n"/>
      <c r="AB526" s="280" t="n"/>
      <c r="AC526" s="280" t="n"/>
      <c r="AD526" s="280" t="n"/>
    </row>
    <row r="527" ht="15.5" customHeight="1">
      <c r="B527" s="290" t="n">
        <v>45525</v>
      </c>
      <c r="C527" s="291" t="n">
        <v>4</v>
      </c>
      <c r="D527" s="292" t="inlineStr">
        <is>
          <t>Data proccesing TGB-33 DAN TIS (RBG-3b)-Alan</t>
        </is>
      </c>
      <c r="E527" s="293" t="inlineStr">
        <is>
          <t>BCA</t>
        </is>
      </c>
      <c r="F527" s="285" t="n">
        <v>101120000</v>
      </c>
      <c r="G527" s="294" t="inlineStr">
        <is>
          <t>IDR</t>
        </is>
      </c>
      <c r="H527" s="295" t="n">
        <v>1</v>
      </c>
      <c r="I527" s="282" t="n"/>
      <c r="J527" s="287" t="n"/>
      <c r="K527" s="285" t="n">
        <v>101120000</v>
      </c>
      <c r="L527" s="285" t="n"/>
      <c r="M527" s="288" t="n"/>
      <c r="N527" s="288" t="n"/>
      <c r="O527" s="285" t="n"/>
      <c r="P527" s="287" t="n"/>
      <c r="Q527" s="289" t="n"/>
      <c r="R527" s="280" t="n"/>
      <c r="S527" s="280" t="n"/>
      <c r="T527" s="280" t="n"/>
      <c r="U527" s="280" t="n"/>
      <c r="V527" s="280" t="n"/>
      <c r="W527" s="280" t="n"/>
      <c r="X527" s="280" t="n"/>
      <c r="Y527" s="280" t="n"/>
      <c r="Z527" s="280" t="n"/>
      <c r="AA527" s="280" t="n"/>
      <c r="AB527" s="280" t="n"/>
      <c r="AC527" s="280" t="n"/>
      <c r="AD527" s="280" t="n"/>
    </row>
    <row r="528" ht="15.5" customHeight="1">
      <c r="B528" s="290" t="n">
        <v>45589</v>
      </c>
      <c r="C528" s="291" t="n">
        <v>5</v>
      </c>
      <c r="D528" s="292" t="inlineStr">
        <is>
          <t>Data Processing 8 Well Alan Project SIJAK</t>
        </is>
      </c>
      <c r="E528" s="293" t="inlineStr">
        <is>
          <t>BRI</t>
        </is>
      </c>
      <c r="F528" s="285" t="n">
        <v>144000000</v>
      </c>
      <c r="G528" s="294" t="inlineStr">
        <is>
          <t>IDR</t>
        </is>
      </c>
      <c r="H528" s="295" t="n">
        <v>1</v>
      </c>
      <c r="I528" s="282" t="n"/>
      <c r="J528" s="287" t="n"/>
      <c r="K528" s="285" t="n">
        <v>144000000</v>
      </c>
      <c r="L528" s="285" t="n"/>
      <c r="M528" s="288" t="n"/>
      <c r="N528" s="288" t="n"/>
      <c r="O528" s="285" t="n"/>
      <c r="P528" s="287" t="n"/>
      <c r="Q528" s="289" t="n"/>
      <c r="R528" s="280" t="n"/>
      <c r="S528" s="280" t="n"/>
      <c r="T528" s="280" t="n"/>
      <c r="U528" s="280" t="n"/>
      <c r="V528" s="280" t="n"/>
      <c r="W528" s="280" t="n"/>
      <c r="X528" s="280" t="n"/>
      <c r="Y528" s="280" t="n"/>
      <c r="Z528" s="280" t="n"/>
      <c r="AA528" s="280" t="n"/>
      <c r="AB528" s="280" t="n"/>
      <c r="AC528" s="280" t="n"/>
      <c r="AD528" s="280" t="n"/>
    </row>
    <row r="529" ht="15.5" customHeight="1">
      <c r="B529" s="281" t="n"/>
      <c r="C529" s="282" t="n"/>
      <c r="D529" s="283" t="inlineStr">
        <is>
          <t>Elektronik &amp; Gadget</t>
        </is>
      </c>
      <c r="E529" s="293" t="n"/>
      <c r="F529" s="285" t="n"/>
      <c r="G529" s="282" t="n"/>
      <c r="H529" s="286" t="n"/>
      <c r="I529" s="282" t="n"/>
      <c r="J529" s="287" t="n"/>
      <c r="K529" s="281" t="n"/>
      <c r="L529" s="285" t="n"/>
      <c r="M529" s="288" t="n"/>
      <c r="N529" s="288" t="n"/>
      <c r="O529" s="285" t="n"/>
      <c r="P529" s="287" t="n"/>
      <c r="Q529" s="289" t="n"/>
      <c r="R529" s="280" t="n"/>
      <c r="S529" s="280" t="n"/>
      <c r="T529" s="280" t="n"/>
      <c r="U529" s="280" t="n"/>
      <c r="V529" s="280" t="n"/>
      <c r="W529" s="280" t="n"/>
      <c r="X529" s="280" t="n"/>
      <c r="Y529" s="280" t="n"/>
      <c r="Z529" s="280" t="n"/>
      <c r="AA529" s="280" t="n"/>
      <c r="AB529" s="280" t="n"/>
      <c r="AC529" s="280" t="n"/>
      <c r="AD529" s="280" t="n"/>
    </row>
    <row r="530" ht="15.5" customHeight="1">
      <c r="B530" s="290" t="n">
        <v>45501</v>
      </c>
      <c r="C530" s="291" t="n">
        <v>6</v>
      </c>
      <c r="D530" s="292" t="inlineStr">
        <is>
          <t>Handphone Operational untuk Secretary (Yufitri)</t>
        </is>
      </c>
      <c r="E530" s="293" t="inlineStr">
        <is>
          <t>BCA</t>
        </is>
      </c>
      <c r="F530" s="285" t="n">
        <v>2600000</v>
      </c>
      <c r="G530" s="294" t="inlineStr">
        <is>
          <t>IDR</t>
        </is>
      </c>
      <c r="H530" s="295" t="n">
        <v>1</v>
      </c>
      <c r="I530" s="282" t="n"/>
      <c r="J530" s="287" t="n"/>
      <c r="K530" s="281" t="n"/>
      <c r="L530" s="285" t="n"/>
      <c r="M530" s="288" t="n"/>
      <c r="N530" s="288" t="n">
        <v>2600000</v>
      </c>
      <c r="O530" s="285" t="n"/>
      <c r="P530" s="287" t="n"/>
      <c r="Q530" s="289" t="n"/>
      <c r="R530" s="280" t="n"/>
      <c r="S530" s="280" t="n"/>
      <c r="T530" s="280" t="n"/>
      <c r="U530" s="280" t="n"/>
      <c r="V530" s="280" t="n"/>
      <c r="W530" s="280" t="n"/>
      <c r="X530" s="280" t="n"/>
      <c r="Y530" s="280" t="n"/>
      <c r="Z530" s="280" t="n"/>
      <c r="AA530" s="280" t="n"/>
      <c r="AB530" s="280" t="n"/>
      <c r="AC530" s="280" t="n"/>
      <c r="AD530" s="280" t="n"/>
    </row>
    <row r="531" ht="15.5" customHeight="1">
      <c r="B531" s="281" t="n"/>
      <c r="C531" s="282" t="n"/>
      <c r="D531" s="283" t="inlineStr">
        <is>
          <t>Gaji</t>
        </is>
      </c>
      <c r="E531" s="287" t="n"/>
      <c r="F531" s="285" t="n"/>
      <c r="G531" s="282" t="n"/>
      <c r="H531" s="286" t="n"/>
      <c r="I531" s="282" t="n"/>
      <c r="J531" s="287" t="n"/>
      <c r="K531" s="281" t="n"/>
      <c r="L531" s="285" t="n"/>
      <c r="M531" s="288" t="n"/>
      <c r="N531" s="288" t="n"/>
      <c r="O531" s="285" t="n"/>
      <c r="P531" s="287" t="n"/>
      <c r="Q531" s="289" t="n"/>
      <c r="R531" s="280" t="n"/>
      <c r="S531" s="280" t="n"/>
      <c r="T531" s="280" t="n"/>
      <c r="U531" s="280" t="n"/>
      <c r="V531" s="280" t="n"/>
      <c r="W531" s="280" t="n"/>
      <c r="X531" s="280" t="n"/>
      <c r="Y531" s="280" t="n"/>
      <c r="Z531" s="280" t="n"/>
      <c r="AA531" s="280" t="n"/>
      <c r="AB531" s="280" t="n"/>
      <c r="AC531" s="280" t="n"/>
      <c r="AD531" s="280" t="n"/>
    </row>
    <row r="532" ht="15.5" customHeight="1">
      <c r="B532" s="290" t="n">
        <v>45323</v>
      </c>
      <c r="C532" s="291" t="n">
        <v>7</v>
      </c>
      <c r="D532" s="292" t="inlineStr">
        <is>
          <t>Gaji Januari 2024 _Yufitri</t>
        </is>
      </c>
      <c r="E532" s="287" t="inlineStr">
        <is>
          <t>BCA</t>
        </is>
      </c>
      <c r="F532" s="285" t="n">
        <v>2500000</v>
      </c>
      <c r="G532" s="294" t="inlineStr">
        <is>
          <t>IDR</t>
        </is>
      </c>
      <c r="H532" s="295" t="n">
        <v>1</v>
      </c>
      <c r="I532" s="282" t="n"/>
      <c r="J532" s="287" t="n"/>
      <c r="K532" s="281" t="n"/>
      <c r="L532" s="285" t="n">
        <v>2500000</v>
      </c>
      <c r="M532" s="288" t="n"/>
      <c r="N532" s="288" t="n"/>
      <c r="O532" s="285" t="n"/>
      <c r="P532" s="287" t="n"/>
      <c r="Q532" s="289" t="n"/>
      <c r="R532" s="280" t="n"/>
      <c r="S532" s="280" t="n"/>
      <c r="T532" s="280" t="n"/>
      <c r="U532" s="280" t="n"/>
      <c r="V532" s="280" t="n"/>
      <c r="W532" s="280" t="n"/>
      <c r="X532" s="280" t="n"/>
      <c r="Y532" s="280" t="n"/>
      <c r="Z532" s="280" t="n"/>
      <c r="AA532" s="280" t="n"/>
      <c r="AB532" s="280" t="n"/>
      <c r="AC532" s="280" t="n"/>
      <c r="AD532" s="280" t="n"/>
    </row>
    <row r="533" ht="15.5" customHeight="1">
      <c r="B533" s="290" t="n">
        <v>45356</v>
      </c>
      <c r="C533" s="291" t="n">
        <v>8</v>
      </c>
      <c r="D533" s="292" t="inlineStr">
        <is>
          <t>Gaji Februari 2024 + raple gaji Januari 2024_Yufitri</t>
        </is>
      </c>
      <c r="E533" s="287" t="inlineStr">
        <is>
          <t>BCA</t>
        </is>
      </c>
      <c r="F533" s="285" t="n">
        <v>3500000</v>
      </c>
      <c r="G533" s="294" t="inlineStr">
        <is>
          <t>IDR</t>
        </is>
      </c>
      <c r="H533" s="295" t="n">
        <v>1</v>
      </c>
      <c r="I533" s="282" t="n"/>
      <c r="J533" s="287" t="n"/>
      <c r="K533" s="281" t="n"/>
      <c r="L533" s="285" t="n">
        <v>3500000</v>
      </c>
      <c r="M533" s="288" t="n"/>
      <c r="N533" s="288" t="n"/>
      <c r="O533" s="285" t="n"/>
      <c r="P533" s="287" t="n"/>
      <c r="Q533" s="289" t="n"/>
      <c r="R533" s="280" t="n"/>
      <c r="S533" s="280" t="n"/>
      <c r="T533" s="280" t="n"/>
      <c r="U533" s="280" t="n"/>
      <c r="V533" s="280" t="n"/>
      <c r="W533" s="280" t="n"/>
      <c r="X533" s="280" t="n"/>
      <c r="Y533" s="280" t="n"/>
      <c r="Z533" s="280" t="n"/>
      <c r="AA533" s="280" t="n"/>
      <c r="AB533" s="280" t="n"/>
      <c r="AC533" s="280" t="n"/>
      <c r="AD533" s="280" t="n"/>
    </row>
    <row r="534" ht="15.5" customHeight="1">
      <c r="B534" s="290" t="n">
        <v>45379</v>
      </c>
      <c r="C534" s="291" t="n">
        <v>9</v>
      </c>
      <c r="D534" s="292" t="inlineStr">
        <is>
          <t>Gaji Maret 2024_Yufitri</t>
        </is>
      </c>
      <c r="E534" s="287" t="inlineStr">
        <is>
          <t>BCA</t>
        </is>
      </c>
      <c r="F534" s="285" t="n">
        <v>3000000</v>
      </c>
      <c r="G534" s="294" t="inlineStr">
        <is>
          <t>IDR</t>
        </is>
      </c>
      <c r="H534" s="295" t="n">
        <v>1</v>
      </c>
      <c r="I534" s="282" t="n"/>
      <c r="J534" s="287" t="n"/>
      <c r="K534" s="281" t="n"/>
      <c r="L534" s="285" t="n">
        <v>3000000</v>
      </c>
      <c r="M534" s="288" t="n"/>
      <c r="N534" s="288" t="n"/>
      <c r="O534" s="285" t="n"/>
      <c r="P534" s="287" t="n"/>
      <c r="Q534" s="289" t="n"/>
      <c r="R534" s="280" t="n"/>
      <c r="S534" s="280" t="n"/>
      <c r="T534" s="280" t="n"/>
      <c r="U534" s="280" t="n"/>
      <c r="V534" s="280" t="n"/>
      <c r="W534" s="280" t="n"/>
      <c r="X534" s="280" t="n"/>
      <c r="Y534" s="280" t="n"/>
      <c r="Z534" s="280" t="n"/>
      <c r="AA534" s="280" t="n"/>
      <c r="AB534" s="280" t="n"/>
      <c r="AC534" s="280" t="n"/>
      <c r="AD534" s="280" t="n"/>
    </row>
    <row r="535" ht="15.5" customHeight="1">
      <c r="B535" s="290" t="n">
        <v>45416</v>
      </c>
      <c r="C535" s="291" t="n">
        <v>10</v>
      </c>
      <c r="D535" s="292" t="inlineStr">
        <is>
          <t>Gaji April_Yufitri</t>
        </is>
      </c>
      <c r="E535" s="287" t="inlineStr">
        <is>
          <t>BCA</t>
        </is>
      </c>
      <c r="F535" s="285" t="n">
        <v>3000000</v>
      </c>
      <c r="G535" s="294" t="inlineStr">
        <is>
          <t>IDR</t>
        </is>
      </c>
      <c r="H535" s="295" t="n">
        <v>1</v>
      </c>
      <c r="I535" s="282" t="n"/>
      <c r="J535" s="287" t="n"/>
      <c r="K535" s="281" t="n"/>
      <c r="L535" s="285" t="n">
        <v>3000000</v>
      </c>
      <c r="M535" s="288" t="n"/>
      <c r="N535" s="288" t="n"/>
      <c r="O535" s="285" t="n"/>
      <c r="P535" s="287" t="n"/>
      <c r="Q535" s="289" t="n"/>
      <c r="R535" s="280" t="n"/>
      <c r="S535" s="280" t="n"/>
      <c r="T535" s="280" t="n"/>
      <c r="U535" s="280" t="n"/>
      <c r="V535" s="280" t="n"/>
      <c r="W535" s="280" t="n"/>
      <c r="X535" s="280" t="n"/>
      <c r="Y535" s="280" t="n"/>
      <c r="Z535" s="280" t="n"/>
      <c r="AA535" s="280" t="n"/>
      <c r="AB535" s="280" t="n"/>
      <c r="AC535" s="280" t="n"/>
      <c r="AD535" s="280" t="n"/>
    </row>
    <row r="536" ht="15.5" customHeight="1">
      <c r="B536" s="290" t="n">
        <v>45446</v>
      </c>
      <c r="C536" s="291" t="n">
        <v>11</v>
      </c>
      <c r="D536" s="292" t="inlineStr">
        <is>
          <t>Gaji Mei_Yufitri</t>
        </is>
      </c>
      <c r="E536" s="287" t="inlineStr">
        <is>
          <t>BCA</t>
        </is>
      </c>
      <c r="F536" s="285" t="n">
        <v>3000000</v>
      </c>
      <c r="G536" s="294" t="inlineStr">
        <is>
          <t>IDR</t>
        </is>
      </c>
      <c r="H536" s="295" t="n">
        <v>1</v>
      </c>
      <c r="I536" s="282" t="n"/>
      <c r="J536" s="287" t="n"/>
      <c r="K536" s="281" t="n"/>
      <c r="L536" s="285" t="n">
        <v>3000000</v>
      </c>
      <c r="M536" s="288" t="n"/>
      <c r="N536" s="288" t="n"/>
      <c r="O536" s="285" t="n"/>
      <c r="P536" s="287" t="n"/>
      <c r="Q536" s="289" t="n"/>
      <c r="R536" s="280" t="n"/>
      <c r="S536" s="280" t="n"/>
      <c r="T536" s="280" t="n"/>
      <c r="U536" s="280" t="n"/>
      <c r="V536" s="280" t="n"/>
      <c r="W536" s="280" t="n"/>
      <c r="X536" s="280" t="n"/>
      <c r="Y536" s="280" t="n"/>
      <c r="Z536" s="280" t="n"/>
      <c r="AA536" s="280" t="n"/>
      <c r="AB536" s="280" t="n"/>
      <c r="AC536" s="280" t="n"/>
      <c r="AD536" s="280" t="n"/>
    </row>
    <row r="537" ht="15.5" customHeight="1">
      <c r="B537" s="290" t="n">
        <v>45473</v>
      </c>
      <c r="C537" s="291" t="n">
        <v>12</v>
      </c>
      <c r="D537" s="292" t="inlineStr">
        <is>
          <t>Gaji Juni 2024_Yufitri</t>
        </is>
      </c>
      <c r="E537" s="287" t="inlineStr">
        <is>
          <t>BCA</t>
        </is>
      </c>
      <c r="F537" s="285" t="n">
        <v>3000000</v>
      </c>
      <c r="G537" s="294" t="inlineStr">
        <is>
          <t>IDR</t>
        </is>
      </c>
      <c r="H537" s="295" t="n">
        <v>1</v>
      </c>
      <c r="I537" s="282" t="n"/>
      <c r="J537" s="287" t="n"/>
      <c r="K537" s="281" t="n"/>
      <c r="L537" s="285" t="n">
        <v>3000000</v>
      </c>
      <c r="M537" s="288" t="n"/>
      <c r="N537" s="288" t="n"/>
      <c r="O537" s="285" t="n"/>
      <c r="P537" s="287" t="n"/>
      <c r="Q537" s="289" t="n"/>
      <c r="R537" s="280" t="n"/>
      <c r="S537" s="280" t="n"/>
      <c r="T537" s="280" t="n"/>
      <c r="U537" s="280" t="n"/>
      <c r="V537" s="280" t="n"/>
      <c r="W537" s="280" t="n"/>
      <c r="X537" s="280" t="n"/>
      <c r="Y537" s="280" t="n"/>
      <c r="Z537" s="280" t="n"/>
      <c r="AA537" s="280" t="n"/>
      <c r="AB537" s="280" t="n"/>
      <c r="AC537" s="280" t="n"/>
      <c r="AD537" s="280" t="n"/>
    </row>
    <row r="538" ht="15.5" customHeight="1">
      <c r="B538" s="290" t="n">
        <v>45501</v>
      </c>
      <c r="C538" s="291" t="n">
        <v>13</v>
      </c>
      <c r="D538" s="292" t="inlineStr">
        <is>
          <t>Gaji Juli 2024_Yufitri</t>
        </is>
      </c>
      <c r="E538" s="287" t="inlineStr">
        <is>
          <t>BCA</t>
        </is>
      </c>
      <c r="F538" s="285" t="n">
        <v>3000000</v>
      </c>
      <c r="G538" s="294" t="inlineStr">
        <is>
          <t>IDR</t>
        </is>
      </c>
      <c r="H538" s="295" t="n">
        <v>1</v>
      </c>
      <c r="I538" s="282" t="n"/>
      <c r="J538" s="287" t="n"/>
      <c r="K538" s="281" t="n"/>
      <c r="L538" s="285" t="n">
        <v>3000000</v>
      </c>
      <c r="M538" s="288" t="n"/>
      <c r="N538" s="288" t="n"/>
      <c r="O538" s="285" t="n"/>
      <c r="P538" s="287" t="n"/>
      <c r="Q538" s="289" t="n"/>
      <c r="R538" s="280" t="n"/>
      <c r="S538" s="280" t="n"/>
      <c r="T538" s="280" t="n"/>
      <c r="U538" s="280" t="n"/>
      <c r="V538" s="280" t="n"/>
      <c r="W538" s="280" t="n"/>
      <c r="X538" s="280" t="n"/>
      <c r="Y538" s="280" t="n"/>
      <c r="Z538" s="280" t="n"/>
      <c r="AA538" s="280" t="n"/>
      <c r="AB538" s="280" t="n"/>
      <c r="AC538" s="280" t="n"/>
      <c r="AD538" s="280" t="n"/>
    </row>
    <row r="539" ht="15.5" customHeight="1">
      <c r="B539" s="290" t="n">
        <v>45535</v>
      </c>
      <c r="C539" s="291" t="n">
        <v>14</v>
      </c>
      <c r="D539" s="292" t="inlineStr">
        <is>
          <t>Gaji Agustus 2024_Yufitri</t>
        </is>
      </c>
      <c r="E539" s="287" t="inlineStr">
        <is>
          <t>BCA</t>
        </is>
      </c>
      <c r="F539" s="285" t="n">
        <v>3000000</v>
      </c>
      <c r="G539" s="294" t="inlineStr">
        <is>
          <t>IDR</t>
        </is>
      </c>
      <c r="H539" s="295" t="n">
        <v>1</v>
      </c>
      <c r="I539" s="282" t="n"/>
      <c r="J539" s="287" t="n"/>
      <c r="K539" s="281" t="n"/>
      <c r="L539" s="285" t="n">
        <v>3000000</v>
      </c>
      <c r="M539" s="288" t="n"/>
      <c r="N539" s="288" t="n"/>
      <c r="O539" s="285" t="n"/>
      <c r="P539" s="287" t="n"/>
      <c r="Q539" s="289" t="n"/>
      <c r="R539" s="280" t="n"/>
      <c r="S539" s="280" t="n"/>
      <c r="T539" s="280" t="n"/>
      <c r="U539" s="280" t="n"/>
      <c r="V539" s="280" t="n"/>
      <c r="W539" s="280" t="n"/>
      <c r="X539" s="280" t="n"/>
      <c r="Y539" s="280" t="n"/>
      <c r="Z539" s="280" t="n"/>
      <c r="AA539" s="280" t="n"/>
      <c r="AB539" s="280" t="n"/>
      <c r="AC539" s="280" t="n"/>
      <c r="AD539" s="280" t="n"/>
    </row>
    <row r="540" ht="15.5" customHeight="1">
      <c r="B540" s="290" t="n">
        <v>45568</v>
      </c>
      <c r="C540" s="291" t="n">
        <v>15</v>
      </c>
      <c r="D540" s="292" t="inlineStr">
        <is>
          <t>Gaji fitri bulan september 2024</t>
        </is>
      </c>
      <c r="E540" s="287" t="inlineStr">
        <is>
          <t>BRI</t>
        </is>
      </c>
      <c r="F540" s="285" t="n">
        <v>3000000</v>
      </c>
      <c r="G540" s="294" t="inlineStr">
        <is>
          <t>IDR</t>
        </is>
      </c>
      <c r="H540" s="295" t="n">
        <v>1</v>
      </c>
      <c r="I540" s="282" t="n"/>
      <c r="J540" s="287" t="n"/>
      <c r="K540" s="281" t="n"/>
      <c r="L540" s="285" t="n">
        <v>3000000</v>
      </c>
      <c r="M540" s="288" t="n"/>
      <c r="N540" s="288" t="n"/>
      <c r="O540" s="285" t="n"/>
      <c r="P540" s="287" t="n"/>
      <c r="Q540" s="289" t="n"/>
      <c r="R540" s="280" t="n"/>
      <c r="S540" s="280" t="n"/>
      <c r="T540" s="280" t="n"/>
      <c r="U540" s="280" t="n"/>
      <c r="V540" s="280" t="n"/>
      <c r="W540" s="280" t="n"/>
      <c r="X540" s="280" t="n"/>
      <c r="Y540" s="280" t="n"/>
      <c r="Z540" s="280" t="n"/>
      <c r="AA540" s="280" t="n"/>
      <c r="AB540" s="280" t="n"/>
      <c r="AC540" s="280" t="n"/>
      <c r="AD540" s="280" t="n"/>
    </row>
    <row r="541" ht="15.5" customHeight="1">
      <c r="B541" s="290" t="n">
        <v>45568</v>
      </c>
      <c r="C541" s="291" t="n">
        <v>16</v>
      </c>
      <c r="D541" s="292" t="inlineStr">
        <is>
          <t>Gaji fitri bulan October 2024</t>
        </is>
      </c>
      <c r="E541" s="287" t="inlineStr">
        <is>
          <t>BRI</t>
        </is>
      </c>
      <c r="F541" s="285" t="n">
        <v>3000000</v>
      </c>
      <c r="G541" s="294" t="inlineStr">
        <is>
          <t>IDR</t>
        </is>
      </c>
      <c r="H541" s="295" t="n">
        <v>1</v>
      </c>
      <c r="I541" s="282" t="n"/>
      <c r="J541" s="287" t="n"/>
      <c r="K541" s="281" t="n"/>
      <c r="L541" s="285" t="n">
        <v>3000000</v>
      </c>
      <c r="M541" s="288" t="n"/>
      <c r="N541" s="288" t="n"/>
      <c r="O541" s="285" t="n"/>
      <c r="P541" s="287" t="n"/>
      <c r="Q541" s="289" t="n"/>
      <c r="R541" s="280" t="n"/>
      <c r="S541" s="280" t="n"/>
      <c r="T541" s="280" t="n"/>
      <c r="U541" s="280" t="n"/>
      <c r="V541" s="280" t="n"/>
      <c r="W541" s="280" t="n"/>
      <c r="X541" s="280" t="n"/>
      <c r="Y541" s="280" t="n"/>
      <c r="Z541" s="280" t="n"/>
      <c r="AA541" s="280" t="n"/>
      <c r="AB541" s="280" t="n"/>
      <c r="AC541" s="280" t="n"/>
      <c r="AD541" s="280" t="n"/>
    </row>
    <row r="542" ht="15.5" customHeight="1">
      <c r="B542" s="290" t="n">
        <v>45625</v>
      </c>
      <c r="C542" s="291" t="n">
        <v>17</v>
      </c>
      <c r="D542" s="292" t="inlineStr">
        <is>
          <t>Gaji fitri bulan November 2024</t>
        </is>
      </c>
      <c r="E542" s="293" t="inlineStr">
        <is>
          <t>BRI</t>
        </is>
      </c>
      <c r="F542" s="285" t="n">
        <v>3000000</v>
      </c>
      <c r="G542" s="294" t="inlineStr">
        <is>
          <t>IDR</t>
        </is>
      </c>
      <c r="H542" s="295" t="n">
        <v>1</v>
      </c>
      <c r="I542" s="282" t="n"/>
      <c r="J542" s="287" t="n"/>
      <c r="K542" s="281" t="n"/>
      <c r="L542" s="285" t="n">
        <v>3000000</v>
      </c>
      <c r="M542" s="288" t="n"/>
      <c r="N542" s="288" t="n"/>
      <c r="O542" s="285" t="n"/>
      <c r="P542" s="287" t="n"/>
      <c r="Q542" s="289" t="n"/>
      <c r="R542" s="280" t="n"/>
      <c r="S542" s="280" t="n"/>
      <c r="T542" s="280" t="n"/>
      <c r="U542" s="280" t="n"/>
      <c r="V542" s="280" t="n"/>
      <c r="W542" s="280" t="n"/>
      <c r="X542" s="280" t="n"/>
      <c r="Y542" s="280" t="n"/>
      <c r="Z542" s="280" t="n"/>
      <c r="AA542" s="280" t="n"/>
      <c r="AB542" s="280" t="n"/>
      <c r="AC542" s="280" t="n"/>
      <c r="AD542" s="280" t="n"/>
    </row>
    <row r="543" ht="15.5" customHeight="1">
      <c r="B543" s="290" t="n">
        <v>45651</v>
      </c>
      <c r="C543" s="291" t="n">
        <v>18</v>
      </c>
      <c r="D543" s="292" t="inlineStr">
        <is>
          <t>Gaji Desember 2024 + Bomnus akhir tahun - 4 bulan_Yufitri</t>
        </is>
      </c>
      <c r="E543" s="293" t="inlineStr">
        <is>
          <t>BCA</t>
        </is>
      </c>
      <c r="F543" s="285" t="n">
        <v>15000000</v>
      </c>
      <c r="G543" s="294" t="inlineStr">
        <is>
          <t>IDR</t>
        </is>
      </c>
      <c r="H543" s="295" t="n">
        <v>1</v>
      </c>
      <c r="I543" s="282" t="n"/>
      <c r="J543" s="287" t="n"/>
      <c r="K543" s="281" t="n"/>
      <c r="L543" s="285" t="n">
        <v>15000000</v>
      </c>
      <c r="M543" s="288" t="n"/>
      <c r="N543" s="288" t="n"/>
      <c r="O543" s="285" t="n"/>
      <c r="P543" s="287" t="n"/>
      <c r="Q543" s="289" t="n"/>
      <c r="R543" s="280" t="n"/>
      <c r="S543" s="280" t="n"/>
      <c r="T543" s="280" t="n"/>
      <c r="U543" s="280" t="n"/>
      <c r="V543" s="280" t="n"/>
      <c r="W543" s="280" t="n"/>
      <c r="X543" s="280" t="n"/>
      <c r="Y543" s="280" t="n"/>
      <c r="Z543" s="280" t="n"/>
      <c r="AA543" s="280" t="n"/>
      <c r="AB543" s="280" t="n"/>
      <c r="AC543" s="280" t="n"/>
      <c r="AD543" s="280" t="n"/>
    </row>
    <row r="544" ht="15.5" customHeight="1">
      <c r="B544" s="281" t="n"/>
      <c r="C544" s="282" t="n"/>
      <c r="D544" s="283" t="inlineStr">
        <is>
          <t>Hand Tools</t>
        </is>
      </c>
      <c r="E544" s="293" t="n"/>
      <c r="F544" s="285" t="n"/>
      <c r="G544" s="282" t="n"/>
      <c r="H544" s="286" t="n"/>
      <c r="I544" s="282" t="n"/>
      <c r="J544" s="287" t="n"/>
      <c r="K544" s="281" t="n"/>
      <c r="L544" s="285" t="n"/>
      <c r="M544" s="288" t="n"/>
      <c r="N544" s="288" t="n"/>
      <c r="O544" s="285" t="n"/>
      <c r="P544" s="287" t="n"/>
      <c r="Q544" s="289" t="n"/>
      <c r="R544" s="280" t="n"/>
      <c r="S544" s="280" t="n"/>
      <c r="T544" s="280" t="n"/>
      <c r="U544" s="280" t="n"/>
      <c r="V544" s="280" t="n"/>
      <c r="W544" s="280" t="n"/>
      <c r="X544" s="280" t="n"/>
      <c r="Y544" s="280" t="n"/>
      <c r="Z544" s="280" t="n"/>
      <c r="AA544" s="280" t="n"/>
      <c r="AB544" s="280" t="n"/>
      <c r="AC544" s="280" t="n"/>
      <c r="AD544" s="280" t="n"/>
    </row>
    <row r="545" ht="15.5" customHeight="1">
      <c r="B545" s="290" t="n">
        <v>45473</v>
      </c>
      <c r="C545" s="291" t="n">
        <v>19</v>
      </c>
      <c r="D545" s="292" t="inlineStr">
        <is>
          <t>Downhole Sampling tool #1-1 GARINDO SARANA BARU</t>
        </is>
      </c>
      <c r="E545" s="296" t="inlineStr">
        <is>
          <t>BCA</t>
        </is>
      </c>
      <c r="F545" s="285" t="n">
        <v>39800000</v>
      </c>
      <c r="G545" s="294" t="inlineStr">
        <is>
          <t>IDR</t>
        </is>
      </c>
      <c r="H545" s="295" t="n">
        <v>1</v>
      </c>
      <c r="I545" s="282" t="n"/>
      <c r="J545" s="287" t="n"/>
      <c r="K545" s="281" t="n"/>
      <c r="L545" s="285" t="n"/>
      <c r="M545" s="288" t="n"/>
      <c r="N545" s="288" t="n">
        <v>39800000</v>
      </c>
      <c r="O545" s="285" t="n"/>
      <c r="P545" s="287" t="n"/>
      <c r="Q545" s="289" t="n"/>
      <c r="R545" s="280" t="n"/>
      <c r="S545" s="280" t="n"/>
      <c r="T545" s="280" t="n"/>
      <c r="U545" s="280" t="n"/>
      <c r="V545" s="280" t="n"/>
      <c r="W545" s="280" t="n"/>
      <c r="X545" s="280" t="n"/>
      <c r="Y545" s="280" t="n"/>
      <c r="Z545" s="280" t="n"/>
      <c r="AA545" s="280" t="n"/>
      <c r="AB545" s="280" t="n"/>
      <c r="AC545" s="280" t="n"/>
      <c r="AD545" s="280" t="n"/>
    </row>
    <row r="546" ht="15.5" customHeight="1">
      <c r="B546" s="290" t="n">
        <v>45519</v>
      </c>
      <c r="C546" s="291" t="n">
        <v>20</v>
      </c>
      <c r="D546" s="292" t="inlineStr">
        <is>
          <t>Downhole Sampling tool #1-2 GARINDO SARANA BARU</t>
        </is>
      </c>
      <c r="E546" s="297" t="inlineStr">
        <is>
          <t>BCA</t>
        </is>
      </c>
      <c r="F546" s="285" t="n">
        <v>53835000</v>
      </c>
      <c r="G546" s="294" t="inlineStr">
        <is>
          <t>IDR</t>
        </is>
      </c>
      <c r="H546" s="295" t="n">
        <v>1</v>
      </c>
      <c r="I546" s="282" t="n"/>
      <c r="J546" s="287" t="n"/>
      <c r="K546" s="281" t="n"/>
      <c r="L546" s="285" t="n"/>
      <c r="M546" s="288" t="n"/>
      <c r="N546" s="288" t="n">
        <v>53835000</v>
      </c>
      <c r="O546" s="285" t="n"/>
      <c r="P546" s="287" t="n"/>
      <c r="Q546" s="289" t="n"/>
      <c r="R546" s="280" t="n"/>
      <c r="S546" s="280" t="n"/>
      <c r="T546" s="280" t="n"/>
      <c r="U546" s="280" t="n"/>
      <c r="V546" s="280" t="n"/>
      <c r="W546" s="280" t="n"/>
      <c r="X546" s="280" t="n"/>
      <c r="Y546" s="280" t="n"/>
      <c r="Z546" s="280" t="n"/>
      <c r="AA546" s="280" t="n"/>
      <c r="AB546" s="280" t="n"/>
      <c r="AC546" s="280" t="n"/>
      <c r="AD546" s="280" t="n"/>
    </row>
    <row r="547" ht="15.5" customHeight="1">
      <c r="B547" s="290" t="n">
        <v>45556</v>
      </c>
      <c r="C547" s="291" t="n">
        <v>21</v>
      </c>
      <c r="D547" s="292" t="inlineStr">
        <is>
          <t>Downhole Sampling tool #2 GARINDO SARANA BARU</t>
        </is>
      </c>
      <c r="E547" s="287" t="inlineStr">
        <is>
          <t>BCA</t>
        </is>
      </c>
      <c r="F547" s="285" t="n">
        <v>34299000</v>
      </c>
      <c r="G547" s="294" t="inlineStr">
        <is>
          <t>IDR</t>
        </is>
      </c>
      <c r="H547" s="295" t="n">
        <v>1</v>
      </c>
      <c r="I547" s="282" t="n"/>
      <c r="J547" s="287" t="n"/>
      <c r="K547" s="281" t="n"/>
      <c r="L547" s="285" t="n"/>
      <c r="M547" s="288" t="n"/>
      <c r="N547" s="288" t="n">
        <v>34299000</v>
      </c>
      <c r="O547" s="285" t="n"/>
      <c r="P547" s="287" t="n"/>
      <c r="Q547" s="289" t="n"/>
      <c r="R547" s="280" t="n"/>
      <c r="S547" s="280" t="n"/>
      <c r="T547" s="280" t="n"/>
      <c r="U547" s="280" t="n"/>
      <c r="V547" s="280" t="n"/>
      <c r="W547" s="280" t="n"/>
      <c r="X547" s="280" t="n"/>
      <c r="Y547" s="280" t="n"/>
      <c r="Z547" s="280" t="n"/>
      <c r="AA547" s="280" t="n"/>
      <c r="AB547" s="280" t="n"/>
      <c r="AC547" s="280" t="n"/>
      <c r="AD547" s="280" t="n"/>
    </row>
    <row r="548" ht="15.5" customHeight="1">
      <c r="B548" s="281" t="n"/>
      <c r="C548" s="282" t="n"/>
      <c r="D548" s="283" t="inlineStr">
        <is>
          <t>Meal</t>
        </is>
      </c>
      <c r="E548" s="287" t="n"/>
      <c r="F548" s="285" t="n"/>
      <c r="G548" s="282" t="n"/>
      <c r="H548" s="286" t="n"/>
      <c r="I548" s="282" t="n"/>
      <c r="J548" s="287" t="n"/>
      <c r="K548" s="281" t="n"/>
      <c r="L548" s="285" t="n"/>
      <c r="M548" s="288" t="n"/>
      <c r="N548" s="288" t="n"/>
      <c r="O548" s="285" t="n"/>
      <c r="P548" s="287" t="n"/>
      <c r="Q548" s="289" t="n"/>
      <c r="R548" s="280" t="n"/>
      <c r="S548" s="280" t="n"/>
      <c r="T548" s="280" t="n"/>
      <c r="U548" s="280" t="n"/>
      <c r="V548" s="280" t="n"/>
      <c r="W548" s="280" t="n"/>
      <c r="X548" s="280" t="n"/>
      <c r="Y548" s="280" t="n"/>
      <c r="Z548" s="280" t="n"/>
      <c r="AA548" s="280" t="n"/>
      <c r="AB548" s="280" t="n"/>
      <c r="AC548" s="280" t="n"/>
      <c r="AD548" s="280" t="n"/>
    </row>
    <row r="549" ht="15.5" customHeight="1">
      <c r="B549" s="290" t="n">
        <v>45644</v>
      </c>
      <c r="C549" s="291" t="n">
        <v>22</v>
      </c>
      <c r="D549" s="292" t="inlineStr">
        <is>
          <t>Team building EWI dengan team Well Intervention PEP Reg. 2</t>
        </is>
      </c>
      <c r="E549" s="297" t="inlineStr">
        <is>
          <t>BCA</t>
        </is>
      </c>
      <c r="F549" s="285" t="n">
        <v>39201350</v>
      </c>
      <c r="G549" s="294" t="inlineStr">
        <is>
          <t>IDR</t>
        </is>
      </c>
      <c r="H549" s="295" t="n">
        <v>1</v>
      </c>
      <c r="I549" s="282" t="n"/>
      <c r="J549" s="287" t="n"/>
      <c r="K549" s="281" t="n"/>
      <c r="L549" s="285" t="n">
        <v>39201350</v>
      </c>
      <c r="M549" s="288" t="n"/>
      <c r="N549" s="288" t="n"/>
      <c r="O549" s="285" t="n"/>
      <c r="P549" s="287" t="n"/>
      <c r="Q549" s="289" t="n"/>
      <c r="R549" s="280" t="n"/>
      <c r="S549" s="280" t="n"/>
      <c r="T549" s="280" t="n"/>
      <c r="U549" s="280" t="n"/>
      <c r="V549" s="280" t="n"/>
      <c r="W549" s="280" t="n"/>
      <c r="X549" s="280" t="n"/>
      <c r="Y549" s="280" t="n"/>
      <c r="Z549" s="280" t="n"/>
      <c r="AA549" s="280" t="n"/>
      <c r="AB549" s="280" t="n"/>
      <c r="AC549" s="280" t="n"/>
      <c r="AD549" s="280" t="n"/>
    </row>
    <row r="550" ht="15.5" customHeight="1">
      <c r="B550" s="281" t="n"/>
      <c r="C550" s="282" t="n"/>
      <c r="D550" s="283" t="inlineStr">
        <is>
          <t>Modal Kerja</t>
        </is>
      </c>
      <c r="E550" s="293" t="n"/>
      <c r="F550" s="285" t="n"/>
      <c r="G550" s="282" t="n"/>
      <c r="H550" s="286" t="n"/>
      <c r="I550" s="282" t="n"/>
      <c r="J550" s="287" t="n"/>
      <c r="K550" s="281" t="n"/>
      <c r="L550" s="285" t="n"/>
      <c r="M550" s="288" t="n"/>
      <c r="N550" s="288" t="n"/>
      <c r="O550" s="285" t="n"/>
      <c r="P550" s="287" t="n"/>
      <c r="Q550" s="289" t="n"/>
      <c r="R550" s="280" t="n"/>
      <c r="S550" s="280" t="n"/>
      <c r="T550" s="280" t="n"/>
      <c r="U550" s="280" t="n"/>
      <c r="V550" s="280" t="n"/>
      <c r="W550" s="280" t="n"/>
      <c r="X550" s="280" t="n"/>
      <c r="Y550" s="280" t="n"/>
      <c r="Z550" s="280" t="n"/>
      <c r="AA550" s="280" t="n"/>
      <c r="AB550" s="280" t="n"/>
      <c r="AC550" s="280" t="n"/>
      <c r="AD550" s="280" t="n"/>
    </row>
    <row r="551" ht="15.5" customHeight="1">
      <c r="B551" s="290" t="n">
        <v>45483</v>
      </c>
      <c r="C551" s="291" t="n">
        <v>23</v>
      </c>
      <c r="D551" s="292" t="inlineStr">
        <is>
          <t>Pembelian Lisence Sonoechometer to PT Weebz Mandiri</t>
        </is>
      </c>
      <c r="E551" s="293" t="inlineStr">
        <is>
          <t>BCA</t>
        </is>
      </c>
      <c r="F551" s="285" t="n">
        <v>16650000</v>
      </c>
      <c r="G551" s="294" t="inlineStr">
        <is>
          <t>IDR</t>
        </is>
      </c>
      <c r="H551" s="295" t="n">
        <v>1</v>
      </c>
      <c r="I551" s="282" t="n"/>
      <c r="J551" s="287" t="n"/>
      <c r="K551" s="281" t="n"/>
      <c r="L551" s="285" t="n"/>
      <c r="M551" s="288" t="n"/>
      <c r="N551" s="288" t="n"/>
      <c r="O551" s="285" t="n"/>
      <c r="P551" s="287" t="n"/>
      <c r="Q551" s="298" t="n">
        <v>16650000</v>
      </c>
      <c r="R551" s="280" t="n"/>
      <c r="S551" s="280" t="n"/>
      <c r="T551" s="280" t="n"/>
      <c r="U551" s="280" t="n"/>
      <c r="V551" s="280" t="n"/>
      <c r="W551" s="280" t="n"/>
      <c r="X551" s="280" t="n"/>
      <c r="Y551" s="280" t="n"/>
      <c r="Z551" s="280" t="n"/>
      <c r="AA551" s="280" t="n"/>
      <c r="AB551" s="280" t="n"/>
      <c r="AC551" s="280" t="n"/>
      <c r="AD551" s="280" t="n"/>
    </row>
    <row r="552" ht="15.5" customHeight="1">
      <c r="B552" s="290" t="n">
        <v>45519</v>
      </c>
      <c r="C552" s="291" t="n">
        <v>24</v>
      </c>
      <c r="D552" s="292" t="inlineStr">
        <is>
          <t>MUTRI | Sewa ruangan kantor BBC 2 bulan</t>
        </is>
      </c>
      <c r="E552" s="293" t="inlineStr">
        <is>
          <t>BCA</t>
        </is>
      </c>
      <c r="F552" s="285" t="n">
        <v>11270000</v>
      </c>
      <c r="G552" s="294" t="inlineStr">
        <is>
          <t>IDR</t>
        </is>
      </c>
      <c r="H552" s="295" t="n">
        <v>1</v>
      </c>
      <c r="I552" s="282" t="n"/>
      <c r="J552" s="287" t="n"/>
      <c r="K552" s="281" t="n"/>
      <c r="L552" s="285" t="n"/>
      <c r="M552" s="288" t="n"/>
      <c r="N552" s="288" t="n"/>
      <c r="O552" s="285" t="n"/>
      <c r="P552" s="287" t="n"/>
      <c r="Q552" s="298" t="n">
        <v>11270000</v>
      </c>
      <c r="R552" s="280" t="n"/>
      <c r="S552" s="280" t="n"/>
      <c r="T552" s="280" t="n"/>
      <c r="U552" s="280" t="n"/>
      <c r="V552" s="280" t="n"/>
      <c r="W552" s="280" t="n"/>
      <c r="X552" s="280" t="n"/>
      <c r="Y552" s="280" t="n"/>
      <c r="Z552" s="280" t="n"/>
      <c r="AA552" s="280" t="n"/>
      <c r="AB552" s="280" t="n"/>
      <c r="AC552" s="280" t="n"/>
      <c r="AD552" s="280" t="n"/>
    </row>
    <row r="553" ht="15.5" customHeight="1">
      <c r="B553" s="290" t="n">
        <v>45539</v>
      </c>
      <c r="C553" s="291" t="n">
        <v>25</v>
      </c>
      <c r="D553" s="292" t="inlineStr">
        <is>
          <t>MUTRI | Penambahan modal biaya kerja</t>
        </is>
      </c>
      <c r="E553" s="299" t="inlineStr">
        <is>
          <t>BRI</t>
        </is>
      </c>
      <c r="F553" s="285" t="n">
        <v>100000000</v>
      </c>
      <c r="G553" s="294" t="inlineStr">
        <is>
          <t>IDR</t>
        </is>
      </c>
      <c r="H553" s="295" t="n">
        <v>1</v>
      </c>
      <c r="I553" s="282" t="n"/>
      <c r="J553" s="287" t="n"/>
      <c r="K553" s="281" t="n"/>
      <c r="L553" s="285" t="n"/>
      <c r="M553" s="288" t="n"/>
      <c r="N553" s="288" t="n"/>
      <c r="O553" s="285" t="n"/>
      <c r="P553" s="287" t="n"/>
      <c r="Q553" s="298" t="n">
        <v>100000000</v>
      </c>
      <c r="R553" s="280" t="n"/>
      <c r="S553" s="280" t="n"/>
      <c r="T553" s="280" t="n"/>
      <c r="U553" s="280" t="n"/>
      <c r="V553" s="280" t="n"/>
      <c r="W553" s="280" t="n"/>
      <c r="X553" s="280" t="n"/>
      <c r="Y553" s="280" t="n"/>
      <c r="Z553" s="280" t="n"/>
      <c r="AA553" s="280" t="n"/>
      <c r="AB553" s="280" t="n"/>
      <c r="AC553" s="280" t="n"/>
      <c r="AD553" s="280" t="n"/>
    </row>
    <row r="554" ht="15.5" customHeight="1">
      <c r="B554" s="290" t="n">
        <v>45625</v>
      </c>
      <c r="C554" s="291" t="n">
        <v>26</v>
      </c>
      <c r="D554" s="292" t="inlineStr">
        <is>
          <t>MUTRI | Penambahan modal biaya kerja 3rd</t>
        </is>
      </c>
      <c r="E554" s="293" t="inlineStr">
        <is>
          <t>BRI</t>
        </is>
      </c>
      <c r="F554" s="285" t="n">
        <v>75000000</v>
      </c>
      <c r="G554" s="294" t="inlineStr">
        <is>
          <t>IDR</t>
        </is>
      </c>
      <c r="H554" s="295" t="n">
        <v>1</v>
      </c>
      <c r="I554" s="282" t="n"/>
      <c r="J554" s="287" t="n"/>
      <c r="K554" s="281" t="n"/>
      <c r="L554" s="285" t="n"/>
      <c r="M554" s="288" t="n"/>
      <c r="N554" s="288" t="n"/>
      <c r="O554" s="285" t="n"/>
      <c r="P554" s="287" t="n"/>
      <c r="Q554" s="298" t="n">
        <v>75000000</v>
      </c>
      <c r="R554" s="280" t="n"/>
      <c r="S554" s="280" t="n"/>
      <c r="T554" s="280" t="n"/>
      <c r="U554" s="280" t="n"/>
      <c r="V554" s="280" t="n"/>
      <c r="W554" s="280" t="n"/>
      <c r="X554" s="280" t="n"/>
      <c r="Y554" s="280" t="n"/>
      <c r="Z554" s="280" t="n"/>
      <c r="AA554" s="280" t="n"/>
      <c r="AB554" s="280" t="n"/>
      <c r="AC554" s="280" t="n"/>
      <c r="AD554" s="280" t="n"/>
    </row>
    <row r="555" ht="15.5" customHeight="1">
      <c r="B555" s="281" t="n"/>
      <c r="C555" s="282" t="n"/>
      <c r="D555" s="283" t="inlineStr">
        <is>
          <t>Pembuatan Alat</t>
        </is>
      </c>
      <c r="E555" s="293" t="n"/>
      <c r="F555" s="285" t="n"/>
      <c r="G555" s="282" t="n"/>
      <c r="H555" s="286" t="n"/>
      <c r="I555" s="282" t="n"/>
      <c r="J555" s="287" t="n"/>
      <c r="K555" s="281" t="n"/>
      <c r="L555" s="285" t="n"/>
      <c r="M555" s="288" t="n"/>
      <c r="N555" s="288" t="n"/>
      <c r="O555" s="285" t="n"/>
      <c r="P555" s="287" t="n"/>
      <c r="Q555" s="289" t="n"/>
      <c r="R555" s="280" t="n"/>
      <c r="S555" s="280" t="n"/>
      <c r="T555" s="280" t="n"/>
      <c r="U555" s="280" t="n"/>
      <c r="V555" s="280" t="n"/>
      <c r="W555" s="280" t="n"/>
      <c r="X555" s="280" t="n"/>
      <c r="Y555" s="280" t="n"/>
      <c r="Z555" s="280" t="n"/>
      <c r="AA555" s="280" t="n"/>
      <c r="AB555" s="280" t="n"/>
      <c r="AC555" s="280" t="n"/>
      <c r="AD555" s="280" t="n"/>
    </row>
    <row r="556" ht="15.5" customHeight="1">
      <c r="B556" s="290" t="n">
        <v>45364</v>
      </c>
      <c r="C556" s="291" t="n">
        <v>27</v>
      </c>
      <c r="D556" s="292" t="inlineStr">
        <is>
          <t>Ralika Jaya Utama | Permbuatan alat Downhole Wireless Telemetry</t>
        </is>
      </c>
      <c r="E556" s="293" t="inlineStr">
        <is>
          <t>BCA</t>
        </is>
      </c>
      <c r="F556" s="285" t="n">
        <v>100000000</v>
      </c>
      <c r="G556" s="294" t="inlineStr">
        <is>
          <t>IDR</t>
        </is>
      </c>
      <c r="H556" s="295" t="n">
        <v>1</v>
      </c>
      <c r="I556" s="282" t="n"/>
      <c r="J556" s="285" t="n">
        <v>100000000</v>
      </c>
      <c r="K556" s="281" t="n"/>
      <c r="L556" s="285" t="n"/>
      <c r="M556" s="288" t="n"/>
      <c r="N556" s="288" t="n"/>
      <c r="O556" s="285" t="n"/>
      <c r="P556" s="287" t="n"/>
      <c r="Q556" s="289" t="n"/>
      <c r="R556" s="280" t="n"/>
      <c r="S556" s="280" t="n"/>
      <c r="T556" s="280" t="n"/>
      <c r="U556" s="280" t="n"/>
      <c r="V556" s="280" t="n"/>
      <c r="W556" s="280" t="n"/>
      <c r="X556" s="280" t="n"/>
      <c r="Y556" s="280" t="n"/>
      <c r="Z556" s="280" t="n"/>
      <c r="AA556" s="280" t="n"/>
      <c r="AB556" s="280" t="n"/>
      <c r="AC556" s="280" t="n"/>
      <c r="AD556" s="280" t="n"/>
    </row>
    <row r="557" ht="15.5" customHeight="1">
      <c r="B557" s="290" t="n">
        <v>45418</v>
      </c>
      <c r="C557" s="291" t="n">
        <v>28</v>
      </c>
      <c r="D557" s="292" t="inlineStr">
        <is>
          <t>Ralika Jaya Utama | Permbuatan alat Downhole Wireless Telemetry</t>
        </is>
      </c>
      <c r="E557" s="293" t="inlineStr">
        <is>
          <t>BRI</t>
        </is>
      </c>
      <c r="F557" s="285" t="n">
        <v>100000000</v>
      </c>
      <c r="G557" s="294" t="inlineStr">
        <is>
          <t>IDR</t>
        </is>
      </c>
      <c r="H557" s="295" t="n">
        <v>1</v>
      </c>
      <c r="I557" s="282" t="n"/>
      <c r="J557" s="285" t="n">
        <v>100000000</v>
      </c>
      <c r="K557" s="281" t="n"/>
      <c r="L557" s="285" t="n"/>
      <c r="M557" s="288" t="n"/>
      <c r="N557" s="288" t="n"/>
      <c r="O557" s="285" t="n"/>
      <c r="P557" s="287" t="n"/>
      <c r="Q557" s="289" t="n"/>
      <c r="R557" s="280" t="n"/>
      <c r="S557" s="280" t="n"/>
      <c r="T557" s="280" t="n"/>
      <c r="U557" s="280" t="n"/>
      <c r="V557" s="280" t="n"/>
      <c r="W557" s="280" t="n"/>
      <c r="X557" s="280" t="n"/>
      <c r="Y557" s="280" t="n"/>
      <c r="Z557" s="280" t="n"/>
      <c r="AA557" s="280" t="n"/>
      <c r="AB557" s="280" t="n"/>
      <c r="AC557" s="280" t="n"/>
      <c r="AD557" s="280" t="n"/>
    </row>
    <row r="558" ht="15.5" customHeight="1">
      <c r="B558" s="290" t="n">
        <v>45502</v>
      </c>
      <c r="C558" s="291" t="n">
        <v>29</v>
      </c>
      <c r="D558" s="292" t="inlineStr">
        <is>
          <t>Ralika Jaya Utama | Permbuatan alat injeksi listrik (EAS)</t>
        </is>
      </c>
      <c r="E558" s="293" t="inlineStr">
        <is>
          <t>BRI</t>
        </is>
      </c>
      <c r="F558" s="285" t="n">
        <v>100000000</v>
      </c>
      <c r="G558" s="294" t="inlineStr">
        <is>
          <t>IDR</t>
        </is>
      </c>
      <c r="H558" s="295" t="n">
        <v>1</v>
      </c>
      <c r="I558" s="282" t="n"/>
      <c r="J558" s="285" t="n">
        <v>100000000</v>
      </c>
      <c r="K558" s="281" t="n"/>
      <c r="L558" s="285" t="n"/>
      <c r="M558" s="288" t="n"/>
      <c r="N558" s="288" t="n"/>
      <c r="O558" s="285" t="n"/>
      <c r="P558" s="287" t="n"/>
      <c r="Q558" s="289" t="n"/>
      <c r="R558" s="280" t="n"/>
      <c r="S558" s="280" t="n"/>
      <c r="T558" s="280" t="n"/>
      <c r="U558" s="280" t="n"/>
      <c r="V558" s="280" t="n"/>
      <c r="W558" s="280" t="n"/>
      <c r="X558" s="280" t="n"/>
      <c r="Y558" s="280" t="n"/>
      <c r="Z558" s="280" t="n"/>
      <c r="AA558" s="280" t="n"/>
      <c r="AB558" s="280" t="n"/>
      <c r="AC558" s="280" t="n"/>
      <c r="AD558" s="280" t="n"/>
    </row>
    <row r="559" ht="15.5" customHeight="1">
      <c r="B559" s="290" t="n">
        <v>45548</v>
      </c>
      <c r="C559" s="291" t="n">
        <v>30</v>
      </c>
      <c r="D559" s="292" t="inlineStr">
        <is>
          <t>Ralika Jaya Utama | Permbuatan alat EMR</t>
        </is>
      </c>
      <c r="E559" s="293" t="inlineStr">
        <is>
          <t>BRI</t>
        </is>
      </c>
      <c r="F559" s="285" t="n">
        <v>150000000</v>
      </c>
      <c r="G559" s="294" t="inlineStr">
        <is>
          <t>IDR</t>
        </is>
      </c>
      <c r="H559" s="295" t="n">
        <v>1</v>
      </c>
      <c r="I559" s="282" t="n"/>
      <c r="J559" s="285" t="n">
        <v>150000000</v>
      </c>
      <c r="K559" s="281" t="n"/>
      <c r="L559" s="285" t="n"/>
      <c r="M559" s="288" t="n"/>
      <c r="N559" s="288" t="n"/>
      <c r="O559" s="285" t="n"/>
      <c r="P559" s="287" t="n"/>
      <c r="Q559" s="289" t="n"/>
      <c r="R559" s="280" t="n"/>
      <c r="S559" s="280" t="n"/>
      <c r="T559" s="280" t="n"/>
      <c r="U559" s="280" t="n"/>
      <c r="V559" s="280" t="n"/>
      <c r="W559" s="280" t="n"/>
      <c r="X559" s="280" t="n"/>
      <c r="Y559" s="280" t="n"/>
      <c r="Z559" s="280" t="n"/>
      <c r="AA559" s="280" t="n"/>
      <c r="AB559" s="280" t="n"/>
      <c r="AC559" s="280" t="n"/>
      <c r="AD559" s="280" t="n"/>
    </row>
    <row r="560" ht="15.5" customHeight="1">
      <c r="B560" s="290" t="n">
        <v>45631</v>
      </c>
      <c r="C560" s="291" t="n">
        <v>31</v>
      </c>
      <c r="D560" s="292" t="inlineStr">
        <is>
          <t>Ralika Jaya Utama | Permbuatan alat injeksi listrik (EAS)</t>
        </is>
      </c>
      <c r="E560" s="296" t="inlineStr">
        <is>
          <t>BRI</t>
        </is>
      </c>
      <c r="F560" s="285" t="n">
        <v>400000000</v>
      </c>
      <c r="G560" s="294" t="inlineStr">
        <is>
          <t>IDR</t>
        </is>
      </c>
      <c r="H560" s="295" t="n">
        <v>1</v>
      </c>
      <c r="I560" s="282" t="n"/>
      <c r="J560" s="285" t="n">
        <v>400000000</v>
      </c>
      <c r="K560" s="281" t="n"/>
      <c r="L560" s="285" t="n"/>
      <c r="M560" s="288" t="n"/>
      <c r="N560" s="288" t="n"/>
      <c r="O560" s="285" t="n"/>
      <c r="P560" s="287" t="n"/>
      <c r="Q560" s="289" t="n"/>
      <c r="R560" s="280" t="n"/>
      <c r="S560" s="280" t="n"/>
      <c r="T560" s="280" t="n"/>
      <c r="U560" s="280" t="n"/>
      <c r="V560" s="280" t="n"/>
      <c r="W560" s="280" t="n"/>
      <c r="X560" s="280" t="n"/>
      <c r="Y560" s="280" t="n"/>
      <c r="Z560" s="280" t="n"/>
      <c r="AA560" s="280" t="n"/>
      <c r="AB560" s="280" t="n"/>
      <c r="AC560" s="280" t="n"/>
      <c r="AD560" s="280" t="n"/>
    </row>
    <row r="561" ht="15.5" customHeight="1">
      <c r="B561" s="290" t="n">
        <v>45653</v>
      </c>
      <c r="C561" s="291" t="n">
        <v>32</v>
      </c>
      <c r="D561" s="292" t="inlineStr">
        <is>
          <t>KUPA | Pembelian Mesin Retort Horizontal 500 Lt Automatic Control</t>
        </is>
      </c>
      <c r="E561" s="293" t="inlineStr">
        <is>
          <t>BCA</t>
        </is>
      </c>
      <c r="F561" s="285" t="n">
        <v>141500000</v>
      </c>
      <c r="G561" s="294" t="inlineStr">
        <is>
          <t>IDR</t>
        </is>
      </c>
      <c r="H561" s="295" t="n">
        <v>1</v>
      </c>
      <c r="I561" s="282" t="n"/>
      <c r="J561" s="285" t="n">
        <v>141500000</v>
      </c>
      <c r="K561" s="281" t="n"/>
      <c r="L561" s="285" t="n"/>
      <c r="M561" s="288" t="n"/>
      <c r="N561" s="288" t="n"/>
      <c r="O561" s="285" t="n"/>
      <c r="P561" s="287" t="n"/>
      <c r="Q561" s="289" t="n"/>
      <c r="R561" s="280" t="n"/>
      <c r="S561" s="280" t="n"/>
      <c r="T561" s="280" t="n"/>
      <c r="U561" s="280" t="n"/>
      <c r="V561" s="280" t="n"/>
      <c r="W561" s="280" t="n"/>
      <c r="X561" s="280" t="n"/>
      <c r="Y561" s="280" t="n"/>
      <c r="Z561" s="280" t="n"/>
      <c r="AA561" s="280" t="n"/>
      <c r="AB561" s="280" t="n"/>
      <c r="AC561" s="280" t="n"/>
      <c r="AD561" s="280" t="n"/>
    </row>
    <row r="562" ht="15.5" customHeight="1">
      <c r="B562" s="281" t="n"/>
      <c r="C562" s="282" t="n"/>
      <c r="D562" s="283" t="inlineStr">
        <is>
          <t>Project Operation</t>
        </is>
      </c>
      <c r="E562" s="293" t="n"/>
      <c r="F562" s="285" t="n"/>
      <c r="G562" s="282" t="n"/>
      <c r="H562" s="286" t="n"/>
      <c r="I562" s="282" t="n"/>
      <c r="J562" s="287" t="n"/>
      <c r="K562" s="281" t="n"/>
      <c r="L562" s="285" t="n"/>
      <c r="M562" s="288" t="n"/>
      <c r="N562" s="288" t="n"/>
      <c r="O562" s="285" t="n"/>
      <c r="P562" s="287" t="n"/>
      <c r="Q562" s="289" t="n"/>
      <c r="R562" s="280" t="n"/>
      <c r="S562" s="280" t="n"/>
      <c r="T562" s="280" t="n"/>
      <c r="U562" s="280" t="n"/>
      <c r="V562" s="280" t="n"/>
      <c r="W562" s="280" t="n"/>
      <c r="X562" s="280" t="n"/>
      <c r="Y562" s="280" t="n"/>
      <c r="Z562" s="280" t="n"/>
      <c r="AA562" s="280" t="n"/>
      <c r="AB562" s="280" t="n"/>
      <c r="AC562" s="280" t="n"/>
      <c r="AD562" s="280" t="n"/>
    </row>
    <row r="563" ht="15.5" customHeight="1">
      <c r="B563" s="290" t="n">
        <v>45446</v>
      </c>
      <c r="C563" s="291" t="n">
        <v>33</v>
      </c>
      <c r="D563" s="292" t="inlineStr">
        <is>
          <t>PT Laka Indonesia |  Wastafel for WIKA Anantara Ubud Bali</t>
        </is>
      </c>
      <c r="E563" s="293" t="inlineStr">
        <is>
          <t>BCA</t>
        </is>
      </c>
      <c r="F563" s="285" t="n">
        <v>300000000</v>
      </c>
      <c r="G563" s="294" t="inlineStr">
        <is>
          <t>IDR</t>
        </is>
      </c>
      <c r="H563" s="295" t="n">
        <v>1</v>
      </c>
      <c r="I563" s="282" t="n"/>
      <c r="J563" s="287" t="n"/>
      <c r="K563" s="281" t="n"/>
      <c r="L563" s="285" t="n">
        <v>300000000</v>
      </c>
      <c r="M563" s="288" t="n"/>
      <c r="N563" s="288" t="n"/>
      <c r="O563" s="285" t="n"/>
      <c r="P563" s="287" t="n"/>
      <c r="Q563" s="289" t="n"/>
      <c r="R563" s="280" t="n"/>
      <c r="S563" s="280" t="n"/>
      <c r="T563" s="280" t="n"/>
      <c r="U563" s="280" t="n"/>
      <c r="V563" s="280" t="n"/>
      <c r="W563" s="280" t="n"/>
      <c r="X563" s="280" t="n"/>
      <c r="Y563" s="280" t="n"/>
      <c r="Z563" s="280" t="n"/>
      <c r="AA563" s="280" t="n"/>
      <c r="AB563" s="280" t="n"/>
      <c r="AC563" s="280" t="n"/>
      <c r="AD563" s="280" t="n"/>
    </row>
    <row r="564" ht="15.5" customHeight="1">
      <c r="B564" s="290" t="n">
        <v>45478</v>
      </c>
      <c r="C564" s="291" t="n">
        <v>34</v>
      </c>
      <c r="D564" s="292" t="inlineStr">
        <is>
          <t>Repair ESOR panel &amp; Fabricate dummy test load, Payment#2</t>
        </is>
      </c>
      <c r="E564" s="293" t="inlineStr">
        <is>
          <t>BRI</t>
        </is>
      </c>
      <c r="F564" s="285" t="n">
        <v>25000000</v>
      </c>
      <c r="G564" s="294" t="inlineStr">
        <is>
          <t>IDR</t>
        </is>
      </c>
      <c r="H564" s="295" t="n">
        <v>1</v>
      </c>
      <c r="I564" s="282" t="n"/>
      <c r="J564" s="287" t="n"/>
      <c r="K564" s="281" t="n"/>
      <c r="L564" s="285" t="n">
        <v>25000000</v>
      </c>
      <c r="M564" s="288" t="n"/>
      <c r="N564" s="288" t="n"/>
      <c r="O564" s="285" t="n"/>
      <c r="P564" s="287" t="n"/>
      <c r="Q564" s="289" t="n"/>
      <c r="R564" s="280" t="n"/>
      <c r="S564" s="280" t="n"/>
      <c r="T564" s="280" t="n"/>
      <c r="U564" s="280" t="n"/>
      <c r="V564" s="280" t="n"/>
      <c r="W564" s="280" t="n"/>
      <c r="X564" s="280" t="n"/>
      <c r="Y564" s="280" t="n"/>
      <c r="Z564" s="280" t="n"/>
      <c r="AA564" s="280" t="n"/>
      <c r="AB564" s="280" t="n"/>
      <c r="AC564" s="280" t="n"/>
      <c r="AD564" s="280" t="n"/>
    </row>
    <row r="565" ht="15.5" customHeight="1">
      <c r="B565" s="290" t="n">
        <v>45480</v>
      </c>
      <c r="C565" s="291" t="n">
        <v>35</v>
      </c>
      <c r="D565" s="292" t="inlineStr">
        <is>
          <t>PT Laka Indonesia |  Wastafel for WIKA Anantara Ubud Bali</t>
        </is>
      </c>
      <c r="E565" s="293" t="inlineStr">
        <is>
          <t>BCA</t>
        </is>
      </c>
      <c r="F565" s="285" t="n">
        <v>25000000</v>
      </c>
      <c r="G565" s="294" t="inlineStr">
        <is>
          <t>IDR</t>
        </is>
      </c>
      <c r="H565" s="295" t="n">
        <v>1</v>
      </c>
      <c r="I565" s="282" t="n"/>
      <c r="J565" s="287" t="n"/>
      <c r="K565" s="281" t="n"/>
      <c r="L565" s="285" t="n">
        <v>25000000</v>
      </c>
      <c r="M565" s="288" t="n"/>
      <c r="N565" s="288" t="n"/>
      <c r="O565" s="285" t="n"/>
      <c r="P565" s="287" t="n"/>
      <c r="Q565" s="289" t="n"/>
      <c r="R565" s="280" t="n"/>
      <c r="S565" s="280" t="n"/>
      <c r="T565" s="280" t="n"/>
      <c r="U565" s="280" t="n"/>
      <c r="V565" s="280" t="n"/>
      <c r="W565" s="280" t="n"/>
      <c r="X565" s="280" t="n"/>
      <c r="Y565" s="280" t="n"/>
      <c r="Z565" s="280" t="n"/>
      <c r="AA565" s="280" t="n"/>
      <c r="AB565" s="280" t="n"/>
      <c r="AC565" s="280" t="n"/>
      <c r="AD565" s="280" t="n"/>
    </row>
    <row r="566" ht="15.5" customHeight="1">
      <c r="B566" s="290" t="n">
        <v>45492</v>
      </c>
      <c r="C566" s="291" t="n">
        <v>36</v>
      </c>
      <c r="D566" s="292" t="inlineStr">
        <is>
          <t>PT Laka Indonesia |  Wastafel for WIKA Anantara Ubud Bali</t>
        </is>
      </c>
      <c r="E566" s="293" t="inlineStr">
        <is>
          <t>BCA</t>
        </is>
      </c>
      <c r="F566" s="285" t="n">
        <v>25000000</v>
      </c>
      <c r="G566" s="294" t="inlineStr">
        <is>
          <t>IDR</t>
        </is>
      </c>
      <c r="H566" s="295" t="n">
        <v>1</v>
      </c>
      <c r="I566" s="282" t="n"/>
      <c r="J566" s="287" t="n"/>
      <c r="K566" s="281" t="n"/>
      <c r="L566" s="285" t="n">
        <v>25000000</v>
      </c>
      <c r="M566" s="288" t="n"/>
      <c r="N566" s="288" t="n"/>
      <c r="O566" s="285" t="n"/>
      <c r="P566" s="287" t="n"/>
      <c r="Q566" s="289" t="n"/>
      <c r="R566" s="280" t="n"/>
      <c r="S566" s="280" t="n"/>
      <c r="T566" s="280" t="n"/>
      <c r="U566" s="280" t="n"/>
      <c r="V566" s="280" t="n"/>
      <c r="W566" s="280" t="n"/>
      <c r="X566" s="280" t="n"/>
      <c r="Y566" s="280" t="n"/>
      <c r="Z566" s="280" t="n"/>
      <c r="AA566" s="280" t="n"/>
      <c r="AB566" s="280" t="n"/>
      <c r="AC566" s="280" t="n"/>
      <c r="AD566" s="280" t="n"/>
    </row>
    <row r="567" ht="15.5" customHeight="1">
      <c r="B567" s="290" t="n">
        <v>45493</v>
      </c>
      <c r="C567" s="291" t="n">
        <v>37</v>
      </c>
      <c r="D567" s="292" t="inlineStr">
        <is>
          <t>Repair ESOR panel &amp; Fabricate dummy test load, Payment#1</t>
        </is>
      </c>
      <c r="E567" s="293" t="inlineStr">
        <is>
          <t>BCA</t>
        </is>
      </c>
      <c r="F567" s="285" t="n">
        <v>20000000</v>
      </c>
      <c r="G567" s="294" t="inlineStr">
        <is>
          <t>IDR</t>
        </is>
      </c>
      <c r="H567" s="295" t="n">
        <v>1</v>
      </c>
      <c r="I567" s="282" t="n"/>
      <c r="J567" s="287" t="n"/>
      <c r="K567" s="281" t="n"/>
      <c r="L567" s="285" t="n">
        <v>20000000</v>
      </c>
      <c r="M567" s="288" t="n"/>
      <c r="N567" s="288" t="n"/>
      <c r="O567" s="285" t="n"/>
      <c r="P567" s="287" t="n"/>
      <c r="Q567" s="289" t="n"/>
      <c r="R567" s="280" t="n"/>
      <c r="S567" s="280" t="n"/>
      <c r="T567" s="280" t="n"/>
      <c r="U567" s="280" t="n"/>
      <c r="V567" s="280" t="n"/>
      <c r="W567" s="280" t="n"/>
      <c r="X567" s="280" t="n"/>
      <c r="Y567" s="280" t="n"/>
      <c r="Z567" s="280" t="n"/>
      <c r="AA567" s="280" t="n"/>
      <c r="AB567" s="280" t="n"/>
      <c r="AC567" s="280" t="n"/>
      <c r="AD567" s="280" t="n"/>
    </row>
    <row r="568" ht="15.5" customHeight="1">
      <c r="B568" s="290" t="n">
        <v>45581</v>
      </c>
      <c r="C568" s="291" t="n">
        <v>38</v>
      </c>
      <c r="D568" s="292" t="inlineStr">
        <is>
          <t>PT Laka Indonesia | Project Lampu Taman Istana Negara Jakarta</t>
        </is>
      </c>
      <c r="E568" s="293" t="inlineStr">
        <is>
          <t>BRI</t>
        </is>
      </c>
      <c r="F568" s="285" t="n">
        <v>100000000</v>
      </c>
      <c r="G568" s="294" t="inlineStr">
        <is>
          <t>IDR</t>
        </is>
      </c>
      <c r="H568" s="295" t="n">
        <v>1</v>
      </c>
      <c r="I568" s="282" t="n"/>
      <c r="J568" s="287" t="n"/>
      <c r="K568" s="281" t="n"/>
      <c r="L568" s="285" t="n">
        <v>100000000</v>
      </c>
      <c r="M568" s="288" t="n"/>
      <c r="N568" s="288" t="n"/>
      <c r="O568" s="285" t="n"/>
      <c r="P568" s="287" t="n"/>
      <c r="Q568" s="289" t="n"/>
      <c r="R568" s="280" t="n"/>
      <c r="S568" s="280" t="n"/>
      <c r="T568" s="280" t="n"/>
      <c r="U568" s="280" t="n"/>
      <c r="V568" s="280" t="n"/>
      <c r="W568" s="280" t="n"/>
      <c r="X568" s="280" t="n"/>
      <c r="Y568" s="280" t="n"/>
      <c r="Z568" s="280" t="n"/>
      <c r="AA568" s="280" t="n"/>
      <c r="AB568" s="280" t="n"/>
      <c r="AC568" s="280" t="n"/>
      <c r="AD568" s="280" t="n"/>
    </row>
    <row r="569" ht="15.5" customHeight="1">
      <c r="B569" s="281" t="n"/>
      <c r="C569" s="282" t="n"/>
      <c r="D569" s="283" t="inlineStr">
        <is>
          <t>Rental Tool</t>
        </is>
      </c>
      <c r="E569" s="293" t="n"/>
      <c r="F569" s="285" t="n"/>
      <c r="G569" s="282" t="n"/>
      <c r="H569" s="286" t="n"/>
      <c r="I569" s="282" t="n"/>
      <c r="J569" s="287" t="n"/>
      <c r="K569" s="281" t="n"/>
      <c r="L569" s="285" t="n"/>
      <c r="M569" s="288" t="n"/>
      <c r="N569" s="288" t="n"/>
      <c r="O569" s="285" t="n"/>
      <c r="P569" s="287" t="n"/>
      <c r="Q569" s="289" t="n"/>
      <c r="R569" s="280" t="n"/>
      <c r="S569" s="280" t="n"/>
      <c r="T569" s="280" t="n"/>
      <c r="U569" s="280" t="n"/>
      <c r="V569" s="280" t="n"/>
      <c r="W569" s="280" t="n"/>
      <c r="X569" s="280" t="n"/>
      <c r="Y569" s="280" t="n"/>
      <c r="Z569" s="280" t="n"/>
      <c r="AA569" s="280" t="n"/>
      <c r="AB569" s="280" t="n"/>
      <c r="AC569" s="280" t="n"/>
      <c r="AD569" s="280" t="n"/>
    </row>
    <row r="570" ht="15.5" customHeight="1">
      <c r="B570" s="290" t="n">
        <v>45302</v>
      </c>
      <c r="C570" s="291" t="n">
        <v>39</v>
      </c>
      <c r="D570" s="292" t="inlineStr">
        <is>
          <t>ALFA Service PDP-075 Pertamina Zona#4 - Rental Tool</t>
        </is>
      </c>
      <c r="E570" s="293" t="inlineStr">
        <is>
          <t>BCA</t>
        </is>
      </c>
      <c r="F570" s="285" t="n">
        <v>29640916</v>
      </c>
      <c r="G570" s="294" t="inlineStr">
        <is>
          <t>IDR</t>
        </is>
      </c>
      <c r="H570" s="295" t="n">
        <v>1</v>
      </c>
      <c r="I570" s="286" t="n">
        <v>29640916</v>
      </c>
      <c r="J570" s="287" t="n"/>
      <c r="K570" s="281" t="n"/>
      <c r="L570" s="285" t="n"/>
      <c r="M570" s="288" t="n"/>
      <c r="N570" s="288" t="n"/>
      <c r="O570" s="285" t="n"/>
      <c r="P570" s="287" t="n"/>
      <c r="Q570" s="289" t="n"/>
      <c r="R570" s="280" t="n"/>
      <c r="S570" s="280" t="n"/>
      <c r="T570" s="280" t="n"/>
      <c r="U570" s="280" t="n"/>
      <c r="V570" s="280" t="n"/>
      <c r="W570" s="280" t="n"/>
      <c r="X570" s="280" t="n"/>
      <c r="Y570" s="280" t="n"/>
      <c r="Z570" s="280" t="n"/>
      <c r="AA570" s="280" t="n"/>
      <c r="AB570" s="280" t="n"/>
      <c r="AC570" s="280" t="n"/>
      <c r="AD570" s="280" t="n"/>
    </row>
    <row r="571" ht="15.5" customHeight="1">
      <c r="B571" s="290" t="n">
        <v>45302</v>
      </c>
      <c r="C571" s="291" t="n">
        <v>40</v>
      </c>
      <c r="D571" s="292" t="inlineStr">
        <is>
          <t>ALFA Service PDS-01ST Pertamina Zona#4 - Rental Tool</t>
        </is>
      </c>
      <c r="E571" s="293" t="inlineStr">
        <is>
          <t>BCA</t>
        </is>
      </c>
      <c r="F571" s="285" t="n">
        <v>29640916</v>
      </c>
      <c r="G571" s="294" t="inlineStr">
        <is>
          <t>IDR</t>
        </is>
      </c>
      <c r="H571" s="295" t="n">
        <v>1</v>
      </c>
      <c r="I571" s="286" t="n">
        <v>29640916</v>
      </c>
      <c r="J571" s="287" t="n"/>
      <c r="K571" s="281" t="n"/>
      <c r="L571" s="285" t="n"/>
      <c r="M571" s="288" t="n"/>
      <c r="N571" s="288" t="n"/>
      <c r="O571" s="285" t="n"/>
      <c r="P571" s="287" t="n"/>
      <c r="Q571" s="289" t="n"/>
      <c r="R571" s="280" t="n"/>
      <c r="S571" s="280" t="n"/>
      <c r="T571" s="280" t="n"/>
      <c r="U571" s="280" t="n"/>
      <c r="V571" s="280" t="n"/>
      <c r="W571" s="280" t="n"/>
      <c r="X571" s="280" t="n"/>
      <c r="Y571" s="280" t="n"/>
      <c r="Z571" s="280" t="n"/>
      <c r="AA571" s="280" t="n"/>
      <c r="AB571" s="280" t="n"/>
      <c r="AC571" s="280" t="n"/>
      <c r="AD571" s="280" t="n"/>
    </row>
    <row r="572" ht="15.5" customHeight="1">
      <c r="B572" s="290" t="n">
        <v>45302</v>
      </c>
      <c r="C572" s="291" t="n">
        <v>41</v>
      </c>
      <c r="D572" s="292" t="inlineStr">
        <is>
          <t>ALFA Service JRK-254 Pertamina Zona#4 - Rental Tool</t>
        </is>
      </c>
      <c r="E572" s="300" t="inlineStr">
        <is>
          <t>BCA</t>
        </is>
      </c>
      <c r="F572" s="285" t="n">
        <v>29640916</v>
      </c>
      <c r="G572" s="294" t="inlineStr">
        <is>
          <t>IDR</t>
        </is>
      </c>
      <c r="H572" s="295" t="n">
        <v>1</v>
      </c>
      <c r="I572" s="286" t="n">
        <v>29640916</v>
      </c>
      <c r="J572" s="287" t="n"/>
      <c r="K572" s="281" t="n"/>
      <c r="L572" s="285" t="n"/>
      <c r="M572" s="288" t="n"/>
      <c r="N572" s="288" t="n"/>
      <c r="O572" s="285" t="n"/>
      <c r="P572" s="287" t="n"/>
      <c r="Q572" s="289" t="n"/>
      <c r="R572" s="280" t="n"/>
      <c r="S572" s="280" t="n"/>
      <c r="T572" s="280" t="n"/>
      <c r="U572" s="280" t="n"/>
      <c r="V572" s="280" t="n"/>
      <c r="W572" s="280" t="n"/>
      <c r="X572" s="280" t="n"/>
      <c r="Y572" s="280" t="n"/>
      <c r="Z572" s="280" t="n"/>
      <c r="AA572" s="280" t="n"/>
      <c r="AB572" s="280" t="n"/>
      <c r="AC572" s="280" t="n"/>
      <c r="AD572" s="280" t="n"/>
    </row>
    <row r="573" ht="15.5" customHeight="1">
      <c r="B573" s="290" t="n">
        <v>45446</v>
      </c>
      <c r="C573" s="291" t="n">
        <v>42</v>
      </c>
      <c r="D573" s="292" t="inlineStr">
        <is>
          <t>ALFA Service TLJ-58 Pertamina Zona#4 - Rental Tool</t>
        </is>
      </c>
      <c r="E573" s="293" t="inlineStr">
        <is>
          <t>BCA</t>
        </is>
      </c>
      <c r="F573" s="285" t="n">
        <v>29640916</v>
      </c>
      <c r="G573" s="294" t="inlineStr">
        <is>
          <t>IDR</t>
        </is>
      </c>
      <c r="H573" s="295" t="n">
        <v>1</v>
      </c>
      <c r="I573" s="286" t="n">
        <v>29640916</v>
      </c>
      <c r="J573" s="287" t="n"/>
      <c r="K573" s="281" t="n"/>
      <c r="L573" s="285" t="n"/>
      <c r="M573" s="288" t="n"/>
      <c r="N573" s="288" t="n"/>
      <c r="O573" s="285" t="n"/>
      <c r="P573" s="287" t="n"/>
      <c r="Q573" s="289" t="n"/>
      <c r="R573" s="280" t="n"/>
      <c r="S573" s="280" t="n"/>
      <c r="T573" s="280" t="n"/>
      <c r="U573" s="280" t="n"/>
      <c r="V573" s="280" t="n"/>
      <c r="W573" s="280" t="n"/>
      <c r="X573" s="280" t="n"/>
      <c r="Y573" s="280" t="n"/>
      <c r="Z573" s="280" t="n"/>
      <c r="AA573" s="280" t="n"/>
      <c r="AB573" s="280" t="n"/>
      <c r="AC573" s="280" t="n"/>
      <c r="AD573" s="280" t="n"/>
    </row>
    <row r="574" ht="15.5" customHeight="1">
      <c r="B574" s="290" t="n">
        <v>45447</v>
      </c>
      <c r="C574" s="291" t="n">
        <v>43</v>
      </c>
      <c r="D574" s="292" t="inlineStr">
        <is>
          <t>ALFA Service JRK-193 Pertamina Zona#4 - Rental Tool</t>
        </is>
      </c>
      <c r="E574" s="293" t="inlineStr">
        <is>
          <t>BCA</t>
        </is>
      </c>
      <c r="F574" s="285" t="n">
        <v>29640916</v>
      </c>
      <c r="G574" s="294" t="inlineStr">
        <is>
          <t>IDR</t>
        </is>
      </c>
      <c r="H574" s="295" t="n">
        <v>1</v>
      </c>
      <c r="I574" s="286" t="n">
        <v>29640916</v>
      </c>
      <c r="J574" s="287" t="n"/>
      <c r="K574" s="281" t="n"/>
      <c r="L574" s="285" t="n"/>
      <c r="M574" s="288" t="n"/>
      <c r="N574" s="288" t="n"/>
      <c r="O574" s="285" t="n"/>
      <c r="P574" s="287" t="n"/>
      <c r="Q574" s="289" t="n"/>
      <c r="R574" s="280" t="n"/>
      <c r="S574" s="280" t="n"/>
      <c r="T574" s="280" t="n"/>
      <c r="U574" s="280" t="n"/>
      <c r="V574" s="280" t="n"/>
      <c r="W574" s="280" t="n"/>
      <c r="X574" s="280" t="n"/>
      <c r="Y574" s="280" t="n"/>
      <c r="Z574" s="280" t="n"/>
      <c r="AA574" s="280" t="n"/>
      <c r="AB574" s="280" t="n"/>
      <c r="AC574" s="280" t="n"/>
      <c r="AD574" s="280" t="n"/>
    </row>
    <row r="575" ht="15.5" customHeight="1">
      <c r="B575" s="290" t="n">
        <v>45537</v>
      </c>
      <c r="C575" s="291" t="n">
        <v>44</v>
      </c>
      <c r="D575" s="292" t="inlineStr">
        <is>
          <t>ALFA Service JRK-163 Pertamina Zona#4 - Rental Tool</t>
        </is>
      </c>
      <c r="E575" s="293" t="inlineStr">
        <is>
          <t>BCA</t>
        </is>
      </c>
      <c r="F575" s="285" t="n">
        <v>29640916</v>
      </c>
      <c r="G575" s="294" t="inlineStr">
        <is>
          <t>IDR</t>
        </is>
      </c>
      <c r="H575" s="295" t="n">
        <v>1</v>
      </c>
      <c r="I575" s="286" t="n">
        <v>29640916</v>
      </c>
      <c r="J575" s="287" t="n"/>
      <c r="K575" s="281" t="n"/>
      <c r="L575" s="285" t="n"/>
      <c r="M575" s="288" t="n"/>
      <c r="N575" s="288" t="n"/>
      <c r="O575" s="285" t="n"/>
      <c r="P575" s="287" t="n"/>
      <c r="Q575" s="289" t="n"/>
      <c r="R575" s="280" t="n"/>
      <c r="S575" s="280" t="n"/>
      <c r="T575" s="280" t="n"/>
      <c r="U575" s="280" t="n"/>
      <c r="V575" s="280" t="n"/>
      <c r="W575" s="280" t="n"/>
      <c r="X575" s="280" t="n"/>
      <c r="Y575" s="280" t="n"/>
      <c r="Z575" s="280" t="n"/>
      <c r="AA575" s="280" t="n"/>
      <c r="AB575" s="280" t="n"/>
      <c r="AC575" s="280" t="n"/>
      <c r="AD575" s="280" t="n"/>
    </row>
    <row r="576" ht="15.5" customHeight="1">
      <c r="B576" s="290" t="n">
        <v>45569</v>
      </c>
      <c r="C576" s="291" t="n">
        <v>45</v>
      </c>
      <c r="D576" s="292" t="inlineStr">
        <is>
          <t>PLT Service TGB-033 Pertamina Cirebon - Rental Tool</t>
        </is>
      </c>
      <c r="E576" s="293" t="inlineStr">
        <is>
          <t>BCA</t>
        </is>
      </c>
      <c r="F576" s="285" t="n">
        <v>16165271</v>
      </c>
      <c r="G576" s="294" t="inlineStr">
        <is>
          <t>IDR</t>
        </is>
      </c>
      <c r="H576" s="295" t="n">
        <v>1</v>
      </c>
      <c r="I576" s="286" t="n">
        <v>16165271</v>
      </c>
      <c r="J576" s="287" t="n"/>
      <c r="K576" s="281" t="n"/>
      <c r="L576" s="285" t="n"/>
      <c r="M576" s="288" t="n"/>
      <c r="N576" s="288" t="n"/>
      <c r="O576" s="285" t="n"/>
      <c r="P576" s="287" t="n"/>
      <c r="Q576" s="289" t="n"/>
      <c r="R576" s="280" t="n"/>
      <c r="S576" s="280" t="n"/>
      <c r="T576" s="280" t="n"/>
      <c r="U576" s="280" t="n"/>
      <c r="V576" s="280" t="n"/>
      <c r="W576" s="280" t="n"/>
      <c r="X576" s="280" t="n"/>
      <c r="Y576" s="280" t="n"/>
      <c r="Z576" s="280" t="n"/>
      <c r="AA576" s="280" t="n"/>
      <c r="AB576" s="280" t="n"/>
      <c r="AC576" s="280" t="n"/>
      <c r="AD576" s="280" t="n"/>
    </row>
    <row r="577" ht="15.5" customHeight="1">
      <c r="B577" s="290" t="n">
        <v>45569</v>
      </c>
      <c r="C577" s="291" t="n">
        <v>46</v>
      </c>
      <c r="D577" s="292" t="inlineStr">
        <is>
          <t>ALFA Service TGB-033 Pertamina Cirebon - Rental Tool</t>
        </is>
      </c>
      <c r="E577" s="293" t="inlineStr">
        <is>
          <t>BCA</t>
        </is>
      </c>
      <c r="F577" s="285" t="n">
        <v>25967616</v>
      </c>
      <c r="G577" s="294" t="inlineStr">
        <is>
          <t>IDR</t>
        </is>
      </c>
      <c r="H577" s="295" t="n">
        <v>1</v>
      </c>
      <c r="I577" s="286" t="n">
        <v>25967616</v>
      </c>
      <c r="J577" s="287" t="n"/>
      <c r="K577" s="281" t="n"/>
      <c r="L577" s="285" t="n"/>
      <c r="M577" s="288" t="n"/>
      <c r="N577" s="288" t="n"/>
      <c r="O577" s="285" t="n"/>
      <c r="P577" s="287" t="n"/>
      <c r="Q577" s="289" t="n"/>
      <c r="R577" s="280" t="n"/>
      <c r="S577" s="280" t="n"/>
      <c r="T577" s="280" t="n"/>
      <c r="U577" s="280" t="n"/>
      <c r="V577" s="280" t="n"/>
      <c r="W577" s="280" t="n"/>
      <c r="X577" s="280" t="n"/>
      <c r="Y577" s="280" t="n"/>
      <c r="Z577" s="280" t="n"/>
      <c r="AA577" s="280" t="n"/>
      <c r="AB577" s="280" t="n"/>
      <c r="AC577" s="280" t="n"/>
      <c r="AD577" s="280" t="n"/>
    </row>
    <row r="578" ht="15.5" customHeight="1">
      <c r="B578" s="290" t="n">
        <v>45569</v>
      </c>
      <c r="C578" s="291" t="n">
        <v>47</v>
      </c>
      <c r="D578" s="292" t="inlineStr">
        <is>
          <t>MFC Service TGB-033 Pertamina Cirebon - Rental Tool</t>
        </is>
      </c>
      <c r="E578" s="293" t="inlineStr">
        <is>
          <t>BCA</t>
        </is>
      </c>
      <c r="F578" s="285" t="n">
        <v>32101247</v>
      </c>
      <c r="G578" s="294" t="inlineStr">
        <is>
          <t>IDR</t>
        </is>
      </c>
      <c r="H578" s="295" t="n">
        <v>1</v>
      </c>
      <c r="I578" s="286" t="n">
        <v>32101247</v>
      </c>
      <c r="J578" s="287" t="n"/>
      <c r="K578" s="281" t="n"/>
      <c r="L578" s="285" t="n"/>
      <c r="M578" s="288" t="n"/>
      <c r="N578" s="288" t="n"/>
      <c r="O578" s="285" t="n"/>
      <c r="P578" s="287" t="n"/>
      <c r="Q578" s="289" t="n"/>
      <c r="R578" s="280" t="n"/>
      <c r="S578" s="280" t="n"/>
      <c r="T578" s="280" t="n"/>
      <c r="U578" s="280" t="n"/>
      <c r="V578" s="280" t="n"/>
      <c r="W578" s="280" t="n"/>
      <c r="X578" s="280" t="n"/>
      <c r="Y578" s="280" t="n"/>
      <c r="Z578" s="280" t="n"/>
      <c r="AA578" s="280" t="n"/>
      <c r="AB578" s="280" t="n"/>
      <c r="AC578" s="280" t="n"/>
      <c r="AD578" s="280" t="n"/>
    </row>
    <row r="579" ht="15.5" customHeight="1">
      <c r="B579" s="290" t="n">
        <v>45572</v>
      </c>
      <c r="C579" s="291" t="n">
        <v>48</v>
      </c>
      <c r="D579" s="292" t="inlineStr">
        <is>
          <t>ALFA Service JRK-095 Pertamina Zona#4 - Rental Tool</t>
        </is>
      </c>
      <c r="E579" s="293" t="inlineStr">
        <is>
          <t>BCA</t>
        </is>
      </c>
      <c r="F579" s="285" t="n">
        <v>29640916</v>
      </c>
      <c r="G579" s="294" t="inlineStr">
        <is>
          <t>IDR</t>
        </is>
      </c>
      <c r="H579" s="295" t="n">
        <v>1</v>
      </c>
      <c r="I579" s="286" t="n">
        <v>29640916</v>
      </c>
      <c r="J579" s="287" t="n"/>
      <c r="K579" s="281" t="n"/>
      <c r="L579" s="285" t="n"/>
      <c r="M579" s="288" t="n"/>
      <c r="N579" s="288" t="n"/>
      <c r="O579" s="285" t="n"/>
      <c r="P579" s="287" t="n"/>
      <c r="Q579" s="289" t="n"/>
      <c r="R579" s="280" t="n"/>
      <c r="S579" s="280" t="n"/>
      <c r="T579" s="280" t="n"/>
      <c r="U579" s="280" t="n"/>
      <c r="V579" s="280" t="n"/>
      <c r="W579" s="280" t="n"/>
      <c r="X579" s="280" t="n"/>
      <c r="Y579" s="280" t="n"/>
      <c r="Z579" s="280" t="n"/>
      <c r="AA579" s="280" t="n"/>
      <c r="AB579" s="280" t="n"/>
      <c r="AC579" s="280" t="n"/>
      <c r="AD579" s="280" t="n"/>
    </row>
    <row r="580" ht="15.5" customHeight="1">
      <c r="B580" s="290" t="n">
        <v>45576</v>
      </c>
      <c r="C580" s="291" t="n">
        <v>49</v>
      </c>
      <c r="D580" s="292" t="inlineStr">
        <is>
          <t>MPLT/GR-CCL/ALFA TIS - Rental Tool</t>
        </is>
      </c>
      <c r="E580" s="293" t="inlineStr">
        <is>
          <t>BCA</t>
        </is>
      </c>
      <c r="F580" s="285" t="n">
        <v>74291457</v>
      </c>
      <c r="G580" s="294" t="inlineStr">
        <is>
          <t>IDR</t>
        </is>
      </c>
      <c r="H580" s="295" t="n">
        <v>1</v>
      </c>
      <c r="I580" s="286" t="n">
        <v>74291457</v>
      </c>
      <c r="J580" s="287" t="n"/>
      <c r="K580" s="281" t="n"/>
      <c r="L580" s="285" t="n"/>
      <c r="M580" s="288" t="n"/>
      <c r="N580" s="288" t="n"/>
      <c r="O580" s="285" t="n"/>
      <c r="P580" s="287" t="n"/>
      <c r="Q580" s="289" t="n"/>
      <c r="R580" s="280" t="n"/>
      <c r="S580" s="280" t="n"/>
      <c r="T580" s="280" t="n"/>
      <c r="U580" s="280" t="n"/>
      <c r="V580" s="280" t="n"/>
      <c r="W580" s="280" t="n"/>
      <c r="X580" s="280" t="n"/>
      <c r="Y580" s="280" t="n"/>
      <c r="Z580" s="280" t="n"/>
      <c r="AA580" s="280" t="n"/>
      <c r="AB580" s="280" t="n"/>
      <c r="AC580" s="280" t="n"/>
      <c r="AD580" s="280" t="n"/>
    </row>
    <row r="581" ht="15.5" customHeight="1">
      <c r="B581" s="281" t="n"/>
      <c r="C581" s="282" t="n"/>
      <c r="D581" s="283" t="inlineStr">
        <is>
          <t>Sales</t>
        </is>
      </c>
      <c r="E581" s="293" t="n"/>
      <c r="F581" s="285" t="n"/>
      <c r="G581" s="282" t="n"/>
      <c r="H581" s="286" t="n"/>
      <c r="I581" s="282" t="n"/>
      <c r="J581" s="287" t="n"/>
      <c r="K581" s="281" t="n"/>
      <c r="L581" s="285" t="n"/>
      <c r="M581" s="288" t="n"/>
      <c r="N581" s="288" t="n"/>
      <c r="O581" s="285" t="n"/>
      <c r="P581" s="287" t="n"/>
      <c r="Q581" s="289" t="n"/>
      <c r="R581" s="280" t="n"/>
      <c r="S581" s="280" t="n"/>
      <c r="T581" s="280" t="n"/>
      <c r="U581" s="280" t="n"/>
      <c r="V581" s="280" t="n"/>
      <c r="W581" s="280" t="n"/>
      <c r="X581" s="280" t="n"/>
      <c r="Y581" s="280" t="n"/>
      <c r="Z581" s="280" t="n"/>
      <c r="AA581" s="280" t="n"/>
      <c r="AB581" s="280" t="n"/>
      <c r="AC581" s="280" t="n"/>
      <c r="AD581" s="280" t="n"/>
    </row>
    <row r="582" ht="15.5" customHeight="1">
      <c r="B582" s="290" t="n">
        <v>45304</v>
      </c>
      <c r="C582" s="291" t="n">
        <v>50</v>
      </c>
      <c r="D582" s="292" t="inlineStr">
        <is>
          <t>Sales cost 4 Well Integrity Pertamina Z.4</t>
        </is>
      </c>
      <c r="E582" s="293" t="inlineStr">
        <is>
          <t>BRI</t>
        </is>
      </c>
      <c r="F582" s="285" t="n">
        <v>77672400</v>
      </c>
      <c r="G582" s="294" t="inlineStr">
        <is>
          <t>IDR</t>
        </is>
      </c>
      <c r="H582" s="295" t="n">
        <v>1</v>
      </c>
      <c r="I582" s="282" t="n"/>
      <c r="J582" s="287" t="n"/>
      <c r="K582" s="281" t="n"/>
      <c r="L582" s="285" t="n">
        <v>77672400</v>
      </c>
      <c r="M582" s="288" t="n"/>
      <c r="N582" s="288" t="n"/>
      <c r="O582" s="285" t="n"/>
      <c r="P582" s="287" t="n"/>
      <c r="Q582" s="289" t="n"/>
      <c r="R582" s="280" t="n"/>
      <c r="S582" s="280" t="n"/>
      <c r="T582" s="280" t="n"/>
      <c r="U582" s="280" t="n"/>
      <c r="V582" s="280" t="n"/>
      <c r="W582" s="280" t="n"/>
      <c r="X582" s="280" t="n"/>
      <c r="Y582" s="280" t="n"/>
      <c r="Z582" s="280" t="n"/>
      <c r="AA582" s="280" t="n"/>
      <c r="AB582" s="280" t="n"/>
      <c r="AC582" s="280" t="n"/>
      <c r="AD582" s="280" t="n"/>
    </row>
    <row r="583" ht="15.5" customHeight="1">
      <c r="B583" s="281" t="n"/>
      <c r="C583" s="282" t="n"/>
      <c r="D583" s="283" t="inlineStr">
        <is>
          <t>Sewa Ruangan</t>
        </is>
      </c>
      <c r="E583" s="301" t="n"/>
      <c r="F583" s="285" t="n"/>
      <c r="G583" s="282" t="n"/>
      <c r="H583" s="286" t="n"/>
      <c r="I583" s="282" t="n"/>
      <c r="J583" s="287" t="n"/>
      <c r="K583" s="281" t="n"/>
      <c r="L583" s="285" t="n"/>
      <c r="M583" s="288" t="n"/>
      <c r="N583" s="288" t="n"/>
      <c r="O583" s="285" t="n"/>
      <c r="P583" s="287" t="n"/>
      <c r="Q583" s="289" t="n"/>
      <c r="R583" s="280" t="n"/>
      <c r="S583" s="280" t="n"/>
      <c r="T583" s="280" t="n"/>
      <c r="U583" s="280" t="n"/>
      <c r="V583" s="280" t="n"/>
      <c r="W583" s="280" t="n"/>
      <c r="X583" s="280" t="n"/>
      <c r="Y583" s="280" t="n"/>
      <c r="Z583" s="280" t="n"/>
      <c r="AA583" s="280" t="n"/>
      <c r="AB583" s="280" t="n"/>
      <c r="AC583" s="280" t="n"/>
      <c r="AD583" s="280" t="n"/>
    </row>
    <row r="584" ht="15.5" customHeight="1">
      <c r="B584" s="290" t="n">
        <v>45632</v>
      </c>
      <c r="C584" s="291" t="n">
        <v>51</v>
      </c>
      <c r="D584" s="292" t="inlineStr">
        <is>
          <t>Sewa Virtual Office 1th, 1jan25 - 31des25_BBC_ Ganesha Dwipaya B</t>
        </is>
      </c>
      <c r="E584" s="302" t="inlineStr">
        <is>
          <t>BCA</t>
        </is>
      </c>
      <c r="F584" s="285" t="n">
        <v>4995000</v>
      </c>
      <c r="G584" s="294" t="inlineStr">
        <is>
          <t>IDR</t>
        </is>
      </c>
      <c r="H584" s="295" t="n">
        <v>1</v>
      </c>
      <c r="I584" s="282" t="n"/>
      <c r="J584" s="287" t="n"/>
      <c r="K584" s="281" t="n"/>
      <c r="L584" s="285" t="n"/>
      <c r="M584" s="288" t="n"/>
      <c r="N584" s="288" t="n"/>
      <c r="O584" s="285" t="n">
        <v>4995000</v>
      </c>
      <c r="P584" s="287" t="n"/>
      <c r="Q584" s="289" t="n"/>
      <c r="R584" s="280" t="n"/>
      <c r="S584" s="280" t="n"/>
      <c r="T584" s="280" t="n"/>
      <c r="U584" s="280" t="n"/>
      <c r="V584" s="280" t="n"/>
      <c r="W584" s="280" t="n"/>
      <c r="X584" s="280" t="n"/>
      <c r="Y584" s="280" t="n"/>
      <c r="Z584" s="280" t="n"/>
      <c r="AA584" s="280" t="n"/>
      <c r="AB584" s="280" t="n"/>
      <c r="AC584" s="280" t="n"/>
      <c r="AD584" s="280" t="n"/>
    </row>
    <row r="585" ht="15.5" customHeight="1">
      <c r="B585" s="281" t="n"/>
      <c r="C585" s="282" t="n"/>
      <c r="D585" s="283" t="inlineStr">
        <is>
          <t>Sparepart</t>
        </is>
      </c>
      <c r="E585" s="287" t="n"/>
      <c r="F585" s="285" t="n"/>
      <c r="G585" s="282" t="n"/>
      <c r="H585" s="286" t="n"/>
      <c r="I585" s="282" t="n"/>
      <c r="J585" s="287" t="n"/>
      <c r="K585" s="281" t="n"/>
      <c r="L585" s="285" t="n"/>
      <c r="M585" s="288" t="n"/>
      <c r="N585" s="288" t="n"/>
      <c r="O585" s="285" t="n"/>
      <c r="P585" s="287" t="n"/>
      <c r="Q585" s="289" t="n"/>
      <c r="R585" s="280" t="n"/>
      <c r="S585" s="280" t="n"/>
      <c r="T585" s="280" t="n"/>
      <c r="U585" s="280" t="n"/>
      <c r="V585" s="280" t="n"/>
      <c r="W585" s="280" t="n"/>
      <c r="X585" s="280" t="n"/>
      <c r="Y585" s="280" t="n"/>
      <c r="Z585" s="280" t="n"/>
      <c r="AA585" s="280" t="n"/>
      <c r="AB585" s="280" t="n"/>
      <c r="AC585" s="280" t="n"/>
      <c r="AD585" s="280" t="n"/>
    </row>
    <row r="586" ht="15.5" customHeight="1">
      <c r="B586" s="290" t="n">
        <v>45476</v>
      </c>
      <c r="C586" s="291" t="n">
        <v>52</v>
      </c>
      <c r="D586" s="292" t="inlineStr">
        <is>
          <t>Kekurangan (PPN ) ke PT Garindo sarana Baru (Downhole Sampling)</t>
        </is>
      </c>
      <c r="E586" s="287" t="inlineStr">
        <is>
          <t>BCA</t>
        </is>
      </c>
      <c r="F586" s="285" t="n">
        <v>3582000</v>
      </c>
      <c r="G586" s="294" t="inlineStr">
        <is>
          <t>IDR</t>
        </is>
      </c>
      <c r="H586" s="295" t="n">
        <v>1</v>
      </c>
      <c r="I586" s="282" t="n"/>
      <c r="J586" s="287" t="n"/>
      <c r="K586" s="281" t="n"/>
      <c r="L586" s="285" t="n"/>
      <c r="M586" s="288" t="n"/>
      <c r="N586" s="288" t="n">
        <v>3582000</v>
      </c>
      <c r="O586" s="285" t="n"/>
      <c r="P586" s="287" t="n"/>
      <c r="Q586" s="289" t="n"/>
      <c r="R586" s="280" t="n"/>
      <c r="S586" s="280" t="n"/>
      <c r="T586" s="280" t="n"/>
      <c r="U586" s="280" t="n"/>
      <c r="V586" s="280" t="n"/>
      <c r="W586" s="280" t="n"/>
      <c r="X586" s="280" t="n"/>
      <c r="Y586" s="280" t="n"/>
      <c r="Z586" s="280" t="n"/>
      <c r="AA586" s="280" t="n"/>
      <c r="AB586" s="280" t="n"/>
      <c r="AC586" s="280" t="n"/>
      <c r="AD586" s="280" t="n"/>
    </row>
    <row r="587" ht="15.5" customHeight="1">
      <c r="B587" s="290" t="n">
        <v>45630</v>
      </c>
      <c r="C587" s="291" t="n">
        <v>53</v>
      </c>
      <c r="D587" s="292" t="inlineStr">
        <is>
          <t>Payment ke UPS Biaya Import pembelian sparepart dari Pei-Genesis</t>
        </is>
      </c>
      <c r="E587" s="287" t="inlineStr">
        <is>
          <t>BRI</t>
        </is>
      </c>
      <c r="F587" s="285" t="n">
        <v>777246</v>
      </c>
      <c r="G587" s="294" t="inlineStr">
        <is>
          <t>IDR</t>
        </is>
      </c>
      <c r="H587" s="295" t="n">
        <v>1</v>
      </c>
      <c r="I587" s="282" t="n"/>
      <c r="J587" s="287" t="n"/>
      <c r="K587" s="281" t="n"/>
      <c r="L587" s="285" t="n"/>
      <c r="M587" s="288" t="n"/>
      <c r="N587" s="288" t="n">
        <v>777246</v>
      </c>
      <c r="O587" s="285" t="n"/>
      <c r="P587" s="287" t="n"/>
      <c r="Q587" s="289" t="n"/>
      <c r="R587" s="280" t="n"/>
      <c r="S587" s="280" t="n"/>
      <c r="T587" s="280" t="n"/>
      <c r="U587" s="280" t="n"/>
      <c r="V587" s="280" t="n"/>
      <c r="W587" s="280" t="n"/>
      <c r="X587" s="280" t="n"/>
      <c r="Y587" s="280" t="n"/>
      <c r="Z587" s="280" t="n"/>
      <c r="AA587" s="280" t="n"/>
      <c r="AB587" s="280" t="n"/>
      <c r="AC587" s="280" t="n"/>
      <c r="AD587" s="280" t="n"/>
    </row>
    <row r="588" ht="15.5" customHeight="1">
      <c r="B588" s="281" t="n"/>
      <c r="C588" s="282" t="n"/>
      <c r="D588" s="283" t="inlineStr">
        <is>
          <t>Transportation</t>
        </is>
      </c>
      <c r="E588" s="287" t="n"/>
      <c r="F588" s="285" t="n"/>
      <c r="G588" s="282" t="n"/>
      <c r="H588" s="286" t="n"/>
      <c r="I588" s="282" t="n"/>
      <c r="J588" s="287" t="n"/>
      <c r="K588" s="281" t="n"/>
      <c r="L588" s="285" t="n"/>
      <c r="M588" s="288" t="n"/>
      <c r="N588" s="288" t="n"/>
      <c r="O588" s="285" t="n"/>
      <c r="P588" s="287" t="n"/>
      <c r="Q588" s="289" t="n"/>
      <c r="R588" s="280" t="n"/>
      <c r="S588" s="280" t="n"/>
      <c r="T588" s="280" t="n"/>
      <c r="U588" s="280" t="n"/>
      <c r="V588" s="280" t="n"/>
      <c r="W588" s="280" t="n"/>
      <c r="X588" s="280" t="n"/>
      <c r="Y588" s="280" t="n"/>
      <c r="Z588" s="280" t="n"/>
      <c r="AA588" s="280" t="n"/>
      <c r="AB588" s="280" t="n"/>
      <c r="AC588" s="280" t="n"/>
      <c r="AD588" s="280" t="n"/>
    </row>
    <row r="589" ht="15.5" customHeight="1">
      <c r="B589" s="290" t="n">
        <v>45422</v>
      </c>
      <c r="C589" s="291" t="n">
        <v>54</v>
      </c>
      <c r="D589" s="292" t="inlineStr">
        <is>
          <t>Aro Energy | Moving slickline dari Duri (Toni Supriadi) ke Sungai lilin</t>
        </is>
      </c>
      <c r="E589" s="287" t="inlineStr">
        <is>
          <t>BCA</t>
        </is>
      </c>
      <c r="F589" s="285" t="n">
        <v>18000000</v>
      </c>
      <c r="G589" s="294" t="inlineStr">
        <is>
          <t>IDR</t>
        </is>
      </c>
      <c r="H589" s="295" t="n">
        <v>1</v>
      </c>
      <c r="I589" s="282" t="n"/>
      <c r="J589" s="287" t="n"/>
      <c r="K589" s="281" t="n"/>
      <c r="L589" s="285" t="n">
        <v>18000000</v>
      </c>
      <c r="M589" s="288" t="n"/>
      <c r="N589" s="288" t="n"/>
      <c r="O589" s="285" t="n"/>
      <c r="P589" s="287" t="n"/>
      <c r="Q589" s="289" t="n"/>
      <c r="R589" s="280" t="n"/>
      <c r="S589" s="280" t="n"/>
      <c r="T589" s="280" t="n"/>
      <c r="U589" s="280" t="n"/>
      <c r="V589" s="280" t="n"/>
      <c r="W589" s="280" t="n"/>
      <c r="X589" s="280" t="n"/>
      <c r="Y589" s="280" t="n"/>
      <c r="Z589" s="280" t="n"/>
      <c r="AA589" s="280" t="n"/>
      <c r="AB589" s="280" t="n"/>
      <c r="AC589" s="280" t="n"/>
      <c r="AD589" s="280" t="n"/>
    </row>
    <row r="590" ht="15.5" customHeight="1">
      <c r="B590" s="290" t="n">
        <v>45601</v>
      </c>
      <c r="C590" s="291" t="n">
        <v>55</v>
      </c>
      <c r="D590" s="292" t="inlineStr">
        <is>
          <t>Sales fee 2 Well Integrity Pertamina Z.4</t>
        </is>
      </c>
      <c r="E590" s="287" t="inlineStr">
        <is>
          <t>BRI</t>
        </is>
      </c>
      <c r="F590" s="285" t="n">
        <v>38838700</v>
      </c>
      <c r="G590" s="294" t="inlineStr">
        <is>
          <t>IDR</t>
        </is>
      </c>
      <c r="H590" s="295" t="n">
        <v>1</v>
      </c>
      <c r="I590" s="282" t="n"/>
      <c r="J590" s="287" t="n"/>
      <c r="K590" s="281" t="n"/>
      <c r="L590" s="285" t="n">
        <v>38838700</v>
      </c>
      <c r="M590" s="288" t="n"/>
      <c r="N590" s="288" t="n"/>
      <c r="O590" s="285" t="n"/>
      <c r="P590" s="287" t="n"/>
      <c r="Q590" s="289" t="n"/>
      <c r="R590" s="280" t="n"/>
      <c r="S590" s="280" t="n"/>
      <c r="T590" s="280" t="n"/>
      <c r="U590" s="280" t="n"/>
      <c r="V590" s="280" t="n"/>
      <c r="W590" s="280" t="n"/>
      <c r="X590" s="280" t="n"/>
      <c r="Y590" s="280" t="n"/>
      <c r="Z590" s="280" t="n"/>
      <c r="AA590" s="280" t="n"/>
      <c r="AB590" s="280" t="n"/>
      <c r="AC590" s="280" t="n"/>
      <c r="AD590" s="280" t="n"/>
    </row>
    <row r="591" ht="15.5" customHeight="1">
      <c r="B591" s="303" t="n"/>
      <c r="C591" s="304" t="n"/>
      <c r="D591" s="305" t="inlineStr">
        <is>
          <t>OPERATION COST AND OFFICE - Expenses Report</t>
        </is>
      </c>
      <c r="E591" s="306" t="n"/>
      <c r="F591" s="307" t="n"/>
      <c r="G591" s="304" t="n"/>
      <c r="H591" s="304" t="n"/>
      <c r="I591" s="308" t="n"/>
      <c r="J591" s="308" t="n"/>
      <c r="K591" s="308" t="n"/>
      <c r="L591" s="308" t="n"/>
      <c r="M591" s="308" t="n"/>
      <c r="N591" s="308" t="n"/>
      <c r="O591" s="308" t="n"/>
      <c r="P591" s="309" t="n"/>
      <c r="Q591" s="308" t="n"/>
      <c r="R591" s="280" t="n"/>
      <c r="S591" s="280" t="n"/>
      <c r="T591" s="280" t="n"/>
      <c r="U591" s="280" t="n"/>
      <c r="V591" s="280" t="n"/>
      <c r="W591" s="280" t="n"/>
      <c r="X591" s="280" t="n"/>
      <c r="Y591" s="280" t="n"/>
      <c r="Z591" s="280" t="n"/>
      <c r="AA591" s="280" t="n"/>
      <c r="AB591" s="280" t="n"/>
      <c r="AC591" s="280" t="n"/>
      <c r="AD591" s="280" t="n"/>
    </row>
    <row r="592" ht="15.5" customHeight="1">
      <c r="B592" s="310" t="inlineStr">
        <is>
          <t>Expense#1</t>
        </is>
      </c>
      <c r="C592" s="311" t="inlineStr">
        <is>
          <t>:</t>
        </is>
      </c>
      <c r="D592" s="312" t="inlineStr">
        <is>
          <t>ALFA_ TLJ-58 (PEPZ4-Prabumulih field) SIJak- IC</t>
        </is>
      </c>
      <c r="E592" s="313" t="n"/>
      <c r="F592" s="314" t="n"/>
      <c r="G592" s="313" t="n"/>
      <c r="H592" s="313" t="n"/>
      <c r="I592" s="313" t="n"/>
      <c r="J592" s="313" t="n"/>
      <c r="K592" s="313" t="n"/>
      <c r="L592" s="313" t="n"/>
      <c r="M592" s="313" t="n"/>
      <c r="N592" s="313" t="n"/>
      <c r="O592" s="313" t="n"/>
      <c r="P592" s="315" t="n"/>
      <c r="Q592" s="313" t="n"/>
      <c r="R592" s="280" t="n"/>
      <c r="S592" s="280" t="n"/>
      <c r="T592" s="280" t="n"/>
      <c r="U592" s="280" t="n"/>
      <c r="V592" s="280" t="n"/>
      <c r="W592" s="280" t="n"/>
      <c r="X592" s="280" t="n"/>
      <c r="Y592" s="280" t="n"/>
      <c r="Z592" s="280" t="n"/>
      <c r="AA592" s="280" t="n"/>
      <c r="AB592" s="280" t="n"/>
      <c r="AC592" s="280" t="n"/>
      <c r="AD592" s="280" t="n"/>
    </row>
    <row r="593" ht="15.5" customHeight="1">
      <c r="B593" s="300" t="n"/>
      <c r="C593" s="316" t="n"/>
      <c r="D593" s="317" t="inlineStr">
        <is>
          <t>Accommodation</t>
        </is>
      </c>
      <c r="E593" s="316" t="n"/>
      <c r="F593" s="318" t="n"/>
      <c r="G593" s="316" t="n"/>
      <c r="H593" s="316" t="n"/>
      <c r="I593" s="319" t="n"/>
      <c r="J593" s="319" t="n"/>
      <c r="K593" s="319" t="n"/>
      <c r="L593" s="319" t="n"/>
      <c r="M593" s="319" t="n"/>
      <c r="N593" s="319" t="n"/>
      <c r="O593" s="319" t="n"/>
      <c r="P593" s="320" t="n"/>
      <c r="Q593" s="319" t="n"/>
      <c r="R593" s="280" t="n"/>
      <c r="S593" s="280" t="n"/>
      <c r="T593" s="280" t="n"/>
      <c r="U593" s="280" t="n"/>
      <c r="V593" s="280" t="n"/>
      <c r="W593" s="280" t="n"/>
      <c r="X593" s="280" t="n"/>
      <c r="Y593" s="280" t="n"/>
      <c r="Z593" s="280" t="n"/>
      <c r="AA593" s="280" t="n"/>
      <c r="AB593" s="280" t="n"/>
      <c r="AC593" s="280" t="n"/>
      <c r="AD593" s="280" t="n"/>
    </row>
    <row r="594" ht="15.5" customHeight="1">
      <c r="B594" s="290" t="n">
        <v>45329</v>
      </c>
      <c r="C594" s="291" t="n">
        <v>56</v>
      </c>
      <c r="D594" s="292" t="inlineStr">
        <is>
          <t>Hotel Prabumulih 8 Feb- 7 Mar 2024 (1 Month)</t>
        </is>
      </c>
      <c r="E594" s="297" t="inlineStr">
        <is>
          <t>-</t>
        </is>
      </c>
      <c r="F594" s="285" t="n">
        <v>3300000</v>
      </c>
      <c r="G594" s="294" t="inlineStr">
        <is>
          <t>IDR</t>
        </is>
      </c>
      <c r="H594" s="295" t="n">
        <v>1</v>
      </c>
      <c r="I594" s="282" t="n"/>
      <c r="J594" s="287" t="n"/>
      <c r="K594" s="281" t="n"/>
      <c r="L594" s="285" t="n">
        <v>3300000</v>
      </c>
      <c r="M594" s="288" t="n"/>
      <c r="N594" s="288" t="n"/>
      <c r="O594" s="285" t="n"/>
      <c r="P594" s="287" t="n"/>
      <c r="Q594" s="289" t="n"/>
      <c r="R594" s="280" t="n"/>
      <c r="S594" s="280" t="n"/>
      <c r="T594" s="280" t="n"/>
      <c r="U594" s="280" t="n"/>
      <c r="V594" s="280" t="n"/>
      <c r="W594" s="280" t="n"/>
      <c r="X594" s="280" t="n"/>
      <c r="Y594" s="280" t="n"/>
      <c r="Z594" s="280" t="n"/>
      <c r="AA594" s="280" t="n"/>
      <c r="AB594" s="280" t="n"/>
      <c r="AC594" s="280" t="n"/>
      <c r="AD594" s="280" t="n"/>
    </row>
    <row r="595" ht="15.5" customHeight="1">
      <c r="B595" s="300" t="n"/>
      <c r="C595" s="316" t="n"/>
      <c r="D595" s="317" t="inlineStr">
        <is>
          <t>Allowance</t>
        </is>
      </c>
      <c r="E595" s="316" t="n"/>
      <c r="F595" s="318" t="n"/>
      <c r="G595" s="316" t="n"/>
      <c r="H595" s="316" t="n"/>
      <c r="I595" s="320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280" t="n"/>
      <c r="S595" s="280" t="n"/>
      <c r="T595" s="280" t="n"/>
      <c r="U595" s="280" t="n"/>
      <c r="V595" s="280" t="n"/>
      <c r="W595" s="280" t="n"/>
      <c r="X595" s="280" t="n"/>
      <c r="Y595" s="280" t="n"/>
      <c r="Z595" s="280" t="n"/>
      <c r="AA595" s="280" t="n"/>
      <c r="AB595" s="280" t="n"/>
      <c r="AC595" s="280" t="n"/>
      <c r="AD595" s="280" t="n"/>
    </row>
    <row r="596" ht="15.5" customHeight="1">
      <c r="B596" s="290" t="n">
        <v>45355</v>
      </c>
      <c r="C596" s="291" t="n">
        <v>57</v>
      </c>
      <c r="D596" s="292" t="inlineStr">
        <is>
          <t>Tunjangan Lapangan for 27 days</t>
        </is>
      </c>
      <c r="E596" s="293" t="inlineStr">
        <is>
          <t>-</t>
        </is>
      </c>
      <c r="F596" s="285" t="n">
        <v>42589800</v>
      </c>
      <c r="G596" s="294" t="inlineStr">
        <is>
          <t>USD</t>
        </is>
      </c>
      <c r="H596" s="295" t="n">
        <v>15774</v>
      </c>
      <c r="I596" s="282" t="n"/>
      <c r="J596" s="287" t="n"/>
      <c r="K596" s="281" t="n"/>
      <c r="L596" s="285" t="n">
        <v>42589800</v>
      </c>
      <c r="M596" s="288" t="n"/>
      <c r="N596" s="288" t="n"/>
      <c r="O596" s="285" t="n"/>
      <c r="P596" s="287" t="n"/>
      <c r="Q596" s="289" t="n"/>
      <c r="R596" s="280" t="n"/>
      <c r="S596" s="280" t="n"/>
      <c r="T596" s="280" t="n"/>
      <c r="U596" s="280" t="n"/>
      <c r="V596" s="280" t="n"/>
      <c r="W596" s="280" t="n"/>
      <c r="X596" s="280" t="n"/>
      <c r="Y596" s="280" t="n"/>
      <c r="Z596" s="280" t="n"/>
      <c r="AA596" s="280" t="n"/>
      <c r="AB596" s="280" t="n"/>
      <c r="AC596" s="280" t="n"/>
      <c r="AD596" s="280" t="n"/>
    </row>
    <row r="597" ht="15.5" customHeight="1">
      <c r="B597" s="300" t="n"/>
      <c r="C597" s="316" t="n"/>
      <c r="D597" s="317" t="inlineStr">
        <is>
          <t>Hand Tools</t>
        </is>
      </c>
      <c r="E597" s="316" t="n"/>
      <c r="F597" s="318" t="n"/>
      <c r="G597" s="316" t="n"/>
      <c r="H597" s="316" t="n"/>
      <c r="I597" s="320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280" t="n"/>
      <c r="S597" s="280" t="n"/>
      <c r="T597" s="280" t="n"/>
      <c r="U597" s="280" t="n"/>
      <c r="V597" s="280" t="n"/>
      <c r="W597" s="280" t="n"/>
      <c r="X597" s="280" t="n"/>
      <c r="Y597" s="280" t="n"/>
      <c r="Z597" s="280" t="n"/>
      <c r="AA597" s="280" t="n"/>
      <c r="AB597" s="280" t="n"/>
      <c r="AC597" s="280" t="n"/>
      <c r="AD597" s="280" t="n"/>
    </row>
    <row r="598" ht="15.5" customHeight="1">
      <c r="B598" s="290" t="n">
        <v>45344</v>
      </c>
      <c r="C598" s="291" t="n">
        <v>58</v>
      </c>
      <c r="D598" s="292" t="inlineStr">
        <is>
          <t>Gloves</t>
        </is>
      </c>
      <c r="E598" s="293" t="inlineStr">
        <is>
          <t>-</t>
        </is>
      </c>
      <c r="F598" s="285" t="n">
        <v>65000</v>
      </c>
      <c r="G598" s="294" t="inlineStr">
        <is>
          <t>IDR</t>
        </is>
      </c>
      <c r="H598" s="295" t="n">
        <v>1</v>
      </c>
      <c r="I598" s="282" t="n"/>
      <c r="J598" s="287" t="n"/>
      <c r="K598" s="281" t="n"/>
      <c r="L598" s="285" t="n"/>
      <c r="M598" s="288" t="n"/>
      <c r="N598" s="288" t="n">
        <v>65000</v>
      </c>
      <c r="O598" s="285" t="n"/>
      <c r="P598" s="287" t="n"/>
      <c r="Q598" s="289" t="n"/>
      <c r="R598" s="280" t="n"/>
      <c r="S598" s="280" t="n"/>
      <c r="T598" s="280" t="n"/>
      <c r="U598" s="280" t="n"/>
      <c r="V598" s="280" t="n"/>
      <c r="W598" s="280" t="n"/>
      <c r="X598" s="280" t="n"/>
      <c r="Y598" s="280" t="n"/>
      <c r="Z598" s="280" t="n"/>
      <c r="AA598" s="280" t="n"/>
      <c r="AB598" s="280" t="n"/>
      <c r="AC598" s="280" t="n"/>
      <c r="AD598" s="280" t="n"/>
    </row>
    <row r="599" ht="15.5" customHeight="1">
      <c r="B599" s="300" t="n"/>
      <c r="C599" s="316" t="n"/>
      <c r="D599" s="317" t="inlineStr">
        <is>
          <t>Laundry</t>
        </is>
      </c>
      <c r="E599" s="316" t="n"/>
      <c r="F599" s="318" t="n"/>
      <c r="G599" s="316" t="n"/>
      <c r="H599" s="316" t="n"/>
      <c r="I599" s="320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280" t="n"/>
      <c r="S599" s="280" t="n"/>
      <c r="T599" s="280" t="n"/>
      <c r="U599" s="280" t="n"/>
      <c r="V599" s="280" t="n"/>
      <c r="W599" s="280" t="n"/>
      <c r="X599" s="280" t="n"/>
      <c r="Y599" s="280" t="n"/>
      <c r="Z599" s="280" t="n"/>
      <c r="AA599" s="280" t="n"/>
      <c r="AB599" s="280" t="n"/>
      <c r="AC599" s="280" t="n"/>
      <c r="AD599" s="280" t="n"/>
    </row>
    <row r="600" ht="15.5" customHeight="1">
      <c r="B600" s="290" t="n">
        <v>45355</v>
      </c>
      <c r="C600" s="291" t="n">
        <v>59</v>
      </c>
      <c r="D600" s="292" t="inlineStr">
        <is>
          <t>Laundry 27 days 1 Persons @ 50K IDR/day</t>
        </is>
      </c>
      <c r="E600" s="296" t="inlineStr">
        <is>
          <t>-</t>
        </is>
      </c>
      <c r="F600" s="285" t="n">
        <v>1350000</v>
      </c>
      <c r="G600" s="294" t="inlineStr">
        <is>
          <t>IDR</t>
        </is>
      </c>
      <c r="H600" s="295" t="n">
        <v>1</v>
      </c>
      <c r="I600" s="282" t="n"/>
      <c r="J600" s="287" t="n"/>
      <c r="K600" s="281" t="n"/>
      <c r="L600" s="285" t="n">
        <v>1350000</v>
      </c>
      <c r="M600" s="288" t="n"/>
      <c r="N600" s="288" t="n"/>
      <c r="O600" s="285" t="n"/>
      <c r="P600" s="287" t="n"/>
      <c r="Q600" s="289" t="n"/>
      <c r="R600" s="280" t="n"/>
      <c r="S600" s="280" t="n"/>
      <c r="T600" s="280" t="n"/>
      <c r="U600" s="280" t="n"/>
      <c r="V600" s="280" t="n"/>
      <c r="W600" s="280" t="n"/>
      <c r="X600" s="280" t="n"/>
      <c r="Y600" s="280" t="n"/>
      <c r="Z600" s="280" t="n"/>
      <c r="AA600" s="280" t="n"/>
      <c r="AB600" s="280" t="n"/>
      <c r="AC600" s="280" t="n"/>
      <c r="AD600" s="280" t="n"/>
    </row>
    <row r="601" ht="15.5" customHeight="1">
      <c r="B601" s="300" t="n"/>
      <c r="C601" s="316" t="n"/>
      <c r="D601" s="317" t="inlineStr">
        <is>
          <t>Meal</t>
        </is>
      </c>
      <c r="E601" s="319" t="n"/>
      <c r="F601" s="318" t="n"/>
      <c r="G601" s="316" t="n"/>
      <c r="H601" s="316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280" t="n"/>
      <c r="S601" s="280" t="n"/>
      <c r="T601" s="280" t="n"/>
      <c r="U601" s="280" t="n"/>
      <c r="V601" s="280" t="n"/>
      <c r="W601" s="280" t="n"/>
      <c r="X601" s="280" t="n"/>
      <c r="Y601" s="280" t="n"/>
      <c r="Z601" s="280" t="n"/>
      <c r="AA601" s="280" t="n"/>
      <c r="AB601" s="280" t="n"/>
      <c r="AC601" s="280" t="n"/>
      <c r="AD601" s="280" t="n"/>
    </row>
    <row r="602" ht="15.5" customHeight="1">
      <c r="B602" s="290" t="n">
        <v>45355</v>
      </c>
      <c r="C602" s="291" t="n">
        <v>60</v>
      </c>
      <c r="D602" s="292" t="inlineStr">
        <is>
          <t>Meals 27 days 1 Persons @ 150K IDR/day</t>
        </is>
      </c>
      <c r="E602" s="293" t="inlineStr">
        <is>
          <t>-</t>
        </is>
      </c>
      <c r="F602" s="285" t="n">
        <v>4050000</v>
      </c>
      <c r="G602" s="294" t="inlineStr">
        <is>
          <t>IDR</t>
        </is>
      </c>
      <c r="H602" s="295" t="n">
        <v>1</v>
      </c>
      <c r="I602" s="282" t="n"/>
      <c r="J602" s="287" t="n"/>
      <c r="K602" s="281" t="n"/>
      <c r="L602" s="285" t="n">
        <v>4050000</v>
      </c>
      <c r="M602" s="288" t="n"/>
      <c r="N602" s="288" t="n"/>
      <c r="O602" s="285" t="n"/>
      <c r="P602" s="287" t="n"/>
      <c r="Q602" s="289" t="n"/>
      <c r="R602" s="280" t="n"/>
      <c r="S602" s="280" t="n"/>
      <c r="T602" s="280" t="n"/>
      <c r="U602" s="280" t="n"/>
      <c r="V602" s="280" t="n"/>
      <c r="W602" s="280" t="n"/>
      <c r="X602" s="280" t="n"/>
      <c r="Y602" s="280" t="n"/>
      <c r="Z602" s="280" t="n"/>
      <c r="AA602" s="280" t="n"/>
      <c r="AB602" s="280" t="n"/>
      <c r="AC602" s="280" t="n"/>
      <c r="AD602" s="280" t="n"/>
    </row>
    <row r="603" ht="15.5" customHeight="1">
      <c r="B603" s="300" t="n"/>
      <c r="C603" s="316" t="n"/>
      <c r="D603" s="317" t="inlineStr">
        <is>
          <t>Sparepart</t>
        </is>
      </c>
      <c r="E603" s="316" t="n"/>
      <c r="F603" s="318" t="n"/>
      <c r="G603" s="316" t="n"/>
      <c r="H603" s="316" t="n"/>
      <c r="I603" s="320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280" t="n"/>
      <c r="S603" s="280" t="n"/>
      <c r="T603" s="280" t="n"/>
      <c r="U603" s="280" t="n"/>
      <c r="V603" s="280" t="n"/>
      <c r="W603" s="280" t="n"/>
      <c r="X603" s="280" t="n"/>
      <c r="Y603" s="280" t="n"/>
      <c r="Z603" s="280" t="n"/>
      <c r="AA603" s="280" t="n"/>
      <c r="AB603" s="280" t="n"/>
      <c r="AC603" s="280" t="n"/>
      <c r="AD603" s="280" t="n"/>
    </row>
    <row r="604" ht="15.5" customHeight="1">
      <c r="B604" s="290" t="n">
        <v>45350</v>
      </c>
      <c r="C604" s="291" t="n">
        <v>61</v>
      </c>
      <c r="D604" s="292" t="inlineStr">
        <is>
          <t>Internet Data</t>
        </is>
      </c>
      <c r="E604" s="293" t="inlineStr">
        <is>
          <t>-</t>
        </is>
      </c>
      <c r="F604" s="285" t="n">
        <v>87000</v>
      </c>
      <c r="G604" s="294" t="inlineStr">
        <is>
          <t>IDR</t>
        </is>
      </c>
      <c r="H604" s="295" t="n">
        <v>1</v>
      </c>
      <c r="I604" s="282" t="n"/>
      <c r="J604" s="287" t="n"/>
      <c r="K604" s="281" t="n"/>
      <c r="L604" s="285" t="n"/>
      <c r="M604" s="288" t="n"/>
      <c r="N604" s="288" t="n">
        <v>87000</v>
      </c>
      <c r="O604" s="285" t="n"/>
      <c r="P604" s="287" t="n"/>
      <c r="Q604" s="289" t="n"/>
      <c r="R604" s="280" t="n"/>
      <c r="S604" s="280" t="n"/>
      <c r="T604" s="280" t="n"/>
      <c r="U604" s="280" t="n"/>
      <c r="V604" s="280" t="n"/>
      <c r="W604" s="280" t="n"/>
      <c r="X604" s="280" t="n"/>
      <c r="Y604" s="280" t="n"/>
      <c r="Z604" s="280" t="n"/>
      <c r="AA604" s="280" t="n"/>
      <c r="AB604" s="280" t="n"/>
      <c r="AC604" s="280" t="n"/>
      <c r="AD604" s="280" t="n"/>
    </row>
    <row r="605" ht="15.5" customHeight="1">
      <c r="B605" s="300" t="n"/>
      <c r="C605" s="316" t="n"/>
      <c r="D605" s="317" t="inlineStr">
        <is>
          <t>Transportation</t>
        </is>
      </c>
      <c r="E605" s="316" t="n"/>
      <c r="F605" s="318" t="n"/>
      <c r="G605" s="316" t="n"/>
      <c r="H605" s="316" t="n"/>
      <c r="I605" s="320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280" t="n"/>
      <c r="S605" s="280" t="n"/>
      <c r="T605" s="280" t="n"/>
      <c r="U605" s="280" t="n"/>
      <c r="V605" s="280" t="n"/>
      <c r="W605" s="280" t="n"/>
      <c r="X605" s="280" t="n"/>
      <c r="Y605" s="280" t="n"/>
      <c r="Z605" s="280" t="n"/>
      <c r="AA605" s="280" t="n"/>
      <c r="AB605" s="280" t="n"/>
      <c r="AC605" s="280" t="n"/>
      <c r="AD605" s="280" t="n"/>
    </row>
    <row r="606" ht="15.5" customHeight="1">
      <c r="B606" s="290" t="n">
        <v>45355</v>
      </c>
      <c r="C606" s="291" t="n">
        <v>62</v>
      </c>
      <c r="D606" s="292" t="inlineStr">
        <is>
          <t>Toll Fee</t>
        </is>
      </c>
      <c r="E606" s="293" t="inlineStr">
        <is>
          <t>-</t>
        </is>
      </c>
      <c r="F606" s="285" t="n">
        <v>378000</v>
      </c>
      <c r="G606" s="294" t="inlineStr">
        <is>
          <t>IDR</t>
        </is>
      </c>
      <c r="H606" s="295" t="n">
        <v>1</v>
      </c>
      <c r="I606" s="282" t="n"/>
      <c r="J606" s="287" t="n"/>
      <c r="K606" s="281" t="n"/>
      <c r="L606" s="285" t="n">
        <v>378000</v>
      </c>
      <c r="M606" s="288" t="n"/>
      <c r="N606" s="288" t="n"/>
      <c r="O606" s="285" t="n"/>
      <c r="P606" s="287" t="n"/>
      <c r="Q606" s="289" t="n"/>
      <c r="R606" s="280" t="n"/>
      <c r="S606" s="280" t="n"/>
      <c r="T606" s="280" t="n"/>
      <c r="U606" s="280" t="n"/>
      <c r="V606" s="280" t="n"/>
      <c r="W606" s="280" t="n"/>
      <c r="X606" s="280" t="n"/>
      <c r="Y606" s="280" t="n"/>
      <c r="Z606" s="280" t="n"/>
      <c r="AA606" s="280" t="n"/>
      <c r="AB606" s="280" t="n"/>
      <c r="AC606" s="280" t="n"/>
      <c r="AD606" s="280" t="n"/>
    </row>
    <row r="607" ht="15.5" customHeight="1">
      <c r="B607" s="310" t="inlineStr">
        <is>
          <t>Expense#2</t>
        </is>
      </c>
      <c r="C607" s="311" t="inlineStr">
        <is>
          <t>:</t>
        </is>
      </c>
      <c r="D607" s="312" t="inlineStr">
        <is>
          <t>Training ALFA _TLJ-58 (PEPZ4-Prabumulih field_ Titis Maulana</t>
        </is>
      </c>
      <c r="E607" s="313" t="n"/>
      <c r="F607" s="314" t="n"/>
      <c r="G607" s="313" t="n"/>
      <c r="H607" s="313" t="n"/>
      <c r="I607" s="315" t="n"/>
      <c r="J607" s="313" t="n"/>
      <c r="K607" s="313" t="n"/>
      <c r="L607" s="313" t="n"/>
      <c r="M607" s="315" t="n"/>
      <c r="N607" s="313" t="n"/>
      <c r="O607" s="313" t="n"/>
      <c r="P607" s="313" t="n"/>
      <c r="Q607" s="313" t="n"/>
      <c r="R607" s="280" t="n"/>
      <c r="S607" s="280" t="n"/>
      <c r="T607" s="280" t="n"/>
      <c r="U607" s="280" t="n"/>
      <c r="V607" s="280" t="n"/>
      <c r="W607" s="280" t="n"/>
      <c r="X607" s="280" t="n"/>
      <c r="Y607" s="280" t="n"/>
      <c r="Z607" s="280" t="n"/>
      <c r="AA607" s="280" t="n"/>
      <c r="AB607" s="280" t="n"/>
      <c r="AC607" s="280" t="n"/>
      <c r="AD607" s="280" t="n"/>
    </row>
    <row r="608" ht="15.5" customHeight="1">
      <c r="B608" s="300" t="n"/>
      <c r="C608" s="316" t="n"/>
      <c r="D608" s="317" t="inlineStr">
        <is>
          <t>Hand Tools</t>
        </is>
      </c>
      <c r="E608" s="316" t="n"/>
      <c r="F608" s="318" t="n"/>
      <c r="G608" s="316" t="n"/>
      <c r="H608" s="316" t="n"/>
      <c r="I608" s="320" t="n"/>
      <c r="J608" s="319" t="n"/>
      <c r="K608" s="319" t="n"/>
      <c r="L608" s="319" t="n"/>
      <c r="M608" s="320" t="n"/>
      <c r="N608" s="319" t="n"/>
      <c r="O608" s="319" t="n"/>
      <c r="P608" s="319" t="n"/>
      <c r="Q608" s="319" t="n"/>
      <c r="R608" s="280" t="n"/>
      <c r="S608" s="280" t="n"/>
      <c r="T608" s="280" t="n"/>
      <c r="U608" s="280" t="n"/>
      <c r="V608" s="280" t="n"/>
      <c r="W608" s="280" t="n"/>
      <c r="X608" s="280" t="n"/>
      <c r="Y608" s="280" t="n"/>
      <c r="Z608" s="280" t="n"/>
      <c r="AA608" s="280" t="n"/>
      <c r="AB608" s="280" t="n"/>
      <c r="AC608" s="280" t="n"/>
      <c r="AD608" s="280" t="n"/>
    </row>
    <row r="609" ht="15.5" customHeight="1">
      <c r="B609" s="290" t="n">
        <v>45324</v>
      </c>
      <c r="C609" s="291" t="n">
        <v>63</v>
      </c>
      <c r="D609" s="292" t="inlineStr">
        <is>
          <t>Safety Shoes</t>
        </is>
      </c>
      <c r="E609" s="293" t="inlineStr">
        <is>
          <t>-</t>
        </is>
      </c>
      <c r="F609" s="285" t="n">
        <v>499940</v>
      </c>
      <c r="G609" s="294" t="inlineStr">
        <is>
          <t>IDR</t>
        </is>
      </c>
      <c r="H609" s="295" t="n">
        <v>1</v>
      </c>
      <c r="I609" s="282" t="n"/>
      <c r="J609" s="287" t="n"/>
      <c r="K609" s="281" t="n"/>
      <c r="L609" s="285" t="n"/>
      <c r="M609" s="288" t="n"/>
      <c r="N609" s="288" t="n">
        <v>499940</v>
      </c>
      <c r="O609" s="285" t="n"/>
      <c r="P609" s="287" t="n"/>
      <c r="Q609" s="289" t="n"/>
      <c r="R609" s="280" t="n"/>
      <c r="S609" s="280" t="n"/>
      <c r="T609" s="280" t="n"/>
      <c r="U609" s="280" t="n"/>
      <c r="V609" s="280" t="n"/>
      <c r="W609" s="280" t="n"/>
      <c r="X609" s="280" t="n"/>
      <c r="Y609" s="280" t="n"/>
      <c r="Z609" s="280" t="n"/>
      <c r="AA609" s="280" t="n"/>
      <c r="AB609" s="280" t="n"/>
      <c r="AC609" s="280" t="n"/>
      <c r="AD609" s="280" t="n"/>
    </row>
    <row r="610" ht="15.5" customHeight="1">
      <c r="B610" s="300" t="n"/>
      <c r="C610" s="316" t="n"/>
      <c r="D610" s="317" t="inlineStr">
        <is>
          <t>Laundry</t>
        </is>
      </c>
      <c r="E610" s="316" t="n"/>
      <c r="F610" s="318" t="n"/>
      <c r="G610" s="316" t="n"/>
      <c r="H610" s="316" t="n"/>
      <c r="I610" s="320" t="n"/>
      <c r="J610" s="319" t="n"/>
      <c r="K610" s="319" t="n"/>
      <c r="L610" s="319" t="n"/>
      <c r="M610" s="320" t="n"/>
      <c r="N610" s="319" t="n"/>
      <c r="O610" s="319" t="n"/>
      <c r="P610" s="319" t="n"/>
      <c r="Q610" s="319" t="n"/>
      <c r="R610" s="280" t="n"/>
      <c r="S610" s="280" t="n"/>
      <c r="T610" s="280" t="n"/>
      <c r="U610" s="280" t="n"/>
      <c r="V610" s="280" t="n"/>
      <c r="W610" s="280" t="n"/>
      <c r="X610" s="280" t="n"/>
      <c r="Y610" s="280" t="n"/>
      <c r="Z610" s="280" t="n"/>
      <c r="AA610" s="280" t="n"/>
      <c r="AB610" s="280" t="n"/>
      <c r="AC610" s="280" t="n"/>
      <c r="AD610" s="280" t="n"/>
    </row>
    <row r="611" ht="15.5" customHeight="1">
      <c r="B611" s="290" t="n">
        <v>45358</v>
      </c>
      <c r="C611" s="291" t="n">
        <v>64</v>
      </c>
      <c r="D611" s="292" t="inlineStr">
        <is>
          <t>Laundry 30 days 1 Persons @ 50K IDR/day</t>
        </is>
      </c>
      <c r="E611" s="293" t="inlineStr">
        <is>
          <t>-</t>
        </is>
      </c>
      <c r="F611" s="285" t="n">
        <v>1500000</v>
      </c>
      <c r="G611" s="294" t="inlineStr">
        <is>
          <t>IDR</t>
        </is>
      </c>
      <c r="H611" s="295" t="n">
        <v>1</v>
      </c>
      <c r="I611" s="282" t="n"/>
      <c r="J611" s="287" t="n"/>
      <c r="K611" s="281" t="n"/>
      <c r="L611" s="285" t="n">
        <v>1500000</v>
      </c>
      <c r="M611" s="288" t="n"/>
      <c r="N611" s="288" t="n"/>
      <c r="O611" s="285" t="n"/>
      <c r="P611" s="287" t="n"/>
      <c r="Q611" s="289" t="n"/>
      <c r="R611" s="280" t="n"/>
      <c r="S611" s="280" t="n"/>
      <c r="T611" s="280" t="n"/>
      <c r="U611" s="280" t="n"/>
      <c r="V611" s="280" t="n"/>
      <c r="W611" s="280" t="n"/>
      <c r="X611" s="280" t="n"/>
      <c r="Y611" s="280" t="n"/>
      <c r="Z611" s="280" t="n"/>
      <c r="AA611" s="280" t="n"/>
      <c r="AB611" s="280" t="n"/>
      <c r="AC611" s="280" t="n"/>
      <c r="AD611" s="280" t="n"/>
    </row>
    <row r="612" ht="15.5" customHeight="1">
      <c r="B612" s="300" t="n"/>
      <c r="C612" s="316" t="n"/>
      <c r="D612" s="317" t="inlineStr">
        <is>
          <t>Logistic</t>
        </is>
      </c>
      <c r="E612" s="316" t="n"/>
      <c r="F612" s="318" t="n"/>
      <c r="G612" s="316" t="n"/>
      <c r="H612" s="321" t="n"/>
      <c r="I612" s="320" t="n"/>
      <c r="J612" s="319" t="n"/>
      <c r="K612" s="319" t="n"/>
      <c r="L612" s="319" t="n"/>
      <c r="M612" s="320" t="n"/>
      <c r="N612" s="319" t="n"/>
      <c r="O612" s="319" t="n"/>
      <c r="P612" s="319" t="n"/>
      <c r="Q612" s="319" t="n"/>
      <c r="R612" s="280" t="n"/>
      <c r="S612" s="280" t="n"/>
      <c r="T612" s="280" t="n"/>
      <c r="U612" s="280" t="n"/>
      <c r="V612" s="280" t="n"/>
      <c r="W612" s="280" t="n"/>
      <c r="X612" s="280" t="n"/>
      <c r="Y612" s="280" t="n"/>
      <c r="Z612" s="280" t="n"/>
      <c r="AA612" s="280" t="n"/>
      <c r="AB612" s="280" t="n"/>
      <c r="AC612" s="280" t="n"/>
      <c r="AD612" s="280" t="n"/>
    </row>
    <row r="613" ht="15.5" customHeight="1">
      <c r="B613" s="290" t="n">
        <v>45358</v>
      </c>
      <c r="C613" s="291" t="n">
        <v>65</v>
      </c>
      <c r="D613" s="292" t="inlineStr">
        <is>
          <t>Extra Baggage</t>
        </is>
      </c>
      <c r="E613" s="293" t="inlineStr">
        <is>
          <t>-</t>
        </is>
      </c>
      <c r="F613" s="285" t="n">
        <v>540000</v>
      </c>
      <c r="G613" s="294" t="inlineStr">
        <is>
          <t>IDR</t>
        </is>
      </c>
      <c r="H613" s="295" t="n">
        <v>1</v>
      </c>
      <c r="I613" s="282" t="n"/>
      <c r="J613" s="287" t="n"/>
      <c r="K613" s="281" t="n"/>
      <c r="L613" s="285" t="n"/>
      <c r="M613" s="288" t="n"/>
      <c r="N613" s="288" t="n">
        <v>540000</v>
      </c>
      <c r="O613" s="285" t="n"/>
      <c r="P613" s="287" t="n"/>
      <c r="Q613" s="289" t="n"/>
      <c r="R613" s="280" t="n"/>
      <c r="S613" s="280" t="n"/>
      <c r="T613" s="280" t="n"/>
      <c r="U613" s="280" t="n"/>
      <c r="V613" s="280" t="n"/>
      <c r="W613" s="280" t="n"/>
      <c r="X613" s="280" t="n"/>
      <c r="Y613" s="280" t="n"/>
      <c r="Z613" s="280" t="n"/>
      <c r="AA613" s="280" t="n"/>
      <c r="AB613" s="280" t="n"/>
      <c r="AC613" s="280" t="n"/>
      <c r="AD613" s="280" t="n"/>
    </row>
    <row r="614" ht="15.5" customHeight="1">
      <c r="B614" s="319" t="n"/>
      <c r="C614" s="319" t="n"/>
      <c r="D614" s="322" t="inlineStr">
        <is>
          <t>Meal</t>
        </is>
      </c>
      <c r="E614" s="323" t="n"/>
      <c r="F614" s="316" t="n"/>
      <c r="G614" s="316" t="n"/>
      <c r="H614" s="316" t="n"/>
      <c r="I614" s="319" t="n"/>
      <c r="J614" s="319" t="n"/>
      <c r="K614" s="319" t="n"/>
      <c r="L614" s="319" t="n"/>
      <c r="M614" s="320" t="n"/>
      <c r="N614" s="319" t="n"/>
      <c r="O614" s="319" t="n"/>
      <c r="P614" s="319" t="n"/>
      <c r="Q614" s="319" t="n"/>
      <c r="R614" s="280" t="n"/>
      <c r="S614" s="280" t="n"/>
      <c r="T614" s="280" t="n"/>
      <c r="U614" s="280" t="n"/>
      <c r="V614" s="280" t="n"/>
      <c r="W614" s="280" t="n"/>
      <c r="X614" s="280" t="n"/>
      <c r="Y614" s="280" t="n"/>
      <c r="Z614" s="280" t="n"/>
      <c r="AA614" s="280" t="n"/>
      <c r="AB614" s="280" t="n"/>
      <c r="AC614" s="280" t="n"/>
      <c r="AD614" s="280" t="n"/>
    </row>
    <row r="615" ht="15.5" customHeight="1">
      <c r="B615" s="290" t="n">
        <v>45358</v>
      </c>
      <c r="C615" s="291" t="n">
        <v>66</v>
      </c>
      <c r="D615" s="292" t="inlineStr">
        <is>
          <t>Meals 30 days 1 Persons @ 150K IDR/day</t>
        </is>
      </c>
      <c r="E615" s="297" t="inlineStr">
        <is>
          <t>-</t>
        </is>
      </c>
      <c r="F615" s="285" t="n">
        <v>4500000</v>
      </c>
      <c r="G615" s="294" t="inlineStr">
        <is>
          <t>IDR</t>
        </is>
      </c>
      <c r="H615" s="295" t="n">
        <v>1</v>
      </c>
      <c r="I615" s="282" t="n"/>
      <c r="J615" s="287" t="n"/>
      <c r="K615" s="281" t="n"/>
      <c r="L615" s="285" t="n">
        <v>4500000</v>
      </c>
      <c r="M615" s="288" t="n"/>
      <c r="N615" s="288" t="n"/>
      <c r="O615" s="285" t="n"/>
      <c r="P615" s="287" t="n"/>
      <c r="Q615" s="289" t="n"/>
      <c r="R615" s="280" t="n"/>
      <c r="S615" s="280" t="n"/>
      <c r="T615" s="280" t="n"/>
      <c r="U615" s="280" t="n"/>
      <c r="V615" s="280" t="n"/>
      <c r="W615" s="280" t="n"/>
      <c r="X615" s="280" t="n"/>
      <c r="Y615" s="280" t="n"/>
      <c r="Z615" s="280" t="n"/>
      <c r="AA615" s="280" t="n"/>
      <c r="AB615" s="280" t="n"/>
      <c r="AC615" s="280" t="n"/>
      <c r="AD615" s="280" t="n"/>
    </row>
    <row r="616" ht="15.5" customHeight="1">
      <c r="B616" s="300" t="n"/>
      <c r="C616" s="316" t="n"/>
      <c r="D616" s="317" t="inlineStr">
        <is>
          <t>Sparepart</t>
        </is>
      </c>
      <c r="E616" s="316" t="n"/>
      <c r="F616" s="318" t="n"/>
      <c r="G616" s="316" t="n"/>
      <c r="H616" s="316" t="n"/>
      <c r="I616" s="320" t="n"/>
      <c r="J616" s="319" t="n"/>
      <c r="K616" s="319" t="n"/>
      <c r="L616" s="319" t="n"/>
      <c r="M616" s="319" t="n"/>
      <c r="N616" s="320" t="n"/>
      <c r="O616" s="319" t="n"/>
      <c r="P616" s="319" t="n"/>
      <c r="Q616" s="319" t="n"/>
      <c r="R616" s="280" t="n"/>
      <c r="S616" s="280" t="n"/>
      <c r="T616" s="280" t="n"/>
      <c r="U616" s="280" t="n"/>
      <c r="V616" s="280" t="n"/>
      <c r="W616" s="280" t="n"/>
      <c r="X616" s="280" t="n"/>
      <c r="Y616" s="280" t="n"/>
      <c r="Z616" s="280" t="n"/>
      <c r="AA616" s="280" t="n"/>
      <c r="AB616" s="280" t="n"/>
      <c r="AC616" s="280" t="n"/>
      <c r="AD616" s="280" t="n"/>
    </row>
    <row r="617" ht="15.5" customHeight="1">
      <c r="B617" s="290" t="n">
        <v>45354</v>
      </c>
      <c r="C617" s="291" t="n">
        <v>67</v>
      </c>
      <c r="D617" s="292" t="inlineStr">
        <is>
          <t>Internet Data</t>
        </is>
      </c>
      <c r="E617" s="293" t="inlineStr">
        <is>
          <t>-</t>
        </is>
      </c>
      <c r="F617" s="285" t="n">
        <v>70000</v>
      </c>
      <c r="G617" s="294" t="inlineStr">
        <is>
          <t>IDR</t>
        </is>
      </c>
      <c r="H617" s="295" t="n">
        <v>1</v>
      </c>
      <c r="I617" s="282" t="n"/>
      <c r="J617" s="287" t="n"/>
      <c r="K617" s="281" t="n"/>
      <c r="L617" s="285" t="n"/>
      <c r="M617" s="288" t="n"/>
      <c r="N617" s="288" t="n">
        <v>70000</v>
      </c>
      <c r="O617" s="285" t="n"/>
      <c r="P617" s="287" t="n"/>
      <c r="Q617" s="289" t="n"/>
      <c r="R617" s="280" t="n"/>
      <c r="S617" s="280" t="n"/>
      <c r="T617" s="280" t="n"/>
      <c r="U617" s="280" t="n"/>
      <c r="V617" s="280" t="n"/>
      <c r="W617" s="280" t="n"/>
      <c r="X617" s="280" t="n"/>
      <c r="Y617" s="280" t="n"/>
      <c r="Z617" s="280" t="n"/>
      <c r="AA617" s="280" t="n"/>
      <c r="AB617" s="280" t="n"/>
      <c r="AC617" s="280" t="n"/>
      <c r="AD617" s="280" t="n"/>
    </row>
    <row r="618" ht="15.5" customHeight="1">
      <c r="B618" s="300" t="n"/>
      <c r="C618" s="316" t="n"/>
      <c r="D618" s="317" t="inlineStr">
        <is>
          <t>Transportation</t>
        </is>
      </c>
      <c r="E618" s="324" t="n"/>
      <c r="F618" s="318" t="n"/>
      <c r="G618" s="316" t="n"/>
      <c r="H618" s="316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280" t="n"/>
      <c r="S618" s="280" t="n"/>
      <c r="T618" s="280" t="n"/>
      <c r="U618" s="280" t="n"/>
      <c r="V618" s="280" t="n"/>
      <c r="W618" s="280" t="n"/>
      <c r="X618" s="280" t="n"/>
      <c r="Y618" s="280" t="n"/>
      <c r="Z618" s="280" t="n"/>
      <c r="AA618" s="280" t="n"/>
      <c r="AB618" s="280" t="n"/>
      <c r="AC618" s="280" t="n"/>
      <c r="AD618" s="280" t="n"/>
    </row>
    <row r="619" ht="15.5" customHeight="1">
      <c r="B619" s="290" t="n">
        <v>45358</v>
      </c>
      <c r="C619" s="291" t="n">
        <v>68</v>
      </c>
      <c r="D619" s="292" t="inlineStr">
        <is>
          <t>Tunjangan Lapangan (Training) untuk 27 days</t>
        </is>
      </c>
      <c r="E619" s="293" t="inlineStr">
        <is>
          <t>-</t>
        </is>
      </c>
      <c r="F619" s="285" t="n">
        <v>11705250</v>
      </c>
      <c r="G619" s="294" t="inlineStr">
        <is>
          <t>USD</t>
        </is>
      </c>
      <c r="H619" s="295" t="n">
        <v>15607</v>
      </c>
      <c r="I619" s="282" t="n"/>
      <c r="J619" s="287" t="n"/>
      <c r="K619" s="281" t="n"/>
      <c r="L619" s="285" t="n">
        <v>11705250</v>
      </c>
      <c r="M619" s="288" t="n"/>
      <c r="N619" s="288" t="n"/>
      <c r="O619" s="285" t="n"/>
      <c r="P619" s="287" t="n"/>
      <c r="Q619" s="289" t="n"/>
      <c r="R619" s="280" t="n"/>
      <c r="S619" s="280" t="n"/>
      <c r="T619" s="280" t="n"/>
      <c r="U619" s="280" t="n"/>
      <c r="V619" s="280" t="n"/>
      <c r="W619" s="280" t="n"/>
      <c r="X619" s="280" t="n"/>
      <c r="Y619" s="280" t="n"/>
      <c r="Z619" s="280" t="n"/>
      <c r="AA619" s="280" t="n"/>
      <c r="AB619" s="280" t="n"/>
      <c r="AC619" s="280" t="n"/>
      <c r="AD619" s="280" t="n"/>
    </row>
    <row r="620" ht="15.5" customHeight="1">
      <c r="B620" s="310" t="inlineStr">
        <is>
          <t>Expense#3</t>
        </is>
      </c>
      <c r="C620" s="311" t="inlineStr">
        <is>
          <t>:</t>
        </is>
      </c>
      <c r="D620" s="312" t="inlineStr">
        <is>
          <t>MPLT (SAKA-UjungPangkah field) GOWell - TGE _IC</t>
        </is>
      </c>
      <c r="E620" s="313" t="n"/>
      <c r="F620" s="314" t="n"/>
      <c r="G620" s="313" t="n"/>
      <c r="H620" s="313" t="n"/>
      <c r="I620" s="313" t="n"/>
      <c r="J620" s="313" t="n"/>
      <c r="K620" s="313" t="n"/>
      <c r="L620" s="313" t="n"/>
      <c r="M620" s="315" t="n"/>
      <c r="N620" s="313" t="n"/>
      <c r="O620" s="313" t="n"/>
      <c r="P620" s="313" t="n"/>
      <c r="Q620" s="313" t="n"/>
      <c r="R620" s="280" t="n"/>
      <c r="S620" s="280" t="n"/>
      <c r="T620" s="280" t="n"/>
      <c r="U620" s="280" t="n"/>
      <c r="V620" s="280" t="n"/>
      <c r="W620" s="280" t="n"/>
      <c r="X620" s="280" t="n"/>
      <c r="Y620" s="280" t="n"/>
      <c r="Z620" s="280" t="n"/>
      <c r="AA620" s="280" t="n"/>
      <c r="AB620" s="280" t="n"/>
      <c r="AC620" s="280" t="n"/>
      <c r="AD620" s="280" t="n"/>
    </row>
    <row r="621" ht="15.5" customHeight="1">
      <c r="B621" s="300" t="n"/>
      <c r="C621" s="316" t="n"/>
      <c r="D621" s="317" t="inlineStr">
        <is>
          <t>Allowance</t>
        </is>
      </c>
      <c r="E621" s="324" t="n"/>
      <c r="F621" s="318" t="n"/>
      <c r="G621" s="316" t="n"/>
      <c r="H621" s="316" t="n"/>
      <c r="I621" s="319" t="n"/>
      <c r="J621" s="319" t="n"/>
      <c r="K621" s="319" t="n"/>
      <c r="L621" s="319" t="n"/>
      <c r="M621" s="320" t="n"/>
      <c r="N621" s="319" t="n"/>
      <c r="O621" s="319" t="n"/>
      <c r="P621" s="319" t="n"/>
      <c r="Q621" s="319" t="n"/>
      <c r="R621" s="280" t="n"/>
      <c r="S621" s="280" t="n"/>
      <c r="T621" s="280" t="n"/>
      <c r="U621" s="280" t="n"/>
      <c r="V621" s="280" t="n"/>
      <c r="W621" s="280" t="n"/>
      <c r="X621" s="280" t="n"/>
      <c r="Y621" s="280" t="n"/>
      <c r="Z621" s="280" t="n"/>
      <c r="AA621" s="280" t="n"/>
      <c r="AB621" s="280" t="n"/>
      <c r="AC621" s="280" t="n"/>
      <c r="AD621" s="280" t="n"/>
    </row>
    <row r="622" ht="15.5" customHeight="1">
      <c r="B622" s="290" t="n">
        <v>45375</v>
      </c>
      <c r="C622" s="291" t="n">
        <v>69</v>
      </c>
      <c r="D622" s="292" t="inlineStr">
        <is>
          <t>Tunjangan Lapangan untuk 6 days</t>
        </is>
      </c>
      <c r="E622" s="293" t="inlineStr">
        <is>
          <t>-</t>
        </is>
      </c>
      <c r="F622" s="285" t="n">
        <v>9501000</v>
      </c>
      <c r="G622" s="294" t="inlineStr">
        <is>
          <t>USD</t>
        </is>
      </c>
      <c r="H622" s="295" t="n">
        <v>15835</v>
      </c>
      <c r="I622" s="282" t="n"/>
      <c r="J622" s="287" t="n"/>
      <c r="K622" s="281" t="n"/>
      <c r="L622" s="285" t="n">
        <v>9501000</v>
      </c>
      <c r="M622" s="288" t="n"/>
      <c r="N622" s="288" t="n"/>
      <c r="O622" s="285" t="n"/>
      <c r="P622" s="287" t="n"/>
      <c r="Q622" s="289" t="n"/>
      <c r="R622" s="280" t="n"/>
      <c r="S622" s="280" t="n"/>
      <c r="T622" s="280" t="n"/>
      <c r="U622" s="280" t="n"/>
      <c r="V622" s="280" t="n"/>
      <c r="W622" s="280" t="n"/>
      <c r="X622" s="280" t="n"/>
      <c r="Y622" s="280" t="n"/>
      <c r="Z622" s="280" t="n"/>
      <c r="AA622" s="280" t="n"/>
      <c r="AB622" s="280" t="n"/>
      <c r="AC622" s="280" t="n"/>
      <c r="AD622" s="280" t="n"/>
    </row>
    <row r="623" ht="15.5" customHeight="1">
      <c r="B623" s="300" t="n"/>
      <c r="C623" s="316" t="n"/>
      <c r="D623" s="317" t="inlineStr">
        <is>
          <t>Laundry</t>
        </is>
      </c>
      <c r="E623" s="324" t="n"/>
      <c r="F623" s="318" t="n"/>
      <c r="G623" s="316" t="n"/>
      <c r="H623" s="316" t="n"/>
      <c r="I623" s="319" t="n"/>
      <c r="J623" s="319" t="n"/>
      <c r="K623" s="319" t="n"/>
      <c r="L623" s="319" t="n"/>
      <c r="M623" s="320" t="n"/>
      <c r="N623" s="319" t="n"/>
      <c r="O623" s="319" t="n"/>
      <c r="P623" s="319" t="n"/>
      <c r="Q623" s="319" t="n"/>
      <c r="R623" s="280" t="n"/>
      <c r="S623" s="280" t="n"/>
      <c r="T623" s="280" t="n"/>
      <c r="U623" s="280" t="n"/>
      <c r="V623" s="280" t="n"/>
      <c r="W623" s="280" t="n"/>
      <c r="X623" s="280" t="n"/>
      <c r="Y623" s="280" t="n"/>
      <c r="Z623" s="280" t="n"/>
      <c r="AA623" s="280" t="n"/>
      <c r="AB623" s="280" t="n"/>
      <c r="AC623" s="280" t="n"/>
      <c r="AD623" s="280" t="n"/>
    </row>
    <row r="624" ht="15.5" customHeight="1">
      <c r="B624" s="290" t="n">
        <v>45375</v>
      </c>
      <c r="C624" s="291" t="n">
        <v>70</v>
      </c>
      <c r="D624" s="292" t="inlineStr">
        <is>
          <t>Laundry 6 days 1 Persons @ 50K IDR/day</t>
        </is>
      </c>
      <c r="E624" s="293" t="inlineStr">
        <is>
          <t>-</t>
        </is>
      </c>
      <c r="F624" s="285" t="n">
        <v>300000</v>
      </c>
      <c r="G624" s="294" t="inlineStr">
        <is>
          <t>IDR</t>
        </is>
      </c>
      <c r="H624" s="295" t="n">
        <v>1</v>
      </c>
      <c r="I624" s="282" t="n"/>
      <c r="J624" s="287" t="n"/>
      <c r="K624" s="281" t="n"/>
      <c r="L624" s="285" t="n">
        <v>300000</v>
      </c>
      <c r="M624" s="288" t="n"/>
      <c r="N624" s="288" t="n"/>
      <c r="O624" s="285" t="n"/>
      <c r="P624" s="287" t="n"/>
      <c r="Q624" s="289" t="n"/>
      <c r="R624" s="280" t="n"/>
      <c r="S624" s="280" t="n"/>
      <c r="T624" s="280" t="n"/>
      <c r="U624" s="280" t="n"/>
      <c r="V624" s="280" t="n"/>
      <c r="W624" s="280" t="n"/>
      <c r="X624" s="280" t="n"/>
      <c r="Y624" s="280" t="n"/>
      <c r="Z624" s="280" t="n"/>
      <c r="AA624" s="280" t="n"/>
      <c r="AB624" s="280" t="n"/>
      <c r="AC624" s="280" t="n"/>
      <c r="AD624" s="280" t="n"/>
    </row>
    <row r="625" ht="15.5" customHeight="1">
      <c r="B625" s="300" t="n"/>
      <c r="C625" s="316" t="n"/>
      <c r="D625" s="317" t="inlineStr">
        <is>
          <t>Meal</t>
        </is>
      </c>
      <c r="E625" s="319" t="n"/>
      <c r="F625" s="318" t="n"/>
      <c r="G625" s="316" t="n"/>
      <c r="H625" s="316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280" t="n"/>
      <c r="S625" s="280" t="n"/>
      <c r="T625" s="280" t="n"/>
      <c r="U625" s="280" t="n"/>
      <c r="V625" s="280" t="n"/>
      <c r="W625" s="280" t="n"/>
      <c r="X625" s="280" t="n"/>
      <c r="Y625" s="280" t="n"/>
      <c r="Z625" s="280" t="n"/>
      <c r="AA625" s="280" t="n"/>
      <c r="AB625" s="280" t="n"/>
      <c r="AC625" s="280" t="n"/>
      <c r="AD625" s="280" t="n"/>
    </row>
    <row r="626" ht="15.5" customHeight="1">
      <c r="B626" s="290" t="n">
        <v>45375</v>
      </c>
      <c r="C626" s="291" t="n">
        <v>71</v>
      </c>
      <c r="D626" s="292" t="inlineStr">
        <is>
          <t>Meals 6 days 1 Persons @ 150K IDR/day</t>
        </is>
      </c>
      <c r="E626" s="293" t="inlineStr">
        <is>
          <t>-</t>
        </is>
      </c>
      <c r="F626" s="285" t="n">
        <v>900000</v>
      </c>
      <c r="G626" s="294" t="inlineStr">
        <is>
          <t>IDR</t>
        </is>
      </c>
      <c r="H626" s="295" t="n">
        <v>1</v>
      </c>
      <c r="I626" s="282" t="n"/>
      <c r="J626" s="287" t="n"/>
      <c r="K626" s="281" t="n"/>
      <c r="L626" s="285" t="n">
        <v>900000</v>
      </c>
      <c r="M626" s="288" t="n"/>
      <c r="N626" s="288" t="n"/>
      <c r="O626" s="285" t="n"/>
      <c r="P626" s="287" t="n"/>
      <c r="Q626" s="289" t="n"/>
      <c r="R626" s="280" t="n"/>
      <c r="S626" s="280" t="n"/>
      <c r="T626" s="280" t="n"/>
      <c r="U626" s="280" t="n"/>
      <c r="V626" s="280" t="n"/>
      <c r="W626" s="280" t="n"/>
      <c r="X626" s="280" t="n"/>
      <c r="Y626" s="280" t="n"/>
      <c r="Z626" s="280" t="n"/>
      <c r="AA626" s="280" t="n"/>
      <c r="AB626" s="280" t="n"/>
      <c r="AC626" s="280" t="n"/>
      <c r="AD626" s="280" t="n"/>
    </row>
    <row r="627" ht="15.5" customHeight="1">
      <c r="B627" s="319" t="n"/>
      <c r="C627" s="319" t="n"/>
      <c r="D627" s="322" t="inlineStr">
        <is>
          <t>Transportation</t>
        </is>
      </c>
      <c r="E627" s="323" t="n"/>
      <c r="F627" s="316" t="n"/>
      <c r="G627" s="316" t="n"/>
      <c r="H627" s="316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280" t="n"/>
      <c r="S627" s="280" t="n"/>
      <c r="T627" s="280" t="n"/>
      <c r="U627" s="280" t="n"/>
      <c r="V627" s="280" t="n"/>
      <c r="W627" s="280" t="n"/>
      <c r="X627" s="280" t="n"/>
      <c r="Y627" s="280" t="n"/>
      <c r="Z627" s="280" t="n"/>
      <c r="AA627" s="280" t="n"/>
      <c r="AB627" s="280" t="n"/>
      <c r="AC627" s="280" t="n"/>
      <c r="AD627" s="280" t="n"/>
    </row>
    <row r="628" ht="15.5" customHeight="1">
      <c r="B628" s="290" t="n">
        <v>45375</v>
      </c>
      <c r="C628" s="291" t="n">
        <v>72</v>
      </c>
      <c r="D628" s="292" t="inlineStr">
        <is>
          <t>Taxi CGK-Bintaro</t>
        </is>
      </c>
      <c r="E628" s="293" t="inlineStr">
        <is>
          <t>-</t>
        </is>
      </c>
      <c r="F628" s="285" t="n">
        <v>250000</v>
      </c>
      <c r="G628" s="294" t="inlineStr">
        <is>
          <t>IDR</t>
        </is>
      </c>
      <c r="H628" s="295" t="n">
        <v>1</v>
      </c>
      <c r="I628" s="282" t="n"/>
      <c r="J628" s="287" t="n"/>
      <c r="K628" s="281" t="n"/>
      <c r="L628" s="285" t="n">
        <v>250000</v>
      </c>
      <c r="M628" s="288" t="n"/>
      <c r="N628" s="288" t="n"/>
      <c r="O628" s="285" t="n"/>
      <c r="P628" s="287" t="n"/>
      <c r="Q628" s="289" t="n"/>
      <c r="R628" s="280" t="n"/>
      <c r="S628" s="280" t="n"/>
      <c r="T628" s="280" t="n"/>
      <c r="U628" s="280" t="n"/>
      <c r="V628" s="280" t="n"/>
      <c r="W628" s="280" t="n"/>
      <c r="X628" s="280" t="n"/>
      <c r="Y628" s="280" t="n"/>
      <c r="Z628" s="280" t="n"/>
      <c r="AA628" s="280" t="n"/>
      <c r="AB628" s="280" t="n"/>
      <c r="AC628" s="280" t="n"/>
      <c r="AD628" s="280" t="n"/>
    </row>
    <row r="629" ht="15.5" customHeight="1">
      <c r="B629" s="310" t="inlineStr">
        <is>
          <t>Expense#4</t>
        </is>
      </c>
      <c r="C629" s="311" t="inlineStr">
        <is>
          <t>:</t>
        </is>
      </c>
      <c r="D629" s="312" t="inlineStr">
        <is>
          <t>Non project (3rd) _ Ivan Chairulsyah</t>
        </is>
      </c>
      <c r="E629" s="313" t="n"/>
      <c r="F629" s="314" t="n"/>
      <c r="G629" s="313" t="n"/>
      <c r="H629" s="313" t="n"/>
      <c r="I629" s="315" t="n"/>
      <c r="J629" s="313" t="n"/>
      <c r="K629" s="313" t="n"/>
      <c r="L629" s="313" t="n"/>
      <c r="M629" s="313" t="n"/>
      <c r="N629" s="313" t="n"/>
      <c r="O629" s="313" t="n"/>
      <c r="P629" s="313" t="n"/>
      <c r="Q629" s="313" t="n"/>
      <c r="R629" s="280" t="n"/>
      <c r="S629" s="280" t="n"/>
      <c r="T629" s="280" t="n"/>
      <c r="U629" s="280" t="n"/>
      <c r="V629" s="280" t="n"/>
      <c r="W629" s="280" t="n"/>
      <c r="X629" s="280" t="n"/>
      <c r="Y629" s="280" t="n"/>
      <c r="Z629" s="280" t="n"/>
      <c r="AA629" s="280" t="n"/>
      <c r="AB629" s="280" t="n"/>
      <c r="AC629" s="280" t="n"/>
      <c r="AD629" s="280" t="n"/>
    </row>
    <row r="630" ht="15.5" customHeight="1">
      <c r="B630" s="300" t="n"/>
      <c r="C630" s="316" t="n"/>
      <c r="D630" s="317" t="inlineStr">
        <is>
          <t>Elektronik &amp; Gadget</t>
        </is>
      </c>
      <c r="E630" s="319" t="n"/>
      <c r="F630" s="318" t="n"/>
      <c r="G630" s="316" t="n"/>
      <c r="H630" s="316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280" t="n"/>
      <c r="S630" s="280" t="n"/>
      <c r="T630" s="280" t="n"/>
      <c r="U630" s="280" t="n"/>
      <c r="V630" s="280" t="n"/>
      <c r="W630" s="280" t="n"/>
      <c r="X630" s="280" t="n"/>
      <c r="Y630" s="280" t="n"/>
      <c r="Z630" s="280" t="n"/>
      <c r="AA630" s="280" t="n"/>
      <c r="AB630" s="280" t="n"/>
      <c r="AC630" s="280" t="n"/>
      <c r="AD630" s="280" t="n"/>
    </row>
    <row r="631" ht="15.5" customHeight="1">
      <c r="B631" s="290" t="n">
        <v>45369</v>
      </c>
      <c r="C631" s="291" t="n">
        <v>73</v>
      </c>
      <c r="D631" s="292" t="inlineStr">
        <is>
          <t>Buy SANWA YX360TRF</t>
        </is>
      </c>
      <c r="E631" s="293" t="inlineStr">
        <is>
          <t>-</t>
        </is>
      </c>
      <c r="F631" s="285" t="n">
        <v>455600</v>
      </c>
      <c r="G631" s="294" t="inlineStr">
        <is>
          <t>IDR</t>
        </is>
      </c>
      <c r="H631" s="295" t="n">
        <v>1</v>
      </c>
      <c r="I631" s="282" t="n"/>
      <c r="J631" s="287" t="n"/>
      <c r="K631" s="281" t="n"/>
      <c r="L631" s="285" t="n"/>
      <c r="M631" s="288" t="n"/>
      <c r="N631" s="288" t="n">
        <v>455600</v>
      </c>
      <c r="O631" s="285" t="n"/>
      <c r="P631" s="287" t="n"/>
      <c r="Q631" s="289" t="n"/>
      <c r="R631" s="280" t="n"/>
      <c r="S631" s="280" t="n"/>
      <c r="T631" s="280" t="n"/>
      <c r="U631" s="280" t="n"/>
      <c r="V631" s="280" t="n"/>
      <c r="W631" s="280" t="n"/>
      <c r="X631" s="280" t="n"/>
      <c r="Y631" s="280" t="n"/>
      <c r="Z631" s="280" t="n"/>
      <c r="AA631" s="280" t="n"/>
      <c r="AB631" s="280" t="n"/>
      <c r="AC631" s="280" t="n"/>
      <c r="AD631" s="280" t="n"/>
    </row>
    <row r="632" ht="15.5" customHeight="1">
      <c r="B632" s="300" t="n"/>
      <c r="C632" s="316" t="n"/>
      <c r="D632" s="317" t="inlineStr">
        <is>
          <t>Hand Tools</t>
        </is>
      </c>
      <c r="E632" s="316" t="n"/>
      <c r="F632" s="318" t="n"/>
      <c r="G632" s="316" t="n"/>
      <c r="H632" s="316" t="n"/>
      <c r="I632" s="320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280" t="n"/>
      <c r="S632" s="280" t="n"/>
      <c r="T632" s="280" t="n"/>
      <c r="U632" s="280" t="n"/>
      <c r="V632" s="280" t="n"/>
      <c r="W632" s="280" t="n"/>
      <c r="X632" s="280" t="n"/>
      <c r="Y632" s="280" t="n"/>
      <c r="Z632" s="280" t="n"/>
      <c r="AA632" s="280" t="n"/>
      <c r="AB632" s="280" t="n"/>
      <c r="AC632" s="280" t="n"/>
      <c r="AD632" s="280" t="n"/>
    </row>
    <row r="633" ht="15.5" customHeight="1">
      <c r="B633" s="290" t="n">
        <v>45370</v>
      </c>
      <c r="C633" s="291" t="n">
        <v>74</v>
      </c>
      <c r="D633" s="292" t="inlineStr">
        <is>
          <t>Send Tool from Gowell to TGE</t>
        </is>
      </c>
      <c r="E633" s="293" t="inlineStr">
        <is>
          <t>-</t>
        </is>
      </c>
      <c r="F633" s="285" t="n">
        <v>168732</v>
      </c>
      <c r="G633" s="294" t="inlineStr">
        <is>
          <t>IDR</t>
        </is>
      </c>
      <c r="H633" s="295" t="n">
        <v>1</v>
      </c>
      <c r="I633" s="282" t="n"/>
      <c r="J633" s="287" t="n"/>
      <c r="K633" s="281" t="n"/>
      <c r="L633" s="285" t="n"/>
      <c r="M633" s="288" t="n"/>
      <c r="N633" s="288" t="n">
        <v>168732</v>
      </c>
      <c r="O633" s="285" t="n"/>
      <c r="P633" s="287" t="n"/>
      <c r="Q633" s="289" t="n"/>
      <c r="R633" s="280" t="n"/>
      <c r="S633" s="280" t="n"/>
      <c r="T633" s="280" t="n"/>
      <c r="U633" s="280" t="n"/>
      <c r="V633" s="280" t="n"/>
      <c r="W633" s="280" t="n"/>
      <c r="X633" s="280" t="n"/>
      <c r="Y633" s="280" t="n"/>
      <c r="Z633" s="280" t="n"/>
      <c r="AA633" s="280" t="n"/>
      <c r="AB633" s="280" t="n"/>
      <c r="AC633" s="280" t="n"/>
      <c r="AD633" s="280" t="n"/>
    </row>
    <row r="634" ht="15.5" customHeight="1">
      <c r="B634" s="310" t="inlineStr">
        <is>
          <t>Expense#5</t>
        </is>
      </c>
      <c r="C634" s="311" t="inlineStr">
        <is>
          <t>:</t>
        </is>
      </c>
      <c r="D634" s="312" t="inlineStr">
        <is>
          <t>MCU RS PP _Titis Maulana</t>
        </is>
      </c>
      <c r="E634" s="313" t="n"/>
      <c r="F634" s="314" t="n"/>
      <c r="G634" s="313" t="n"/>
      <c r="H634" s="313" t="n"/>
      <c r="I634" s="315" t="n"/>
      <c r="J634" s="313" t="n"/>
      <c r="K634" s="313" t="n"/>
      <c r="L634" s="313" t="n"/>
      <c r="M634" s="315" t="n"/>
      <c r="N634" s="313" t="n"/>
      <c r="O634" s="313" t="n"/>
      <c r="P634" s="313" t="n"/>
      <c r="Q634" s="313" t="n"/>
      <c r="R634" s="280" t="n"/>
      <c r="S634" s="280" t="n"/>
      <c r="T634" s="280" t="n"/>
      <c r="U634" s="280" t="n"/>
      <c r="V634" s="280" t="n"/>
      <c r="W634" s="280" t="n"/>
      <c r="X634" s="280" t="n"/>
      <c r="Y634" s="280" t="n"/>
      <c r="Z634" s="280" t="n"/>
      <c r="AA634" s="280" t="n"/>
      <c r="AB634" s="280" t="n"/>
      <c r="AC634" s="280" t="n"/>
      <c r="AD634" s="280" t="n"/>
    </row>
    <row r="635" ht="15.5" customHeight="1">
      <c r="B635" s="300" t="n"/>
      <c r="C635" s="316" t="n"/>
      <c r="D635" s="317" t="inlineStr">
        <is>
          <t>Medical</t>
        </is>
      </c>
      <c r="E635" s="316" t="n"/>
      <c r="F635" s="318" t="n"/>
      <c r="G635" s="316" t="n"/>
      <c r="H635" s="316" t="n"/>
      <c r="I635" s="320" t="n"/>
      <c r="J635" s="319" t="n"/>
      <c r="K635" s="319" t="n"/>
      <c r="L635" s="319" t="n"/>
      <c r="M635" s="320" t="n"/>
      <c r="N635" s="319" t="n"/>
      <c r="O635" s="319" t="n"/>
      <c r="P635" s="319" t="n"/>
      <c r="Q635" s="319" t="n"/>
      <c r="R635" s="280" t="n"/>
      <c r="S635" s="280" t="n"/>
      <c r="T635" s="280" t="n"/>
      <c r="U635" s="280" t="n"/>
      <c r="V635" s="280" t="n"/>
      <c r="W635" s="280" t="n"/>
      <c r="X635" s="280" t="n"/>
      <c r="Y635" s="280" t="n"/>
      <c r="Z635" s="280" t="n"/>
      <c r="AA635" s="280" t="n"/>
      <c r="AB635" s="280" t="n"/>
      <c r="AC635" s="280" t="n"/>
      <c r="AD635" s="280" t="n"/>
    </row>
    <row r="636" ht="15.5" customHeight="1">
      <c r="B636" s="290" t="n">
        <v>45384</v>
      </c>
      <c r="C636" s="291" t="n">
        <v>75</v>
      </c>
      <c r="D636" s="292" t="inlineStr">
        <is>
          <t>MCU RS PP</t>
        </is>
      </c>
      <c r="E636" s="296" t="inlineStr">
        <is>
          <t>-</t>
        </is>
      </c>
      <c r="F636" s="285" t="n">
        <v>5407000</v>
      </c>
      <c r="G636" s="294" t="inlineStr">
        <is>
          <t>IDR</t>
        </is>
      </c>
      <c r="H636" s="295" t="n">
        <v>1</v>
      </c>
      <c r="I636" s="282" t="n"/>
      <c r="J636" s="287" t="n"/>
      <c r="K636" s="281" t="n"/>
      <c r="L636" s="285" t="n"/>
      <c r="M636" s="288" t="n"/>
      <c r="N636" s="288" t="n"/>
      <c r="O636" s="285" t="n"/>
      <c r="P636" s="285" t="n">
        <v>5407000</v>
      </c>
      <c r="Q636" s="289" t="n"/>
      <c r="R636" s="280" t="n"/>
      <c r="S636" s="280" t="n"/>
      <c r="T636" s="280" t="n"/>
      <c r="U636" s="280" t="n"/>
      <c r="V636" s="280" t="n"/>
      <c r="W636" s="280" t="n"/>
      <c r="X636" s="280" t="n"/>
      <c r="Y636" s="280" t="n"/>
      <c r="Z636" s="280" t="n"/>
      <c r="AA636" s="280" t="n"/>
      <c r="AB636" s="280" t="n"/>
      <c r="AC636" s="280" t="n"/>
      <c r="AD636" s="280" t="n"/>
    </row>
    <row r="637" ht="15.5" customHeight="1">
      <c r="B637" s="310" t="inlineStr">
        <is>
          <t>Expense#6</t>
        </is>
      </c>
      <c r="C637" s="311" t="inlineStr">
        <is>
          <t>:</t>
        </is>
      </c>
      <c r="D637" s="312" t="inlineStr">
        <is>
          <t>MPLT (SAKA-UjungPangkah field) by TGE - GOWell project_IC</t>
        </is>
      </c>
      <c r="E637" s="313" t="n"/>
      <c r="F637" s="313" t="n"/>
      <c r="G637" s="313" t="n"/>
      <c r="H637" s="313" t="n"/>
      <c r="I637" s="313" t="n"/>
      <c r="J637" s="313" t="n"/>
      <c r="K637" s="313" t="n"/>
      <c r="L637" s="313" t="n"/>
      <c r="M637" s="313" t="n"/>
      <c r="N637" s="315" t="n"/>
      <c r="O637" s="313" t="n"/>
      <c r="P637" s="313" t="n"/>
      <c r="Q637" s="313" t="n"/>
      <c r="R637" s="280" t="n"/>
      <c r="S637" s="280" t="n"/>
      <c r="T637" s="280" t="n"/>
      <c r="U637" s="280" t="n"/>
      <c r="V637" s="280" t="n"/>
      <c r="W637" s="280" t="n"/>
      <c r="X637" s="280" t="n"/>
      <c r="Y637" s="280" t="n"/>
      <c r="Z637" s="280" t="n"/>
      <c r="AA637" s="280" t="n"/>
      <c r="AB637" s="280" t="n"/>
      <c r="AC637" s="280" t="n"/>
      <c r="AD637" s="280" t="n"/>
    </row>
    <row r="638" ht="15.5" customHeight="1">
      <c r="B638" s="325" t="n"/>
      <c r="C638" s="326" t="n"/>
      <c r="D638" s="327" t="inlineStr">
        <is>
          <t>Biaya Operasi Lain-lain</t>
        </is>
      </c>
      <c r="E638" s="328" t="n"/>
      <c r="F638" s="329" t="n"/>
      <c r="G638" s="316" t="n"/>
      <c r="H638" s="316" t="n"/>
      <c r="I638" s="319" t="n"/>
      <c r="J638" s="319" t="n"/>
      <c r="K638" s="319" t="n"/>
      <c r="L638" s="319" t="n"/>
      <c r="M638" s="320" t="n"/>
      <c r="N638" s="319" t="n"/>
      <c r="O638" s="319" t="n"/>
      <c r="P638" s="319" t="n"/>
      <c r="Q638" s="319" t="n"/>
      <c r="R638" s="280" t="n"/>
      <c r="S638" s="280" t="n"/>
      <c r="T638" s="280" t="n"/>
      <c r="U638" s="280" t="n"/>
      <c r="V638" s="280" t="n"/>
      <c r="W638" s="280" t="n"/>
      <c r="X638" s="280" t="n"/>
      <c r="Y638" s="280" t="n"/>
      <c r="Z638" s="280" t="n"/>
      <c r="AA638" s="280" t="n"/>
      <c r="AB638" s="280" t="n"/>
      <c r="AC638" s="280" t="n"/>
      <c r="AD638" s="280" t="n"/>
    </row>
    <row r="639" ht="15.5" customHeight="1">
      <c r="B639" s="290" t="n">
        <v>45407</v>
      </c>
      <c r="C639" s="291" t="n">
        <v>76</v>
      </c>
      <c r="D639" s="292" t="inlineStr">
        <is>
          <t>Send MPLT TGE - Gowell</t>
        </is>
      </c>
      <c r="E639" s="330" t="inlineStr">
        <is>
          <t>-</t>
        </is>
      </c>
      <c r="F639" s="285" t="n">
        <v>167297</v>
      </c>
      <c r="G639" s="294" t="inlineStr">
        <is>
          <t>IDR</t>
        </is>
      </c>
      <c r="H639" s="295" t="n">
        <v>1</v>
      </c>
      <c r="I639" s="282" t="n"/>
      <c r="J639" s="287" t="n"/>
      <c r="K639" s="281" t="n"/>
      <c r="L639" s="285" t="n">
        <v>167297</v>
      </c>
      <c r="M639" s="288" t="n"/>
      <c r="N639" s="288" t="n"/>
      <c r="O639" s="285" t="n"/>
      <c r="P639" s="287" t="n"/>
      <c r="Q639" s="289" t="n"/>
      <c r="R639" s="280" t="n"/>
      <c r="S639" s="280" t="n"/>
      <c r="T639" s="280" t="n"/>
      <c r="U639" s="280" t="n"/>
      <c r="V639" s="280" t="n"/>
      <c r="W639" s="280" t="n"/>
      <c r="X639" s="280" t="n"/>
      <c r="Y639" s="280" t="n"/>
      <c r="Z639" s="280" t="n"/>
      <c r="AA639" s="280" t="n"/>
      <c r="AB639" s="280" t="n"/>
      <c r="AC639" s="280" t="n"/>
      <c r="AD639" s="280" t="n"/>
    </row>
    <row r="640" ht="15.5" customHeight="1">
      <c r="B640" s="325" t="n"/>
      <c r="C640" s="326" t="n"/>
      <c r="D640" s="327" t="inlineStr">
        <is>
          <t>Laundry</t>
        </is>
      </c>
      <c r="E640" s="328" t="n"/>
      <c r="F640" s="331" t="n"/>
      <c r="G640" s="316" t="n"/>
      <c r="H640" s="316" t="n"/>
      <c r="I640" s="320" t="n"/>
      <c r="J640" s="319" t="n"/>
      <c r="K640" s="319" t="n"/>
      <c r="L640" s="319" t="n"/>
      <c r="M640" s="320" t="n"/>
      <c r="N640" s="319" t="n"/>
      <c r="O640" s="319" t="n"/>
      <c r="P640" s="319" t="n"/>
      <c r="Q640" s="319" t="n"/>
      <c r="R640" s="280" t="n"/>
      <c r="S640" s="280" t="n"/>
      <c r="T640" s="280" t="n"/>
      <c r="U640" s="280" t="n"/>
      <c r="V640" s="280" t="n"/>
      <c r="W640" s="280" t="n"/>
      <c r="X640" s="280" t="n"/>
      <c r="Y640" s="280" t="n"/>
      <c r="Z640" s="280" t="n"/>
      <c r="AA640" s="280" t="n"/>
      <c r="AB640" s="280" t="n"/>
      <c r="AC640" s="280" t="n"/>
      <c r="AD640" s="280" t="n"/>
    </row>
    <row r="641" ht="15.5" customHeight="1">
      <c r="B641" s="290" t="n">
        <v>45402</v>
      </c>
      <c r="C641" s="291" t="n">
        <v>77</v>
      </c>
      <c r="D641" s="292" t="inlineStr">
        <is>
          <t>Laundry 5 days 1 Persons @ 50K IDR/day</t>
        </is>
      </c>
      <c r="E641" s="330" t="inlineStr">
        <is>
          <t>-</t>
        </is>
      </c>
      <c r="F641" s="285" t="n">
        <v>250000</v>
      </c>
      <c r="G641" s="294" t="inlineStr">
        <is>
          <t>IDR</t>
        </is>
      </c>
      <c r="H641" s="295" t="n">
        <v>1</v>
      </c>
      <c r="I641" s="282" t="n"/>
      <c r="J641" s="287" t="n"/>
      <c r="K641" s="281" t="n"/>
      <c r="L641" s="285" t="n">
        <v>250000</v>
      </c>
      <c r="M641" s="288" t="n"/>
      <c r="N641" s="288" t="n"/>
      <c r="O641" s="285" t="n"/>
      <c r="P641" s="287" t="n"/>
      <c r="Q641" s="289" t="n"/>
      <c r="R641" s="280" t="n"/>
      <c r="S641" s="280" t="n"/>
      <c r="T641" s="280" t="n"/>
      <c r="U641" s="280" t="n"/>
      <c r="V641" s="280" t="n"/>
      <c r="W641" s="280" t="n"/>
      <c r="X641" s="280" t="n"/>
      <c r="Y641" s="280" t="n"/>
      <c r="Z641" s="280" t="n"/>
      <c r="AA641" s="280" t="n"/>
      <c r="AB641" s="280" t="n"/>
      <c r="AC641" s="280" t="n"/>
      <c r="AD641" s="280" t="n"/>
    </row>
    <row r="642" ht="15.5" customHeight="1">
      <c r="B642" s="325" t="n"/>
      <c r="C642" s="326" t="n"/>
      <c r="D642" s="327" t="inlineStr">
        <is>
          <t>Meal</t>
        </is>
      </c>
      <c r="E642" s="328" t="n"/>
      <c r="F642" s="331" t="n"/>
      <c r="G642" s="316" t="n"/>
      <c r="H642" s="316" t="n"/>
      <c r="I642" s="319" t="n"/>
      <c r="J642" s="319" t="n"/>
      <c r="K642" s="319" t="n"/>
      <c r="L642" s="319" t="n"/>
      <c r="M642" s="320" t="n"/>
      <c r="N642" s="319" t="n"/>
      <c r="O642" s="319" t="n"/>
      <c r="P642" s="319" t="n"/>
      <c r="Q642" s="319" t="n"/>
      <c r="R642" s="280" t="n"/>
      <c r="S642" s="280" t="n"/>
      <c r="T642" s="280" t="n"/>
      <c r="U642" s="280" t="n"/>
      <c r="V642" s="280" t="n"/>
      <c r="W642" s="280" t="n"/>
      <c r="X642" s="280" t="n"/>
      <c r="Y642" s="280" t="n"/>
      <c r="Z642" s="280" t="n"/>
      <c r="AA642" s="280" t="n"/>
      <c r="AB642" s="280" t="n"/>
      <c r="AC642" s="280" t="n"/>
      <c r="AD642" s="280" t="n"/>
    </row>
    <row r="643" ht="15.5" customHeight="1">
      <c r="B643" s="290" t="n">
        <v>45402</v>
      </c>
      <c r="C643" s="291" t="n">
        <v>78</v>
      </c>
      <c r="D643" s="292" t="inlineStr">
        <is>
          <t>Meals 5 days 1 Persons @ 150K IDR/day</t>
        </is>
      </c>
      <c r="E643" s="330" t="inlineStr">
        <is>
          <t>-</t>
        </is>
      </c>
      <c r="F643" s="285" t="n">
        <v>750000</v>
      </c>
      <c r="G643" s="294" t="inlineStr">
        <is>
          <t>IDR</t>
        </is>
      </c>
      <c r="H643" s="295" t="n">
        <v>1</v>
      </c>
      <c r="I643" s="282" t="n"/>
      <c r="J643" s="287" t="n"/>
      <c r="K643" s="281" t="n"/>
      <c r="L643" s="285" t="n">
        <v>750000</v>
      </c>
      <c r="M643" s="288" t="n"/>
      <c r="N643" s="288" t="n"/>
      <c r="O643" s="285" t="n"/>
      <c r="P643" s="287" t="n"/>
      <c r="Q643" s="289" t="n"/>
      <c r="R643" s="280" t="n"/>
      <c r="S643" s="280" t="n"/>
      <c r="T643" s="280" t="n"/>
      <c r="U643" s="280" t="n"/>
      <c r="V643" s="280" t="n"/>
      <c r="W643" s="280" t="n"/>
      <c r="X643" s="280" t="n"/>
      <c r="Y643" s="280" t="n"/>
      <c r="Z643" s="280" t="n"/>
      <c r="AA643" s="280" t="n"/>
      <c r="AB643" s="280" t="n"/>
      <c r="AC643" s="280" t="n"/>
      <c r="AD643" s="280" t="n"/>
    </row>
    <row r="644" ht="15.5" customHeight="1">
      <c r="B644" s="325" t="n"/>
      <c r="C644" s="326" t="n"/>
      <c r="D644" s="327" t="inlineStr">
        <is>
          <t>Transportation</t>
        </is>
      </c>
      <c r="E644" s="328" t="n"/>
      <c r="F644" s="331" t="n"/>
      <c r="G644" s="316" t="n"/>
      <c r="H644" s="316" t="n"/>
      <c r="I644" s="319" t="n"/>
      <c r="J644" s="319" t="n"/>
      <c r="K644" s="319" t="n"/>
      <c r="L644" s="319" t="n"/>
      <c r="M644" s="320" t="n"/>
      <c r="N644" s="319" t="n"/>
      <c r="O644" s="319" t="n"/>
      <c r="P644" s="319" t="n"/>
      <c r="Q644" s="319" t="n"/>
      <c r="R644" s="280" t="n"/>
      <c r="S644" s="280" t="n"/>
      <c r="T644" s="280" t="n"/>
      <c r="U644" s="280" t="n"/>
      <c r="V644" s="280" t="n"/>
      <c r="W644" s="280" t="n"/>
      <c r="X644" s="280" t="n"/>
      <c r="Y644" s="280" t="n"/>
      <c r="Z644" s="280" t="n"/>
      <c r="AA644" s="280" t="n"/>
      <c r="AB644" s="280" t="n"/>
      <c r="AC644" s="280" t="n"/>
      <c r="AD644" s="280" t="n"/>
    </row>
    <row r="645" ht="15.5" customHeight="1">
      <c r="B645" s="290" t="n">
        <v>45402</v>
      </c>
      <c r="C645" s="291" t="n">
        <v>79</v>
      </c>
      <c r="D645" s="292" t="inlineStr">
        <is>
          <t>Taxi CGK-Bintaro</t>
        </is>
      </c>
      <c r="E645" s="330" t="inlineStr">
        <is>
          <t>-</t>
        </is>
      </c>
      <c r="F645" s="285" t="n">
        <v>250000</v>
      </c>
      <c r="G645" s="294" t="inlineStr">
        <is>
          <t>IDR</t>
        </is>
      </c>
      <c r="H645" s="295" t="n">
        <v>1</v>
      </c>
      <c r="I645" s="282" t="n"/>
      <c r="J645" s="287" t="n"/>
      <c r="K645" s="281" t="n"/>
      <c r="L645" s="285" t="n">
        <v>250000</v>
      </c>
      <c r="M645" s="288" t="n"/>
      <c r="N645" s="288" t="n"/>
      <c r="O645" s="285" t="n"/>
      <c r="P645" s="287" t="n"/>
      <c r="Q645" s="289" t="n"/>
      <c r="R645" s="280" t="n"/>
      <c r="S645" s="280" t="n"/>
      <c r="T645" s="280" t="n"/>
      <c r="U645" s="280" t="n"/>
      <c r="V645" s="280" t="n"/>
      <c r="W645" s="280" t="n"/>
      <c r="X645" s="280" t="n"/>
      <c r="Y645" s="280" t="n"/>
      <c r="Z645" s="280" t="n"/>
      <c r="AA645" s="280" t="n"/>
      <c r="AB645" s="280" t="n"/>
      <c r="AC645" s="280" t="n"/>
      <c r="AD645" s="280" t="n"/>
    </row>
    <row r="646" ht="15.5" customHeight="1">
      <c r="B646" s="332" t="inlineStr">
        <is>
          <t>Expense#7</t>
        </is>
      </c>
      <c r="C646" s="311" t="inlineStr">
        <is>
          <t>:</t>
        </is>
      </c>
      <c r="D646" s="333" t="inlineStr">
        <is>
          <t>PLT SRO_ TGB-33 (Jatibarang Field) Elnusa _ IC</t>
        </is>
      </c>
      <c r="E646" s="334" t="n"/>
      <c r="F646" s="314" t="n"/>
      <c r="G646" s="313" t="n"/>
      <c r="H646" s="313" t="n"/>
      <c r="I646" s="315" t="n"/>
      <c r="J646" s="313" t="n"/>
      <c r="K646" s="313" t="n"/>
      <c r="L646" s="313" t="n"/>
      <c r="M646" s="315" t="n"/>
      <c r="N646" s="313" t="n"/>
      <c r="O646" s="313" t="n"/>
      <c r="P646" s="313" t="n"/>
      <c r="Q646" s="313" t="n"/>
      <c r="R646" s="280" t="n"/>
      <c r="S646" s="280" t="n"/>
      <c r="T646" s="280" t="n"/>
      <c r="U646" s="280" t="n"/>
      <c r="V646" s="280" t="n"/>
      <c r="W646" s="280" t="n"/>
      <c r="X646" s="280" t="n"/>
      <c r="Y646" s="280" t="n"/>
      <c r="Z646" s="280" t="n"/>
      <c r="AA646" s="280" t="n"/>
      <c r="AB646" s="280" t="n"/>
      <c r="AC646" s="280" t="n"/>
      <c r="AD646" s="280" t="n"/>
    </row>
    <row r="647" ht="15.5" customHeight="1">
      <c r="B647" s="325" t="n"/>
      <c r="C647" s="326" t="n"/>
      <c r="D647" s="327" t="inlineStr">
        <is>
          <t>Accommodation</t>
        </is>
      </c>
      <c r="E647" s="328" t="n"/>
      <c r="F647" s="331" t="n"/>
      <c r="G647" s="316" t="n"/>
      <c r="H647" s="316" t="n"/>
      <c r="I647" s="320" t="n"/>
      <c r="J647" s="319" t="n"/>
      <c r="K647" s="319" t="n"/>
      <c r="L647" s="319" t="n"/>
      <c r="M647" s="320" t="n"/>
      <c r="N647" s="319" t="n"/>
      <c r="O647" s="319" t="n"/>
      <c r="P647" s="319" t="n"/>
      <c r="Q647" s="319" t="n"/>
      <c r="R647" s="280" t="n"/>
      <c r="S647" s="280" t="n"/>
      <c r="T647" s="280" t="n"/>
      <c r="U647" s="280" t="n"/>
      <c r="V647" s="280" t="n"/>
      <c r="W647" s="280" t="n"/>
      <c r="X647" s="280" t="n"/>
      <c r="Y647" s="280" t="n"/>
      <c r="Z647" s="280" t="n"/>
      <c r="AA647" s="280" t="n"/>
      <c r="AB647" s="280" t="n"/>
      <c r="AC647" s="280" t="n"/>
      <c r="AD647" s="280" t="n"/>
    </row>
    <row r="648" ht="15.5" customHeight="1">
      <c r="B648" s="290" t="n">
        <v>45410</v>
      </c>
      <c r="C648" s="291" t="n">
        <v>80</v>
      </c>
      <c r="D648" s="292" t="inlineStr">
        <is>
          <t>Hotel 2 days</t>
        </is>
      </c>
      <c r="E648" s="330" t="inlineStr">
        <is>
          <t>-</t>
        </is>
      </c>
      <c r="F648" s="285" t="n">
        <v>1357481</v>
      </c>
      <c r="G648" s="294" t="inlineStr">
        <is>
          <t>IDR</t>
        </is>
      </c>
      <c r="H648" s="295" t="n">
        <v>1</v>
      </c>
      <c r="I648" s="282" t="n"/>
      <c r="J648" s="287" t="n"/>
      <c r="K648" s="281" t="n"/>
      <c r="L648" s="285" t="n">
        <v>1357481</v>
      </c>
      <c r="M648" s="288" t="n"/>
      <c r="N648" s="288" t="n"/>
      <c r="O648" s="285" t="n"/>
      <c r="P648" s="287" t="n"/>
      <c r="Q648" s="289" t="n"/>
      <c r="R648" s="280" t="n"/>
      <c r="S648" s="280" t="n"/>
      <c r="T648" s="280" t="n"/>
      <c r="U648" s="280" t="n"/>
      <c r="V648" s="280" t="n"/>
      <c r="W648" s="280" t="n"/>
      <c r="X648" s="280" t="n"/>
      <c r="Y648" s="280" t="n"/>
      <c r="Z648" s="280" t="n"/>
      <c r="AA648" s="280" t="n"/>
      <c r="AB648" s="280" t="n"/>
      <c r="AC648" s="280" t="n"/>
      <c r="AD648" s="280" t="n"/>
    </row>
    <row r="649" ht="15.5" customHeight="1">
      <c r="B649" s="325" t="n"/>
      <c r="C649" s="326" t="n"/>
      <c r="D649" s="327" t="inlineStr">
        <is>
          <t>Allowance</t>
        </is>
      </c>
      <c r="E649" s="328" t="n"/>
      <c r="F649" s="331" t="n"/>
      <c r="G649" s="316" t="n"/>
      <c r="H649" s="316" t="n"/>
      <c r="I649" s="319" t="n"/>
      <c r="J649" s="319" t="n"/>
      <c r="K649" s="319" t="n"/>
      <c r="L649" s="319" t="n"/>
      <c r="M649" s="320" t="n"/>
      <c r="N649" s="319" t="n"/>
      <c r="O649" s="319" t="n"/>
      <c r="P649" s="319" t="n"/>
      <c r="Q649" s="319" t="n"/>
      <c r="R649" s="280" t="n"/>
      <c r="S649" s="280" t="n"/>
      <c r="T649" s="280" t="n"/>
      <c r="U649" s="280" t="n"/>
      <c r="V649" s="280" t="n"/>
      <c r="W649" s="280" t="n"/>
      <c r="X649" s="280" t="n"/>
      <c r="Y649" s="280" t="n"/>
      <c r="Z649" s="280" t="n"/>
      <c r="AA649" s="280" t="n"/>
      <c r="AB649" s="280" t="n"/>
      <c r="AC649" s="280" t="n"/>
      <c r="AD649" s="280" t="n"/>
    </row>
    <row r="650" ht="15.5" customHeight="1">
      <c r="B650" s="290" t="n">
        <v>45410</v>
      </c>
      <c r="C650" s="291" t="n">
        <v>81</v>
      </c>
      <c r="D650" s="292" t="inlineStr">
        <is>
          <t>Tunjangan Lapangan for 2 days</t>
        </is>
      </c>
      <c r="E650" s="330" t="inlineStr">
        <is>
          <t>-</t>
        </is>
      </c>
      <c r="F650" s="285" t="n">
        <v>3251400</v>
      </c>
      <c r="G650" s="294" t="inlineStr">
        <is>
          <t>USD</t>
        </is>
      </c>
      <c r="H650" s="295" t="n">
        <v>16257</v>
      </c>
      <c r="I650" s="282" t="n"/>
      <c r="J650" s="287" t="n"/>
      <c r="K650" s="281" t="n"/>
      <c r="L650" s="285" t="n">
        <v>3251400</v>
      </c>
      <c r="M650" s="288" t="n"/>
      <c r="N650" s="288" t="n"/>
      <c r="O650" s="285" t="n"/>
      <c r="P650" s="287" t="n"/>
      <c r="Q650" s="289" t="n"/>
      <c r="R650" s="280" t="n"/>
      <c r="S650" s="280" t="n"/>
      <c r="T650" s="280" t="n"/>
      <c r="U650" s="280" t="n"/>
      <c r="V650" s="280" t="n"/>
      <c r="W650" s="280" t="n"/>
      <c r="X650" s="280" t="n"/>
      <c r="Y650" s="280" t="n"/>
      <c r="Z650" s="280" t="n"/>
      <c r="AA650" s="280" t="n"/>
      <c r="AB650" s="280" t="n"/>
      <c r="AC650" s="280" t="n"/>
      <c r="AD650" s="280" t="n"/>
    </row>
    <row r="651" ht="15.5" customHeight="1">
      <c r="B651" s="325" t="n"/>
      <c r="C651" s="326" t="n"/>
      <c r="D651" s="327" t="inlineStr">
        <is>
          <t>Laundry</t>
        </is>
      </c>
      <c r="E651" s="328" t="n"/>
      <c r="F651" s="331" t="n"/>
      <c r="G651" s="316" t="n"/>
      <c r="H651" s="316" t="n"/>
      <c r="I651" s="319" t="n"/>
      <c r="J651" s="319" t="n"/>
      <c r="K651" s="319" t="n"/>
      <c r="L651" s="319" t="n"/>
      <c r="M651" s="320" t="n"/>
      <c r="N651" s="319" t="n"/>
      <c r="O651" s="319" t="n"/>
      <c r="P651" s="319" t="n"/>
      <c r="Q651" s="319" t="n"/>
      <c r="R651" s="280" t="n"/>
      <c r="S651" s="280" t="n"/>
      <c r="T651" s="280" t="n"/>
      <c r="U651" s="280" t="n"/>
      <c r="V651" s="280" t="n"/>
      <c r="W651" s="280" t="n"/>
      <c r="X651" s="280" t="n"/>
      <c r="Y651" s="280" t="n"/>
      <c r="Z651" s="280" t="n"/>
      <c r="AA651" s="280" t="n"/>
      <c r="AB651" s="280" t="n"/>
      <c r="AC651" s="280" t="n"/>
      <c r="AD651" s="280" t="n"/>
    </row>
    <row r="652" ht="15.5" customHeight="1">
      <c r="B652" s="290" t="n">
        <v>45410</v>
      </c>
      <c r="C652" s="291" t="n">
        <v>82</v>
      </c>
      <c r="D652" s="292" t="inlineStr">
        <is>
          <t>Laundry 2 days</t>
        </is>
      </c>
      <c r="E652" s="335" t="inlineStr">
        <is>
          <t>-</t>
        </is>
      </c>
      <c r="F652" s="285" t="n">
        <v>100000</v>
      </c>
      <c r="G652" s="294" t="inlineStr">
        <is>
          <t>IDR</t>
        </is>
      </c>
      <c r="H652" s="295" t="n">
        <v>1</v>
      </c>
      <c r="I652" s="282" t="n"/>
      <c r="J652" s="287" t="n"/>
      <c r="K652" s="281" t="n"/>
      <c r="L652" s="285" t="n">
        <v>100000</v>
      </c>
      <c r="M652" s="288" t="n"/>
      <c r="N652" s="288" t="n"/>
      <c r="O652" s="285" t="n"/>
      <c r="P652" s="287" t="n"/>
      <c r="Q652" s="289" t="n"/>
      <c r="R652" s="280" t="n"/>
      <c r="S652" s="280" t="n"/>
      <c r="T652" s="280" t="n"/>
      <c r="U652" s="280" t="n"/>
      <c r="V652" s="280" t="n"/>
      <c r="W652" s="280" t="n"/>
      <c r="X652" s="280" t="n"/>
      <c r="Y652" s="280" t="n"/>
      <c r="Z652" s="280" t="n"/>
      <c r="AA652" s="280" t="n"/>
      <c r="AB652" s="280" t="n"/>
      <c r="AC652" s="280" t="n"/>
      <c r="AD652" s="280" t="n"/>
    </row>
    <row r="653" ht="15.5" customHeight="1">
      <c r="B653" s="325" t="n"/>
      <c r="C653" s="326" t="n"/>
      <c r="D653" s="327" t="inlineStr">
        <is>
          <t>Meal</t>
        </is>
      </c>
      <c r="E653" s="328" t="n"/>
      <c r="F653" s="331" t="n"/>
      <c r="G653" s="316" t="n"/>
      <c r="H653" s="316" t="n"/>
      <c r="I653" s="320" t="n"/>
      <c r="J653" s="320" t="n"/>
      <c r="K653" s="320" t="n"/>
      <c r="L653" s="320" t="n"/>
      <c r="M653" s="320" t="n"/>
      <c r="N653" s="320" t="n"/>
      <c r="O653" s="320" t="n"/>
      <c r="P653" s="320" t="n"/>
      <c r="Q653" s="320" t="n"/>
      <c r="R653" s="280" t="n"/>
      <c r="S653" s="280" t="n"/>
      <c r="T653" s="280" t="n"/>
      <c r="U653" s="280" t="n"/>
      <c r="V653" s="280" t="n"/>
      <c r="W653" s="280" t="n"/>
      <c r="X653" s="280" t="n"/>
      <c r="Y653" s="280" t="n"/>
      <c r="Z653" s="280" t="n"/>
      <c r="AA653" s="280" t="n"/>
      <c r="AB653" s="280" t="n"/>
      <c r="AC653" s="280" t="n"/>
      <c r="AD653" s="280" t="n"/>
    </row>
    <row r="654" ht="15.5" customHeight="1">
      <c r="B654" s="290" t="n">
        <v>45410</v>
      </c>
      <c r="C654" s="291" t="n">
        <v>83</v>
      </c>
      <c r="D654" s="292" t="inlineStr">
        <is>
          <t>Meals 2 days 1 Persons @ 150K IDR/day</t>
        </is>
      </c>
      <c r="E654" s="330" t="inlineStr">
        <is>
          <t>-</t>
        </is>
      </c>
      <c r="F654" s="285" t="n">
        <v>300000</v>
      </c>
      <c r="G654" s="294" t="inlineStr">
        <is>
          <t>IDR</t>
        </is>
      </c>
      <c r="H654" s="295" t="n">
        <v>1</v>
      </c>
      <c r="I654" s="282" t="n"/>
      <c r="J654" s="287" t="n"/>
      <c r="K654" s="281" t="n"/>
      <c r="L654" s="285" t="n">
        <v>300000</v>
      </c>
      <c r="M654" s="288" t="n"/>
      <c r="N654" s="288" t="n"/>
      <c r="O654" s="285" t="n"/>
      <c r="P654" s="287" t="n"/>
      <c r="Q654" s="289" t="n"/>
      <c r="R654" s="280" t="n"/>
      <c r="S654" s="280" t="n"/>
      <c r="T654" s="280" t="n"/>
      <c r="U654" s="280" t="n"/>
      <c r="V654" s="280" t="n"/>
      <c r="W654" s="280" t="n"/>
      <c r="X654" s="280" t="n"/>
      <c r="Y654" s="280" t="n"/>
      <c r="Z654" s="280" t="n"/>
      <c r="AA654" s="280" t="n"/>
      <c r="AB654" s="280" t="n"/>
      <c r="AC654" s="280" t="n"/>
      <c r="AD654" s="280" t="n"/>
    </row>
    <row r="655" ht="15.5" customHeight="1">
      <c r="B655" s="325" t="n"/>
      <c r="C655" s="326" t="n"/>
      <c r="D655" s="327" t="inlineStr">
        <is>
          <t>Transportation</t>
        </is>
      </c>
      <c r="E655" s="328" t="n"/>
      <c r="F655" s="331" t="n"/>
      <c r="G655" s="316" t="n"/>
      <c r="H655" s="316" t="n"/>
      <c r="I655" s="320" t="n"/>
      <c r="J655" s="320" t="n"/>
      <c r="K655" s="320" t="n"/>
      <c r="L655" s="320" t="n"/>
      <c r="M655" s="320" t="n"/>
      <c r="N655" s="320" t="n"/>
      <c r="O655" s="320" t="n"/>
      <c r="P655" s="320" t="n"/>
      <c r="Q655" s="320" t="n"/>
      <c r="R655" s="280" t="n"/>
      <c r="S655" s="280" t="n"/>
      <c r="T655" s="280" t="n"/>
      <c r="U655" s="280" t="n"/>
      <c r="V655" s="280" t="n"/>
      <c r="W655" s="280" t="n"/>
      <c r="X655" s="280" t="n"/>
      <c r="Y655" s="280" t="n"/>
      <c r="Z655" s="280" t="n"/>
      <c r="AA655" s="280" t="n"/>
      <c r="AB655" s="280" t="n"/>
      <c r="AC655" s="280" t="n"/>
      <c r="AD655" s="280" t="n"/>
    </row>
    <row r="656" ht="15.5" customHeight="1">
      <c r="B656" s="290" t="n">
        <v>45410</v>
      </c>
      <c r="C656" s="291" t="n">
        <v>84</v>
      </c>
      <c r="D656" s="292" t="inlineStr">
        <is>
          <t>Toll</t>
        </is>
      </c>
      <c r="E656" s="330" t="inlineStr">
        <is>
          <t>-</t>
        </is>
      </c>
      <c r="F656" s="285" t="n">
        <v>298000</v>
      </c>
      <c r="G656" s="294" t="inlineStr">
        <is>
          <t>IDR</t>
        </is>
      </c>
      <c r="H656" s="295" t="n">
        <v>1</v>
      </c>
      <c r="I656" s="282" t="n"/>
      <c r="J656" s="287" t="n"/>
      <c r="K656" s="281" t="n"/>
      <c r="L656" s="285" t="n">
        <v>298000</v>
      </c>
      <c r="M656" s="288" t="n"/>
      <c r="N656" s="288" t="n"/>
      <c r="O656" s="285" t="n"/>
      <c r="P656" s="287" t="n"/>
      <c r="Q656" s="289" t="n"/>
      <c r="R656" s="280" t="n"/>
      <c r="S656" s="280" t="n"/>
      <c r="T656" s="280" t="n"/>
      <c r="U656" s="280" t="n"/>
      <c r="V656" s="280" t="n"/>
      <c r="W656" s="280" t="n"/>
      <c r="X656" s="280" t="n"/>
      <c r="Y656" s="280" t="n"/>
      <c r="Z656" s="280" t="n"/>
      <c r="AA656" s="280" t="n"/>
      <c r="AB656" s="280" t="n"/>
      <c r="AC656" s="280" t="n"/>
      <c r="AD656" s="280" t="n"/>
    </row>
    <row r="657" ht="15.5" customHeight="1">
      <c r="B657" s="332" t="inlineStr">
        <is>
          <t>Expense#8</t>
        </is>
      </c>
      <c r="C657" s="311" t="inlineStr">
        <is>
          <t>:</t>
        </is>
      </c>
      <c r="D657" s="333" t="inlineStr">
        <is>
          <t>Training BST_ PHR-zona 4 (Dwiyanto) (Dwi_Febri dan Ilham)</t>
        </is>
      </c>
      <c r="E657" s="334" t="n"/>
      <c r="F657" s="314" t="n"/>
      <c r="G657" s="313" t="n"/>
      <c r="H657" s="313" t="n"/>
      <c r="I657" s="315" t="n"/>
      <c r="J657" s="315" t="n"/>
      <c r="K657" s="315" t="n"/>
      <c r="L657" s="315" t="n"/>
      <c r="M657" s="315" t="n"/>
      <c r="N657" s="315" t="n"/>
      <c r="O657" s="315" t="n"/>
      <c r="P657" s="315" t="n"/>
      <c r="Q657" s="315" t="n"/>
      <c r="R657" s="280" t="n"/>
      <c r="S657" s="280" t="n"/>
      <c r="T657" s="280" t="n"/>
      <c r="U657" s="280" t="n"/>
      <c r="V657" s="280" t="n"/>
      <c r="W657" s="280" t="n"/>
      <c r="X657" s="280" t="n"/>
      <c r="Y657" s="280" t="n"/>
      <c r="Z657" s="280" t="n"/>
      <c r="AA657" s="280" t="n"/>
      <c r="AB657" s="280" t="n"/>
      <c r="AC657" s="280" t="n"/>
      <c r="AD657" s="280" t="n"/>
    </row>
    <row r="658" ht="15.5" customHeight="1">
      <c r="B658" s="325" t="n"/>
      <c r="C658" s="326" t="n"/>
      <c r="D658" s="327" t="inlineStr">
        <is>
          <t>Accommodation</t>
        </is>
      </c>
      <c r="E658" s="328" t="n"/>
      <c r="F658" s="331" t="n"/>
      <c r="G658" s="316" t="n"/>
      <c r="H658" s="316" t="n"/>
      <c r="I658" s="320" t="n"/>
      <c r="J658" s="320" t="n"/>
      <c r="K658" s="320" t="n"/>
      <c r="L658" s="320" t="n"/>
      <c r="M658" s="320" t="n"/>
      <c r="N658" s="320" t="n"/>
      <c r="O658" s="320" t="n"/>
      <c r="P658" s="320" t="n"/>
      <c r="Q658" s="320" t="n"/>
      <c r="R658" s="280" t="n"/>
      <c r="S658" s="280" t="n"/>
      <c r="T658" s="280" t="n"/>
      <c r="U658" s="280" t="n"/>
      <c r="V658" s="280" t="n"/>
      <c r="W658" s="280" t="n"/>
      <c r="X658" s="280" t="n"/>
      <c r="Y658" s="280" t="n"/>
      <c r="Z658" s="280" t="n"/>
      <c r="AA658" s="280" t="n"/>
      <c r="AB658" s="280" t="n"/>
      <c r="AC658" s="280" t="n"/>
      <c r="AD658" s="280" t="n"/>
    </row>
    <row r="659" ht="15.5" customHeight="1">
      <c r="B659" s="290" t="n">
        <v>45420</v>
      </c>
      <c r="C659" s="291" t="n">
        <v>85</v>
      </c>
      <c r="D659" s="292" t="inlineStr">
        <is>
          <t>Hotel</t>
        </is>
      </c>
      <c r="E659" s="330" t="inlineStr">
        <is>
          <t>-</t>
        </is>
      </c>
      <c r="F659" s="285" t="n">
        <v>360000</v>
      </c>
      <c r="G659" s="294" t="inlineStr">
        <is>
          <t>IDR</t>
        </is>
      </c>
      <c r="H659" s="295" t="n">
        <v>1</v>
      </c>
      <c r="I659" s="282" t="n"/>
      <c r="J659" s="287" t="n"/>
      <c r="K659" s="281" t="n"/>
      <c r="L659" s="285" t="n">
        <v>360000</v>
      </c>
      <c r="M659" s="288" t="n"/>
      <c r="N659" s="288" t="n"/>
      <c r="O659" s="285" t="n"/>
      <c r="P659" s="287" t="n"/>
      <c r="Q659" s="289" t="n"/>
      <c r="R659" s="280" t="n"/>
      <c r="S659" s="280" t="n"/>
      <c r="T659" s="280" t="n"/>
      <c r="U659" s="280" t="n"/>
      <c r="V659" s="280" t="n"/>
      <c r="W659" s="280" t="n"/>
      <c r="X659" s="280" t="n"/>
      <c r="Y659" s="280" t="n"/>
      <c r="Z659" s="280" t="n"/>
      <c r="AA659" s="280" t="n"/>
      <c r="AB659" s="280" t="n"/>
      <c r="AC659" s="280" t="n"/>
      <c r="AD659" s="280" t="n"/>
    </row>
    <row r="660" ht="15.5" customHeight="1">
      <c r="B660" s="325" t="n"/>
      <c r="C660" s="326" t="n"/>
      <c r="D660" s="327" t="inlineStr">
        <is>
          <t>Biaya Operasi Lain-lain</t>
        </is>
      </c>
      <c r="E660" s="328" t="n"/>
      <c r="F660" s="331" t="n"/>
      <c r="G660" s="316" t="n"/>
      <c r="H660" s="316" t="n"/>
      <c r="I660" s="320" t="n"/>
      <c r="J660" s="320" t="n"/>
      <c r="K660" s="320" t="n"/>
      <c r="L660" s="320" t="n"/>
      <c r="M660" s="320" t="n"/>
      <c r="N660" s="320" t="n"/>
      <c r="O660" s="320" t="n"/>
      <c r="P660" s="320" t="n"/>
      <c r="Q660" s="320" t="n"/>
      <c r="R660" s="280" t="n"/>
      <c r="S660" s="280" t="n"/>
      <c r="T660" s="280" t="n"/>
      <c r="U660" s="280" t="n"/>
      <c r="V660" s="280" t="n"/>
      <c r="W660" s="280" t="n"/>
      <c r="X660" s="280" t="n"/>
      <c r="Y660" s="280" t="n"/>
      <c r="Z660" s="280" t="n"/>
      <c r="AA660" s="280" t="n"/>
      <c r="AB660" s="280" t="n"/>
      <c r="AC660" s="280" t="n"/>
      <c r="AD660" s="280" t="n"/>
    </row>
    <row r="661" ht="15.5" customHeight="1">
      <c r="B661" s="290" t="n">
        <v>45418</v>
      </c>
      <c r="C661" s="291" t="n">
        <v>86</v>
      </c>
      <c r="D661" s="292" t="inlineStr">
        <is>
          <t>Jakarta - Palembang - Jakarta</t>
        </is>
      </c>
      <c r="E661" s="336" t="inlineStr">
        <is>
          <t>-</t>
        </is>
      </c>
      <c r="F661" s="285" t="n">
        <v>1387800</v>
      </c>
      <c r="G661" s="294" t="inlineStr">
        <is>
          <t>IDR</t>
        </is>
      </c>
      <c r="H661" s="295" t="n">
        <v>1</v>
      </c>
      <c r="I661" s="282" t="n"/>
      <c r="J661" s="287" t="n"/>
      <c r="K661" s="281" t="n"/>
      <c r="L661" s="285" t="n">
        <v>1387800</v>
      </c>
      <c r="M661" s="288" t="n"/>
      <c r="N661" s="288" t="n"/>
      <c r="O661" s="285" t="n"/>
      <c r="P661" s="287" t="n"/>
      <c r="Q661" s="289" t="n"/>
      <c r="R661" s="280" t="n"/>
      <c r="S661" s="280" t="n"/>
      <c r="T661" s="280" t="n"/>
      <c r="U661" s="280" t="n"/>
      <c r="V661" s="280" t="n"/>
      <c r="W661" s="280" t="n"/>
      <c r="X661" s="280" t="n"/>
      <c r="Y661" s="280" t="n"/>
      <c r="Z661" s="280" t="n"/>
      <c r="AA661" s="280" t="n"/>
      <c r="AB661" s="280" t="n"/>
      <c r="AC661" s="280" t="n"/>
      <c r="AD661" s="280" t="n"/>
    </row>
    <row r="662" ht="15.5" customHeight="1">
      <c r="B662" s="300" t="n"/>
      <c r="C662" s="316" t="n"/>
      <c r="D662" s="317" t="inlineStr">
        <is>
          <t>Meal</t>
        </is>
      </c>
      <c r="E662" s="316" t="n"/>
      <c r="F662" s="318" t="n"/>
      <c r="G662" s="316" t="n"/>
      <c r="H662" s="316" t="n"/>
      <c r="I662" s="320" t="n"/>
      <c r="J662" s="320" t="n"/>
      <c r="K662" s="320" t="n"/>
      <c r="L662" s="320" t="n"/>
      <c r="M662" s="320" t="n"/>
      <c r="N662" s="320" t="n"/>
      <c r="O662" s="320" t="n"/>
      <c r="P662" s="320" t="n"/>
      <c r="Q662" s="320" t="n"/>
      <c r="R662" s="280" t="n"/>
      <c r="S662" s="280" t="n"/>
      <c r="T662" s="280" t="n"/>
      <c r="U662" s="280" t="n"/>
      <c r="V662" s="280" t="n"/>
      <c r="W662" s="280" t="n"/>
      <c r="X662" s="280" t="n"/>
      <c r="Y662" s="280" t="n"/>
      <c r="Z662" s="280" t="n"/>
      <c r="AA662" s="280" t="n"/>
      <c r="AB662" s="280" t="n"/>
      <c r="AC662" s="280" t="n"/>
      <c r="AD662" s="280" t="n"/>
    </row>
    <row r="663" ht="15.5" customHeight="1">
      <c r="B663" s="290" t="n">
        <v>45419</v>
      </c>
      <c r="C663" s="291" t="n">
        <v>87</v>
      </c>
      <c r="D663" s="292" t="inlineStr">
        <is>
          <t>Dinner (Dwi, Febri, Ilham)</t>
        </is>
      </c>
      <c r="E663" s="336" t="inlineStr">
        <is>
          <t>-</t>
        </is>
      </c>
      <c r="F663" s="285" t="n">
        <v>103400</v>
      </c>
      <c r="G663" s="294" t="inlineStr">
        <is>
          <t>IDR</t>
        </is>
      </c>
      <c r="H663" s="295" t="n">
        <v>1</v>
      </c>
      <c r="I663" s="282" t="n"/>
      <c r="J663" s="287" t="n"/>
      <c r="K663" s="281" t="n"/>
      <c r="L663" s="285" t="n">
        <v>103400</v>
      </c>
      <c r="M663" s="288" t="n"/>
      <c r="N663" s="288" t="n"/>
      <c r="O663" s="285" t="n"/>
      <c r="P663" s="287" t="n"/>
      <c r="Q663" s="289" t="n"/>
      <c r="R663" s="280" t="n"/>
      <c r="S663" s="280" t="n"/>
      <c r="T663" s="280" t="n"/>
      <c r="U663" s="280" t="n"/>
      <c r="V663" s="280" t="n"/>
      <c r="W663" s="280" t="n"/>
      <c r="X663" s="280" t="n"/>
      <c r="Y663" s="280" t="n"/>
      <c r="Z663" s="280" t="n"/>
      <c r="AA663" s="280" t="n"/>
      <c r="AB663" s="280" t="n"/>
      <c r="AC663" s="280" t="n"/>
      <c r="AD663" s="280" t="n"/>
    </row>
    <row r="664" ht="15.5" customHeight="1">
      <c r="B664" s="300" t="n"/>
      <c r="C664" s="316" t="n"/>
      <c r="D664" s="317" t="inlineStr">
        <is>
          <t>Transportation</t>
        </is>
      </c>
      <c r="E664" s="319" t="n"/>
      <c r="F664" s="337" t="n"/>
      <c r="G664" s="319" t="n"/>
      <c r="H664" s="319" t="n"/>
      <c r="I664" s="320" t="n"/>
      <c r="J664" s="320" t="n"/>
      <c r="K664" s="320" t="n"/>
      <c r="L664" s="320" t="n"/>
      <c r="M664" s="320" t="n"/>
      <c r="N664" s="320" t="n"/>
      <c r="O664" s="320" t="n"/>
      <c r="P664" s="320" t="n"/>
      <c r="Q664" s="320" t="n"/>
      <c r="R664" s="280" t="n"/>
      <c r="S664" s="280" t="n"/>
      <c r="T664" s="280" t="n"/>
      <c r="U664" s="280" t="n"/>
      <c r="V664" s="280" t="n"/>
      <c r="W664" s="280" t="n"/>
      <c r="X664" s="280" t="n"/>
      <c r="Y664" s="280" t="n"/>
      <c r="Z664" s="280" t="n"/>
      <c r="AA664" s="280" t="n"/>
      <c r="AB664" s="280" t="n"/>
      <c r="AC664" s="280" t="n"/>
      <c r="AD664" s="280" t="n"/>
    </row>
    <row r="665" ht="15.5" customHeight="1">
      <c r="B665" s="290" t="n">
        <v>45421</v>
      </c>
      <c r="C665" s="291" t="n">
        <v>88</v>
      </c>
      <c r="D665" s="292" t="inlineStr">
        <is>
          <t>Tol + Taxi From Airport Jakarta</t>
        </is>
      </c>
      <c r="E665" s="296" t="inlineStr">
        <is>
          <t>-</t>
        </is>
      </c>
      <c r="F665" s="285" t="n">
        <v>276900</v>
      </c>
      <c r="G665" s="294" t="inlineStr">
        <is>
          <t>IDR</t>
        </is>
      </c>
      <c r="H665" s="295" t="n">
        <v>1</v>
      </c>
      <c r="I665" s="282" t="n"/>
      <c r="J665" s="287" t="n"/>
      <c r="K665" s="281" t="n"/>
      <c r="L665" s="285" t="n">
        <v>276900</v>
      </c>
      <c r="M665" s="288" t="n"/>
      <c r="N665" s="288" t="n"/>
      <c r="O665" s="285" t="n"/>
      <c r="P665" s="287" t="n"/>
      <c r="Q665" s="289" t="n"/>
      <c r="R665" s="280" t="n"/>
      <c r="S665" s="280" t="n"/>
      <c r="T665" s="280" t="n"/>
      <c r="U665" s="280" t="n"/>
      <c r="V665" s="280" t="n"/>
      <c r="W665" s="280" t="n"/>
      <c r="X665" s="280" t="n"/>
      <c r="Y665" s="280" t="n"/>
      <c r="Z665" s="280" t="n"/>
      <c r="AA665" s="280" t="n"/>
      <c r="AB665" s="280" t="n"/>
      <c r="AC665" s="280" t="n"/>
      <c r="AD665" s="280" t="n"/>
    </row>
    <row r="666" ht="15.5" customHeight="1">
      <c r="B666" s="312" t="inlineStr">
        <is>
          <t>Expense#9</t>
        </is>
      </c>
      <c r="C666" s="311" t="inlineStr">
        <is>
          <t>:</t>
        </is>
      </c>
      <c r="D666" s="312" t="inlineStr">
        <is>
          <t>MFC and ALFA Memory (Jatibarang Field) TGB-033_Elnusa_ AC</t>
        </is>
      </c>
      <c r="E666" s="313" t="n"/>
      <c r="F666" s="313" t="n"/>
      <c r="G666" s="313" t="n"/>
      <c r="H666" s="313" t="n"/>
      <c r="I666" s="315" t="n"/>
      <c r="J666" s="315" t="n"/>
      <c r="K666" s="315" t="n"/>
      <c r="L666" s="315" t="n"/>
      <c r="M666" s="315" t="n"/>
      <c r="N666" s="315" t="n"/>
      <c r="O666" s="315" t="n"/>
      <c r="P666" s="315" t="n"/>
      <c r="Q666" s="315" t="n"/>
      <c r="R666" s="280" t="n"/>
      <c r="S666" s="280" t="n"/>
      <c r="T666" s="280" t="n"/>
      <c r="U666" s="280" t="n"/>
      <c r="V666" s="280" t="n"/>
      <c r="W666" s="280" t="n"/>
      <c r="X666" s="280" t="n"/>
      <c r="Y666" s="280" t="n"/>
      <c r="Z666" s="280" t="n"/>
      <c r="AA666" s="280" t="n"/>
      <c r="AB666" s="280" t="n"/>
      <c r="AC666" s="280" t="n"/>
      <c r="AD666" s="280" t="n"/>
    </row>
    <row r="667" ht="15.5" customHeight="1">
      <c r="B667" s="300" t="n"/>
      <c r="C667" s="316" t="n"/>
      <c r="D667" s="317" t="inlineStr">
        <is>
          <t>Allowance</t>
        </is>
      </c>
      <c r="E667" s="316" t="n"/>
      <c r="F667" s="318" t="n"/>
      <c r="G667" s="316" t="n"/>
      <c r="H667" s="316" t="n"/>
      <c r="I667" s="320" t="n"/>
      <c r="J667" s="320" t="n"/>
      <c r="K667" s="320" t="n"/>
      <c r="L667" s="320" t="n"/>
      <c r="M667" s="320" t="n"/>
      <c r="N667" s="320" t="n"/>
      <c r="O667" s="320" t="n"/>
      <c r="P667" s="320" t="n"/>
      <c r="Q667" s="320" t="n"/>
      <c r="R667" s="280" t="n"/>
      <c r="S667" s="280" t="n"/>
      <c r="T667" s="280" t="n"/>
      <c r="U667" s="280" t="n"/>
      <c r="V667" s="280" t="n"/>
      <c r="W667" s="280" t="n"/>
      <c r="X667" s="280" t="n"/>
      <c r="Y667" s="280" t="n"/>
      <c r="Z667" s="280" t="n"/>
      <c r="AA667" s="280" t="n"/>
      <c r="AB667" s="280" t="n"/>
      <c r="AC667" s="280" t="n"/>
      <c r="AD667" s="280" t="n"/>
    </row>
    <row r="668" ht="15.5" customHeight="1">
      <c r="B668" s="290" t="n">
        <v>45403</v>
      </c>
      <c r="C668" s="291" t="n">
        <v>89</v>
      </c>
      <c r="D668" s="292" t="inlineStr">
        <is>
          <t>Tunajngan lapangan for 3 days (19-21 apr24) Anevril</t>
        </is>
      </c>
      <c r="E668" s="287" t="inlineStr">
        <is>
          <t>-</t>
        </is>
      </c>
      <c r="F668" s="285" t="n">
        <v>4815300</v>
      </c>
      <c r="G668" s="294" t="inlineStr">
        <is>
          <t>USD</t>
        </is>
      </c>
      <c r="H668" s="295" t="n">
        <v>16051</v>
      </c>
      <c r="I668" s="282" t="n"/>
      <c r="J668" s="287" t="n"/>
      <c r="K668" s="281" t="n"/>
      <c r="L668" s="285" t="n">
        <v>4815300</v>
      </c>
      <c r="M668" s="288" t="n"/>
      <c r="N668" s="288" t="n"/>
      <c r="O668" s="285" t="n"/>
      <c r="P668" s="287" t="n"/>
      <c r="Q668" s="289" t="n"/>
      <c r="R668" s="280" t="n"/>
      <c r="S668" s="280" t="n"/>
      <c r="T668" s="280" t="n"/>
      <c r="U668" s="280" t="n"/>
      <c r="V668" s="280" t="n"/>
      <c r="W668" s="280" t="n"/>
      <c r="X668" s="280" t="n"/>
      <c r="Y668" s="280" t="n"/>
      <c r="Z668" s="280" t="n"/>
      <c r="AA668" s="280" t="n"/>
      <c r="AB668" s="280" t="n"/>
      <c r="AC668" s="280" t="n"/>
      <c r="AD668" s="280" t="n"/>
    </row>
    <row r="669" ht="15.5" customHeight="1">
      <c r="B669" s="300" t="n"/>
      <c r="C669" s="316" t="n"/>
      <c r="D669" s="317" t="inlineStr">
        <is>
          <t>Laundry</t>
        </is>
      </c>
      <c r="E669" s="316" t="n"/>
      <c r="F669" s="318" t="n"/>
      <c r="G669" s="316" t="n"/>
      <c r="H669" s="316" t="n"/>
      <c r="I669" s="320" t="n"/>
      <c r="J669" s="320" t="n"/>
      <c r="K669" s="320" t="n"/>
      <c r="L669" s="320" t="n"/>
      <c r="M669" s="320" t="n"/>
      <c r="N669" s="320" t="n"/>
      <c r="O669" s="320" t="n"/>
      <c r="P669" s="320" t="n"/>
      <c r="Q669" s="320" t="n"/>
      <c r="R669" s="280" t="n"/>
      <c r="S669" s="280" t="n"/>
      <c r="T669" s="280" t="n"/>
      <c r="U669" s="280" t="n"/>
      <c r="V669" s="280" t="n"/>
      <c r="W669" s="280" t="n"/>
      <c r="X669" s="280" t="n"/>
      <c r="Y669" s="280" t="n"/>
      <c r="Z669" s="280" t="n"/>
      <c r="AA669" s="280" t="n"/>
      <c r="AB669" s="280" t="n"/>
      <c r="AC669" s="280" t="n"/>
      <c r="AD669" s="280" t="n"/>
    </row>
    <row r="670" ht="15.5" customHeight="1">
      <c r="B670" s="290" t="n">
        <v>45403</v>
      </c>
      <c r="C670" s="291" t="n">
        <v>90</v>
      </c>
      <c r="D670" s="292" t="inlineStr">
        <is>
          <t>Laundry 3 days @ Rp. 50.000</t>
        </is>
      </c>
      <c r="E670" s="287" t="inlineStr">
        <is>
          <t>-</t>
        </is>
      </c>
      <c r="F670" s="285" t="n">
        <v>150000</v>
      </c>
      <c r="G670" s="294" t="inlineStr">
        <is>
          <t>IDR</t>
        </is>
      </c>
      <c r="H670" s="295" t="n">
        <v>1</v>
      </c>
      <c r="I670" s="282" t="n"/>
      <c r="J670" s="287" t="n"/>
      <c r="K670" s="281" t="n"/>
      <c r="L670" s="285" t="n">
        <v>150000</v>
      </c>
      <c r="M670" s="288" t="n"/>
      <c r="N670" s="288" t="n"/>
      <c r="O670" s="285" t="n"/>
      <c r="P670" s="287" t="n"/>
      <c r="Q670" s="289" t="n"/>
      <c r="R670" s="280" t="n"/>
      <c r="S670" s="280" t="n"/>
      <c r="T670" s="280" t="n"/>
      <c r="U670" s="280" t="n"/>
      <c r="V670" s="280" t="n"/>
      <c r="W670" s="280" t="n"/>
      <c r="X670" s="280" t="n"/>
      <c r="Y670" s="280" t="n"/>
      <c r="Z670" s="280" t="n"/>
      <c r="AA670" s="280" t="n"/>
      <c r="AB670" s="280" t="n"/>
      <c r="AC670" s="280" t="n"/>
      <c r="AD670" s="280" t="n"/>
    </row>
    <row r="671" ht="15.5" customHeight="1">
      <c r="B671" s="300" t="n"/>
      <c r="C671" s="316" t="n"/>
      <c r="D671" s="317" t="inlineStr">
        <is>
          <t>Meal</t>
        </is>
      </c>
      <c r="E671" s="316" t="n"/>
      <c r="F671" s="318" t="n"/>
      <c r="G671" s="316" t="n"/>
      <c r="H671" s="316" t="n"/>
      <c r="I671" s="320" t="n"/>
      <c r="J671" s="320" t="n"/>
      <c r="K671" s="320" t="n"/>
      <c r="L671" s="320" t="n"/>
      <c r="M671" s="320" t="n"/>
      <c r="N671" s="320" t="n"/>
      <c r="O671" s="320" t="n"/>
      <c r="P671" s="320" t="n"/>
      <c r="Q671" s="320" t="n"/>
      <c r="R671" s="280" t="n"/>
      <c r="S671" s="280" t="n"/>
      <c r="T671" s="280" t="n"/>
      <c r="U671" s="280" t="n"/>
      <c r="V671" s="280" t="n"/>
      <c r="W671" s="280" t="n"/>
      <c r="X671" s="280" t="n"/>
      <c r="Y671" s="280" t="n"/>
      <c r="Z671" s="280" t="n"/>
      <c r="AA671" s="280" t="n"/>
      <c r="AB671" s="280" t="n"/>
      <c r="AC671" s="280" t="n"/>
      <c r="AD671" s="280" t="n"/>
    </row>
    <row r="672" ht="15.5" customHeight="1">
      <c r="B672" s="290" t="n">
        <v>45420</v>
      </c>
      <c r="C672" s="291" t="n">
        <v>91</v>
      </c>
      <c r="D672" s="292" t="inlineStr">
        <is>
          <t>Dinner (Dwi, Febri, Ilham)</t>
        </is>
      </c>
      <c r="E672" s="287" t="inlineStr">
        <is>
          <t>-</t>
        </is>
      </c>
      <c r="F672" s="285" t="n">
        <v>128000</v>
      </c>
      <c r="G672" s="294" t="inlineStr">
        <is>
          <t>IDR</t>
        </is>
      </c>
      <c r="H672" s="295" t="n">
        <v>1</v>
      </c>
      <c r="I672" s="282" t="n"/>
      <c r="J672" s="287" t="n"/>
      <c r="K672" s="281" t="n"/>
      <c r="L672" s="285" t="n">
        <v>128000</v>
      </c>
      <c r="M672" s="288" t="n"/>
      <c r="N672" s="288" t="n"/>
      <c r="O672" s="285" t="n"/>
      <c r="P672" s="287" t="n"/>
      <c r="Q672" s="289" t="n"/>
      <c r="R672" s="280" t="n"/>
      <c r="S672" s="280" t="n"/>
      <c r="T672" s="280" t="n"/>
      <c r="U672" s="280" t="n"/>
      <c r="V672" s="280" t="n"/>
      <c r="W672" s="280" t="n"/>
      <c r="X672" s="280" t="n"/>
      <c r="Y672" s="280" t="n"/>
      <c r="Z672" s="280" t="n"/>
      <c r="AA672" s="280" t="n"/>
      <c r="AB672" s="280" t="n"/>
      <c r="AC672" s="280" t="n"/>
      <c r="AD672" s="280" t="n"/>
    </row>
    <row r="673" ht="15.5" customHeight="1">
      <c r="B673" s="300" t="n"/>
      <c r="C673" s="316" t="n"/>
      <c r="D673" s="317" t="inlineStr">
        <is>
          <t>Transportation</t>
        </is>
      </c>
      <c r="E673" s="316" t="n"/>
      <c r="F673" s="318" t="n"/>
      <c r="G673" s="316" t="n"/>
      <c r="H673" s="316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80" t="n"/>
      <c r="S673" s="280" t="n"/>
      <c r="T673" s="280" t="n"/>
      <c r="U673" s="280" t="n"/>
      <c r="V673" s="280" t="n"/>
      <c r="W673" s="280" t="n"/>
      <c r="X673" s="280" t="n"/>
      <c r="Y673" s="280" t="n"/>
      <c r="Z673" s="280" t="n"/>
      <c r="AA673" s="280" t="n"/>
      <c r="AB673" s="280" t="n"/>
      <c r="AC673" s="280" t="n"/>
      <c r="AD673" s="280" t="n"/>
    </row>
    <row r="674" ht="15.5" customHeight="1">
      <c r="B674" s="290" t="n">
        <v>45403</v>
      </c>
      <c r="C674" s="291" t="n">
        <v>92</v>
      </c>
      <c r="D674" s="292" t="inlineStr">
        <is>
          <t>Taksi</t>
        </is>
      </c>
      <c r="E674" s="287" t="inlineStr">
        <is>
          <t>-</t>
        </is>
      </c>
      <c r="F674" s="285" t="n">
        <v>150000</v>
      </c>
      <c r="G674" s="294" t="inlineStr">
        <is>
          <t>IDR</t>
        </is>
      </c>
      <c r="H674" s="295" t="n">
        <v>1</v>
      </c>
      <c r="I674" s="282" t="n"/>
      <c r="J674" s="287" t="n"/>
      <c r="K674" s="281" t="n"/>
      <c r="L674" s="285" t="n">
        <v>150000</v>
      </c>
      <c r="M674" s="288" t="n"/>
      <c r="N674" s="288" t="n"/>
      <c r="O674" s="285" t="n"/>
      <c r="P674" s="287" t="n"/>
      <c r="Q674" s="289" t="n"/>
      <c r="R674" s="280" t="n"/>
      <c r="S674" s="280" t="n"/>
      <c r="T674" s="280" t="n"/>
      <c r="U674" s="280" t="n"/>
      <c r="V674" s="280" t="n"/>
      <c r="W674" s="280" t="n"/>
      <c r="X674" s="280" t="n"/>
      <c r="Y674" s="280" t="n"/>
      <c r="Z674" s="280" t="n"/>
      <c r="AA674" s="280" t="n"/>
      <c r="AB674" s="280" t="n"/>
      <c r="AC674" s="280" t="n"/>
      <c r="AD674" s="280" t="n"/>
    </row>
    <row r="675" ht="15.5" customHeight="1">
      <c r="B675" s="310" t="inlineStr">
        <is>
          <t>Expense#10</t>
        </is>
      </c>
      <c r="C675" s="311" t="inlineStr">
        <is>
          <t>:</t>
        </is>
      </c>
      <c r="D675" s="312" t="inlineStr">
        <is>
          <t>ALFA+PLT (TGB-033 Zona 7) Elnusa_TMA</t>
        </is>
      </c>
      <c r="E675" s="313" t="n"/>
      <c r="F675" s="314" t="n"/>
      <c r="G675" s="313" t="n"/>
      <c r="H675" s="313" t="n"/>
      <c r="I675" s="315" t="n"/>
      <c r="J675" s="315" t="n"/>
      <c r="K675" s="315" t="n"/>
      <c r="L675" s="315" t="n"/>
      <c r="M675" s="315" t="n"/>
      <c r="N675" s="315" t="n"/>
      <c r="O675" s="315" t="n"/>
      <c r="P675" s="315" t="n"/>
      <c r="Q675" s="315" t="n"/>
      <c r="R675" s="280" t="n"/>
      <c r="S675" s="280" t="n"/>
      <c r="T675" s="280" t="n"/>
      <c r="U675" s="280" t="n"/>
      <c r="V675" s="280" t="n"/>
      <c r="W675" s="280" t="n"/>
      <c r="X675" s="280" t="n"/>
      <c r="Y675" s="280" t="n"/>
      <c r="Z675" s="280" t="n"/>
      <c r="AA675" s="280" t="n"/>
      <c r="AB675" s="280" t="n"/>
      <c r="AC675" s="280" t="n"/>
      <c r="AD675" s="280" t="n"/>
    </row>
    <row r="676" ht="15.5" customHeight="1">
      <c r="B676" s="300" t="n"/>
      <c r="C676" s="316" t="n"/>
      <c r="D676" s="317" t="inlineStr">
        <is>
          <t>Accommodation</t>
        </is>
      </c>
      <c r="E676" s="316" t="n"/>
      <c r="F676" s="318" t="n"/>
      <c r="G676" s="316" t="n"/>
      <c r="H676" s="316" t="n"/>
      <c r="I676" s="320" t="n"/>
      <c r="J676" s="320" t="n"/>
      <c r="K676" s="320" t="n"/>
      <c r="L676" s="320" t="n"/>
      <c r="M676" s="320" t="n"/>
      <c r="N676" s="320" t="n"/>
      <c r="O676" s="320" t="n"/>
      <c r="P676" s="320" t="n"/>
      <c r="Q676" s="320" t="n"/>
      <c r="R676" s="280" t="n"/>
      <c r="S676" s="280" t="n"/>
      <c r="T676" s="280" t="n"/>
      <c r="U676" s="280" t="n"/>
      <c r="V676" s="280" t="n"/>
      <c r="W676" s="280" t="n"/>
      <c r="X676" s="280" t="n"/>
      <c r="Y676" s="280" t="n"/>
      <c r="Z676" s="280" t="n"/>
      <c r="AA676" s="280" t="n"/>
      <c r="AB676" s="280" t="n"/>
      <c r="AC676" s="280" t="n"/>
      <c r="AD676" s="280" t="n"/>
    </row>
    <row r="677" ht="15.5" customHeight="1">
      <c r="B677" s="290" t="n">
        <v>45407</v>
      </c>
      <c r="C677" s="291" t="n">
        <v>93</v>
      </c>
      <c r="D677" s="292" t="inlineStr">
        <is>
          <t>Hotel 25 Apr - 27 Apr &amp; 29 Apr- 2 May 2024 (6 days)</t>
        </is>
      </c>
      <c r="E677" s="293" t="inlineStr">
        <is>
          <t>-</t>
        </is>
      </c>
      <c r="F677" s="285" t="n">
        <v>3292802</v>
      </c>
      <c r="G677" s="294" t="inlineStr">
        <is>
          <t>IDR</t>
        </is>
      </c>
      <c r="H677" s="295" t="n">
        <v>1</v>
      </c>
      <c r="I677" s="282" t="n"/>
      <c r="J677" s="287" t="n"/>
      <c r="K677" s="281" t="n"/>
      <c r="L677" s="285" t="n">
        <v>3292802</v>
      </c>
      <c r="M677" s="288" t="n"/>
      <c r="N677" s="288" t="n"/>
      <c r="O677" s="285" t="n"/>
      <c r="P677" s="287" t="n"/>
      <c r="Q677" s="289" t="n"/>
      <c r="R677" s="280" t="n"/>
      <c r="S677" s="280" t="n"/>
      <c r="T677" s="280" t="n"/>
      <c r="U677" s="280" t="n"/>
      <c r="V677" s="280" t="n"/>
      <c r="W677" s="280" t="n"/>
      <c r="X677" s="280" t="n"/>
      <c r="Y677" s="280" t="n"/>
      <c r="Z677" s="280" t="n"/>
      <c r="AA677" s="280" t="n"/>
      <c r="AB677" s="280" t="n"/>
      <c r="AC677" s="280" t="n"/>
      <c r="AD677" s="280" t="n"/>
    </row>
    <row r="678" ht="15.5" customHeight="1">
      <c r="B678" s="300" t="n"/>
      <c r="C678" s="316" t="n"/>
      <c r="D678" s="317" t="inlineStr">
        <is>
          <t>Allowance</t>
        </is>
      </c>
      <c r="E678" s="316" t="n"/>
      <c r="F678" s="318" t="n"/>
      <c r="G678" s="316" t="n"/>
      <c r="H678" s="316" t="n"/>
      <c r="I678" s="320" t="n"/>
      <c r="J678" s="320" t="n"/>
      <c r="K678" s="320" t="n"/>
      <c r="L678" s="320" t="n"/>
      <c r="M678" s="320" t="n"/>
      <c r="N678" s="320" t="n"/>
      <c r="O678" s="320" t="n"/>
      <c r="P678" s="320" t="n"/>
      <c r="Q678" s="320" t="n"/>
      <c r="R678" s="280" t="n"/>
      <c r="S678" s="280" t="n"/>
      <c r="T678" s="280" t="n"/>
      <c r="U678" s="280" t="n"/>
      <c r="V678" s="280" t="n"/>
      <c r="W678" s="280" t="n"/>
      <c r="X678" s="280" t="n"/>
      <c r="Y678" s="280" t="n"/>
      <c r="Z678" s="280" t="n"/>
      <c r="AA678" s="280" t="n"/>
      <c r="AB678" s="280" t="n"/>
      <c r="AC678" s="280" t="n"/>
      <c r="AD678" s="280" t="n"/>
    </row>
    <row r="679" ht="15.5" customHeight="1">
      <c r="B679" s="290" t="n">
        <v>45407</v>
      </c>
      <c r="C679" s="291" t="n">
        <v>94</v>
      </c>
      <c r="D679" s="292" t="inlineStr">
        <is>
          <t>Field Bonus for 4 days 29 April-2 May 2024 (100$/Day</t>
        </is>
      </c>
      <c r="E679" s="293" t="inlineStr">
        <is>
          <t>-</t>
        </is>
      </c>
      <c r="F679" s="285" t="n">
        <v>6420340</v>
      </c>
      <c r="G679" s="294" t="inlineStr">
        <is>
          <t>USD</t>
        </is>
      </c>
      <c r="H679" s="295" t="n">
        <v>16050.85</v>
      </c>
      <c r="I679" s="282" t="n"/>
      <c r="J679" s="287" t="n"/>
      <c r="K679" s="281" t="n"/>
      <c r="L679" s="285" t="n">
        <v>6420340</v>
      </c>
      <c r="M679" s="288" t="n"/>
      <c r="N679" s="288" t="n"/>
      <c r="O679" s="285" t="n"/>
      <c r="P679" s="287" t="n"/>
      <c r="Q679" s="289" t="n"/>
      <c r="R679" s="280" t="n"/>
      <c r="S679" s="280" t="n"/>
      <c r="T679" s="280" t="n"/>
      <c r="U679" s="280" t="n"/>
      <c r="V679" s="280" t="n"/>
      <c r="W679" s="280" t="n"/>
      <c r="X679" s="280" t="n"/>
      <c r="Y679" s="280" t="n"/>
      <c r="Z679" s="280" t="n"/>
      <c r="AA679" s="280" t="n"/>
      <c r="AB679" s="280" t="n"/>
      <c r="AC679" s="280" t="n"/>
      <c r="AD679" s="280" t="n"/>
    </row>
    <row r="680" ht="15.5" customHeight="1">
      <c r="B680" s="300" t="n"/>
      <c r="C680" s="316" t="n"/>
      <c r="D680" s="317" t="inlineStr">
        <is>
          <t>Biaya Operasi Lain-lain</t>
        </is>
      </c>
      <c r="E680" s="316" t="n"/>
      <c r="F680" s="318" t="n"/>
      <c r="G680" s="316" t="n"/>
      <c r="H680" s="316" t="n"/>
      <c r="I680" s="320" t="n"/>
      <c r="J680" s="320" t="n"/>
      <c r="K680" s="320" t="n"/>
      <c r="L680" s="320" t="n"/>
      <c r="M680" s="320" t="n"/>
      <c r="N680" s="320" t="n"/>
      <c r="O680" s="320" t="n"/>
      <c r="P680" s="320" t="n"/>
      <c r="Q680" s="320" t="n"/>
      <c r="R680" s="280" t="n"/>
      <c r="S680" s="280" t="n"/>
      <c r="T680" s="280" t="n"/>
      <c r="U680" s="280" t="n"/>
      <c r="V680" s="280" t="n"/>
      <c r="W680" s="280" t="n"/>
      <c r="X680" s="280" t="n"/>
      <c r="Y680" s="280" t="n"/>
      <c r="Z680" s="280" t="n"/>
      <c r="AA680" s="280" t="n"/>
      <c r="AB680" s="280" t="n"/>
      <c r="AC680" s="280" t="n"/>
      <c r="AD680" s="280" t="n"/>
    </row>
    <row r="681" ht="15.5" customHeight="1">
      <c r="B681" s="290" t="n">
        <v>45411</v>
      </c>
      <c r="C681" s="291" t="n">
        <v>95</v>
      </c>
      <c r="D681" s="292" t="inlineStr">
        <is>
          <t>Internet Data</t>
        </is>
      </c>
      <c r="E681" s="293" t="inlineStr">
        <is>
          <t>-</t>
        </is>
      </c>
      <c r="F681" s="285" t="n">
        <v>75000</v>
      </c>
      <c r="G681" s="294" t="inlineStr">
        <is>
          <t>IDR</t>
        </is>
      </c>
      <c r="H681" s="295" t="n">
        <v>1</v>
      </c>
      <c r="I681" s="282" t="n"/>
      <c r="J681" s="287" t="n"/>
      <c r="K681" s="281" t="n"/>
      <c r="L681" s="285" t="n">
        <v>75000</v>
      </c>
      <c r="M681" s="288" t="n"/>
      <c r="N681" s="288" t="n"/>
      <c r="O681" s="285" t="n"/>
      <c r="P681" s="287" t="n"/>
      <c r="Q681" s="289" t="n"/>
      <c r="R681" s="280" t="n"/>
      <c r="S681" s="280" t="n"/>
      <c r="T681" s="280" t="n"/>
      <c r="U681" s="280" t="n"/>
      <c r="V681" s="280" t="n"/>
      <c r="W681" s="280" t="n"/>
      <c r="X681" s="280" t="n"/>
      <c r="Y681" s="280" t="n"/>
      <c r="Z681" s="280" t="n"/>
      <c r="AA681" s="280" t="n"/>
      <c r="AB681" s="280" t="n"/>
      <c r="AC681" s="280" t="n"/>
      <c r="AD681" s="280" t="n"/>
    </row>
    <row r="682" ht="15.5" customHeight="1">
      <c r="B682" s="319" t="n"/>
      <c r="C682" s="319" t="n"/>
      <c r="D682" s="322" t="inlineStr">
        <is>
          <t>Hand Tools</t>
        </is>
      </c>
      <c r="E682" s="323" t="n"/>
      <c r="F682" s="316" t="n"/>
      <c r="G682" s="316" t="n"/>
      <c r="H682" s="316" t="n"/>
      <c r="I682" s="320" t="n"/>
      <c r="J682" s="320" t="n"/>
      <c r="K682" s="320" t="n"/>
      <c r="L682" s="320" t="n"/>
      <c r="M682" s="320" t="n"/>
      <c r="N682" s="320" t="n"/>
      <c r="O682" s="320" t="n"/>
      <c r="P682" s="320" t="n"/>
      <c r="Q682" s="320" t="n"/>
      <c r="R682" s="280" t="n"/>
      <c r="S682" s="280" t="n"/>
      <c r="T682" s="280" t="n"/>
      <c r="U682" s="280" t="n"/>
      <c r="V682" s="280" t="n"/>
      <c r="W682" s="280" t="n"/>
      <c r="X682" s="280" t="n"/>
      <c r="Y682" s="280" t="n"/>
      <c r="Z682" s="280" t="n"/>
      <c r="AA682" s="280" t="n"/>
      <c r="AB682" s="280" t="n"/>
      <c r="AC682" s="280" t="n"/>
      <c r="AD682" s="280" t="n"/>
    </row>
    <row r="683" ht="15.5" customHeight="1">
      <c r="B683" s="290" t="n">
        <v>45401</v>
      </c>
      <c r="C683" s="291" t="n">
        <v>96</v>
      </c>
      <c r="D683" s="292" t="inlineStr">
        <is>
          <t>Tekiro Kunci L, Tekiro Tang, Obeng Set</t>
        </is>
      </c>
      <c r="E683" s="297" t="inlineStr">
        <is>
          <t>-</t>
        </is>
      </c>
      <c r="F683" s="285" t="n">
        <v>349000</v>
      </c>
      <c r="G683" s="294" t="inlineStr">
        <is>
          <t>IDR</t>
        </is>
      </c>
      <c r="H683" s="295" t="n">
        <v>1</v>
      </c>
      <c r="I683" s="282" t="n"/>
      <c r="J683" s="287" t="n"/>
      <c r="K683" s="281" t="n"/>
      <c r="L683" s="285" t="n"/>
      <c r="M683" s="288" t="n"/>
      <c r="N683" s="288" t="n">
        <v>349000</v>
      </c>
      <c r="O683" s="285" t="n"/>
      <c r="P683" s="287" t="n"/>
      <c r="Q683" s="289" t="n"/>
      <c r="R683" s="280" t="n"/>
      <c r="S683" s="280" t="n"/>
      <c r="T683" s="280" t="n"/>
      <c r="U683" s="280" t="n"/>
      <c r="V683" s="280" t="n"/>
      <c r="W683" s="280" t="n"/>
      <c r="X683" s="280" t="n"/>
      <c r="Y683" s="280" t="n"/>
      <c r="Z683" s="280" t="n"/>
      <c r="AA683" s="280" t="n"/>
      <c r="AB683" s="280" t="n"/>
      <c r="AC683" s="280" t="n"/>
      <c r="AD683" s="280" t="n"/>
    </row>
    <row r="684" ht="15.5" customHeight="1">
      <c r="B684" s="300" t="n"/>
      <c r="C684" s="316" t="n"/>
      <c r="D684" s="317" t="inlineStr">
        <is>
          <t>Laundry</t>
        </is>
      </c>
      <c r="E684" s="316" t="n"/>
      <c r="F684" s="318" t="n"/>
      <c r="G684" s="316" t="n"/>
      <c r="H684" s="316" t="n"/>
      <c r="I684" s="320" t="n"/>
      <c r="J684" s="320" t="n"/>
      <c r="K684" s="320" t="n"/>
      <c r="L684" s="320" t="n"/>
      <c r="M684" s="320" t="n"/>
      <c r="N684" s="320" t="n"/>
      <c r="O684" s="320" t="n"/>
      <c r="P684" s="320" t="n"/>
      <c r="Q684" s="320" t="n"/>
      <c r="R684" s="280" t="n"/>
      <c r="S684" s="280" t="n"/>
      <c r="T684" s="280" t="n"/>
      <c r="U684" s="280" t="n"/>
      <c r="V684" s="280" t="n"/>
      <c r="W684" s="280" t="n"/>
      <c r="X684" s="280" t="n"/>
      <c r="Y684" s="280" t="n"/>
      <c r="Z684" s="280" t="n"/>
      <c r="AA684" s="280" t="n"/>
      <c r="AB684" s="280" t="n"/>
      <c r="AC684" s="280" t="n"/>
      <c r="AD684" s="280" t="n"/>
    </row>
    <row r="685" ht="15.5" customHeight="1">
      <c r="B685" s="290" t="n">
        <v>45407</v>
      </c>
      <c r="C685" s="291" t="n">
        <v>97</v>
      </c>
      <c r="D685" s="292" t="inlineStr">
        <is>
          <t>Laundry 7 days 1 Persons @ 50K IDR/day</t>
        </is>
      </c>
      <c r="E685" s="293" t="inlineStr">
        <is>
          <t>-</t>
        </is>
      </c>
      <c r="F685" s="285" t="n">
        <v>350000</v>
      </c>
      <c r="G685" s="294" t="inlineStr">
        <is>
          <t>IDR</t>
        </is>
      </c>
      <c r="H685" s="295" t="n">
        <v>1</v>
      </c>
      <c r="I685" s="282" t="n"/>
      <c r="J685" s="287" t="n"/>
      <c r="K685" s="281" t="n"/>
      <c r="L685" s="285" t="n">
        <v>350000</v>
      </c>
      <c r="M685" s="288" t="n"/>
      <c r="N685" s="288" t="n"/>
      <c r="O685" s="285" t="n"/>
      <c r="P685" s="287" t="n"/>
      <c r="Q685" s="289" t="n"/>
      <c r="R685" s="280" t="n"/>
      <c r="S685" s="280" t="n"/>
      <c r="T685" s="280" t="n"/>
      <c r="U685" s="280" t="n"/>
      <c r="V685" s="280" t="n"/>
      <c r="W685" s="280" t="n"/>
      <c r="X685" s="280" t="n"/>
      <c r="Y685" s="280" t="n"/>
      <c r="Z685" s="280" t="n"/>
      <c r="AA685" s="280" t="n"/>
      <c r="AB685" s="280" t="n"/>
      <c r="AC685" s="280" t="n"/>
      <c r="AD685" s="280" t="n"/>
    </row>
    <row r="686" ht="15.5" customHeight="1">
      <c r="B686" s="300" t="n"/>
      <c r="C686" s="316" t="n"/>
      <c r="D686" s="317" t="inlineStr">
        <is>
          <t>Meal</t>
        </is>
      </c>
      <c r="E686" s="316" t="n"/>
      <c r="F686" s="318" t="n"/>
      <c r="G686" s="316" t="n"/>
      <c r="H686" s="316" t="n"/>
      <c r="I686" s="320" t="n"/>
      <c r="J686" s="320" t="n"/>
      <c r="K686" s="320" t="n"/>
      <c r="L686" s="320" t="n"/>
      <c r="M686" s="320" t="n"/>
      <c r="N686" s="320" t="n"/>
      <c r="O686" s="320" t="n"/>
      <c r="P686" s="320" t="n"/>
      <c r="Q686" s="320" t="n"/>
      <c r="R686" s="280" t="n"/>
      <c r="S686" s="280" t="n"/>
      <c r="T686" s="280" t="n"/>
      <c r="U686" s="280" t="n"/>
      <c r="V686" s="280" t="n"/>
      <c r="W686" s="280" t="n"/>
      <c r="X686" s="280" t="n"/>
      <c r="Y686" s="280" t="n"/>
      <c r="Z686" s="280" t="n"/>
      <c r="AA686" s="280" t="n"/>
      <c r="AB686" s="280" t="n"/>
      <c r="AC686" s="280" t="n"/>
      <c r="AD686" s="280" t="n"/>
    </row>
    <row r="687" ht="15.5" customHeight="1">
      <c r="B687" s="290" t="n">
        <v>45407</v>
      </c>
      <c r="C687" s="291" t="n">
        <v>98</v>
      </c>
      <c r="D687" s="292" t="inlineStr">
        <is>
          <t>Meals 7 days 1 Persons @ 150K IDR/day</t>
        </is>
      </c>
      <c r="E687" s="293" t="inlineStr">
        <is>
          <t>-</t>
        </is>
      </c>
      <c r="F687" s="285" t="n">
        <v>1050000</v>
      </c>
      <c r="G687" s="294" t="inlineStr">
        <is>
          <t>IDR</t>
        </is>
      </c>
      <c r="H687" s="295" t="n">
        <v>1</v>
      </c>
      <c r="I687" s="282" t="n"/>
      <c r="J687" s="287" t="n"/>
      <c r="K687" s="281" t="n"/>
      <c r="L687" s="285" t="n">
        <v>1050000</v>
      </c>
      <c r="M687" s="288" t="n"/>
      <c r="N687" s="288" t="n"/>
      <c r="O687" s="285" t="n"/>
      <c r="P687" s="287" t="n"/>
      <c r="Q687" s="289" t="n"/>
      <c r="R687" s="280" t="n"/>
      <c r="S687" s="280" t="n"/>
      <c r="T687" s="280" t="n"/>
      <c r="U687" s="280" t="n"/>
      <c r="V687" s="280" t="n"/>
      <c r="W687" s="280" t="n"/>
      <c r="X687" s="280" t="n"/>
      <c r="Y687" s="280" t="n"/>
      <c r="Z687" s="280" t="n"/>
      <c r="AA687" s="280" t="n"/>
      <c r="AB687" s="280" t="n"/>
      <c r="AC687" s="280" t="n"/>
      <c r="AD687" s="280" t="n"/>
    </row>
    <row r="688" ht="15.5" customHeight="1">
      <c r="B688" s="310" t="inlineStr">
        <is>
          <t>Expense#11</t>
        </is>
      </c>
      <c r="C688" s="311" t="inlineStr">
        <is>
          <t>:</t>
        </is>
      </c>
      <c r="D688" s="312" t="inlineStr">
        <is>
          <t>ALFA+MFC (TGB-033 Zona 7) Elnusa_TMA</t>
        </is>
      </c>
      <c r="E688" s="313" t="n"/>
      <c r="F688" s="314" t="n"/>
      <c r="G688" s="313" t="n"/>
      <c r="H688" s="313" t="n"/>
      <c r="I688" s="315" t="n"/>
      <c r="J688" s="315" t="n"/>
      <c r="K688" s="315" t="n"/>
      <c r="L688" s="315" t="n"/>
      <c r="M688" s="315" t="n"/>
      <c r="N688" s="315" t="n"/>
      <c r="O688" s="315" t="n"/>
      <c r="P688" s="315" t="n"/>
      <c r="Q688" s="315" t="n"/>
      <c r="R688" s="280" t="n"/>
      <c r="S688" s="280" t="n"/>
      <c r="T688" s="280" t="n"/>
      <c r="U688" s="280" t="n"/>
      <c r="V688" s="280" t="n"/>
      <c r="W688" s="280" t="n"/>
      <c r="X688" s="280" t="n"/>
      <c r="Y688" s="280" t="n"/>
      <c r="Z688" s="280" t="n"/>
      <c r="AA688" s="280" t="n"/>
      <c r="AB688" s="280" t="n"/>
      <c r="AC688" s="280" t="n"/>
      <c r="AD688" s="280" t="n"/>
    </row>
    <row r="689" ht="15.5" customHeight="1">
      <c r="B689" s="300" t="n"/>
      <c r="C689" s="316" t="n"/>
      <c r="D689" s="317" t="inlineStr">
        <is>
          <t>Accommodation</t>
        </is>
      </c>
      <c r="E689" s="316" t="n"/>
      <c r="F689" s="318" t="n"/>
      <c r="G689" s="316" t="n"/>
      <c r="H689" s="316" t="n"/>
      <c r="I689" s="320" t="n"/>
      <c r="J689" s="320" t="n"/>
      <c r="K689" s="320" t="n"/>
      <c r="L689" s="320" t="n"/>
      <c r="M689" s="320" t="n"/>
      <c r="N689" s="320" t="n"/>
      <c r="O689" s="320" t="n"/>
      <c r="P689" s="320" t="n"/>
      <c r="Q689" s="320" t="n"/>
      <c r="R689" s="280" t="n"/>
      <c r="S689" s="280" t="n"/>
      <c r="T689" s="280" t="n"/>
      <c r="U689" s="280" t="n"/>
      <c r="V689" s="280" t="n"/>
      <c r="W689" s="280" t="n"/>
      <c r="X689" s="280" t="n"/>
      <c r="Y689" s="280" t="n"/>
      <c r="Z689" s="280" t="n"/>
      <c r="AA689" s="280" t="n"/>
      <c r="AB689" s="280" t="n"/>
      <c r="AC689" s="280" t="n"/>
      <c r="AD689" s="280" t="n"/>
    </row>
    <row r="690" ht="15.5" customHeight="1">
      <c r="B690" s="290" t="n">
        <v>45401</v>
      </c>
      <c r="C690" s="291" t="n">
        <v>99</v>
      </c>
      <c r="D690" s="292" t="inlineStr">
        <is>
          <t>Hotel 19 Apr-22 Apr 2024 (3 days)</t>
        </is>
      </c>
      <c r="E690" s="293" t="inlineStr">
        <is>
          <t>-</t>
        </is>
      </c>
      <c r="F690" s="285" t="n">
        <v>1950000</v>
      </c>
      <c r="G690" s="294" t="inlineStr">
        <is>
          <t>IDR</t>
        </is>
      </c>
      <c r="H690" s="295" t="n">
        <v>1</v>
      </c>
      <c r="I690" s="282" t="n"/>
      <c r="J690" s="287" t="n"/>
      <c r="K690" s="281" t="n"/>
      <c r="L690" s="285" t="n">
        <v>1950000</v>
      </c>
      <c r="M690" s="288" t="n"/>
      <c r="N690" s="288" t="n"/>
      <c r="O690" s="285" t="n"/>
      <c r="P690" s="287" t="n"/>
      <c r="Q690" s="289" t="n"/>
      <c r="R690" s="280" t="n"/>
      <c r="S690" s="280" t="n"/>
      <c r="T690" s="280" t="n"/>
      <c r="U690" s="280" t="n"/>
      <c r="V690" s="280" t="n"/>
      <c r="W690" s="280" t="n"/>
      <c r="X690" s="280" t="n"/>
      <c r="Y690" s="280" t="n"/>
      <c r="Z690" s="280" t="n"/>
      <c r="AA690" s="280" t="n"/>
      <c r="AB690" s="280" t="n"/>
      <c r="AC690" s="280" t="n"/>
      <c r="AD690" s="280" t="n"/>
    </row>
    <row r="691" ht="15.5" customHeight="1">
      <c r="B691" s="300" t="n"/>
      <c r="C691" s="316" t="n"/>
      <c r="D691" s="317" t="inlineStr">
        <is>
          <t>Allowance</t>
        </is>
      </c>
      <c r="E691" s="316" t="n"/>
      <c r="F691" s="318" t="n"/>
      <c r="G691" s="316" t="n"/>
      <c r="H691" s="316" t="n"/>
      <c r="I691" s="320" t="n"/>
      <c r="J691" s="320" t="n"/>
      <c r="K691" s="320" t="n"/>
      <c r="L691" s="320" t="n"/>
      <c r="M691" s="320" t="n"/>
      <c r="N691" s="320" t="n"/>
      <c r="O691" s="320" t="n"/>
      <c r="P691" s="320" t="n"/>
      <c r="Q691" s="320" t="n"/>
      <c r="R691" s="280" t="n"/>
      <c r="S691" s="280" t="n"/>
      <c r="T691" s="280" t="n"/>
      <c r="U691" s="280" t="n"/>
      <c r="V691" s="280" t="n"/>
      <c r="W691" s="280" t="n"/>
      <c r="X691" s="280" t="n"/>
      <c r="Y691" s="280" t="n"/>
      <c r="Z691" s="280" t="n"/>
      <c r="AA691" s="280" t="n"/>
      <c r="AB691" s="280" t="n"/>
      <c r="AC691" s="280" t="n"/>
      <c r="AD691" s="280" t="n"/>
    </row>
    <row r="692" ht="15.5" customHeight="1">
      <c r="B692" s="290" t="n">
        <v>45401</v>
      </c>
      <c r="C692" s="291" t="n">
        <v>100</v>
      </c>
      <c r="D692" s="292" t="inlineStr">
        <is>
          <t>Field Bonus for 4 days (25$/Day)</t>
        </is>
      </c>
      <c r="E692" s="293" t="inlineStr">
        <is>
          <t>-</t>
        </is>
      </c>
      <c r="F692" s="285" t="n">
        <v>1605085</v>
      </c>
      <c r="G692" s="294" t="inlineStr">
        <is>
          <t>USD</t>
        </is>
      </c>
      <c r="H692" s="295" t="n">
        <v>16050.85</v>
      </c>
      <c r="I692" s="282" t="n"/>
      <c r="J692" s="287" t="n"/>
      <c r="K692" s="281" t="n"/>
      <c r="L692" s="285" t="n">
        <v>1605085</v>
      </c>
      <c r="M692" s="288" t="n"/>
      <c r="N692" s="288" t="n"/>
      <c r="O692" s="285" t="n"/>
      <c r="P692" s="287" t="n"/>
      <c r="Q692" s="289" t="n"/>
      <c r="R692" s="280" t="n"/>
      <c r="S692" s="280" t="n"/>
      <c r="T692" s="280" t="n"/>
      <c r="U692" s="280" t="n"/>
      <c r="V692" s="280" t="n"/>
      <c r="W692" s="280" t="n"/>
      <c r="X692" s="280" t="n"/>
      <c r="Y692" s="280" t="n"/>
      <c r="Z692" s="280" t="n"/>
      <c r="AA692" s="280" t="n"/>
      <c r="AB692" s="280" t="n"/>
      <c r="AC692" s="280" t="n"/>
      <c r="AD692" s="280" t="n"/>
    </row>
    <row r="693" ht="15.5" customHeight="1">
      <c r="B693" s="319" t="n"/>
      <c r="C693" s="316" t="n"/>
      <c r="D693" s="322" t="inlineStr">
        <is>
          <t>Biaya Operasi Lain-lain</t>
        </is>
      </c>
      <c r="E693" s="338" t="n"/>
      <c r="F693" s="316" t="n"/>
      <c r="G693" s="316" t="n"/>
      <c r="H693" s="316" t="n"/>
      <c r="I693" s="320" t="n"/>
      <c r="J693" s="320" t="n"/>
      <c r="K693" s="320" t="n"/>
      <c r="L693" s="320" t="n"/>
      <c r="M693" s="320" t="n"/>
      <c r="N693" s="320" t="n"/>
      <c r="O693" s="320" t="n"/>
      <c r="P693" s="320" t="n"/>
      <c r="Q693" s="320" t="n"/>
      <c r="R693" s="280" t="n"/>
      <c r="S693" s="280" t="n"/>
      <c r="T693" s="280" t="n"/>
      <c r="U693" s="280" t="n"/>
      <c r="V693" s="280" t="n"/>
      <c r="W693" s="280" t="n"/>
      <c r="X693" s="280" t="n"/>
      <c r="Y693" s="280" t="n"/>
      <c r="Z693" s="280" t="n"/>
      <c r="AA693" s="280" t="n"/>
      <c r="AB693" s="280" t="n"/>
      <c r="AC693" s="280" t="n"/>
      <c r="AD693" s="280" t="n"/>
    </row>
    <row r="694" ht="15.5" customHeight="1">
      <c r="B694" s="290" t="n">
        <v>45401</v>
      </c>
      <c r="C694" s="291" t="n">
        <v>101</v>
      </c>
      <c r="D694" s="292" t="inlineStr">
        <is>
          <t>Crew's Operational</t>
        </is>
      </c>
      <c r="E694" s="339" t="inlineStr">
        <is>
          <t>-</t>
        </is>
      </c>
      <c r="F694" s="285" t="n">
        <v>481900</v>
      </c>
      <c r="G694" s="294" t="inlineStr">
        <is>
          <t>IDR</t>
        </is>
      </c>
      <c r="H694" s="295" t="n">
        <v>1</v>
      </c>
      <c r="I694" s="282" t="n"/>
      <c r="J694" s="287" t="n"/>
      <c r="K694" s="281" t="n"/>
      <c r="L694" s="285" t="n">
        <v>481900</v>
      </c>
      <c r="M694" s="288" t="n"/>
      <c r="N694" s="288" t="n"/>
      <c r="O694" s="285" t="n"/>
      <c r="P694" s="287" t="n"/>
      <c r="Q694" s="289" t="n"/>
      <c r="R694" s="280" t="n"/>
      <c r="S694" s="280" t="n"/>
      <c r="T694" s="280" t="n"/>
      <c r="U694" s="280" t="n"/>
      <c r="V694" s="280" t="n"/>
      <c r="W694" s="280" t="n"/>
      <c r="X694" s="280" t="n"/>
      <c r="Y694" s="280" t="n"/>
      <c r="Z694" s="280" t="n"/>
      <c r="AA694" s="280" t="n"/>
      <c r="AB694" s="280" t="n"/>
      <c r="AC694" s="280" t="n"/>
      <c r="AD694" s="280" t="n"/>
    </row>
    <row r="695" ht="15.5" customHeight="1">
      <c r="B695" s="300" t="n"/>
      <c r="C695" s="316" t="n"/>
      <c r="D695" s="317" t="inlineStr">
        <is>
          <t>Laundry</t>
        </is>
      </c>
      <c r="E695" s="316" t="n"/>
      <c r="F695" s="318" t="n"/>
      <c r="G695" s="316" t="n"/>
      <c r="H695" s="316" t="n"/>
      <c r="I695" s="320" t="n"/>
      <c r="J695" s="320" t="n"/>
      <c r="K695" s="320" t="n"/>
      <c r="L695" s="320" t="n"/>
      <c r="M695" s="320" t="n"/>
      <c r="N695" s="320" t="n"/>
      <c r="O695" s="320" t="n"/>
      <c r="P695" s="320" t="n"/>
      <c r="Q695" s="320" t="n"/>
      <c r="R695" s="280" t="n"/>
      <c r="S695" s="280" t="n"/>
      <c r="T695" s="280" t="n"/>
      <c r="U695" s="280" t="n"/>
      <c r="V695" s="280" t="n"/>
      <c r="W695" s="280" t="n"/>
      <c r="X695" s="280" t="n"/>
      <c r="Y695" s="280" t="n"/>
      <c r="Z695" s="280" t="n"/>
      <c r="AA695" s="280" t="n"/>
      <c r="AB695" s="280" t="n"/>
      <c r="AC695" s="280" t="n"/>
      <c r="AD695" s="280" t="n"/>
    </row>
    <row r="696" ht="15.5" customHeight="1">
      <c r="B696" s="290" t="n">
        <v>45401</v>
      </c>
      <c r="C696" s="291" t="n">
        <v>102</v>
      </c>
      <c r="D696" s="292" t="inlineStr">
        <is>
          <t>Laundry 4 days 1 Persons @ 50K IDR/day</t>
        </is>
      </c>
      <c r="E696" s="340" t="inlineStr">
        <is>
          <t>-</t>
        </is>
      </c>
      <c r="F696" s="285" t="n">
        <v>200000</v>
      </c>
      <c r="G696" s="294" t="inlineStr">
        <is>
          <t>IDR</t>
        </is>
      </c>
      <c r="H696" s="295" t="n">
        <v>1</v>
      </c>
      <c r="I696" s="282" t="n"/>
      <c r="J696" s="287" t="n"/>
      <c r="K696" s="281" t="n"/>
      <c r="L696" s="285" t="n">
        <v>200000</v>
      </c>
      <c r="M696" s="288" t="n"/>
      <c r="N696" s="288" t="n"/>
      <c r="O696" s="285" t="n"/>
      <c r="P696" s="287" t="n"/>
      <c r="Q696" s="289" t="n"/>
      <c r="R696" s="280" t="n"/>
      <c r="S696" s="280" t="n"/>
      <c r="T696" s="280" t="n"/>
      <c r="U696" s="280" t="n"/>
      <c r="V696" s="280" t="n"/>
      <c r="W696" s="280" t="n"/>
      <c r="X696" s="280" t="n"/>
      <c r="Y696" s="280" t="n"/>
      <c r="Z696" s="280" t="n"/>
      <c r="AA696" s="280" t="n"/>
      <c r="AB696" s="280" t="n"/>
      <c r="AC696" s="280" t="n"/>
      <c r="AD696" s="280" t="n"/>
    </row>
    <row r="697" ht="15.5" customHeight="1">
      <c r="B697" s="300" t="n"/>
      <c r="C697" s="316" t="n"/>
      <c r="D697" s="317" t="inlineStr">
        <is>
          <t>Meal</t>
        </is>
      </c>
      <c r="E697" s="316" t="n"/>
      <c r="F697" s="318" t="n"/>
      <c r="G697" s="316" t="n"/>
      <c r="H697" s="316" t="n"/>
      <c r="I697" s="320" t="n"/>
      <c r="J697" s="320" t="n"/>
      <c r="K697" s="320" t="n"/>
      <c r="L697" s="320" t="n"/>
      <c r="M697" s="320" t="n"/>
      <c r="N697" s="320" t="n"/>
      <c r="O697" s="320" t="n"/>
      <c r="P697" s="320" t="n"/>
      <c r="Q697" s="320" t="n"/>
      <c r="R697" s="280" t="n"/>
      <c r="S697" s="280" t="n"/>
      <c r="T697" s="280" t="n"/>
      <c r="U697" s="280" t="n"/>
      <c r="V697" s="280" t="n"/>
      <c r="W697" s="280" t="n"/>
      <c r="X697" s="280" t="n"/>
      <c r="Y697" s="280" t="n"/>
      <c r="Z697" s="280" t="n"/>
      <c r="AA697" s="280" t="n"/>
      <c r="AB697" s="280" t="n"/>
      <c r="AC697" s="280" t="n"/>
      <c r="AD697" s="280" t="n"/>
    </row>
    <row r="698" ht="15.5" customHeight="1">
      <c r="B698" s="290" t="n">
        <v>45401</v>
      </c>
      <c r="C698" s="291" t="n">
        <v>103</v>
      </c>
      <c r="D698" s="292" t="inlineStr">
        <is>
          <t>Meals 4 days 1 Persons @ 150K IDR/day</t>
        </is>
      </c>
      <c r="E698" s="341" t="inlineStr">
        <is>
          <t>-</t>
        </is>
      </c>
      <c r="F698" s="285" t="n">
        <v>600000</v>
      </c>
      <c r="G698" s="294" t="inlineStr">
        <is>
          <t>IDR</t>
        </is>
      </c>
      <c r="H698" s="295" t="n">
        <v>1</v>
      </c>
      <c r="I698" s="282" t="n"/>
      <c r="J698" s="287" t="n"/>
      <c r="K698" s="281" t="n"/>
      <c r="L698" s="285" t="n">
        <v>600000</v>
      </c>
      <c r="M698" s="288" t="n"/>
      <c r="N698" s="288" t="n"/>
      <c r="O698" s="285" t="n"/>
      <c r="P698" s="287" t="n"/>
      <c r="Q698" s="289" t="n"/>
      <c r="R698" s="280" t="n"/>
      <c r="S698" s="280" t="n"/>
      <c r="T698" s="280" t="n"/>
      <c r="U698" s="280" t="n"/>
      <c r="V698" s="280" t="n"/>
      <c r="W698" s="280" t="n"/>
      <c r="X698" s="280" t="n"/>
      <c r="Y698" s="280" t="n"/>
      <c r="Z698" s="280" t="n"/>
      <c r="AA698" s="280" t="n"/>
      <c r="AB698" s="280" t="n"/>
      <c r="AC698" s="280" t="n"/>
      <c r="AD698" s="280" t="n"/>
    </row>
    <row r="699" ht="15.5" customHeight="1">
      <c r="B699" s="300" t="n"/>
      <c r="C699" s="316" t="n"/>
      <c r="D699" s="317" t="inlineStr">
        <is>
          <t>Transportation</t>
        </is>
      </c>
      <c r="E699" s="316" t="n"/>
      <c r="F699" s="318" t="n"/>
      <c r="G699" s="316" t="n"/>
      <c r="H699" s="316" t="n"/>
      <c r="I699" s="320" t="n"/>
      <c r="J699" s="320" t="n"/>
      <c r="K699" s="320" t="n"/>
      <c r="L699" s="320" t="n"/>
      <c r="M699" s="320" t="n"/>
      <c r="N699" s="320" t="n"/>
      <c r="O699" s="320" t="n"/>
      <c r="P699" s="320" t="n"/>
      <c r="Q699" s="320" t="n"/>
      <c r="R699" s="280" t="n"/>
      <c r="S699" s="280" t="n"/>
      <c r="T699" s="280" t="n"/>
      <c r="U699" s="280" t="n"/>
      <c r="V699" s="280" t="n"/>
      <c r="W699" s="280" t="n"/>
      <c r="X699" s="280" t="n"/>
      <c r="Y699" s="280" t="n"/>
      <c r="Z699" s="280" t="n"/>
      <c r="AA699" s="280" t="n"/>
      <c r="AB699" s="280" t="n"/>
      <c r="AC699" s="280" t="n"/>
      <c r="AD699" s="280" t="n"/>
    </row>
    <row r="700" ht="15.5" customHeight="1">
      <c r="B700" s="290" t="n">
        <v>45404</v>
      </c>
      <c r="C700" s="291" t="n">
        <v>104</v>
      </c>
      <c r="D700" s="292" t="inlineStr">
        <is>
          <t>Taxi Bintaro-Wisma Mas</t>
        </is>
      </c>
      <c r="E700" s="340" t="inlineStr">
        <is>
          <t>-</t>
        </is>
      </c>
      <c r="F700" s="285" t="n">
        <v>78500</v>
      </c>
      <c r="G700" s="294" t="inlineStr">
        <is>
          <t>IDR</t>
        </is>
      </c>
      <c r="H700" s="295" t="n">
        <v>1</v>
      </c>
      <c r="I700" s="282" t="n"/>
      <c r="J700" s="287" t="n"/>
      <c r="K700" s="281" t="n"/>
      <c r="L700" s="285" t="n">
        <v>78500</v>
      </c>
      <c r="M700" s="288" t="n"/>
      <c r="N700" s="288" t="n"/>
      <c r="O700" s="285" t="n"/>
      <c r="P700" s="287" t="n"/>
      <c r="Q700" s="289" t="n"/>
      <c r="R700" s="280" t="n"/>
      <c r="S700" s="280" t="n"/>
      <c r="T700" s="280" t="n"/>
      <c r="U700" s="280" t="n"/>
      <c r="V700" s="280" t="n"/>
      <c r="W700" s="280" t="n"/>
      <c r="X700" s="280" t="n"/>
      <c r="Y700" s="280" t="n"/>
      <c r="Z700" s="280" t="n"/>
      <c r="AA700" s="280" t="n"/>
      <c r="AB700" s="280" t="n"/>
      <c r="AC700" s="280" t="n"/>
      <c r="AD700" s="280" t="n"/>
    </row>
    <row r="701" ht="15.5" customHeight="1">
      <c r="B701" s="310" t="inlineStr">
        <is>
          <t>Expense#12</t>
        </is>
      </c>
      <c r="C701" s="311" t="inlineStr">
        <is>
          <t>:</t>
        </is>
      </c>
      <c r="D701" s="312" t="inlineStr">
        <is>
          <t>BOSIET Training -_TMA</t>
        </is>
      </c>
      <c r="E701" s="313" t="n"/>
      <c r="F701" s="314" t="n"/>
      <c r="G701" s="313" t="n"/>
      <c r="H701" s="313" t="n"/>
      <c r="I701" s="315" t="n"/>
      <c r="J701" s="315" t="n"/>
      <c r="K701" s="315" t="n"/>
      <c r="L701" s="315" t="n"/>
      <c r="M701" s="315" t="n"/>
      <c r="N701" s="315" t="n"/>
      <c r="O701" s="315" t="n"/>
      <c r="P701" s="315" t="n"/>
      <c r="Q701" s="315" t="n"/>
      <c r="R701" s="280" t="n"/>
      <c r="S701" s="280" t="n"/>
      <c r="T701" s="280" t="n"/>
      <c r="U701" s="280" t="n"/>
      <c r="V701" s="280" t="n"/>
      <c r="W701" s="280" t="n"/>
      <c r="X701" s="280" t="n"/>
      <c r="Y701" s="280" t="n"/>
      <c r="Z701" s="280" t="n"/>
      <c r="AA701" s="280" t="n"/>
      <c r="AB701" s="280" t="n"/>
      <c r="AC701" s="280" t="n"/>
      <c r="AD701" s="280" t="n"/>
    </row>
    <row r="702" ht="15.5" customHeight="1">
      <c r="B702" s="300" t="n"/>
      <c r="C702" s="316" t="n"/>
      <c r="D702" s="317" t="inlineStr">
        <is>
          <t>Transportation</t>
        </is>
      </c>
      <c r="E702" s="316" t="n"/>
      <c r="F702" s="318" t="n"/>
      <c r="G702" s="316" t="n"/>
      <c r="H702" s="316" t="n"/>
      <c r="I702" s="320" t="n"/>
      <c r="J702" s="320" t="n"/>
      <c r="K702" s="320" t="n"/>
      <c r="L702" s="320" t="n"/>
      <c r="M702" s="320" t="n"/>
      <c r="N702" s="320" t="n"/>
      <c r="O702" s="320" t="n"/>
      <c r="P702" s="320" t="n"/>
      <c r="Q702" s="320" t="n"/>
      <c r="R702" s="280" t="n"/>
      <c r="S702" s="280" t="n"/>
      <c r="T702" s="280" t="n"/>
      <c r="U702" s="280" t="n"/>
      <c r="V702" s="280" t="n"/>
      <c r="W702" s="280" t="n"/>
      <c r="X702" s="280" t="n"/>
      <c r="Y702" s="280" t="n"/>
      <c r="Z702" s="280" t="n"/>
      <c r="AA702" s="280" t="n"/>
      <c r="AB702" s="280" t="n"/>
      <c r="AC702" s="280" t="n"/>
      <c r="AD702" s="280" t="n"/>
    </row>
    <row r="703" ht="15.5" customHeight="1">
      <c r="B703" s="290" t="n">
        <v>45429</v>
      </c>
      <c r="C703" s="291" t="n">
        <v>105</v>
      </c>
      <c r="D703" s="292" t="inlineStr">
        <is>
          <t>BOSIET Training</t>
        </is>
      </c>
      <c r="E703" s="339" t="inlineStr">
        <is>
          <t>-</t>
        </is>
      </c>
      <c r="F703" s="285" t="n">
        <v>9693878</v>
      </c>
      <c r="G703" s="294" t="inlineStr">
        <is>
          <t>IDR</t>
        </is>
      </c>
      <c r="H703" s="295" t="n">
        <v>1</v>
      </c>
      <c r="I703" s="282" t="n"/>
      <c r="J703" s="287" t="n"/>
      <c r="K703" s="281" t="n"/>
      <c r="L703" s="285" t="n">
        <v>9693878</v>
      </c>
      <c r="M703" s="288" t="n"/>
      <c r="N703" s="288" t="n"/>
      <c r="O703" s="285" t="n"/>
      <c r="P703" s="287" t="n"/>
      <c r="Q703" s="289" t="n"/>
      <c r="R703" s="280" t="n"/>
      <c r="S703" s="280" t="n"/>
      <c r="T703" s="280" t="n"/>
      <c r="U703" s="280" t="n"/>
      <c r="V703" s="280" t="n"/>
      <c r="W703" s="280" t="n"/>
      <c r="X703" s="280" t="n"/>
      <c r="Y703" s="280" t="n"/>
      <c r="Z703" s="280" t="n"/>
      <c r="AA703" s="280" t="n"/>
      <c r="AB703" s="280" t="n"/>
      <c r="AC703" s="280" t="n"/>
      <c r="AD703" s="280" t="n"/>
    </row>
    <row r="704" ht="15.5" customHeight="1">
      <c r="B704" s="310" t="inlineStr">
        <is>
          <t>Expense#13</t>
        </is>
      </c>
      <c r="C704" s="311" t="inlineStr">
        <is>
          <t>:</t>
        </is>
      </c>
      <c r="D704" s="312" t="inlineStr">
        <is>
          <t>Non Trip MCU Dwiyanto</t>
        </is>
      </c>
      <c r="E704" s="313" t="n"/>
      <c r="F704" s="314" t="n"/>
      <c r="G704" s="313" t="n"/>
      <c r="H704" s="313" t="n"/>
      <c r="I704" s="315" t="n"/>
      <c r="J704" s="315" t="n"/>
      <c r="K704" s="315" t="n"/>
      <c r="L704" s="315" t="n"/>
      <c r="M704" s="315" t="n"/>
      <c r="N704" s="315" t="n"/>
      <c r="O704" s="315" t="n"/>
      <c r="P704" s="315" t="n"/>
      <c r="Q704" s="315" t="n"/>
      <c r="R704" s="280" t="n"/>
      <c r="S704" s="280" t="n"/>
      <c r="T704" s="280" t="n"/>
      <c r="U704" s="280" t="n"/>
      <c r="V704" s="280" t="n"/>
      <c r="W704" s="280" t="n"/>
      <c r="X704" s="280" t="n"/>
      <c r="Y704" s="280" t="n"/>
      <c r="Z704" s="280" t="n"/>
      <c r="AA704" s="280" t="n"/>
      <c r="AB704" s="280" t="n"/>
      <c r="AC704" s="280" t="n"/>
      <c r="AD704" s="280" t="n"/>
    </row>
    <row r="705" ht="15.5" customHeight="1">
      <c r="B705" s="300" t="n"/>
      <c r="C705" s="316" t="n"/>
      <c r="D705" s="317" t="inlineStr">
        <is>
          <t>Hand Tools</t>
        </is>
      </c>
      <c r="E705" s="316" t="n"/>
      <c r="F705" s="318" t="n"/>
      <c r="G705" s="316" t="n"/>
      <c r="H705" s="316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80" t="n"/>
      <c r="S705" s="280" t="n"/>
      <c r="T705" s="280" t="n"/>
      <c r="U705" s="280" t="n"/>
      <c r="V705" s="280" t="n"/>
      <c r="W705" s="280" t="n"/>
      <c r="X705" s="280" t="n"/>
      <c r="Y705" s="280" t="n"/>
      <c r="Z705" s="280" t="n"/>
      <c r="AA705" s="280" t="n"/>
      <c r="AB705" s="280" t="n"/>
      <c r="AC705" s="280" t="n"/>
      <c r="AD705" s="280" t="n"/>
    </row>
    <row r="706" ht="15.5" customHeight="1">
      <c r="B706" s="290" t="n">
        <v>45433</v>
      </c>
      <c r="C706" s="291" t="n">
        <v>106</v>
      </c>
      <c r="D706" s="292" t="inlineStr">
        <is>
          <t>Safety shoes</t>
        </is>
      </c>
      <c r="E706" s="341" t="inlineStr">
        <is>
          <t>-</t>
        </is>
      </c>
      <c r="F706" s="285" t="n">
        <v>2402000</v>
      </c>
      <c r="G706" s="294" t="inlineStr">
        <is>
          <t>IDR</t>
        </is>
      </c>
      <c r="H706" s="295" t="n">
        <v>1</v>
      </c>
      <c r="I706" s="282" t="n"/>
      <c r="J706" s="287" t="n"/>
      <c r="K706" s="281" t="n"/>
      <c r="L706" s="285" t="n"/>
      <c r="M706" s="288" t="n"/>
      <c r="N706" s="288" t="n">
        <v>2402000</v>
      </c>
      <c r="O706" s="285" t="n"/>
      <c r="P706" s="287" t="n"/>
      <c r="Q706" s="289" t="n"/>
      <c r="R706" s="280" t="n"/>
      <c r="S706" s="280" t="n"/>
      <c r="T706" s="280" t="n"/>
      <c r="U706" s="280" t="n"/>
      <c r="V706" s="280" t="n"/>
      <c r="W706" s="280" t="n"/>
      <c r="X706" s="280" t="n"/>
      <c r="Y706" s="280" t="n"/>
      <c r="Z706" s="280" t="n"/>
      <c r="AA706" s="280" t="n"/>
      <c r="AB706" s="280" t="n"/>
      <c r="AC706" s="280" t="n"/>
      <c r="AD706" s="280" t="n"/>
    </row>
    <row r="707" ht="15.5" customHeight="1">
      <c r="B707" s="342" t="n"/>
      <c r="C707" s="316" t="n"/>
      <c r="D707" s="343" t="inlineStr">
        <is>
          <t>Medical</t>
        </is>
      </c>
      <c r="E707" s="342" t="n"/>
      <c r="F707" s="318" t="n"/>
      <c r="G707" s="316" t="n"/>
      <c r="H707" s="316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80" t="n"/>
      <c r="S707" s="280" t="n"/>
      <c r="T707" s="280" t="n"/>
      <c r="U707" s="280" t="n"/>
      <c r="V707" s="280" t="n"/>
      <c r="W707" s="280" t="n"/>
      <c r="X707" s="280" t="n"/>
      <c r="Y707" s="280" t="n"/>
      <c r="Z707" s="280" t="n"/>
      <c r="AA707" s="280" t="n"/>
      <c r="AB707" s="280" t="n"/>
      <c r="AC707" s="280" t="n"/>
      <c r="AD707" s="280" t="n"/>
    </row>
    <row r="708" ht="15.5" customHeight="1">
      <c r="B708" s="290" t="n">
        <v>45432</v>
      </c>
      <c r="C708" s="291" t="n">
        <v>107</v>
      </c>
      <c r="D708" s="292" t="inlineStr">
        <is>
          <t>MCU Paket Umum Basic 1</t>
        </is>
      </c>
      <c r="E708" s="340" t="inlineStr">
        <is>
          <t>-</t>
        </is>
      </c>
      <c r="F708" s="285" t="n">
        <v>5322000</v>
      </c>
      <c r="G708" s="294" t="inlineStr">
        <is>
          <t>IDR</t>
        </is>
      </c>
      <c r="H708" s="295" t="n">
        <v>1</v>
      </c>
      <c r="I708" s="282" t="n"/>
      <c r="J708" s="287" t="n"/>
      <c r="K708" s="281" t="n"/>
      <c r="L708" s="285" t="n"/>
      <c r="M708" s="288" t="n"/>
      <c r="N708" s="288" t="n"/>
      <c r="O708" s="285" t="n"/>
      <c r="P708" s="285" t="n">
        <v>5322000</v>
      </c>
      <c r="Q708" s="289" t="n"/>
      <c r="R708" s="280" t="n"/>
      <c r="S708" s="280" t="n"/>
      <c r="T708" s="280" t="n"/>
      <c r="U708" s="280" t="n"/>
      <c r="V708" s="280" t="n"/>
      <c r="W708" s="280" t="n"/>
      <c r="X708" s="280" t="n"/>
      <c r="Y708" s="280" t="n"/>
      <c r="Z708" s="280" t="n"/>
      <c r="AA708" s="280" t="n"/>
      <c r="AB708" s="280" t="n"/>
      <c r="AC708" s="280" t="n"/>
      <c r="AD708" s="280" t="n"/>
    </row>
    <row r="709" ht="15.5" customHeight="1">
      <c r="B709" s="310" t="inlineStr">
        <is>
          <t>Expense#14</t>
        </is>
      </c>
      <c r="C709" s="311" t="inlineStr">
        <is>
          <t>:</t>
        </is>
      </c>
      <c r="D709" s="310" t="inlineStr">
        <is>
          <t>Non project _ MCU - Ilham BR</t>
        </is>
      </c>
      <c r="E709" s="344" t="n"/>
      <c r="F709" s="314" t="n"/>
      <c r="G709" s="313" t="n"/>
      <c r="H709" s="313" t="n"/>
      <c r="I709" s="315" t="n"/>
      <c r="J709" s="315" t="n"/>
      <c r="K709" s="315" t="n"/>
      <c r="L709" s="315" t="n"/>
      <c r="M709" s="315" t="n"/>
      <c r="N709" s="315" t="n"/>
      <c r="O709" s="315" t="n"/>
      <c r="P709" s="315" t="n"/>
      <c r="Q709" s="315" t="n"/>
      <c r="R709" s="280" t="n"/>
      <c r="S709" s="280" t="n"/>
      <c r="T709" s="280" t="n"/>
      <c r="U709" s="280" t="n"/>
      <c r="V709" s="280" t="n"/>
      <c r="W709" s="280" t="n"/>
      <c r="X709" s="280" t="n"/>
      <c r="Y709" s="280" t="n"/>
      <c r="Z709" s="280" t="n"/>
      <c r="AA709" s="280" t="n"/>
      <c r="AB709" s="280" t="n"/>
      <c r="AC709" s="280" t="n"/>
      <c r="AD709" s="280" t="n"/>
    </row>
    <row r="710" ht="15.5" customHeight="1">
      <c r="B710" s="300" t="n"/>
      <c r="C710" s="316" t="n"/>
      <c r="D710" s="317" t="inlineStr">
        <is>
          <t>Medical</t>
        </is>
      </c>
      <c r="E710" s="316" t="n"/>
      <c r="F710" s="318" t="n"/>
      <c r="G710" s="316" t="n"/>
      <c r="H710" s="316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80" t="n"/>
      <c r="S710" s="280" t="n"/>
      <c r="T710" s="280" t="n"/>
      <c r="U710" s="280" t="n"/>
      <c r="V710" s="280" t="n"/>
      <c r="W710" s="280" t="n"/>
      <c r="X710" s="280" t="n"/>
      <c r="Y710" s="280" t="n"/>
      <c r="Z710" s="280" t="n"/>
      <c r="AA710" s="280" t="n"/>
      <c r="AB710" s="280" t="n"/>
      <c r="AC710" s="280" t="n"/>
      <c r="AD710" s="280" t="n"/>
    </row>
    <row r="711" ht="15.5" customHeight="1">
      <c r="B711" s="290" t="n">
        <v>45432</v>
      </c>
      <c r="C711" s="291" t="n">
        <v>108</v>
      </c>
      <c r="D711" s="292" t="inlineStr">
        <is>
          <t>Biaya MCU</t>
        </is>
      </c>
      <c r="E711" s="340" t="inlineStr">
        <is>
          <t>-</t>
        </is>
      </c>
      <c r="F711" s="285" t="n">
        <v>5407000</v>
      </c>
      <c r="G711" s="294" t="inlineStr">
        <is>
          <t>IDR</t>
        </is>
      </c>
      <c r="H711" s="295" t="n">
        <v>1</v>
      </c>
      <c r="I711" s="282" t="n"/>
      <c r="J711" s="287" t="n"/>
      <c r="K711" s="281" t="n"/>
      <c r="L711" s="285" t="n"/>
      <c r="M711" s="288" t="n"/>
      <c r="N711" s="288" t="n"/>
      <c r="O711" s="285" t="n"/>
      <c r="P711" s="285" t="n">
        <v>5407000</v>
      </c>
      <c r="Q711" s="289" t="n"/>
      <c r="R711" s="280" t="n"/>
      <c r="S711" s="280" t="n"/>
      <c r="T711" s="280" t="n"/>
      <c r="U711" s="280" t="n"/>
      <c r="V711" s="280" t="n"/>
      <c r="W711" s="280" t="n"/>
      <c r="X711" s="280" t="n"/>
      <c r="Y711" s="280" t="n"/>
      <c r="Z711" s="280" t="n"/>
      <c r="AA711" s="280" t="n"/>
      <c r="AB711" s="280" t="n"/>
      <c r="AC711" s="280" t="n"/>
      <c r="AD711" s="280" t="n"/>
    </row>
    <row r="712" ht="15.5" customHeight="1">
      <c r="B712" s="310" t="inlineStr">
        <is>
          <t>Expense#15</t>
        </is>
      </c>
      <c r="C712" s="311" t="inlineStr">
        <is>
          <t>:</t>
        </is>
      </c>
      <c r="D712" s="312" t="inlineStr">
        <is>
          <t>ALFA Job - Jrk-193 _ OJT_ Ilham BR</t>
        </is>
      </c>
      <c r="E712" s="313" t="n"/>
      <c r="F712" s="314" t="n"/>
      <c r="G712" s="313" t="n"/>
      <c r="H712" s="313" t="n"/>
      <c r="I712" s="315" t="n"/>
      <c r="J712" s="315" t="n"/>
      <c r="K712" s="315" t="n"/>
      <c r="L712" s="315" t="n"/>
      <c r="M712" s="315" t="n"/>
      <c r="N712" s="315" t="n"/>
      <c r="O712" s="315" t="n"/>
      <c r="P712" s="315" t="n"/>
      <c r="Q712" s="315" t="n"/>
      <c r="R712" s="280" t="n"/>
      <c r="S712" s="280" t="n"/>
      <c r="T712" s="280" t="n"/>
      <c r="U712" s="280" t="n"/>
      <c r="V712" s="280" t="n"/>
      <c r="W712" s="280" t="n"/>
      <c r="X712" s="280" t="n"/>
      <c r="Y712" s="280" t="n"/>
      <c r="Z712" s="280" t="n"/>
      <c r="AA712" s="280" t="n"/>
      <c r="AB712" s="280" t="n"/>
      <c r="AC712" s="280" t="n"/>
      <c r="AD712" s="280" t="n"/>
    </row>
    <row r="713" ht="15.5" customHeight="1">
      <c r="B713" s="300" t="n"/>
      <c r="C713" s="316" t="n"/>
      <c r="D713" s="317" t="inlineStr">
        <is>
          <t>Allowance</t>
        </is>
      </c>
      <c r="E713" s="316" t="n"/>
      <c r="F713" s="318" t="n"/>
      <c r="G713" s="316" t="n"/>
      <c r="H713" s="316" t="n"/>
      <c r="I713" s="320" t="n"/>
      <c r="J713" s="320" t="n"/>
      <c r="K713" s="320" t="n"/>
      <c r="L713" s="320" t="n"/>
      <c r="M713" s="320" t="n"/>
      <c r="N713" s="320" t="n"/>
      <c r="O713" s="320" t="n"/>
      <c r="P713" s="320" t="n"/>
      <c r="Q713" s="320" t="n"/>
      <c r="R713" s="280" t="n"/>
      <c r="S713" s="280" t="n"/>
      <c r="T713" s="280" t="n"/>
      <c r="U713" s="280" t="n"/>
      <c r="V713" s="280" t="n"/>
      <c r="W713" s="280" t="n"/>
      <c r="X713" s="280" t="n"/>
      <c r="Y713" s="280" t="n"/>
      <c r="Z713" s="280" t="n"/>
      <c r="AA713" s="280" t="n"/>
      <c r="AB713" s="280" t="n"/>
      <c r="AC713" s="280" t="n"/>
      <c r="AD713" s="280" t="n"/>
    </row>
    <row r="714" ht="15.5" customHeight="1">
      <c r="B714" s="290" t="n">
        <v>45437</v>
      </c>
      <c r="C714" s="291" t="n">
        <v>109</v>
      </c>
      <c r="D714" s="292" t="inlineStr">
        <is>
          <t>Tunjangan Lapangan JRK-193 (25 - 30 May 2024)</t>
        </is>
      </c>
      <c r="E714" s="341" t="inlineStr">
        <is>
          <t>-</t>
        </is>
      </c>
      <c r="F714" s="285" t="n">
        <v>2430000</v>
      </c>
      <c r="G714" s="294" t="inlineStr">
        <is>
          <t>$</t>
        </is>
      </c>
      <c r="H714" s="295" t="n">
        <v>16200</v>
      </c>
      <c r="I714" s="282" t="n"/>
      <c r="J714" s="287" t="n"/>
      <c r="K714" s="281" t="n"/>
      <c r="L714" s="285" t="n">
        <v>2430000</v>
      </c>
      <c r="M714" s="288" t="n"/>
      <c r="N714" s="288" t="n"/>
      <c r="O714" s="285" t="n"/>
      <c r="P714" s="287" t="n"/>
      <c r="Q714" s="289" t="n"/>
      <c r="R714" s="280" t="n"/>
      <c r="S714" s="280" t="n"/>
      <c r="T714" s="280" t="n"/>
      <c r="U714" s="280" t="n"/>
      <c r="V714" s="280" t="n"/>
      <c r="W714" s="280" t="n"/>
      <c r="X714" s="280" t="n"/>
      <c r="Y714" s="280" t="n"/>
      <c r="Z714" s="280" t="n"/>
      <c r="AA714" s="280" t="n"/>
      <c r="AB714" s="280" t="n"/>
      <c r="AC714" s="280" t="n"/>
      <c r="AD714" s="280" t="n"/>
    </row>
    <row r="715" ht="15.5" customHeight="1">
      <c r="B715" s="342" t="n"/>
      <c r="C715" s="316" t="n"/>
      <c r="D715" s="343" t="inlineStr">
        <is>
          <t>Meal</t>
        </is>
      </c>
      <c r="E715" s="342" t="n"/>
      <c r="F715" s="318" t="n"/>
      <c r="G715" s="316" t="n"/>
      <c r="H715" s="316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80" t="n"/>
      <c r="S715" s="280" t="n"/>
      <c r="T715" s="280" t="n"/>
      <c r="U715" s="280" t="n"/>
      <c r="V715" s="280" t="n"/>
      <c r="W715" s="280" t="n"/>
      <c r="X715" s="280" t="n"/>
      <c r="Y715" s="280" t="n"/>
      <c r="Z715" s="280" t="n"/>
      <c r="AA715" s="280" t="n"/>
      <c r="AB715" s="280" t="n"/>
      <c r="AC715" s="280" t="n"/>
      <c r="AD715" s="280" t="n"/>
    </row>
    <row r="716" ht="15.5" customHeight="1">
      <c r="B716" s="290" t="n">
        <v>45437</v>
      </c>
      <c r="C716" s="291" t="n">
        <v>110</v>
      </c>
      <c r="D716" s="292" t="inlineStr">
        <is>
          <t>Uang makan (25 - 30 May 2024)</t>
        </is>
      </c>
      <c r="E716" s="340" t="inlineStr">
        <is>
          <t>-</t>
        </is>
      </c>
      <c r="F716" s="285" t="n">
        <v>900000</v>
      </c>
      <c r="G716" s="294" t="inlineStr">
        <is>
          <t>IDR</t>
        </is>
      </c>
      <c r="H716" s="295" t="n">
        <v>1</v>
      </c>
      <c r="I716" s="282" t="n"/>
      <c r="J716" s="287" t="n"/>
      <c r="K716" s="281" t="n"/>
      <c r="L716" s="285" t="n">
        <v>900000</v>
      </c>
      <c r="M716" s="288" t="n"/>
      <c r="N716" s="288" t="n"/>
      <c r="O716" s="285" t="n"/>
      <c r="P716" s="287" t="n"/>
      <c r="Q716" s="289" t="n"/>
      <c r="R716" s="280" t="n"/>
      <c r="S716" s="280" t="n"/>
      <c r="T716" s="280" t="n"/>
      <c r="U716" s="280" t="n"/>
      <c r="V716" s="280" t="n"/>
      <c r="W716" s="280" t="n"/>
      <c r="X716" s="280" t="n"/>
      <c r="Y716" s="280" t="n"/>
      <c r="Z716" s="280" t="n"/>
      <c r="AA716" s="280" t="n"/>
      <c r="AB716" s="280" t="n"/>
      <c r="AC716" s="280" t="n"/>
      <c r="AD716" s="280" t="n"/>
    </row>
    <row r="717" ht="15.5" customHeight="1">
      <c r="B717" s="300" t="n"/>
      <c r="C717" s="316" t="n"/>
      <c r="D717" s="317" t="inlineStr">
        <is>
          <t>Transportation</t>
        </is>
      </c>
      <c r="E717" s="316" t="n"/>
      <c r="F717" s="318" t="n"/>
      <c r="G717" s="316" t="n"/>
      <c r="H717" s="316" t="n"/>
      <c r="I717" s="320" t="n"/>
      <c r="J717" s="320" t="n"/>
      <c r="K717" s="320" t="n"/>
      <c r="L717" s="320" t="n"/>
      <c r="M717" s="320" t="n"/>
      <c r="N717" s="320" t="n"/>
      <c r="O717" s="320" t="n"/>
      <c r="P717" s="320" t="n"/>
      <c r="Q717" s="320" t="n"/>
      <c r="R717" s="280" t="n"/>
      <c r="S717" s="280" t="n"/>
      <c r="T717" s="280" t="n"/>
      <c r="U717" s="280" t="n"/>
      <c r="V717" s="280" t="n"/>
      <c r="W717" s="280" t="n"/>
      <c r="X717" s="280" t="n"/>
      <c r="Y717" s="280" t="n"/>
      <c r="Z717" s="280" t="n"/>
      <c r="AA717" s="280" t="n"/>
      <c r="AB717" s="280" t="n"/>
      <c r="AC717" s="280" t="n"/>
      <c r="AD717" s="280" t="n"/>
    </row>
    <row r="718" ht="15.5" customHeight="1">
      <c r="B718" s="290" t="n">
        <v>45436</v>
      </c>
      <c r="C718" s="291" t="n">
        <v>111</v>
      </c>
      <c r="D718" s="292" t="inlineStr">
        <is>
          <t>Taxi + Tol To Airport CGK</t>
        </is>
      </c>
      <c r="E718" s="340" t="inlineStr">
        <is>
          <t>-</t>
        </is>
      </c>
      <c r="F718" s="285" t="n">
        <v>250000</v>
      </c>
      <c r="G718" s="294" t="inlineStr">
        <is>
          <t>IDR</t>
        </is>
      </c>
      <c r="H718" s="295" t="n">
        <v>1</v>
      </c>
      <c r="I718" s="282" t="n"/>
      <c r="J718" s="287" t="n"/>
      <c r="K718" s="281" t="n"/>
      <c r="L718" s="285" t="n">
        <v>250000</v>
      </c>
      <c r="M718" s="288" t="n"/>
      <c r="N718" s="288" t="n"/>
      <c r="O718" s="285" t="n"/>
      <c r="P718" s="287" t="n"/>
      <c r="Q718" s="289" t="n"/>
      <c r="R718" s="280" t="n"/>
      <c r="S718" s="280" t="n"/>
      <c r="T718" s="280" t="n"/>
      <c r="U718" s="280" t="n"/>
      <c r="V718" s="280" t="n"/>
      <c r="W718" s="280" t="n"/>
      <c r="X718" s="280" t="n"/>
      <c r="Y718" s="280" t="n"/>
      <c r="Z718" s="280" t="n"/>
      <c r="AA718" s="280" t="n"/>
      <c r="AB718" s="280" t="n"/>
      <c r="AC718" s="280" t="n"/>
      <c r="AD718" s="280" t="n"/>
    </row>
    <row r="719" ht="15.5" customHeight="1">
      <c r="B719" s="310" t="inlineStr">
        <is>
          <t>Expense#16</t>
        </is>
      </c>
      <c r="C719" s="311" t="inlineStr">
        <is>
          <t>:</t>
        </is>
      </c>
      <c r="D719" s="312" t="inlineStr">
        <is>
          <t>ALFA job - JRK-193 OJT - Dwiyanto S</t>
        </is>
      </c>
      <c r="E719" s="313" t="n"/>
      <c r="F719" s="314" t="n"/>
      <c r="G719" s="313" t="n"/>
      <c r="H719" s="313" t="n"/>
      <c r="I719" s="315" t="n"/>
      <c r="J719" s="315" t="n"/>
      <c r="K719" s="315" t="n"/>
      <c r="L719" s="315" t="n"/>
      <c r="M719" s="315" t="n"/>
      <c r="N719" s="315" t="n"/>
      <c r="O719" s="315" t="n"/>
      <c r="P719" s="315" t="n"/>
      <c r="Q719" s="315" t="n"/>
      <c r="R719" s="280" t="n"/>
      <c r="S719" s="280" t="n"/>
      <c r="T719" s="280" t="n"/>
      <c r="U719" s="280" t="n"/>
      <c r="V719" s="280" t="n"/>
      <c r="W719" s="280" t="n"/>
      <c r="X719" s="280" t="n"/>
      <c r="Y719" s="280" t="n"/>
      <c r="Z719" s="280" t="n"/>
      <c r="AA719" s="280" t="n"/>
      <c r="AB719" s="280" t="n"/>
      <c r="AC719" s="280" t="n"/>
      <c r="AD719" s="280" t="n"/>
    </row>
    <row r="720" ht="15.5" customHeight="1">
      <c r="B720" s="300" t="n"/>
      <c r="C720" s="316" t="n"/>
      <c r="D720" s="317" t="inlineStr">
        <is>
          <t>Allowance</t>
        </is>
      </c>
      <c r="E720" s="316" t="n"/>
      <c r="F720" s="318" t="n"/>
      <c r="G720" s="316" t="n"/>
      <c r="H720" s="316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80" t="n"/>
      <c r="S720" s="280" t="n"/>
      <c r="T720" s="280" t="n"/>
      <c r="U720" s="280" t="n"/>
      <c r="V720" s="280" t="n"/>
      <c r="W720" s="280" t="n"/>
      <c r="X720" s="280" t="n"/>
      <c r="Y720" s="280" t="n"/>
      <c r="Z720" s="280" t="n"/>
      <c r="AA720" s="280" t="n"/>
      <c r="AB720" s="280" t="n"/>
      <c r="AC720" s="280" t="n"/>
      <c r="AD720" s="280" t="n"/>
    </row>
    <row r="721" ht="15.5" customHeight="1">
      <c r="B721" s="290" t="n">
        <v>45437</v>
      </c>
      <c r="C721" s="291" t="n">
        <v>112</v>
      </c>
      <c r="D721" s="292" t="inlineStr">
        <is>
          <t>Tunjangan Lapangan JRK-193 (25 - 30 May 2024). 1US$=16.200</t>
        </is>
      </c>
      <c r="E721" s="340" t="inlineStr">
        <is>
          <t>-</t>
        </is>
      </c>
      <c r="F721" s="285" t="n">
        <v>150</v>
      </c>
      <c r="G721" s="294" t="inlineStr">
        <is>
          <t>IDR</t>
        </is>
      </c>
      <c r="H721" s="295" t="n">
        <v>16200</v>
      </c>
      <c r="I721" s="282" t="n"/>
      <c r="J721" s="287" t="n"/>
      <c r="K721" s="281" t="n"/>
      <c r="L721" s="285" t="n">
        <v>150</v>
      </c>
      <c r="M721" s="288" t="n"/>
      <c r="N721" s="288" t="n"/>
      <c r="O721" s="285" t="n"/>
      <c r="P721" s="287" t="n"/>
      <c r="Q721" s="289" t="n"/>
      <c r="R721" s="280" t="n"/>
      <c r="S721" s="280" t="n"/>
      <c r="T721" s="280" t="n"/>
      <c r="U721" s="280" t="n"/>
      <c r="V721" s="280" t="n"/>
      <c r="W721" s="280" t="n"/>
      <c r="X721" s="280" t="n"/>
      <c r="Y721" s="280" t="n"/>
      <c r="Z721" s="280" t="n"/>
      <c r="AA721" s="280" t="n"/>
      <c r="AB721" s="280" t="n"/>
      <c r="AC721" s="280" t="n"/>
      <c r="AD721" s="280" t="n"/>
    </row>
    <row r="722" ht="15.5" customHeight="1">
      <c r="B722" s="300" t="n"/>
      <c r="C722" s="316" t="n"/>
      <c r="D722" s="317" t="inlineStr">
        <is>
          <t>Hand Tools</t>
        </is>
      </c>
      <c r="E722" s="316" t="n"/>
      <c r="F722" s="318" t="n"/>
      <c r="G722" s="316" t="n"/>
      <c r="H722" s="316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80" t="n"/>
      <c r="S722" s="280" t="n"/>
      <c r="T722" s="280" t="n"/>
      <c r="U722" s="280" t="n"/>
      <c r="V722" s="280" t="n"/>
      <c r="W722" s="280" t="n"/>
      <c r="X722" s="280" t="n"/>
      <c r="Y722" s="280" t="n"/>
      <c r="Z722" s="280" t="n"/>
      <c r="AA722" s="280" t="n"/>
      <c r="AB722" s="280" t="n"/>
      <c r="AC722" s="280" t="n"/>
      <c r="AD722" s="280" t="n"/>
    </row>
    <row r="723" ht="15.5" customHeight="1">
      <c r="B723" s="290" t="n">
        <v>45439</v>
      </c>
      <c r="C723" s="291" t="n">
        <v>113</v>
      </c>
      <c r="D723" s="292" t="inlineStr">
        <is>
          <t>Hand gloves</t>
        </is>
      </c>
      <c r="E723" s="340" t="inlineStr">
        <is>
          <t>-</t>
        </is>
      </c>
      <c r="F723" s="285" t="n">
        <v>21900</v>
      </c>
      <c r="G723" s="294" t="inlineStr">
        <is>
          <t>IDR</t>
        </is>
      </c>
      <c r="H723" s="295" t="n">
        <v>1</v>
      </c>
      <c r="I723" s="282" t="n"/>
      <c r="J723" s="287" t="n"/>
      <c r="K723" s="281" t="n"/>
      <c r="L723" s="285" t="n"/>
      <c r="M723" s="288" t="n"/>
      <c r="N723" s="288" t="n">
        <v>21900</v>
      </c>
      <c r="O723" s="285" t="n"/>
      <c r="P723" s="287" t="n"/>
      <c r="Q723" s="289" t="n"/>
      <c r="R723" s="280" t="n"/>
      <c r="S723" s="280" t="n"/>
      <c r="T723" s="280" t="n"/>
      <c r="U723" s="280" t="n"/>
      <c r="V723" s="280" t="n"/>
      <c r="W723" s="280" t="n"/>
      <c r="X723" s="280" t="n"/>
      <c r="Y723" s="280" t="n"/>
      <c r="Z723" s="280" t="n"/>
      <c r="AA723" s="280" t="n"/>
      <c r="AB723" s="280" t="n"/>
      <c r="AC723" s="280" t="n"/>
      <c r="AD723" s="280" t="n"/>
    </row>
    <row r="724" ht="15.5" customHeight="1">
      <c r="B724" s="300" t="n"/>
      <c r="C724" s="316" t="n"/>
      <c r="D724" s="317" t="inlineStr">
        <is>
          <t>Laundry</t>
        </is>
      </c>
      <c r="E724" s="316" t="n"/>
      <c r="F724" s="318" t="n"/>
      <c r="G724" s="316" t="n"/>
      <c r="H724" s="316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80" t="n"/>
      <c r="S724" s="280" t="n"/>
      <c r="T724" s="280" t="n"/>
      <c r="U724" s="280" t="n"/>
      <c r="V724" s="280" t="n"/>
      <c r="W724" s="280" t="n"/>
      <c r="X724" s="280" t="n"/>
      <c r="Y724" s="280" t="n"/>
      <c r="Z724" s="280" t="n"/>
      <c r="AA724" s="280" t="n"/>
      <c r="AB724" s="280" t="n"/>
      <c r="AC724" s="280" t="n"/>
      <c r="AD724" s="280" t="n"/>
    </row>
    <row r="725" ht="15.5" customHeight="1">
      <c r="B725" s="290" t="n">
        <v>45437</v>
      </c>
      <c r="C725" s="291" t="n">
        <v>114</v>
      </c>
      <c r="D725" s="292" t="inlineStr">
        <is>
          <t>Laundry (25 - 30 May 2024)</t>
        </is>
      </c>
      <c r="E725" s="340" t="inlineStr">
        <is>
          <t>-</t>
        </is>
      </c>
      <c r="F725" s="285" t="n">
        <v>300000</v>
      </c>
      <c r="G725" s="294" t="inlineStr">
        <is>
          <t>IDR</t>
        </is>
      </c>
      <c r="H725" s="295" t="n">
        <v>1</v>
      </c>
      <c r="I725" s="282" t="n"/>
      <c r="J725" s="287" t="n"/>
      <c r="K725" s="281" t="n"/>
      <c r="L725" s="285" t="n">
        <v>300000</v>
      </c>
      <c r="M725" s="288" t="n"/>
      <c r="N725" s="288" t="n"/>
      <c r="O725" s="285" t="n"/>
      <c r="P725" s="287" t="n"/>
      <c r="Q725" s="289" t="n"/>
      <c r="R725" s="280" t="n"/>
      <c r="S725" s="280" t="n"/>
      <c r="T725" s="280" t="n"/>
      <c r="U725" s="280" t="n"/>
      <c r="V725" s="280" t="n"/>
      <c r="W725" s="280" t="n"/>
      <c r="X725" s="280" t="n"/>
      <c r="Y725" s="280" t="n"/>
      <c r="Z725" s="280" t="n"/>
      <c r="AA725" s="280" t="n"/>
      <c r="AB725" s="280" t="n"/>
      <c r="AC725" s="280" t="n"/>
      <c r="AD725" s="280" t="n"/>
    </row>
    <row r="726" ht="15.5" customHeight="1">
      <c r="B726" s="300" t="n"/>
      <c r="C726" s="316" t="n"/>
      <c r="D726" s="317" t="inlineStr">
        <is>
          <t>Logistic</t>
        </is>
      </c>
      <c r="E726" s="316" t="n"/>
      <c r="F726" s="318" t="n"/>
      <c r="G726" s="316" t="n"/>
      <c r="H726" s="316" t="n"/>
      <c r="I726" s="320" t="n"/>
      <c r="J726" s="320" t="n"/>
      <c r="K726" s="320" t="n"/>
      <c r="L726" s="320" t="n"/>
      <c r="M726" s="320" t="n"/>
      <c r="N726" s="320" t="n"/>
      <c r="O726" s="320" t="n"/>
      <c r="P726" s="320" t="n"/>
      <c r="Q726" s="320" t="n"/>
      <c r="R726" s="280" t="n"/>
      <c r="S726" s="280" t="n"/>
      <c r="T726" s="280" t="n"/>
      <c r="U726" s="280" t="n"/>
      <c r="V726" s="280" t="n"/>
      <c r="W726" s="280" t="n"/>
      <c r="X726" s="280" t="n"/>
      <c r="Y726" s="280" t="n"/>
      <c r="Z726" s="280" t="n"/>
      <c r="AA726" s="280" t="n"/>
      <c r="AB726" s="280" t="n"/>
      <c r="AC726" s="280" t="n"/>
      <c r="AD726" s="280" t="n"/>
    </row>
    <row r="727" ht="15.5" customHeight="1">
      <c r="B727" s="290" t="n">
        <v>45437</v>
      </c>
      <c r="C727" s="291" t="n">
        <v>115</v>
      </c>
      <c r="D727" s="292" t="inlineStr">
        <is>
          <t>Wrapping Alfa Box</t>
        </is>
      </c>
      <c r="E727" s="340" t="inlineStr">
        <is>
          <t>-</t>
        </is>
      </c>
      <c r="F727" s="285" t="n">
        <v>80000</v>
      </c>
      <c r="G727" s="294" t="inlineStr">
        <is>
          <t>IDR</t>
        </is>
      </c>
      <c r="H727" s="295" t="n">
        <v>1</v>
      </c>
      <c r="I727" s="282" t="n"/>
      <c r="J727" s="287" t="n"/>
      <c r="K727" s="281" t="n"/>
      <c r="L727" s="285" t="n"/>
      <c r="M727" s="288" t="n"/>
      <c r="N727" s="288" t="n">
        <v>80000</v>
      </c>
      <c r="O727" s="285" t="n"/>
      <c r="P727" s="287" t="n"/>
      <c r="Q727" s="289" t="n"/>
      <c r="R727" s="280" t="n"/>
      <c r="S727" s="280" t="n"/>
      <c r="T727" s="280" t="n"/>
      <c r="U727" s="280" t="n"/>
      <c r="V727" s="280" t="n"/>
      <c r="W727" s="280" t="n"/>
      <c r="X727" s="280" t="n"/>
      <c r="Y727" s="280" t="n"/>
      <c r="Z727" s="280" t="n"/>
      <c r="AA727" s="280" t="n"/>
      <c r="AB727" s="280" t="n"/>
      <c r="AC727" s="280" t="n"/>
      <c r="AD727" s="280" t="n"/>
    </row>
    <row r="728" ht="15.5" customHeight="1">
      <c r="B728" s="300" t="n"/>
      <c r="C728" s="316" t="n"/>
      <c r="D728" s="317" t="inlineStr">
        <is>
          <t>Meal</t>
        </is>
      </c>
      <c r="E728" s="316" t="n"/>
      <c r="F728" s="318" t="n"/>
      <c r="G728" s="316" t="n"/>
      <c r="H728" s="316" t="n"/>
      <c r="I728" s="320" t="n"/>
      <c r="J728" s="320" t="n"/>
      <c r="K728" s="320" t="n"/>
      <c r="L728" s="320" t="n"/>
      <c r="M728" s="320" t="n"/>
      <c r="N728" s="320" t="n"/>
      <c r="O728" s="320" t="n"/>
      <c r="P728" s="320" t="n"/>
      <c r="Q728" s="320" t="n"/>
      <c r="R728" s="280" t="n"/>
      <c r="S728" s="280" t="n"/>
      <c r="T728" s="280" t="n"/>
      <c r="U728" s="280" t="n"/>
      <c r="V728" s="280" t="n"/>
      <c r="W728" s="280" t="n"/>
      <c r="X728" s="280" t="n"/>
      <c r="Y728" s="280" t="n"/>
      <c r="Z728" s="280" t="n"/>
      <c r="AA728" s="280" t="n"/>
      <c r="AB728" s="280" t="n"/>
      <c r="AC728" s="280" t="n"/>
      <c r="AD728" s="280" t="n"/>
    </row>
    <row r="729" ht="15.5" customHeight="1">
      <c r="B729" s="290" t="n">
        <v>45437</v>
      </c>
      <c r="C729" s="291" t="n">
        <v>116</v>
      </c>
      <c r="D729" s="292" t="inlineStr">
        <is>
          <t>Uang Makan (25 - 30 May 2024)</t>
        </is>
      </c>
      <c r="E729" s="340" t="inlineStr">
        <is>
          <t>-</t>
        </is>
      </c>
      <c r="F729" s="285" t="n">
        <v>900000</v>
      </c>
      <c r="G729" s="294" t="inlineStr">
        <is>
          <t>IDR</t>
        </is>
      </c>
      <c r="H729" s="295" t="n">
        <v>1</v>
      </c>
      <c r="I729" s="282" t="n"/>
      <c r="J729" s="287" t="n"/>
      <c r="K729" s="281" t="n"/>
      <c r="L729" s="285" t="n">
        <v>900000</v>
      </c>
      <c r="M729" s="288" t="n"/>
      <c r="N729" s="288" t="n"/>
      <c r="O729" s="285" t="n"/>
      <c r="P729" s="287" t="n"/>
      <c r="Q729" s="289" t="n"/>
      <c r="R729" s="280" t="n"/>
      <c r="S729" s="280" t="n"/>
      <c r="T729" s="280" t="n"/>
      <c r="U729" s="280" t="n"/>
      <c r="V729" s="280" t="n"/>
      <c r="W729" s="280" t="n"/>
      <c r="X729" s="280" t="n"/>
      <c r="Y729" s="280" t="n"/>
      <c r="Z729" s="280" t="n"/>
      <c r="AA729" s="280" t="n"/>
      <c r="AB729" s="280" t="n"/>
      <c r="AC729" s="280" t="n"/>
      <c r="AD729" s="280" t="n"/>
    </row>
    <row r="730" ht="15.5" customHeight="1">
      <c r="B730" s="300" t="n"/>
      <c r="C730" s="316" t="n"/>
      <c r="D730" s="317" t="inlineStr">
        <is>
          <t>Sparepart</t>
        </is>
      </c>
      <c r="E730" s="316" t="n"/>
      <c r="F730" s="318" t="n"/>
      <c r="G730" s="316" t="n"/>
      <c r="H730" s="316" t="n"/>
      <c r="I730" s="320" t="n"/>
      <c r="J730" s="320" t="n"/>
      <c r="K730" s="320" t="n"/>
      <c r="L730" s="320" t="n"/>
      <c r="M730" s="320" t="n"/>
      <c r="N730" s="320" t="n"/>
      <c r="O730" s="320" t="n"/>
      <c r="P730" s="320" t="n"/>
      <c r="Q730" s="320" t="n"/>
      <c r="R730" s="280" t="n"/>
      <c r="S730" s="280" t="n"/>
      <c r="T730" s="280" t="n"/>
      <c r="U730" s="280" t="n"/>
      <c r="V730" s="280" t="n"/>
      <c r="W730" s="280" t="n"/>
      <c r="X730" s="280" t="n"/>
      <c r="Y730" s="280" t="n"/>
      <c r="Z730" s="280" t="n"/>
      <c r="AA730" s="280" t="n"/>
      <c r="AB730" s="280" t="n"/>
      <c r="AC730" s="280" t="n"/>
      <c r="AD730" s="280" t="n"/>
    </row>
    <row r="731" ht="15.5" customHeight="1">
      <c r="B731" s="290" t="n">
        <v>45443</v>
      </c>
      <c r="C731" s="291" t="n">
        <v>117</v>
      </c>
      <c r="D731" s="292" t="inlineStr">
        <is>
          <t>Allen key, pliers, screwdrivers</t>
        </is>
      </c>
      <c r="E731" s="340" t="inlineStr">
        <is>
          <t>-</t>
        </is>
      </c>
      <c r="F731" s="285" t="n">
        <v>268000</v>
      </c>
      <c r="G731" s="294" t="inlineStr">
        <is>
          <t>IDR</t>
        </is>
      </c>
      <c r="H731" s="295" t="n">
        <v>1</v>
      </c>
      <c r="I731" s="282" t="n"/>
      <c r="J731" s="287" t="n"/>
      <c r="K731" s="281" t="n"/>
      <c r="L731" s="285" t="n"/>
      <c r="M731" s="288" t="n"/>
      <c r="N731" s="288" t="n">
        <v>268000</v>
      </c>
      <c r="O731" s="285" t="n"/>
      <c r="P731" s="287" t="n"/>
      <c r="Q731" s="289" t="n"/>
      <c r="R731" s="280" t="n"/>
      <c r="S731" s="280" t="n"/>
      <c r="T731" s="280" t="n"/>
      <c r="U731" s="280" t="n"/>
      <c r="V731" s="280" t="n"/>
      <c r="W731" s="280" t="n"/>
      <c r="X731" s="280" t="n"/>
      <c r="Y731" s="280" t="n"/>
      <c r="Z731" s="280" t="n"/>
      <c r="AA731" s="280" t="n"/>
      <c r="AB731" s="280" t="n"/>
      <c r="AC731" s="280" t="n"/>
      <c r="AD731" s="280" t="n"/>
    </row>
    <row r="732" ht="15.5" customHeight="1">
      <c r="B732" s="300" t="n"/>
      <c r="C732" s="316" t="n"/>
      <c r="D732" s="317" t="inlineStr">
        <is>
          <t>Transportation</t>
        </is>
      </c>
      <c r="E732" s="316" t="n"/>
      <c r="F732" s="318" t="n"/>
      <c r="G732" s="316" t="n"/>
      <c r="H732" s="316" t="n"/>
      <c r="I732" s="320" t="n"/>
      <c r="J732" s="320" t="n"/>
      <c r="K732" s="320" t="n"/>
      <c r="L732" s="320" t="n"/>
      <c r="M732" s="320" t="n"/>
      <c r="N732" s="320" t="n"/>
      <c r="O732" s="320" t="n"/>
      <c r="P732" s="320" t="n"/>
      <c r="Q732" s="320" t="n"/>
      <c r="R732" s="280" t="n"/>
      <c r="S732" s="280" t="n"/>
      <c r="T732" s="280" t="n"/>
      <c r="U732" s="280" t="n"/>
      <c r="V732" s="280" t="n"/>
      <c r="W732" s="280" t="n"/>
      <c r="X732" s="280" t="n"/>
      <c r="Y732" s="280" t="n"/>
      <c r="Z732" s="280" t="n"/>
      <c r="AA732" s="280" t="n"/>
      <c r="AB732" s="280" t="n"/>
      <c r="AC732" s="280" t="n"/>
      <c r="AD732" s="280" t="n"/>
    </row>
    <row r="733" ht="15.5" customHeight="1">
      <c r="B733" s="290" t="n">
        <v>45437</v>
      </c>
      <c r="C733" s="291" t="n">
        <v>118</v>
      </c>
      <c r="D733" s="292" t="inlineStr">
        <is>
          <t>fuel + tol PLM-Prabu</t>
        </is>
      </c>
      <c r="E733" s="340" t="inlineStr">
        <is>
          <t>-</t>
        </is>
      </c>
      <c r="F733" s="285" t="n">
        <v>312000</v>
      </c>
      <c r="G733" s="294" t="inlineStr">
        <is>
          <t>IDR</t>
        </is>
      </c>
      <c r="H733" s="295" t="n">
        <v>1</v>
      </c>
      <c r="I733" s="282" t="n"/>
      <c r="J733" s="287" t="n"/>
      <c r="K733" s="281" t="n"/>
      <c r="L733" s="285" t="n">
        <v>312000</v>
      </c>
      <c r="M733" s="288" t="n"/>
      <c r="N733" s="288" t="n"/>
      <c r="O733" s="285" t="n"/>
      <c r="P733" s="287" t="n"/>
      <c r="Q733" s="289" t="n"/>
      <c r="R733" s="280" t="n"/>
      <c r="S733" s="280" t="n"/>
      <c r="T733" s="280" t="n"/>
      <c r="U733" s="280" t="n"/>
      <c r="V733" s="280" t="n"/>
      <c r="W733" s="280" t="n"/>
      <c r="X733" s="280" t="n"/>
      <c r="Y733" s="280" t="n"/>
      <c r="Z733" s="280" t="n"/>
      <c r="AA733" s="280" t="n"/>
      <c r="AB733" s="280" t="n"/>
      <c r="AC733" s="280" t="n"/>
      <c r="AD733" s="280" t="n"/>
    </row>
    <row r="734" ht="15.5" customHeight="1">
      <c r="B734" s="310" t="inlineStr">
        <is>
          <t>Expense#17</t>
        </is>
      </c>
      <c r="C734" s="311" t="inlineStr">
        <is>
          <t>:</t>
        </is>
      </c>
      <c r="D734" s="312" t="inlineStr">
        <is>
          <t>ALFA JRK-193 - project SI_ TMA</t>
        </is>
      </c>
      <c r="E734" s="313" t="n"/>
      <c r="F734" s="314" t="n"/>
      <c r="G734" s="313" t="n"/>
      <c r="H734" s="313" t="n"/>
      <c r="I734" s="315" t="n"/>
      <c r="J734" s="315" t="n"/>
      <c r="K734" s="315" t="n"/>
      <c r="L734" s="315" t="n"/>
      <c r="M734" s="315" t="n"/>
      <c r="N734" s="315" t="n"/>
      <c r="O734" s="315" t="n"/>
      <c r="P734" s="315" t="n"/>
      <c r="Q734" s="315" t="n"/>
      <c r="R734" s="280" t="n"/>
      <c r="S734" s="280" t="n"/>
      <c r="T734" s="280" t="n"/>
      <c r="U734" s="280" t="n"/>
      <c r="V734" s="280" t="n"/>
      <c r="W734" s="280" t="n"/>
      <c r="X734" s="280" t="n"/>
      <c r="Y734" s="280" t="n"/>
      <c r="Z734" s="280" t="n"/>
      <c r="AA734" s="280" t="n"/>
      <c r="AB734" s="280" t="n"/>
      <c r="AC734" s="280" t="n"/>
      <c r="AD734" s="280" t="n"/>
    </row>
    <row r="735" ht="15.5" customHeight="1">
      <c r="B735" s="300" t="n"/>
      <c r="C735" s="316" t="n"/>
      <c r="D735" s="317" t="inlineStr">
        <is>
          <t>Accommodation</t>
        </is>
      </c>
      <c r="E735" s="316" t="n"/>
      <c r="F735" s="318" t="n"/>
      <c r="G735" s="316" t="n"/>
      <c r="H735" s="316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80" t="n"/>
      <c r="S735" s="280" t="n"/>
      <c r="T735" s="280" t="n"/>
      <c r="U735" s="280" t="n"/>
      <c r="V735" s="280" t="n"/>
      <c r="W735" s="280" t="n"/>
      <c r="X735" s="280" t="n"/>
      <c r="Y735" s="280" t="n"/>
      <c r="Z735" s="280" t="n"/>
      <c r="AA735" s="280" t="n"/>
      <c r="AB735" s="280" t="n"/>
      <c r="AC735" s="280" t="n"/>
      <c r="AD735" s="280" t="n"/>
    </row>
    <row r="736" ht="15.5" customHeight="1">
      <c r="B736" s="290" t="n">
        <v>45437</v>
      </c>
      <c r="C736" s="291" t="n">
        <v>119</v>
      </c>
      <c r="D736" s="292" t="inlineStr">
        <is>
          <t>Hotel 24 May - 30 May (6 days)</t>
        </is>
      </c>
      <c r="E736" s="340" t="inlineStr">
        <is>
          <t>-</t>
        </is>
      </c>
      <c r="F736" s="285" t="n">
        <v>1650000</v>
      </c>
      <c r="G736" s="294" t="inlineStr">
        <is>
          <t>IDR</t>
        </is>
      </c>
      <c r="H736" s="295" t="n">
        <v>1</v>
      </c>
      <c r="I736" s="282" t="n"/>
      <c r="J736" s="287" t="n"/>
      <c r="K736" s="281" t="n"/>
      <c r="L736" s="285" t="n">
        <v>1650000</v>
      </c>
      <c r="M736" s="288" t="n"/>
      <c r="N736" s="288" t="n"/>
      <c r="O736" s="285" t="n"/>
      <c r="P736" s="287" t="n"/>
      <c r="Q736" s="289" t="n"/>
      <c r="R736" s="280" t="n"/>
      <c r="S736" s="280" t="n"/>
      <c r="T736" s="280" t="n"/>
      <c r="U736" s="280" t="n"/>
      <c r="V736" s="280" t="n"/>
      <c r="W736" s="280" t="n"/>
      <c r="X736" s="280" t="n"/>
      <c r="Y736" s="280" t="n"/>
      <c r="Z736" s="280" t="n"/>
      <c r="AA736" s="280" t="n"/>
      <c r="AB736" s="280" t="n"/>
      <c r="AC736" s="280" t="n"/>
      <c r="AD736" s="280" t="n"/>
    </row>
    <row r="737" ht="15.5" customHeight="1">
      <c r="B737" s="300" t="n"/>
      <c r="C737" s="316" t="n"/>
      <c r="D737" s="317" t="inlineStr">
        <is>
          <t>Allowance</t>
        </is>
      </c>
      <c r="E737" s="316" t="n"/>
      <c r="F737" s="318" t="n"/>
      <c r="G737" s="316" t="n"/>
      <c r="H737" s="316" t="n"/>
      <c r="I737" s="320" t="n"/>
      <c r="J737" s="320" t="n"/>
      <c r="K737" s="320" t="n"/>
      <c r="L737" s="320" t="n"/>
      <c r="M737" s="320" t="n"/>
      <c r="N737" s="320" t="n"/>
      <c r="O737" s="320" t="n"/>
      <c r="P737" s="320" t="n"/>
      <c r="Q737" s="320" t="n"/>
      <c r="R737" s="280" t="n"/>
      <c r="S737" s="280" t="n"/>
      <c r="T737" s="280" t="n"/>
      <c r="U737" s="280" t="n"/>
      <c r="V737" s="280" t="n"/>
      <c r="W737" s="280" t="n"/>
      <c r="X737" s="280" t="n"/>
      <c r="Y737" s="280" t="n"/>
      <c r="Z737" s="280" t="n"/>
      <c r="AA737" s="280" t="n"/>
      <c r="AB737" s="280" t="n"/>
      <c r="AC737" s="280" t="n"/>
      <c r="AD737" s="280" t="n"/>
    </row>
    <row r="738" ht="15.5" customHeight="1">
      <c r="A738" s="162" t="n"/>
      <c r="B738" s="290" t="n">
        <v>45437</v>
      </c>
      <c r="C738" s="291" t="n">
        <v>120</v>
      </c>
      <c r="D738" s="292" t="inlineStr">
        <is>
          <t>Tunjangan Lapangan for 6 days</t>
        </is>
      </c>
      <c r="E738" s="345" t="inlineStr">
        <is>
          <t>-</t>
        </is>
      </c>
      <c r="F738" s="285" t="n">
        <v>9717600</v>
      </c>
      <c r="G738" s="294" t="inlineStr">
        <is>
          <t>USD</t>
        </is>
      </c>
      <c r="H738" s="295" t="n">
        <v>16196</v>
      </c>
      <c r="I738" s="282" t="n"/>
      <c r="J738" s="287" t="n"/>
      <c r="K738" s="281" t="n"/>
      <c r="L738" s="285" t="n">
        <v>9717600</v>
      </c>
      <c r="M738" s="288" t="n"/>
      <c r="N738" s="288" t="n"/>
      <c r="O738" s="285" t="n"/>
      <c r="P738" s="287" t="n"/>
      <c r="Q738" s="289" t="n"/>
      <c r="R738" s="280" t="n"/>
      <c r="S738" s="280" t="n"/>
      <c r="T738" s="280" t="n"/>
      <c r="U738" s="280" t="n"/>
      <c r="V738" s="280" t="n"/>
      <c r="W738" s="280" t="n"/>
      <c r="X738" s="280" t="n"/>
      <c r="Y738" s="280" t="n"/>
      <c r="Z738" s="280" t="n"/>
      <c r="AA738" s="280" t="n"/>
      <c r="AB738" s="280" t="n"/>
      <c r="AC738" s="280" t="n"/>
      <c r="AD738" s="280" t="n"/>
    </row>
    <row r="739" ht="15.5" customHeight="1">
      <c r="B739" s="300" t="n"/>
      <c r="C739" s="316" t="n"/>
      <c r="D739" s="317" t="inlineStr">
        <is>
          <t>Biaya Operasi Lain-lain</t>
        </is>
      </c>
      <c r="E739" s="316" t="n"/>
      <c r="F739" s="318" t="n"/>
      <c r="G739" s="316" t="n"/>
      <c r="H739" s="316" t="n"/>
      <c r="I739" s="320" t="n"/>
      <c r="J739" s="320" t="n"/>
      <c r="K739" s="320" t="n"/>
      <c r="L739" s="320" t="n"/>
      <c r="M739" s="320" t="n"/>
      <c r="N739" s="320" t="n"/>
      <c r="O739" s="320" t="n"/>
      <c r="P739" s="320" t="n"/>
      <c r="Q739" s="320" t="n"/>
      <c r="R739" s="280" t="n"/>
      <c r="S739" s="280" t="n"/>
      <c r="T739" s="280" t="n"/>
      <c r="U739" s="280" t="n"/>
      <c r="V739" s="280" t="n"/>
      <c r="W739" s="280" t="n"/>
      <c r="X739" s="280" t="n"/>
      <c r="Y739" s="280" t="n"/>
      <c r="Z739" s="280" t="n"/>
      <c r="AA739" s="280" t="n"/>
      <c r="AB739" s="280" t="n"/>
      <c r="AC739" s="280" t="n"/>
      <c r="AD739" s="280" t="n"/>
    </row>
    <row r="740" ht="15.5" customHeight="1">
      <c r="B740" s="290" t="n">
        <v>45437</v>
      </c>
      <c r="C740" s="291" t="n">
        <v>121</v>
      </c>
      <c r="D740" s="292" t="inlineStr">
        <is>
          <t>Rent Car 6 Days</t>
        </is>
      </c>
      <c r="E740" s="338" t="inlineStr">
        <is>
          <t>-</t>
        </is>
      </c>
      <c r="F740" s="285" t="n">
        <v>2900000</v>
      </c>
      <c r="G740" s="294" t="inlineStr">
        <is>
          <t>IDR</t>
        </is>
      </c>
      <c r="H740" s="295" t="n">
        <v>1</v>
      </c>
      <c r="I740" s="282" t="n"/>
      <c r="J740" s="287" t="n"/>
      <c r="K740" s="281" t="n"/>
      <c r="L740" s="285" t="n">
        <v>2900000</v>
      </c>
      <c r="M740" s="288" t="n"/>
      <c r="N740" s="288" t="n"/>
      <c r="O740" s="285" t="n"/>
      <c r="P740" s="287" t="n"/>
      <c r="Q740" s="289" t="n"/>
      <c r="R740" s="280" t="n"/>
      <c r="S740" s="280" t="n"/>
      <c r="T740" s="280" t="n"/>
      <c r="U740" s="280" t="n"/>
      <c r="V740" s="280" t="n"/>
      <c r="W740" s="280" t="n"/>
      <c r="X740" s="280" t="n"/>
      <c r="Y740" s="280" t="n"/>
      <c r="Z740" s="280" t="n"/>
      <c r="AA740" s="280" t="n"/>
      <c r="AB740" s="280" t="n"/>
      <c r="AC740" s="280" t="n"/>
      <c r="AD740" s="280" t="n"/>
    </row>
    <row r="741" ht="15.5" customHeight="1">
      <c r="B741" s="300" t="n"/>
      <c r="C741" s="316" t="n"/>
      <c r="D741" s="322" t="inlineStr">
        <is>
          <t>Laundry</t>
        </is>
      </c>
      <c r="E741" s="338" t="n"/>
      <c r="F741" s="318" t="n"/>
      <c r="G741" s="316" t="n"/>
      <c r="H741" s="316" t="n"/>
      <c r="I741" s="320" t="n"/>
      <c r="J741" s="346" t="n"/>
      <c r="K741" s="346" t="n"/>
      <c r="L741" s="346" t="n"/>
      <c r="M741" s="346" t="n"/>
      <c r="N741" s="346" t="n"/>
      <c r="O741" s="346" t="n"/>
      <c r="P741" s="320" t="n"/>
      <c r="Q741" s="320" t="n"/>
      <c r="R741" s="280" t="n"/>
      <c r="S741" s="280" t="n"/>
      <c r="T741" s="280" t="n"/>
      <c r="U741" s="280" t="n"/>
      <c r="V741" s="280" t="n"/>
      <c r="W741" s="280" t="n"/>
      <c r="X741" s="280" t="n"/>
      <c r="Y741" s="280" t="n"/>
      <c r="Z741" s="280" t="n"/>
      <c r="AA741" s="280" t="n"/>
      <c r="AB741" s="280" t="n"/>
      <c r="AC741" s="280" t="n"/>
      <c r="AD741" s="280" t="n"/>
    </row>
    <row r="742" ht="15.5" customHeight="1">
      <c r="B742" s="290" t="n">
        <v>45437</v>
      </c>
      <c r="C742" s="291" t="n">
        <v>122</v>
      </c>
      <c r="D742" s="292" t="inlineStr">
        <is>
          <t>Laundry 6 days 1 Persons @ 50K IDR/day</t>
        </is>
      </c>
      <c r="E742" s="347" t="inlineStr">
        <is>
          <t>-</t>
        </is>
      </c>
      <c r="F742" s="285" t="n">
        <v>300000</v>
      </c>
      <c r="G742" s="294" t="inlineStr">
        <is>
          <t>IDR</t>
        </is>
      </c>
      <c r="H742" s="295" t="n">
        <v>1</v>
      </c>
      <c r="I742" s="282" t="n"/>
      <c r="J742" s="287" t="n"/>
      <c r="K742" s="281" t="n"/>
      <c r="L742" s="285" t="n">
        <v>300000</v>
      </c>
      <c r="M742" s="288" t="n"/>
      <c r="N742" s="288" t="n"/>
      <c r="O742" s="285" t="n"/>
      <c r="P742" s="287" t="n"/>
      <c r="Q742" s="289" t="n"/>
      <c r="R742" s="280" t="n"/>
      <c r="S742" s="280" t="n"/>
      <c r="T742" s="280" t="n"/>
      <c r="U742" s="280" t="n"/>
      <c r="V742" s="280" t="n"/>
      <c r="W742" s="280" t="n"/>
      <c r="X742" s="280" t="n"/>
      <c r="Y742" s="280" t="n"/>
      <c r="Z742" s="280" t="n"/>
      <c r="AA742" s="280" t="n"/>
      <c r="AB742" s="280" t="n"/>
      <c r="AC742" s="280" t="n"/>
      <c r="AD742" s="280" t="n"/>
    </row>
    <row r="743" ht="15.5" customHeight="1">
      <c r="B743" s="300" t="n"/>
      <c r="C743" s="316" t="n"/>
      <c r="D743" s="322" t="inlineStr">
        <is>
          <t>Meal</t>
        </is>
      </c>
      <c r="E743" s="338" t="n"/>
      <c r="F743" s="318" t="n"/>
      <c r="G743" s="316" t="n"/>
      <c r="H743" s="316" t="n"/>
      <c r="I743" s="320" t="n"/>
      <c r="J743" s="346" t="n"/>
      <c r="K743" s="346" t="n"/>
      <c r="L743" s="346" t="n"/>
      <c r="M743" s="346" t="n"/>
      <c r="N743" s="346" t="n"/>
      <c r="O743" s="346" t="n"/>
      <c r="P743" s="320" t="n"/>
      <c r="Q743" s="320" t="n"/>
      <c r="R743" s="280" t="n"/>
      <c r="S743" s="280" t="n"/>
      <c r="T743" s="280" t="n"/>
      <c r="U743" s="280" t="n"/>
      <c r="V743" s="280" t="n"/>
      <c r="W743" s="280" t="n"/>
      <c r="X743" s="280" t="n"/>
      <c r="Y743" s="280" t="n"/>
      <c r="Z743" s="280" t="n"/>
      <c r="AA743" s="280" t="n"/>
      <c r="AB743" s="280" t="n"/>
      <c r="AC743" s="280" t="n"/>
      <c r="AD743" s="280" t="n"/>
    </row>
    <row r="744" ht="15.5" customHeight="1">
      <c r="B744" s="290" t="n">
        <v>45437</v>
      </c>
      <c r="C744" s="291" t="n">
        <v>123</v>
      </c>
      <c r="D744" s="292" t="inlineStr">
        <is>
          <t>Meals 7 days 1 Persons @ 150K IDR/day</t>
        </is>
      </c>
      <c r="E744" s="347" t="inlineStr">
        <is>
          <t>-</t>
        </is>
      </c>
      <c r="F744" s="285" t="n">
        <v>900000</v>
      </c>
      <c r="G744" s="294" t="inlineStr">
        <is>
          <t>IDR</t>
        </is>
      </c>
      <c r="H744" s="295" t="n">
        <v>1</v>
      </c>
      <c r="I744" s="282" t="n"/>
      <c r="J744" s="287" t="n"/>
      <c r="K744" s="281" t="n"/>
      <c r="L744" s="285" t="n">
        <v>900000</v>
      </c>
      <c r="M744" s="288" t="n"/>
      <c r="N744" s="288" t="n"/>
      <c r="O744" s="285" t="n"/>
      <c r="P744" s="287" t="n"/>
      <c r="Q744" s="289" t="n"/>
      <c r="R744" s="280" t="n"/>
      <c r="S744" s="280" t="n"/>
      <c r="T744" s="280" t="n"/>
      <c r="U744" s="280" t="n"/>
      <c r="V744" s="280" t="n"/>
      <c r="W744" s="280" t="n"/>
      <c r="X744" s="280" t="n"/>
      <c r="Y744" s="280" t="n"/>
      <c r="Z744" s="280" t="n"/>
      <c r="AA744" s="280" t="n"/>
      <c r="AB744" s="280" t="n"/>
      <c r="AC744" s="280" t="n"/>
      <c r="AD744" s="280" t="n"/>
    </row>
    <row r="745" ht="15.5" customHeight="1">
      <c r="B745" s="300" t="n"/>
      <c r="C745" s="316" t="n"/>
      <c r="D745" s="322" t="inlineStr">
        <is>
          <t>Transportation</t>
        </is>
      </c>
      <c r="E745" s="338" t="n"/>
      <c r="F745" s="318" t="n"/>
      <c r="G745" s="316" t="n"/>
      <c r="H745" s="316" t="n"/>
      <c r="I745" s="320" t="n"/>
      <c r="J745" s="346" t="n"/>
      <c r="K745" s="346" t="n"/>
      <c r="L745" s="346" t="n"/>
      <c r="M745" s="346" t="n"/>
      <c r="N745" s="346" t="n"/>
      <c r="O745" s="346" t="n"/>
      <c r="P745" s="320" t="n"/>
      <c r="Q745" s="320" t="n"/>
      <c r="R745" s="280" t="n"/>
      <c r="S745" s="280" t="n"/>
      <c r="T745" s="280" t="n"/>
      <c r="U745" s="280" t="n"/>
      <c r="V745" s="280" t="n"/>
      <c r="W745" s="280" t="n"/>
      <c r="X745" s="280" t="n"/>
      <c r="Y745" s="280" t="n"/>
      <c r="Z745" s="280" t="n"/>
      <c r="AA745" s="280" t="n"/>
      <c r="AB745" s="280" t="n"/>
      <c r="AC745" s="280" t="n"/>
      <c r="AD745" s="280" t="n"/>
    </row>
    <row r="746" ht="15.5" customHeight="1">
      <c r="B746" s="290" t="n">
        <v>45442</v>
      </c>
      <c r="C746" s="291" t="n">
        <v>124</v>
      </c>
      <c r="D746" s="292" t="inlineStr">
        <is>
          <t>Airplane Ticket PLM-CGK (2 Person)</t>
        </is>
      </c>
      <c r="E746" s="347" t="inlineStr">
        <is>
          <t>-</t>
        </is>
      </c>
      <c r="F746" s="285" t="n">
        <v>1326410</v>
      </c>
      <c r="G746" s="294" t="inlineStr">
        <is>
          <t>IDR</t>
        </is>
      </c>
      <c r="H746" s="295" t="n">
        <v>1</v>
      </c>
      <c r="I746" s="282" t="n"/>
      <c r="J746" s="287" t="n"/>
      <c r="K746" s="281" t="n"/>
      <c r="L746" s="285" t="n">
        <v>1326410</v>
      </c>
      <c r="M746" s="288" t="n"/>
      <c r="N746" s="288" t="n"/>
      <c r="O746" s="285" t="n"/>
      <c r="P746" s="287" t="n"/>
      <c r="Q746" s="289" t="n"/>
      <c r="R746" s="280" t="n"/>
      <c r="S746" s="280" t="n"/>
      <c r="T746" s="280" t="n"/>
      <c r="U746" s="280" t="n"/>
      <c r="V746" s="280" t="n"/>
      <c r="W746" s="280" t="n"/>
      <c r="X746" s="280" t="n"/>
      <c r="Y746" s="280" t="n"/>
      <c r="Z746" s="280" t="n"/>
      <c r="AA746" s="280" t="n"/>
      <c r="AB746" s="280" t="n"/>
      <c r="AC746" s="280" t="n"/>
      <c r="AD746" s="280" t="n"/>
    </row>
    <row r="747" ht="15.5" customHeight="1">
      <c r="B747" s="310" t="inlineStr">
        <is>
          <t>Expense#18</t>
        </is>
      </c>
      <c r="C747" s="311" t="inlineStr">
        <is>
          <t>:</t>
        </is>
      </c>
      <c r="D747" s="348" t="inlineStr">
        <is>
          <t>Non Trip - BOSIET Training - DS</t>
        </is>
      </c>
      <c r="E747" s="349" t="n"/>
      <c r="F747" s="314" t="n"/>
      <c r="G747" s="313" t="n"/>
      <c r="H747" s="313" t="n"/>
      <c r="I747" s="315" t="n"/>
      <c r="J747" s="350" t="n"/>
      <c r="K747" s="350" t="n"/>
      <c r="L747" s="350" t="n"/>
      <c r="M747" s="350" t="n"/>
      <c r="N747" s="350" t="n"/>
      <c r="O747" s="350" t="n"/>
      <c r="P747" s="315" t="n"/>
      <c r="Q747" s="315" t="n"/>
      <c r="R747" s="280" t="n"/>
      <c r="S747" s="280" t="n"/>
      <c r="T747" s="280" t="n"/>
      <c r="U747" s="280" t="n"/>
      <c r="V747" s="280" t="n"/>
      <c r="W747" s="280" t="n"/>
      <c r="X747" s="280" t="n"/>
      <c r="Y747" s="280" t="n"/>
      <c r="Z747" s="280" t="n"/>
      <c r="AA747" s="280" t="n"/>
      <c r="AB747" s="280" t="n"/>
      <c r="AC747" s="280" t="n"/>
      <c r="AD747" s="280" t="n"/>
    </row>
    <row r="748" ht="15.5" customHeight="1">
      <c r="B748" s="300" t="n"/>
      <c r="C748" s="316" t="n"/>
      <c r="D748" s="322" t="inlineStr">
        <is>
          <t>Biaya Operasi Lain-lain</t>
        </is>
      </c>
      <c r="E748" s="338" t="n"/>
      <c r="F748" s="318" t="n"/>
      <c r="G748" s="316" t="n"/>
      <c r="H748" s="316" t="n"/>
      <c r="I748" s="320" t="n"/>
      <c r="J748" s="346" t="n"/>
      <c r="K748" s="346" t="n"/>
      <c r="L748" s="346" t="n"/>
      <c r="M748" s="346" t="n"/>
      <c r="N748" s="346" t="n"/>
      <c r="O748" s="346" t="n"/>
      <c r="P748" s="320" t="n"/>
      <c r="Q748" s="320" t="n"/>
      <c r="R748" s="280" t="n"/>
      <c r="S748" s="280" t="n"/>
      <c r="T748" s="280" t="n"/>
      <c r="U748" s="280" t="n"/>
      <c r="V748" s="280" t="n"/>
      <c r="W748" s="280" t="n"/>
      <c r="X748" s="280" t="n"/>
      <c r="Y748" s="280" t="n"/>
      <c r="Z748" s="280" t="n"/>
      <c r="AA748" s="280" t="n"/>
      <c r="AB748" s="280" t="n"/>
      <c r="AC748" s="280" t="n"/>
      <c r="AD748" s="280" t="n"/>
    </row>
    <row r="749" ht="15.5" customHeight="1">
      <c r="B749" s="290" t="n">
        <v>45448</v>
      </c>
      <c r="C749" s="291" t="n">
        <v>125</v>
      </c>
      <c r="D749" s="292" t="inlineStr">
        <is>
          <t>Personal Car from Home to PT. LTJ (converted) DAY-1</t>
        </is>
      </c>
      <c r="E749" s="347" t="inlineStr">
        <is>
          <t>-</t>
        </is>
      </c>
      <c r="F749" s="285" t="n">
        <v>233000</v>
      </c>
      <c r="G749" s="294" t="inlineStr">
        <is>
          <t>IDR</t>
        </is>
      </c>
      <c r="H749" s="295" t="n">
        <v>1</v>
      </c>
      <c r="I749" s="282" t="n"/>
      <c r="J749" s="287" t="n"/>
      <c r="K749" s="281" t="n"/>
      <c r="L749" s="285" t="n">
        <v>233000</v>
      </c>
      <c r="M749" s="288" t="n"/>
      <c r="N749" s="288" t="n"/>
      <c r="O749" s="285" t="n"/>
      <c r="P749" s="287" t="n"/>
      <c r="Q749" s="289" t="n"/>
      <c r="R749" s="280" t="n"/>
      <c r="S749" s="280" t="n"/>
      <c r="T749" s="280" t="n"/>
      <c r="U749" s="280" t="n"/>
      <c r="V749" s="280" t="n"/>
      <c r="W749" s="280" t="n"/>
      <c r="X749" s="280" t="n"/>
      <c r="Y749" s="280" t="n"/>
      <c r="Z749" s="280" t="n"/>
      <c r="AA749" s="280" t="n"/>
      <c r="AB749" s="280" t="n"/>
      <c r="AC749" s="280" t="n"/>
      <c r="AD749" s="280" t="n"/>
    </row>
    <row r="750" ht="15.5" customHeight="1">
      <c r="B750" s="300" t="n"/>
      <c r="C750" s="319" t="n"/>
      <c r="D750" s="317" t="inlineStr">
        <is>
          <t>Training</t>
        </is>
      </c>
      <c r="E750" s="351" t="n"/>
      <c r="F750" s="351" t="n"/>
      <c r="G750" s="351" t="n"/>
      <c r="H750" s="351" t="n"/>
      <c r="I750" s="320" t="n"/>
      <c r="J750" s="320" t="n"/>
      <c r="K750" s="320" t="n"/>
      <c r="L750" s="320" t="n"/>
      <c r="M750" s="320" t="n"/>
      <c r="N750" s="320" t="n"/>
      <c r="O750" s="320" t="n"/>
      <c r="P750" s="320" t="n"/>
      <c r="Q750" s="320" t="n"/>
      <c r="R750" s="280" t="n"/>
      <c r="S750" s="280" t="n"/>
      <c r="T750" s="280" t="n"/>
      <c r="U750" s="280" t="n"/>
      <c r="V750" s="280" t="n"/>
      <c r="W750" s="280" t="n"/>
      <c r="X750" s="280" t="n"/>
      <c r="Y750" s="280" t="n"/>
      <c r="Z750" s="280" t="n"/>
      <c r="AA750" s="280" t="n"/>
      <c r="AB750" s="280" t="n"/>
      <c r="AC750" s="280" t="n"/>
      <c r="AD750" s="280" t="n"/>
    </row>
    <row r="751" ht="15.5" customHeight="1">
      <c r="B751" s="290" t="n">
        <v>45450</v>
      </c>
      <c r="C751" s="291" t="n">
        <v>126</v>
      </c>
      <c r="D751" s="292" t="inlineStr">
        <is>
          <t>BOSIET 5 - 7 June 2024</t>
        </is>
      </c>
      <c r="E751" s="289" t="inlineStr">
        <is>
          <t>-</t>
        </is>
      </c>
      <c r="F751" s="285" t="n">
        <v>9693878</v>
      </c>
      <c r="G751" s="294" t="inlineStr">
        <is>
          <t>IDR</t>
        </is>
      </c>
      <c r="H751" s="295" t="n">
        <v>1</v>
      </c>
      <c r="I751" s="282" t="n"/>
      <c r="J751" s="287" t="n"/>
      <c r="K751" s="281" t="n"/>
      <c r="L751" s="285" t="n">
        <v>9693878</v>
      </c>
      <c r="M751" s="288" t="n"/>
      <c r="N751" s="288" t="n"/>
      <c r="O751" s="285" t="n"/>
      <c r="P751" s="287" t="n"/>
      <c r="Q751" s="289" t="n"/>
      <c r="R751" s="280" t="n"/>
      <c r="S751" s="280" t="n"/>
      <c r="T751" s="280" t="n"/>
      <c r="U751" s="280" t="n"/>
      <c r="V751" s="280" t="n"/>
      <c r="W751" s="280" t="n"/>
      <c r="X751" s="280" t="n"/>
      <c r="Y751" s="280" t="n"/>
      <c r="Z751" s="280" t="n"/>
      <c r="AA751" s="280" t="n"/>
      <c r="AB751" s="280" t="n"/>
      <c r="AC751" s="280" t="n"/>
      <c r="AD751" s="280" t="n"/>
    </row>
    <row r="752">
      <c r="B752" s="351" t="n"/>
      <c r="C752" s="351" t="n"/>
      <c r="D752" s="317" t="inlineStr">
        <is>
          <t>Transportation</t>
        </is>
      </c>
      <c r="E752" s="351" t="n"/>
      <c r="F752" s="351" t="n"/>
      <c r="G752" s="351" t="n"/>
      <c r="H752" s="351" t="n"/>
      <c r="I752" s="351" t="n"/>
      <c r="J752" s="351" t="n"/>
      <c r="K752" s="351" t="n"/>
      <c r="L752" s="351" t="n"/>
      <c r="M752" s="351" t="n"/>
      <c r="N752" s="351" t="n"/>
      <c r="O752" s="351" t="n"/>
      <c r="P752" s="351" t="n"/>
      <c r="Q752" s="351" t="n"/>
      <c r="R752" s="280" t="n"/>
      <c r="S752" s="280" t="n"/>
      <c r="T752" s="280" t="n"/>
      <c r="U752" s="280" t="n"/>
      <c r="V752" s="280" t="n"/>
      <c r="W752" s="280" t="n"/>
      <c r="X752" s="280" t="n"/>
      <c r="Y752" s="280" t="n"/>
      <c r="Z752" s="280" t="n"/>
      <c r="AA752" s="280" t="n"/>
      <c r="AB752" s="280" t="n"/>
      <c r="AC752" s="280" t="n"/>
      <c r="AD752" s="280" t="n"/>
    </row>
    <row r="753" ht="15.5" customHeight="1">
      <c r="B753" s="290" t="n">
        <v>45450</v>
      </c>
      <c r="C753" s="291" t="n">
        <v>127</v>
      </c>
      <c r="D753" s="292" t="inlineStr">
        <is>
          <t>Transport DAY - 3 BOSIET</t>
        </is>
      </c>
      <c r="E753" s="289" t="inlineStr">
        <is>
          <t>-</t>
        </is>
      </c>
      <c r="F753" s="285" t="n">
        <v>59000</v>
      </c>
      <c r="G753" s="294" t="inlineStr">
        <is>
          <t>IDR</t>
        </is>
      </c>
      <c r="H753" s="295" t="n">
        <v>1</v>
      </c>
      <c r="I753" s="282" t="n"/>
      <c r="J753" s="287" t="n"/>
      <c r="K753" s="281" t="n"/>
      <c r="L753" s="285" t="n">
        <v>59000</v>
      </c>
      <c r="M753" s="288" t="n"/>
      <c r="N753" s="288" t="n"/>
      <c r="O753" s="285" t="n"/>
      <c r="P753" s="287" t="n"/>
      <c r="Q753" s="289" t="n"/>
      <c r="R753" s="280" t="n"/>
      <c r="S753" s="280" t="n"/>
      <c r="T753" s="280" t="n"/>
      <c r="U753" s="280" t="n"/>
      <c r="V753" s="280" t="n"/>
      <c r="W753" s="280" t="n"/>
      <c r="X753" s="280" t="n"/>
      <c r="Y753" s="280" t="n"/>
      <c r="Z753" s="280" t="n"/>
      <c r="AA753" s="280" t="n"/>
      <c r="AB753" s="280" t="n"/>
      <c r="AC753" s="280" t="n"/>
      <c r="AD753" s="280" t="n"/>
    </row>
    <row r="754">
      <c r="B754" s="312" t="inlineStr">
        <is>
          <t>Expense#19</t>
        </is>
      </c>
      <c r="C754" s="311" t="inlineStr">
        <is>
          <t>:</t>
        </is>
      </c>
      <c r="D754" s="312" t="inlineStr">
        <is>
          <t>ALFA JRK-163 (Pending job) - TMA</t>
        </is>
      </c>
      <c r="E754" s="313" t="n"/>
      <c r="F754" s="313" t="n"/>
      <c r="G754" s="313" t="n"/>
      <c r="H754" s="313" t="n"/>
      <c r="I754" s="313" t="n"/>
      <c r="J754" s="313" t="n"/>
      <c r="K754" s="313" t="n"/>
      <c r="L754" s="313" t="n"/>
      <c r="M754" s="313" t="n"/>
      <c r="N754" s="313" t="n"/>
      <c r="O754" s="313" t="n"/>
      <c r="P754" s="313" t="n"/>
      <c r="Q754" s="313" t="n"/>
      <c r="R754" s="280" t="n"/>
      <c r="S754" s="280" t="n"/>
      <c r="T754" s="280" t="n"/>
      <c r="U754" s="280" t="n"/>
      <c r="V754" s="280" t="n"/>
      <c r="W754" s="280" t="n"/>
      <c r="X754" s="280" t="n"/>
      <c r="Y754" s="280" t="n"/>
      <c r="Z754" s="280" t="n"/>
      <c r="AA754" s="280" t="n"/>
      <c r="AB754" s="280" t="n"/>
      <c r="AC754" s="280" t="n"/>
      <c r="AD754" s="280" t="n"/>
    </row>
    <row r="755">
      <c r="B755" s="351" t="n"/>
      <c r="C755" s="351" t="n"/>
      <c r="D755" s="317" t="inlineStr">
        <is>
          <t>Accommodation</t>
        </is>
      </c>
      <c r="E755" s="351" t="n"/>
      <c r="F755" s="351" t="n"/>
      <c r="G755" s="351" t="n"/>
      <c r="H755" s="351" t="n"/>
      <c r="I755" s="351" t="n"/>
      <c r="J755" s="351" t="n"/>
      <c r="K755" s="351" t="n"/>
      <c r="L755" s="351" t="n"/>
      <c r="M755" s="351" t="n"/>
      <c r="N755" s="351" t="n"/>
      <c r="O755" s="351" t="n"/>
      <c r="P755" s="351" t="n"/>
      <c r="Q755" s="351" t="n"/>
      <c r="R755" s="280" t="n"/>
      <c r="S755" s="280" t="n"/>
      <c r="T755" s="280" t="n"/>
      <c r="U755" s="280" t="n"/>
      <c r="V755" s="280" t="n"/>
      <c r="W755" s="280" t="n"/>
      <c r="X755" s="280" t="n"/>
      <c r="Y755" s="280" t="n"/>
      <c r="Z755" s="280" t="n"/>
      <c r="AA755" s="280" t="n"/>
      <c r="AB755" s="280" t="n"/>
      <c r="AC755" s="280" t="n"/>
      <c r="AD755" s="280" t="n"/>
    </row>
    <row r="756" ht="15.5" customHeight="1">
      <c r="B756" s="290" t="n">
        <v>45428</v>
      </c>
      <c r="C756" s="291" t="n">
        <v>128</v>
      </c>
      <c r="D756" s="292" t="inlineStr">
        <is>
          <t>Hotel 16 June - 19 June (3 days)</t>
        </is>
      </c>
      <c r="E756" s="289" t="inlineStr">
        <is>
          <t>-</t>
        </is>
      </c>
      <c r="F756" s="285" t="n">
        <v>720000</v>
      </c>
      <c r="G756" s="294" t="inlineStr">
        <is>
          <t>IDR</t>
        </is>
      </c>
      <c r="H756" s="295" t="n">
        <v>1</v>
      </c>
      <c r="I756" s="282" t="n"/>
      <c r="J756" s="287" t="n"/>
      <c r="K756" s="281" t="n"/>
      <c r="L756" s="285" t="n">
        <v>720000</v>
      </c>
      <c r="M756" s="288" t="n"/>
      <c r="N756" s="288" t="n"/>
      <c r="O756" s="285" t="n"/>
      <c r="P756" s="287" t="n"/>
      <c r="Q756" s="289" t="n"/>
      <c r="R756" s="280" t="n"/>
      <c r="S756" s="280" t="n"/>
      <c r="T756" s="280" t="n"/>
      <c r="U756" s="280" t="n"/>
      <c r="V756" s="280" t="n"/>
      <c r="W756" s="280" t="n"/>
      <c r="X756" s="280" t="n"/>
      <c r="Y756" s="280" t="n"/>
      <c r="Z756" s="280" t="n"/>
      <c r="AA756" s="280" t="n"/>
      <c r="AB756" s="280" t="n"/>
      <c r="AC756" s="280" t="n"/>
      <c r="AD756" s="280" t="n"/>
    </row>
    <row r="757">
      <c r="B757" s="351" t="n"/>
      <c r="C757" s="351" t="n"/>
      <c r="D757" s="317" t="inlineStr">
        <is>
          <t>Allowance</t>
        </is>
      </c>
      <c r="E757" s="351" t="n"/>
      <c r="F757" s="351" t="n"/>
      <c r="G757" s="351" t="n"/>
      <c r="H757" s="351" t="n"/>
      <c r="I757" s="351" t="n"/>
      <c r="J757" s="351" t="n"/>
      <c r="K757" s="351" t="n"/>
      <c r="L757" s="351" t="n"/>
      <c r="M757" s="351" t="n"/>
      <c r="N757" s="351" t="n"/>
      <c r="O757" s="351" t="n"/>
      <c r="P757" s="351" t="n"/>
      <c r="Q757" s="351" t="n"/>
      <c r="R757" s="280" t="n"/>
      <c r="S757" s="280" t="n"/>
      <c r="T757" s="280" t="n"/>
      <c r="U757" s="280" t="n"/>
      <c r="V757" s="280" t="n"/>
      <c r="W757" s="280" t="n"/>
      <c r="X757" s="280" t="n"/>
      <c r="Y757" s="280" t="n"/>
      <c r="Z757" s="280" t="n"/>
      <c r="AA757" s="280" t="n"/>
      <c r="AB757" s="280" t="n"/>
      <c r="AC757" s="280" t="n"/>
      <c r="AD757" s="280" t="n"/>
    </row>
    <row r="758" ht="15.5" customHeight="1">
      <c r="B758" s="290" t="n">
        <v>45428</v>
      </c>
      <c r="C758" s="291" t="n">
        <v>129</v>
      </c>
      <c r="D758" s="292" t="inlineStr">
        <is>
          <t>Tunjangan Lapangan for 4 days</t>
        </is>
      </c>
      <c r="E758" s="289" t="inlineStr">
        <is>
          <t>-</t>
        </is>
      </c>
      <c r="F758" s="285" t="n">
        <v>6551200</v>
      </c>
      <c r="G758" s="294" t="inlineStr">
        <is>
          <t>USD</t>
        </is>
      </c>
      <c r="H758" s="295" t="n">
        <v>16378</v>
      </c>
      <c r="I758" s="282" t="n"/>
      <c r="J758" s="287" t="n"/>
      <c r="K758" s="281" t="n"/>
      <c r="L758" s="285" t="n">
        <v>6551200</v>
      </c>
      <c r="M758" s="288" t="n"/>
      <c r="N758" s="288" t="n"/>
      <c r="O758" s="285" t="n"/>
      <c r="P758" s="287" t="n"/>
      <c r="Q758" s="289" t="n"/>
      <c r="R758" s="280" t="n"/>
      <c r="S758" s="280" t="n"/>
      <c r="T758" s="280" t="n"/>
      <c r="U758" s="280" t="n"/>
      <c r="V758" s="280" t="n"/>
      <c r="W758" s="280" t="n"/>
      <c r="X758" s="280" t="n"/>
      <c r="Y758" s="280" t="n"/>
      <c r="Z758" s="280" t="n"/>
      <c r="AA758" s="280" t="n"/>
      <c r="AB758" s="280" t="n"/>
      <c r="AC758" s="280" t="n"/>
      <c r="AD758" s="280" t="n"/>
    </row>
    <row r="759">
      <c r="B759" s="351" t="n"/>
      <c r="C759" s="351" t="n"/>
      <c r="D759" s="317" t="inlineStr">
        <is>
          <t>Biaya Operasi Lain-lain</t>
        </is>
      </c>
      <c r="E759" s="351" t="n"/>
      <c r="F759" s="351" t="n"/>
      <c r="G759" s="351" t="n"/>
      <c r="H759" s="351" t="n"/>
      <c r="I759" s="351" t="n"/>
      <c r="J759" s="351" t="n"/>
      <c r="K759" s="351" t="n"/>
      <c r="L759" s="351" t="n"/>
      <c r="M759" s="351" t="n"/>
      <c r="N759" s="351" t="n"/>
      <c r="O759" s="351" t="n"/>
      <c r="P759" s="351" t="n"/>
      <c r="Q759" s="351" t="n"/>
      <c r="R759" s="280" t="n"/>
      <c r="S759" s="280" t="n"/>
      <c r="T759" s="280" t="n"/>
      <c r="U759" s="280" t="n"/>
      <c r="V759" s="280" t="n"/>
      <c r="W759" s="280" t="n"/>
      <c r="X759" s="280" t="n"/>
      <c r="Y759" s="280" t="n"/>
      <c r="Z759" s="280" t="n"/>
      <c r="AA759" s="280" t="n"/>
      <c r="AB759" s="280" t="n"/>
      <c r="AC759" s="280" t="n"/>
      <c r="AD759" s="280" t="n"/>
    </row>
    <row r="760" ht="15.5" customHeight="1">
      <c r="B760" s="290" t="n">
        <v>45428</v>
      </c>
      <c r="C760" s="291" t="n">
        <v>130</v>
      </c>
      <c r="D760" s="292" t="inlineStr">
        <is>
          <t>Rent Car 4 Days</t>
        </is>
      </c>
      <c r="E760" s="289" t="inlineStr">
        <is>
          <t>-</t>
        </is>
      </c>
      <c r="F760" s="285" t="n">
        <v>2000000</v>
      </c>
      <c r="G760" s="294" t="inlineStr">
        <is>
          <t>IDR</t>
        </is>
      </c>
      <c r="H760" s="295" t="n">
        <v>1</v>
      </c>
      <c r="I760" s="282" t="n"/>
      <c r="J760" s="287" t="n"/>
      <c r="K760" s="281" t="n"/>
      <c r="L760" s="285" t="n">
        <v>2000000</v>
      </c>
      <c r="M760" s="288" t="n"/>
      <c r="N760" s="288" t="n"/>
      <c r="O760" s="285" t="n"/>
      <c r="P760" s="287" t="n"/>
      <c r="Q760" s="289" t="n"/>
      <c r="R760" s="280" t="n"/>
      <c r="S760" s="280" t="n"/>
      <c r="T760" s="280" t="n"/>
      <c r="U760" s="280" t="n"/>
      <c r="V760" s="280" t="n"/>
      <c r="W760" s="280" t="n"/>
      <c r="X760" s="280" t="n"/>
      <c r="Y760" s="280" t="n"/>
      <c r="Z760" s="280" t="n"/>
      <c r="AA760" s="280" t="n"/>
      <c r="AB760" s="280" t="n"/>
      <c r="AC760" s="280" t="n"/>
      <c r="AD760" s="280" t="n"/>
    </row>
    <row r="761">
      <c r="B761" s="351" t="n"/>
      <c r="C761" s="351" t="n"/>
      <c r="D761" s="317" t="inlineStr">
        <is>
          <t>Elektronik &amp; Gadget</t>
        </is>
      </c>
      <c r="E761" s="351" t="n"/>
      <c r="F761" s="351" t="n"/>
      <c r="G761" s="351" t="n"/>
      <c r="H761" s="351" t="n"/>
      <c r="I761" s="351" t="n"/>
      <c r="J761" s="351" t="n"/>
      <c r="K761" s="351" t="n"/>
      <c r="L761" s="351" t="n"/>
      <c r="M761" s="351" t="n"/>
      <c r="N761" s="351" t="n"/>
      <c r="O761" s="351" t="n"/>
      <c r="P761" s="351" t="n"/>
      <c r="Q761" s="351" t="n"/>
      <c r="R761" s="280" t="n"/>
      <c r="S761" s="280" t="n"/>
      <c r="T761" s="280" t="n"/>
      <c r="U761" s="280" t="n"/>
      <c r="V761" s="280" t="n"/>
      <c r="W761" s="280" t="n"/>
      <c r="X761" s="280" t="n"/>
      <c r="Y761" s="280" t="n"/>
      <c r="Z761" s="280" t="n"/>
      <c r="AA761" s="280" t="n"/>
      <c r="AB761" s="280" t="n"/>
      <c r="AC761" s="280" t="n"/>
      <c r="AD761" s="280" t="n"/>
    </row>
    <row r="762" ht="15.5" customHeight="1">
      <c r="B762" s="290" t="n">
        <v>45428</v>
      </c>
      <c r="C762" s="291" t="n">
        <v>131</v>
      </c>
      <c r="D762" s="292" t="inlineStr">
        <is>
          <t>Uneed Power Station</t>
        </is>
      </c>
      <c r="E762" s="289" t="inlineStr">
        <is>
          <t>-</t>
        </is>
      </c>
      <c r="F762" s="285" t="n">
        <v>2371000</v>
      </c>
      <c r="G762" s="294" t="inlineStr">
        <is>
          <t>IDR</t>
        </is>
      </c>
      <c r="H762" s="295" t="n">
        <v>1</v>
      </c>
      <c r="I762" s="282" t="n"/>
      <c r="J762" s="287" t="n"/>
      <c r="K762" s="281" t="n"/>
      <c r="L762" s="285" t="n"/>
      <c r="M762" s="288" t="n"/>
      <c r="N762" s="288" t="n">
        <v>2371000</v>
      </c>
      <c r="O762" s="285" t="n"/>
      <c r="P762" s="287" t="n"/>
      <c r="Q762" s="289" t="n"/>
      <c r="R762" s="280" t="n"/>
      <c r="S762" s="280" t="n"/>
      <c r="T762" s="280" t="n"/>
      <c r="U762" s="280" t="n"/>
      <c r="V762" s="280" t="n"/>
      <c r="W762" s="280" t="n"/>
      <c r="X762" s="280" t="n"/>
      <c r="Y762" s="280" t="n"/>
      <c r="Z762" s="280" t="n"/>
      <c r="AA762" s="280" t="n"/>
      <c r="AB762" s="280" t="n"/>
      <c r="AC762" s="280" t="n"/>
      <c r="AD762" s="280" t="n"/>
    </row>
    <row r="763">
      <c r="B763" s="351" t="n"/>
      <c r="C763" s="351" t="n"/>
      <c r="D763" s="317" t="inlineStr">
        <is>
          <t>Laundry</t>
        </is>
      </c>
      <c r="E763" s="351" t="n"/>
      <c r="F763" s="351" t="n"/>
      <c r="G763" s="351" t="n"/>
      <c r="H763" s="351" t="n"/>
      <c r="I763" s="351" t="n"/>
      <c r="J763" s="351" t="n"/>
      <c r="K763" s="351" t="n"/>
      <c r="L763" s="351" t="n"/>
      <c r="M763" s="351" t="n"/>
      <c r="N763" s="351" t="n"/>
      <c r="O763" s="351" t="n"/>
      <c r="P763" s="351" t="n"/>
      <c r="Q763" s="351" t="n"/>
      <c r="R763" s="280" t="n"/>
      <c r="S763" s="280" t="n"/>
      <c r="T763" s="280" t="n"/>
      <c r="U763" s="280" t="n"/>
      <c r="V763" s="280" t="n"/>
      <c r="W763" s="280" t="n"/>
      <c r="X763" s="280" t="n"/>
      <c r="Y763" s="280" t="n"/>
      <c r="Z763" s="280" t="n"/>
      <c r="AA763" s="280" t="n"/>
      <c r="AB763" s="280" t="n"/>
      <c r="AC763" s="280" t="n"/>
      <c r="AD763" s="280" t="n"/>
    </row>
    <row r="764" ht="15.5" customHeight="1">
      <c r="B764" s="290" t="n">
        <v>45428</v>
      </c>
      <c r="C764" s="291" t="n">
        <v>132</v>
      </c>
      <c r="D764" s="292" t="inlineStr">
        <is>
          <t>Laundry 4 days 1 Persons @ 50K IDR/day</t>
        </is>
      </c>
      <c r="E764" s="289" t="inlineStr">
        <is>
          <t>-</t>
        </is>
      </c>
      <c r="F764" s="285" t="n">
        <v>200000</v>
      </c>
      <c r="G764" s="294" t="inlineStr">
        <is>
          <t>IDR</t>
        </is>
      </c>
      <c r="H764" s="295" t="n">
        <v>1</v>
      </c>
      <c r="I764" s="282" t="n"/>
      <c r="J764" s="287" t="n"/>
      <c r="K764" s="281" t="n"/>
      <c r="L764" s="285" t="n">
        <v>200000</v>
      </c>
      <c r="M764" s="288" t="n"/>
      <c r="N764" s="288" t="n"/>
      <c r="O764" s="285" t="n"/>
      <c r="P764" s="287" t="n"/>
      <c r="Q764" s="289" t="n"/>
      <c r="R764" s="280" t="n"/>
      <c r="S764" s="280" t="n"/>
      <c r="T764" s="280" t="n"/>
      <c r="U764" s="280" t="n"/>
      <c r="V764" s="280" t="n"/>
      <c r="W764" s="280" t="n"/>
      <c r="X764" s="280" t="n"/>
      <c r="Y764" s="280" t="n"/>
      <c r="Z764" s="280" t="n"/>
      <c r="AA764" s="280" t="n"/>
      <c r="AB764" s="280" t="n"/>
      <c r="AC764" s="280" t="n"/>
      <c r="AD764" s="280" t="n"/>
    </row>
    <row r="765">
      <c r="B765" s="351" t="n"/>
      <c r="C765" s="351" t="n"/>
      <c r="D765" s="317" t="inlineStr">
        <is>
          <t>Meal</t>
        </is>
      </c>
      <c r="E765" s="351" t="n"/>
      <c r="F765" s="351" t="n"/>
      <c r="G765" s="351" t="n"/>
      <c r="H765" s="351" t="n"/>
      <c r="I765" s="351" t="n"/>
      <c r="J765" s="351" t="n"/>
      <c r="K765" s="351" t="n"/>
      <c r="L765" s="351" t="n"/>
      <c r="M765" s="351" t="n"/>
      <c r="N765" s="351" t="n"/>
      <c r="O765" s="351" t="n"/>
      <c r="P765" s="351" t="n"/>
      <c r="Q765" s="351" t="n"/>
      <c r="R765" s="280" t="n"/>
      <c r="S765" s="280" t="n"/>
      <c r="T765" s="280" t="n"/>
      <c r="U765" s="280" t="n"/>
      <c r="V765" s="280" t="n"/>
      <c r="W765" s="280" t="n"/>
      <c r="X765" s="280" t="n"/>
      <c r="Y765" s="280" t="n"/>
      <c r="Z765" s="280" t="n"/>
      <c r="AA765" s="280" t="n"/>
      <c r="AB765" s="280" t="n"/>
      <c r="AC765" s="280" t="n"/>
      <c r="AD765" s="280" t="n"/>
    </row>
    <row r="766" ht="15.5" customHeight="1">
      <c r="B766" s="290" t="n">
        <v>45428</v>
      </c>
      <c r="C766" s="291" t="n">
        <v>133</v>
      </c>
      <c r="D766" s="292" t="inlineStr">
        <is>
          <t>Meals 4 days 1 Persons @ 150K IDR/day</t>
        </is>
      </c>
      <c r="E766" s="289" t="inlineStr">
        <is>
          <t>-</t>
        </is>
      </c>
      <c r="F766" s="285" t="n">
        <v>600000</v>
      </c>
      <c r="G766" s="294" t="inlineStr">
        <is>
          <t>IDR</t>
        </is>
      </c>
      <c r="H766" s="295" t="n">
        <v>1</v>
      </c>
      <c r="I766" s="282" t="n"/>
      <c r="J766" s="287" t="n"/>
      <c r="K766" s="281" t="n"/>
      <c r="L766" s="285" t="n">
        <v>600000</v>
      </c>
      <c r="M766" s="288" t="n"/>
      <c r="N766" s="288" t="n"/>
      <c r="O766" s="285" t="n"/>
      <c r="P766" s="287" t="n"/>
      <c r="Q766" s="289" t="n"/>
      <c r="R766" s="280" t="n"/>
      <c r="S766" s="280" t="n"/>
      <c r="T766" s="280" t="n"/>
      <c r="U766" s="280" t="n"/>
      <c r="V766" s="280" t="n"/>
      <c r="W766" s="280" t="n"/>
      <c r="X766" s="280" t="n"/>
      <c r="Y766" s="280" t="n"/>
      <c r="Z766" s="280" t="n"/>
      <c r="AA766" s="280" t="n"/>
      <c r="AB766" s="280" t="n"/>
      <c r="AC766" s="280" t="n"/>
      <c r="AD766" s="280" t="n"/>
    </row>
    <row r="767">
      <c r="B767" s="351" t="n"/>
      <c r="C767" s="351" t="n"/>
      <c r="D767" s="317" t="inlineStr">
        <is>
          <t>Transportation</t>
        </is>
      </c>
      <c r="E767" s="351" t="n"/>
      <c r="F767" s="351" t="n"/>
      <c r="G767" s="351" t="n"/>
      <c r="H767" s="351" t="n"/>
      <c r="I767" s="351" t="n"/>
      <c r="J767" s="351" t="n"/>
      <c r="K767" s="351" t="n"/>
      <c r="L767" s="351" t="n"/>
      <c r="M767" s="351" t="n"/>
      <c r="N767" s="351" t="n"/>
      <c r="O767" s="351" t="n"/>
      <c r="P767" s="351" t="n"/>
      <c r="Q767" s="351" t="n"/>
      <c r="R767" s="280" t="n"/>
      <c r="S767" s="280" t="n"/>
      <c r="T767" s="280" t="n"/>
      <c r="U767" s="280" t="n"/>
      <c r="V767" s="280" t="n"/>
      <c r="W767" s="280" t="n"/>
      <c r="X767" s="280" t="n"/>
      <c r="Y767" s="280" t="n"/>
      <c r="Z767" s="280" t="n"/>
      <c r="AA767" s="280" t="n"/>
      <c r="AB767" s="280" t="n"/>
      <c r="AC767" s="280" t="n"/>
      <c r="AD767" s="280" t="n"/>
    </row>
    <row r="768" ht="15.5" customHeight="1">
      <c r="B768" s="290" t="n">
        <v>45428</v>
      </c>
      <c r="C768" s="291" t="n">
        <v>134</v>
      </c>
      <c r="D768" s="292" t="inlineStr">
        <is>
          <t>Airplane Ticket PLM-HLP</t>
        </is>
      </c>
      <c r="E768" s="289" t="inlineStr">
        <is>
          <t>-</t>
        </is>
      </c>
      <c r="F768" s="285" t="n">
        <v>1004000</v>
      </c>
      <c r="G768" s="294" t="inlineStr">
        <is>
          <t>IDR</t>
        </is>
      </c>
      <c r="H768" s="295" t="n">
        <v>1</v>
      </c>
      <c r="I768" s="282" t="n"/>
      <c r="J768" s="287" t="n"/>
      <c r="K768" s="281" t="n"/>
      <c r="L768" s="285" t="n">
        <v>1004000</v>
      </c>
      <c r="M768" s="288" t="n"/>
      <c r="N768" s="288" t="n"/>
      <c r="O768" s="285" t="n"/>
      <c r="P768" s="287" t="n"/>
      <c r="Q768" s="289" t="n"/>
      <c r="R768" s="280" t="n"/>
      <c r="S768" s="280" t="n"/>
      <c r="T768" s="280" t="n"/>
      <c r="U768" s="280" t="n"/>
      <c r="V768" s="280" t="n"/>
      <c r="W768" s="280" t="n"/>
      <c r="X768" s="280" t="n"/>
      <c r="Y768" s="280" t="n"/>
      <c r="Z768" s="280" t="n"/>
      <c r="AA768" s="280" t="n"/>
      <c r="AB768" s="280" t="n"/>
      <c r="AC768" s="280" t="n"/>
      <c r="AD768" s="280" t="n"/>
    </row>
    <row r="769">
      <c r="B769" s="312" t="inlineStr">
        <is>
          <t>Expense#20</t>
        </is>
      </c>
      <c r="C769" s="311" t="inlineStr">
        <is>
          <t>:</t>
        </is>
      </c>
      <c r="D769" s="312" t="inlineStr">
        <is>
          <t>Preparation TIS Petroleum - TMA</t>
        </is>
      </c>
      <c r="E769" s="313" t="n"/>
      <c r="F769" s="313" t="n"/>
      <c r="G769" s="313" t="n"/>
      <c r="H769" s="313" t="n"/>
      <c r="I769" s="313" t="n"/>
      <c r="J769" s="313" t="n"/>
      <c r="K769" s="313" t="n"/>
      <c r="L769" s="313" t="n"/>
      <c r="M769" s="313" t="n"/>
      <c r="N769" s="313" t="n"/>
      <c r="O769" s="313" t="n"/>
      <c r="P769" s="313" t="n"/>
      <c r="Q769" s="313" t="n"/>
      <c r="R769" s="280" t="n"/>
      <c r="S769" s="280" t="n"/>
      <c r="T769" s="280" t="n"/>
      <c r="U769" s="280" t="n"/>
      <c r="V769" s="280" t="n"/>
      <c r="W769" s="280" t="n"/>
      <c r="X769" s="280" t="n"/>
      <c r="Y769" s="280" t="n"/>
      <c r="Z769" s="280" t="n"/>
      <c r="AA769" s="280" t="n"/>
      <c r="AB769" s="280" t="n"/>
      <c r="AC769" s="280" t="n"/>
      <c r="AD769" s="280" t="n"/>
    </row>
    <row r="770">
      <c r="B770" s="351" t="n"/>
      <c r="C770" s="351" t="n"/>
      <c r="D770" s="317" t="inlineStr">
        <is>
          <t>Sparepart</t>
        </is>
      </c>
      <c r="E770" s="351" t="n"/>
      <c r="F770" s="351" t="n"/>
      <c r="G770" s="351" t="n"/>
      <c r="H770" s="351" t="n"/>
      <c r="I770" s="351" t="n"/>
      <c r="J770" s="351" t="n"/>
      <c r="K770" s="351" t="n"/>
      <c r="L770" s="351" t="n"/>
      <c r="M770" s="351" t="n"/>
      <c r="N770" s="351" t="n"/>
      <c r="O770" s="351" t="n"/>
      <c r="P770" s="351" t="n"/>
      <c r="Q770" s="351" t="n"/>
      <c r="R770" s="280" t="n"/>
      <c r="S770" s="280" t="n"/>
      <c r="T770" s="280" t="n"/>
      <c r="U770" s="280" t="n"/>
      <c r="V770" s="280" t="n"/>
      <c r="W770" s="280" t="n"/>
      <c r="X770" s="280" t="n"/>
      <c r="Y770" s="280" t="n"/>
      <c r="Z770" s="280" t="n"/>
      <c r="AA770" s="280" t="n"/>
      <c r="AB770" s="280" t="n"/>
      <c r="AC770" s="280" t="n"/>
      <c r="AD770" s="280" t="n"/>
    </row>
    <row r="771" ht="15.5" customHeight="1">
      <c r="B771" s="290" t="n">
        <v>45483</v>
      </c>
      <c r="C771" s="291" t="n">
        <v>135</v>
      </c>
      <c r="D771" s="292" t="inlineStr">
        <is>
          <t>Hardcase Custom</t>
        </is>
      </c>
      <c r="E771" s="289" t="inlineStr">
        <is>
          <t>-</t>
        </is>
      </c>
      <c r="F771" s="285" t="n">
        <v>3595000</v>
      </c>
      <c r="G771" s="294" t="inlineStr">
        <is>
          <t>IDR</t>
        </is>
      </c>
      <c r="H771" s="295" t="n">
        <v>1</v>
      </c>
      <c r="I771" s="282" t="n"/>
      <c r="J771" s="287" t="n"/>
      <c r="K771" s="281" t="n"/>
      <c r="L771" s="285" t="n"/>
      <c r="M771" s="288" t="n"/>
      <c r="N771" s="288" t="n">
        <v>3595000</v>
      </c>
      <c r="O771" s="285" t="n"/>
      <c r="P771" s="287" t="n"/>
      <c r="Q771" s="289" t="n"/>
      <c r="R771" s="280" t="n"/>
      <c r="S771" s="280" t="n"/>
      <c r="T771" s="280" t="n"/>
      <c r="U771" s="280" t="n"/>
      <c r="V771" s="280" t="n"/>
      <c r="W771" s="280" t="n"/>
      <c r="X771" s="280" t="n"/>
      <c r="Y771" s="280" t="n"/>
      <c r="Z771" s="280" t="n"/>
      <c r="AA771" s="280" t="n"/>
      <c r="AB771" s="280" t="n"/>
      <c r="AC771" s="280" t="n"/>
      <c r="AD771" s="280" t="n"/>
    </row>
    <row r="772">
      <c r="B772" s="351" t="n"/>
      <c r="C772" s="351" t="n"/>
      <c r="D772" s="317" t="inlineStr">
        <is>
          <t>Transportation</t>
        </is>
      </c>
      <c r="E772" s="351" t="n"/>
      <c r="F772" s="351" t="n"/>
      <c r="G772" s="351" t="n"/>
      <c r="H772" s="351" t="n"/>
      <c r="I772" s="351" t="n"/>
      <c r="J772" s="351" t="n"/>
      <c r="K772" s="351" t="n"/>
      <c r="L772" s="351" t="n"/>
      <c r="M772" s="351" t="n"/>
      <c r="N772" s="351" t="n"/>
      <c r="O772" s="351" t="n"/>
      <c r="P772" s="351" t="n"/>
      <c r="Q772" s="351" t="n"/>
      <c r="R772" s="280" t="n"/>
      <c r="S772" s="280" t="n"/>
      <c r="T772" s="280" t="n"/>
      <c r="U772" s="280" t="n"/>
      <c r="V772" s="280" t="n"/>
      <c r="W772" s="280" t="n"/>
      <c r="X772" s="280" t="n"/>
      <c r="Y772" s="280" t="n"/>
      <c r="Z772" s="280" t="n"/>
      <c r="AA772" s="280" t="n"/>
      <c r="AB772" s="280" t="n"/>
      <c r="AC772" s="280" t="n"/>
      <c r="AD772" s="280" t="n"/>
    </row>
    <row r="773" ht="15.5" customHeight="1">
      <c r="B773" s="290" t="n">
        <v>45478</v>
      </c>
      <c r="C773" s="291" t="n">
        <v>136</v>
      </c>
      <c r="D773" s="292" t="inlineStr">
        <is>
          <t>Lalamove Gowell-Bogor-Gowell</t>
        </is>
      </c>
      <c r="E773" s="289" t="inlineStr">
        <is>
          <t>-</t>
        </is>
      </c>
      <c r="F773" s="285" t="n">
        <v>594804</v>
      </c>
      <c r="G773" s="294" t="inlineStr">
        <is>
          <t>IDR</t>
        </is>
      </c>
      <c r="H773" s="295" t="n">
        <v>1</v>
      </c>
      <c r="I773" s="282" t="n"/>
      <c r="J773" s="287" t="n"/>
      <c r="K773" s="281" t="n"/>
      <c r="L773" s="285" t="n">
        <v>594804</v>
      </c>
      <c r="M773" s="288" t="n"/>
      <c r="N773" s="288" t="n"/>
      <c r="O773" s="285" t="n"/>
      <c r="P773" s="287" t="n"/>
      <c r="Q773" s="289" t="n"/>
      <c r="R773" s="280" t="n"/>
      <c r="S773" s="280" t="n"/>
      <c r="T773" s="280" t="n"/>
      <c r="U773" s="280" t="n"/>
      <c r="V773" s="280" t="n"/>
      <c r="W773" s="280" t="n"/>
      <c r="X773" s="280" t="n"/>
      <c r="Y773" s="280" t="n"/>
      <c r="Z773" s="280" t="n"/>
      <c r="AA773" s="280" t="n"/>
      <c r="AB773" s="280" t="n"/>
      <c r="AC773" s="280" t="n"/>
      <c r="AD773" s="280" t="n"/>
    </row>
    <row r="774">
      <c r="B774" s="312" t="inlineStr">
        <is>
          <t>Expense#21</t>
        </is>
      </c>
      <c r="C774" s="311" t="inlineStr">
        <is>
          <t>:</t>
        </is>
      </c>
      <c r="D774" s="312" t="inlineStr">
        <is>
          <t>Delivery Tools Sonoecho (KL) - TMA</t>
        </is>
      </c>
      <c r="E774" s="313" t="n"/>
      <c r="F774" s="313" t="n"/>
      <c r="G774" s="313" t="n"/>
      <c r="H774" s="313" t="n"/>
      <c r="I774" s="313" t="n"/>
      <c r="J774" s="313" t="n"/>
      <c r="K774" s="313" t="n"/>
      <c r="L774" s="313" t="n"/>
      <c r="M774" s="313" t="n"/>
      <c r="N774" s="313" t="n"/>
      <c r="O774" s="313" t="n"/>
      <c r="P774" s="313" t="n"/>
      <c r="Q774" s="313" t="n"/>
      <c r="R774" s="280" t="n"/>
      <c r="S774" s="280" t="n"/>
      <c r="T774" s="280" t="n"/>
      <c r="U774" s="280" t="n"/>
      <c r="V774" s="280" t="n"/>
      <c r="W774" s="280" t="n"/>
      <c r="X774" s="280" t="n"/>
      <c r="Y774" s="280" t="n"/>
      <c r="Z774" s="280" t="n"/>
      <c r="AA774" s="280" t="n"/>
      <c r="AB774" s="280" t="n"/>
      <c r="AC774" s="280" t="n"/>
      <c r="AD774" s="280" t="n"/>
    </row>
    <row r="775">
      <c r="B775" s="351" t="n"/>
      <c r="C775" s="351" t="n"/>
      <c r="D775" s="317" t="inlineStr">
        <is>
          <t>Accommodation</t>
        </is>
      </c>
      <c r="E775" s="351" t="n"/>
      <c r="F775" s="351" t="n"/>
      <c r="G775" s="351" t="n"/>
      <c r="H775" s="351" t="n"/>
      <c r="I775" s="351" t="n"/>
      <c r="J775" s="351" t="n"/>
      <c r="K775" s="351" t="n"/>
      <c r="L775" s="351" t="n"/>
      <c r="M775" s="351" t="n"/>
      <c r="N775" s="351" t="n"/>
      <c r="O775" s="351" t="n"/>
      <c r="P775" s="351" t="n"/>
      <c r="Q775" s="351" t="n"/>
      <c r="R775" s="280" t="n"/>
      <c r="S775" s="280" t="n"/>
      <c r="T775" s="280" t="n"/>
      <c r="U775" s="280" t="n"/>
      <c r="V775" s="280" t="n"/>
      <c r="W775" s="280" t="n"/>
      <c r="X775" s="280" t="n"/>
      <c r="Y775" s="280" t="n"/>
      <c r="Z775" s="280" t="n"/>
      <c r="AA775" s="280" t="n"/>
      <c r="AB775" s="280" t="n"/>
      <c r="AC775" s="280" t="n"/>
      <c r="AD775" s="280" t="n"/>
    </row>
    <row r="776" ht="15.5" customHeight="1">
      <c r="B776" s="290" t="n">
        <v>45481</v>
      </c>
      <c r="C776" s="291" t="n">
        <v>137</v>
      </c>
      <c r="D776" s="292" t="inlineStr">
        <is>
          <t>Hotel Tax Foreigner</t>
        </is>
      </c>
      <c r="E776" s="289" t="inlineStr">
        <is>
          <t>-</t>
        </is>
      </c>
      <c r="F776" s="285" t="n">
        <v>34620</v>
      </c>
      <c r="G776" s="294" t="inlineStr">
        <is>
          <t>MYR</t>
        </is>
      </c>
      <c r="H776" s="295" t="n">
        <v>3462</v>
      </c>
      <c r="I776" s="282" t="n"/>
      <c r="J776" s="287" t="n"/>
      <c r="K776" s="281" t="n"/>
      <c r="L776" s="285" t="n">
        <v>34620</v>
      </c>
      <c r="M776" s="288" t="n"/>
      <c r="N776" s="288" t="n"/>
      <c r="O776" s="285" t="n"/>
      <c r="P776" s="287" t="n"/>
      <c r="Q776" s="289" t="n"/>
      <c r="R776" s="280" t="n"/>
      <c r="S776" s="280" t="n"/>
      <c r="T776" s="280" t="n"/>
      <c r="U776" s="280" t="n"/>
      <c r="V776" s="280" t="n"/>
      <c r="W776" s="280" t="n"/>
      <c r="X776" s="280" t="n"/>
      <c r="Y776" s="280" t="n"/>
      <c r="Z776" s="280" t="n"/>
      <c r="AA776" s="280" t="n"/>
      <c r="AB776" s="280" t="n"/>
      <c r="AC776" s="280" t="n"/>
      <c r="AD776" s="280" t="n"/>
    </row>
    <row r="777">
      <c r="B777" s="351" t="n"/>
      <c r="C777" s="351" t="n"/>
      <c r="D777" s="317" t="inlineStr">
        <is>
          <t>Elektronik &amp; Gadget</t>
        </is>
      </c>
      <c r="E777" s="351" t="n"/>
      <c r="F777" s="351" t="n"/>
      <c r="G777" s="351" t="n"/>
      <c r="H777" s="351" t="n"/>
      <c r="I777" s="351" t="n"/>
      <c r="J777" s="351" t="n"/>
      <c r="K777" s="351" t="n"/>
      <c r="L777" s="351" t="n"/>
      <c r="M777" s="351" t="n"/>
      <c r="N777" s="351" t="n"/>
      <c r="O777" s="351" t="n"/>
      <c r="P777" s="351" t="n"/>
      <c r="Q777" s="351" t="n"/>
      <c r="R777" s="280" t="n"/>
      <c r="S777" s="280" t="n"/>
      <c r="T777" s="280" t="n"/>
      <c r="U777" s="280" t="n"/>
      <c r="V777" s="280" t="n"/>
      <c r="W777" s="280" t="n"/>
      <c r="X777" s="280" t="n"/>
      <c r="Y777" s="280" t="n"/>
      <c r="Z777" s="280" t="n"/>
      <c r="AA777" s="280" t="n"/>
      <c r="AB777" s="280" t="n"/>
      <c r="AC777" s="280" t="n"/>
      <c r="AD777" s="280" t="n"/>
    </row>
    <row r="778" ht="15.5" customHeight="1">
      <c r="B778" s="290" t="n">
        <v>45483</v>
      </c>
      <c r="C778" s="291" t="n">
        <v>138</v>
      </c>
      <c r="D778" s="292" t="inlineStr">
        <is>
          <t>OTG Type C</t>
        </is>
      </c>
      <c r="E778" s="289" t="inlineStr">
        <is>
          <t>-</t>
        </is>
      </c>
      <c r="F778" s="285" t="n">
        <v>163100</v>
      </c>
      <c r="G778" s="294" t="inlineStr">
        <is>
          <t>IDR</t>
        </is>
      </c>
      <c r="H778" s="295" t="n">
        <v>1</v>
      </c>
      <c r="I778" s="282" t="n"/>
      <c r="J778" s="287" t="n"/>
      <c r="K778" s="281" t="n"/>
      <c r="L778" s="285" t="n"/>
      <c r="M778" s="288" t="n"/>
      <c r="N778" s="288" t="n">
        <v>163100</v>
      </c>
      <c r="O778" s="285" t="n"/>
      <c r="P778" s="287" t="n"/>
      <c r="Q778" s="289" t="n"/>
      <c r="R778" s="280" t="n"/>
      <c r="S778" s="280" t="n"/>
      <c r="T778" s="280" t="n"/>
      <c r="U778" s="280" t="n"/>
      <c r="V778" s="280" t="n"/>
      <c r="W778" s="280" t="n"/>
      <c r="X778" s="280" t="n"/>
      <c r="Y778" s="280" t="n"/>
      <c r="Z778" s="280" t="n"/>
      <c r="AA778" s="280" t="n"/>
      <c r="AB778" s="280" t="n"/>
      <c r="AC778" s="280" t="n"/>
      <c r="AD778" s="280" t="n"/>
    </row>
    <row r="779">
      <c r="B779" s="351" t="n"/>
      <c r="C779" s="351" t="n"/>
      <c r="D779" s="317" t="inlineStr">
        <is>
          <t>Transportation</t>
        </is>
      </c>
      <c r="E779" s="351" t="n"/>
      <c r="F779" s="351" t="n"/>
      <c r="G779" s="351" t="n"/>
      <c r="H779" s="351" t="n"/>
      <c r="I779" s="351" t="n"/>
      <c r="J779" s="351" t="n"/>
      <c r="K779" s="351" t="n"/>
      <c r="L779" s="351" t="n"/>
      <c r="M779" s="351" t="n"/>
      <c r="N779" s="351" t="n"/>
      <c r="O779" s="351" t="n"/>
      <c r="P779" s="351" t="n"/>
      <c r="Q779" s="351" t="n"/>
      <c r="R779" s="280" t="n"/>
      <c r="S779" s="280" t="n"/>
      <c r="T779" s="280" t="n"/>
      <c r="U779" s="280" t="n"/>
      <c r="V779" s="280" t="n"/>
      <c r="W779" s="280" t="n"/>
      <c r="X779" s="280" t="n"/>
      <c r="Y779" s="280" t="n"/>
      <c r="Z779" s="280" t="n"/>
      <c r="AA779" s="280" t="n"/>
      <c r="AB779" s="280" t="n"/>
      <c r="AC779" s="280" t="n"/>
      <c r="AD779" s="280" t="n"/>
    </row>
    <row r="780" ht="15.5" customHeight="1">
      <c r="B780" s="290" t="n">
        <v>45482</v>
      </c>
      <c r="C780" s="291" t="n">
        <v>139</v>
      </c>
      <c r="D780" s="292" t="inlineStr">
        <is>
          <t>Taxi CGK - Home</t>
        </is>
      </c>
      <c r="E780" s="289" t="inlineStr">
        <is>
          <t>-</t>
        </is>
      </c>
      <c r="F780" s="285" t="n">
        <v>259120</v>
      </c>
      <c r="G780" s="294" t="inlineStr">
        <is>
          <t>IDR</t>
        </is>
      </c>
      <c r="H780" s="295" t="n">
        <v>1</v>
      </c>
      <c r="I780" s="282" t="n"/>
      <c r="J780" s="287" t="n"/>
      <c r="K780" s="281" t="n"/>
      <c r="L780" s="285" t="n">
        <v>259120</v>
      </c>
      <c r="M780" s="288" t="n"/>
      <c r="N780" s="288" t="n"/>
      <c r="O780" s="285" t="n"/>
      <c r="P780" s="287" t="n"/>
      <c r="Q780" s="289" t="n"/>
      <c r="R780" s="280" t="n"/>
      <c r="S780" s="280" t="n"/>
      <c r="T780" s="280" t="n"/>
      <c r="U780" s="280" t="n"/>
      <c r="V780" s="280" t="n"/>
      <c r="W780" s="280" t="n"/>
      <c r="X780" s="280" t="n"/>
      <c r="Y780" s="280" t="n"/>
      <c r="Z780" s="280" t="n"/>
      <c r="AA780" s="280" t="n"/>
      <c r="AB780" s="280" t="n"/>
      <c r="AC780" s="280" t="n"/>
      <c r="AD780" s="280" t="n"/>
    </row>
    <row r="781">
      <c r="B781" s="312" t="inlineStr">
        <is>
          <t>Expense#22</t>
        </is>
      </c>
      <c r="C781" s="311" t="inlineStr">
        <is>
          <t>:</t>
        </is>
      </c>
      <c r="D781" s="312" t="inlineStr">
        <is>
          <t>Non project ( MCU ulang )_ IBR</t>
        </is>
      </c>
      <c r="E781" s="313" t="n"/>
      <c r="F781" s="313" t="n"/>
      <c r="G781" s="313" t="n"/>
      <c r="H781" s="313" t="n"/>
      <c r="I781" s="313" t="n"/>
      <c r="J781" s="313" t="n"/>
      <c r="K781" s="313" t="n"/>
      <c r="L781" s="313" t="n"/>
      <c r="M781" s="313" t="n"/>
      <c r="N781" s="313" t="n"/>
      <c r="O781" s="313" t="n"/>
      <c r="P781" s="313" t="n"/>
      <c r="Q781" s="313" t="n"/>
      <c r="R781" s="280" t="n"/>
      <c r="S781" s="280" t="n"/>
      <c r="T781" s="280" t="n"/>
      <c r="U781" s="280" t="n"/>
      <c r="V781" s="280" t="n"/>
      <c r="W781" s="280" t="n"/>
      <c r="X781" s="280" t="n"/>
      <c r="Y781" s="280" t="n"/>
      <c r="Z781" s="280" t="n"/>
      <c r="AA781" s="280" t="n"/>
      <c r="AB781" s="280" t="n"/>
      <c r="AC781" s="280" t="n"/>
      <c r="AD781" s="280" t="n"/>
    </row>
    <row r="782">
      <c r="B782" s="351" t="n"/>
      <c r="C782" s="351" t="n"/>
      <c r="D782" s="317" t="inlineStr">
        <is>
          <t>Medical</t>
        </is>
      </c>
      <c r="E782" s="351" t="n"/>
      <c r="F782" s="351" t="n"/>
      <c r="G782" s="351" t="n"/>
      <c r="H782" s="351" t="n"/>
      <c r="I782" s="351" t="n"/>
      <c r="J782" s="351" t="n"/>
      <c r="K782" s="351" t="n"/>
      <c r="L782" s="351" t="n"/>
      <c r="M782" s="351" t="n"/>
      <c r="N782" s="351" t="n"/>
      <c r="O782" s="351" t="n"/>
      <c r="P782" s="351" t="n"/>
      <c r="Q782" s="351" t="n"/>
      <c r="R782" s="280" t="n"/>
      <c r="S782" s="280" t="n"/>
      <c r="T782" s="280" t="n"/>
      <c r="U782" s="280" t="n"/>
      <c r="V782" s="280" t="n"/>
      <c r="W782" s="280" t="n"/>
      <c r="X782" s="280" t="n"/>
      <c r="Y782" s="280" t="n"/>
      <c r="Z782" s="280" t="n"/>
      <c r="AA782" s="280" t="n"/>
      <c r="AB782" s="280" t="n"/>
      <c r="AC782" s="280" t="n"/>
      <c r="AD782" s="280" t="n"/>
    </row>
    <row r="783" ht="15.5" customHeight="1">
      <c r="B783" s="290" t="n">
        <v>45453</v>
      </c>
      <c r="C783" s="291" t="n">
        <v>140</v>
      </c>
      <c r="D783" s="292" t="inlineStr">
        <is>
          <t>Farmasi</t>
        </is>
      </c>
      <c r="E783" s="289" t="inlineStr">
        <is>
          <t>-</t>
        </is>
      </c>
      <c r="F783" s="285" t="n">
        <v>109000</v>
      </c>
      <c r="G783" s="294" t="inlineStr">
        <is>
          <t>IDR</t>
        </is>
      </c>
      <c r="H783" s="295" t="n">
        <v>1</v>
      </c>
      <c r="I783" s="282" t="n"/>
      <c r="J783" s="287" t="n"/>
      <c r="K783" s="281" t="n"/>
      <c r="L783" s="285" t="n"/>
      <c r="M783" s="288" t="n"/>
      <c r="N783" s="288" t="n"/>
      <c r="O783" s="285" t="n"/>
      <c r="P783" s="285" t="n">
        <v>109000</v>
      </c>
      <c r="Q783" s="289" t="n"/>
      <c r="R783" s="280" t="n"/>
      <c r="S783" s="280" t="n"/>
      <c r="T783" s="280" t="n"/>
      <c r="U783" s="280" t="n"/>
      <c r="V783" s="280" t="n"/>
      <c r="W783" s="280" t="n"/>
      <c r="X783" s="280" t="n"/>
      <c r="Y783" s="280" t="n"/>
      <c r="Z783" s="280" t="n"/>
      <c r="AA783" s="280" t="n"/>
      <c r="AB783" s="280" t="n"/>
      <c r="AC783" s="280" t="n"/>
      <c r="AD783" s="280" t="n"/>
    </row>
    <row r="784">
      <c r="B784" s="312" t="inlineStr">
        <is>
          <t>Expense#23</t>
        </is>
      </c>
      <c r="C784" s="311" t="inlineStr">
        <is>
          <t>:</t>
        </is>
      </c>
      <c r="D784" s="312" t="inlineStr">
        <is>
          <t>ALFA job - JRK-163 (Job)_undr Sijak_ DS</t>
        </is>
      </c>
      <c r="E784" s="313" t="n"/>
      <c r="F784" s="313" t="n"/>
      <c r="G784" s="313" t="n"/>
      <c r="H784" s="313" t="n"/>
      <c r="I784" s="313" t="n"/>
      <c r="J784" s="313" t="n"/>
      <c r="K784" s="313" t="n"/>
      <c r="L784" s="313" t="n"/>
      <c r="M784" s="313" t="n"/>
      <c r="N784" s="313" t="n"/>
      <c r="O784" s="313" t="n"/>
      <c r="P784" s="313" t="n"/>
      <c r="Q784" s="313" t="n"/>
      <c r="R784" s="280" t="n"/>
      <c r="S784" s="280" t="n"/>
      <c r="T784" s="280" t="n"/>
      <c r="U784" s="280" t="n"/>
      <c r="V784" s="280" t="n"/>
      <c r="W784" s="280" t="n"/>
      <c r="X784" s="280" t="n"/>
      <c r="Y784" s="280" t="n"/>
      <c r="Z784" s="280" t="n"/>
      <c r="AA784" s="280" t="n"/>
      <c r="AB784" s="280" t="n"/>
      <c r="AC784" s="280" t="n"/>
      <c r="AD784" s="280" t="n"/>
    </row>
    <row r="785">
      <c r="B785" s="351" t="n"/>
      <c r="C785" s="351" t="n"/>
      <c r="D785" s="317" t="inlineStr">
        <is>
          <t>Accommodation</t>
        </is>
      </c>
      <c r="E785" s="351" t="n"/>
      <c r="F785" s="351" t="n"/>
      <c r="G785" s="351" t="n"/>
      <c r="H785" s="351" t="n"/>
      <c r="I785" s="351" t="n"/>
      <c r="J785" s="351" t="n"/>
      <c r="K785" s="351" t="n"/>
      <c r="L785" s="351" t="n"/>
      <c r="M785" s="351" t="n"/>
      <c r="N785" s="351" t="n"/>
      <c r="O785" s="351" t="n"/>
      <c r="P785" s="351" t="n"/>
      <c r="Q785" s="351" t="n"/>
      <c r="R785" s="280" t="n"/>
      <c r="S785" s="280" t="n"/>
      <c r="T785" s="280" t="n"/>
      <c r="U785" s="280" t="n"/>
      <c r="V785" s="280" t="n"/>
      <c r="W785" s="280" t="n"/>
      <c r="X785" s="280" t="n"/>
      <c r="Y785" s="280" t="n"/>
      <c r="Z785" s="280" t="n"/>
      <c r="AA785" s="280" t="n"/>
      <c r="AB785" s="280" t="n"/>
      <c r="AC785" s="280" t="n"/>
      <c r="AD785" s="280" t="n"/>
    </row>
    <row r="786" ht="15.5" customHeight="1">
      <c r="B786" s="290" t="n">
        <v>45500</v>
      </c>
      <c r="C786" s="291" t="n">
        <v>141</v>
      </c>
      <c r="D786" s="292" t="inlineStr">
        <is>
          <t>Lodge 21-27 Jul 2024 (3 rooms)</t>
        </is>
      </c>
      <c r="E786" s="289" t="inlineStr">
        <is>
          <t>-</t>
        </is>
      </c>
      <c r="F786" s="285" t="n">
        <v>2160000</v>
      </c>
      <c r="G786" s="294" t="inlineStr">
        <is>
          <t>IDR</t>
        </is>
      </c>
      <c r="H786" s="295" t="n">
        <v>1</v>
      </c>
      <c r="I786" s="282" t="n"/>
      <c r="J786" s="287" t="n"/>
      <c r="K786" s="281" t="n"/>
      <c r="L786" s="285" t="n">
        <v>2160000</v>
      </c>
      <c r="M786" s="288" t="n"/>
      <c r="N786" s="288" t="n"/>
      <c r="O786" s="285" t="n"/>
      <c r="P786" s="287" t="n"/>
      <c r="Q786" s="289" t="n"/>
      <c r="R786" s="280" t="n"/>
      <c r="S786" s="280" t="n"/>
      <c r="T786" s="280" t="n"/>
      <c r="U786" s="280" t="n"/>
      <c r="V786" s="280" t="n"/>
      <c r="W786" s="280" t="n"/>
      <c r="X786" s="280" t="n"/>
      <c r="Y786" s="280" t="n"/>
      <c r="Z786" s="280" t="n"/>
      <c r="AA786" s="280" t="n"/>
      <c r="AB786" s="280" t="n"/>
      <c r="AC786" s="280" t="n"/>
      <c r="AD786" s="280" t="n"/>
    </row>
    <row r="787">
      <c r="B787" s="351" t="n"/>
      <c r="C787" s="351" t="n"/>
      <c r="D787" s="317" t="inlineStr">
        <is>
          <t>Allowance</t>
        </is>
      </c>
      <c r="E787" s="351" t="n"/>
      <c r="F787" s="351" t="n"/>
      <c r="G787" s="351" t="n"/>
      <c r="H787" s="351" t="n"/>
      <c r="I787" s="351" t="n"/>
      <c r="J787" s="351" t="n"/>
      <c r="K787" s="351" t="n"/>
      <c r="L787" s="351" t="n"/>
      <c r="M787" s="351" t="n"/>
      <c r="N787" s="351" t="n"/>
      <c r="O787" s="351" t="n"/>
      <c r="P787" s="351" t="n"/>
      <c r="Q787" s="351" t="n"/>
      <c r="R787" s="280" t="n"/>
      <c r="S787" s="280" t="n"/>
      <c r="T787" s="280" t="n"/>
      <c r="U787" s="280" t="n"/>
      <c r="V787" s="280" t="n"/>
      <c r="W787" s="280" t="n"/>
      <c r="X787" s="280" t="n"/>
      <c r="Y787" s="280" t="n"/>
      <c r="Z787" s="280" t="n"/>
      <c r="AA787" s="280" t="n"/>
      <c r="AB787" s="280" t="n"/>
      <c r="AC787" s="280" t="n"/>
      <c r="AD787" s="280" t="n"/>
    </row>
    <row r="788" ht="15.5" customHeight="1">
      <c r="B788" s="290" t="n">
        <v>45500</v>
      </c>
      <c r="C788" s="291" t="n">
        <v>142</v>
      </c>
      <c r="D788" s="292" t="inlineStr">
        <is>
          <t>Tunajngan Lapangan JRK-163 (21-27 Juli 2024). 1US$=16.200</t>
        </is>
      </c>
      <c r="E788" s="289" t="inlineStr">
        <is>
          <t>-</t>
        </is>
      </c>
      <c r="F788" s="285" t="n">
        <v>700</v>
      </c>
      <c r="G788" s="294" t="inlineStr">
        <is>
          <t>IDR</t>
        </is>
      </c>
      <c r="H788" s="295" t="n">
        <v>16200</v>
      </c>
      <c r="I788" s="282" t="n"/>
      <c r="J788" s="287" t="n"/>
      <c r="K788" s="281" t="n"/>
      <c r="L788" s="285" t="n">
        <v>700</v>
      </c>
      <c r="M788" s="288" t="n"/>
      <c r="N788" s="288" t="n"/>
      <c r="O788" s="285" t="n"/>
      <c r="P788" s="287" t="n"/>
      <c r="Q788" s="289" t="n"/>
      <c r="R788" s="280" t="n"/>
      <c r="S788" s="280" t="n"/>
      <c r="T788" s="280" t="n"/>
      <c r="U788" s="280" t="n"/>
      <c r="V788" s="280" t="n"/>
      <c r="W788" s="280" t="n"/>
      <c r="X788" s="280" t="n"/>
      <c r="Y788" s="280" t="n"/>
      <c r="Z788" s="280" t="n"/>
      <c r="AA788" s="280" t="n"/>
      <c r="AB788" s="280" t="n"/>
      <c r="AC788" s="280" t="n"/>
      <c r="AD788" s="280" t="n"/>
    </row>
    <row r="789">
      <c r="B789" s="351" t="n"/>
      <c r="C789" s="351" t="n"/>
      <c r="D789" s="317" t="inlineStr">
        <is>
          <t>Biaya Operasi Lain-lain</t>
        </is>
      </c>
      <c r="E789" s="351" t="n"/>
      <c r="F789" s="351" t="n"/>
      <c r="G789" s="351" t="n"/>
      <c r="H789" s="351" t="n"/>
      <c r="I789" s="351" t="n"/>
      <c r="J789" s="351" t="n"/>
      <c r="K789" s="351" t="n"/>
      <c r="L789" s="351" t="n"/>
      <c r="M789" s="351" t="n"/>
      <c r="N789" s="351" t="n"/>
      <c r="O789" s="351" t="n"/>
      <c r="P789" s="351" t="n"/>
      <c r="Q789" s="351" t="n"/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</row>
    <row r="790" ht="15.5" customHeight="1">
      <c r="B790" s="290" t="n">
        <v>45494</v>
      </c>
      <c r="C790" s="291" t="n">
        <v>143</v>
      </c>
      <c r="D790" s="292" t="inlineStr">
        <is>
          <t>Jakarta - Palembang</t>
        </is>
      </c>
      <c r="E790" s="289" t="inlineStr">
        <is>
          <t>-</t>
        </is>
      </c>
      <c r="F790" s="285" t="n">
        <v>400000</v>
      </c>
      <c r="G790" s="294" t="inlineStr">
        <is>
          <t>IDR</t>
        </is>
      </c>
      <c r="H790" s="295" t="n">
        <v>1</v>
      </c>
      <c r="I790" s="282" t="n"/>
      <c r="J790" s="287" t="n"/>
      <c r="K790" s="281" t="n"/>
      <c r="L790" s="285" t="n">
        <v>400000</v>
      </c>
      <c r="M790" s="288" t="n"/>
      <c r="N790" s="288" t="n"/>
      <c r="O790" s="285" t="n"/>
      <c r="P790" s="287" t="n"/>
      <c r="Q790" s="289" t="n"/>
      <c r="R790" s="280" t="n"/>
      <c r="S790" s="280" t="n"/>
      <c r="T790" s="280" t="n"/>
      <c r="U790" s="280" t="n"/>
      <c r="V790" s="280" t="n"/>
      <c r="W790" s="280" t="n"/>
      <c r="X790" s="280" t="n"/>
      <c r="Y790" s="280" t="n"/>
      <c r="Z790" s="280" t="n"/>
      <c r="AA790" s="280" t="n"/>
      <c r="AB790" s="280" t="n"/>
      <c r="AC790" s="280" t="n"/>
      <c r="AD790" s="280" t="n"/>
    </row>
    <row r="791">
      <c r="B791" s="351" t="n"/>
      <c r="C791" s="351" t="n"/>
      <c r="D791" s="317" t="inlineStr">
        <is>
          <t>Hand Tools</t>
        </is>
      </c>
      <c r="E791" s="351" t="n"/>
      <c r="F791" s="351" t="n"/>
      <c r="G791" s="351" t="n"/>
      <c r="H791" s="351" t="n"/>
      <c r="I791" s="351" t="n"/>
      <c r="J791" s="351" t="n"/>
      <c r="K791" s="351" t="n"/>
      <c r="L791" s="351" t="n"/>
      <c r="M791" s="351" t="n"/>
      <c r="N791" s="351" t="n"/>
      <c r="O791" s="351" t="n"/>
      <c r="P791" s="351" t="n"/>
      <c r="Q791" s="351" t="n"/>
      <c r="R791" s="280" t="n"/>
      <c r="S791" s="280" t="n"/>
      <c r="T791" s="280" t="n"/>
      <c r="U791" s="280" t="n"/>
      <c r="V791" s="280" t="n"/>
      <c r="W791" s="280" t="n"/>
      <c r="X791" s="280" t="n"/>
      <c r="Y791" s="280" t="n"/>
      <c r="Z791" s="280" t="n"/>
      <c r="AA791" s="280" t="n"/>
      <c r="AB791" s="280" t="n"/>
      <c r="AC791" s="280" t="n"/>
      <c r="AD791" s="280" t="n"/>
    </row>
    <row r="792" ht="15.5" customHeight="1">
      <c r="B792" s="290" t="n">
        <v>45495</v>
      </c>
      <c r="C792" s="291" t="n">
        <v>144</v>
      </c>
      <c r="D792" s="292" t="inlineStr">
        <is>
          <t>Rags - Gloves</t>
        </is>
      </c>
      <c r="E792" s="289" t="inlineStr">
        <is>
          <t>-</t>
        </is>
      </c>
      <c r="F792" s="285" t="n">
        <v>70000</v>
      </c>
      <c r="G792" s="294" t="inlineStr">
        <is>
          <t>IDR</t>
        </is>
      </c>
      <c r="H792" s="295" t="n">
        <v>1</v>
      </c>
      <c r="I792" s="282" t="n"/>
      <c r="J792" s="287" t="n"/>
      <c r="K792" s="281" t="n"/>
      <c r="L792" s="285" t="n"/>
      <c r="M792" s="288" t="n"/>
      <c r="N792" s="288" t="n">
        <v>70000</v>
      </c>
      <c r="O792" s="285" t="n"/>
      <c r="P792" s="287" t="n"/>
      <c r="Q792" s="289" t="n"/>
      <c r="R792" s="280" t="n"/>
      <c r="S792" s="280" t="n"/>
      <c r="T792" s="280" t="n"/>
      <c r="U792" s="280" t="n"/>
      <c r="V792" s="280" t="n"/>
      <c r="W792" s="280" t="n"/>
      <c r="X792" s="280" t="n"/>
      <c r="Y792" s="280" t="n"/>
      <c r="Z792" s="280" t="n"/>
      <c r="AA792" s="280" t="n"/>
      <c r="AB792" s="280" t="n"/>
      <c r="AC792" s="280" t="n"/>
      <c r="AD792" s="280" t="n"/>
    </row>
    <row r="793">
      <c r="B793" s="351" t="n"/>
      <c r="C793" s="351" t="n"/>
      <c r="D793" s="317" t="inlineStr">
        <is>
          <t>Laundry</t>
        </is>
      </c>
      <c r="E793" s="351" t="n"/>
      <c r="F793" s="351" t="n"/>
      <c r="G793" s="351" t="n"/>
      <c r="H793" s="351" t="n"/>
      <c r="I793" s="351" t="n"/>
      <c r="J793" s="351" t="n"/>
      <c r="K793" s="351" t="n"/>
      <c r="L793" s="351" t="n"/>
      <c r="M793" s="351" t="n"/>
      <c r="N793" s="351" t="n"/>
      <c r="O793" s="351" t="n"/>
      <c r="P793" s="351" t="n"/>
      <c r="Q793" s="351" t="n"/>
      <c r="R793" s="280" t="n"/>
      <c r="S793" s="280" t="n"/>
      <c r="T793" s="280" t="n"/>
      <c r="U793" s="280" t="n"/>
      <c r="V793" s="280" t="n"/>
      <c r="W793" s="280" t="n"/>
      <c r="X793" s="280" t="n"/>
      <c r="Y793" s="280" t="n"/>
      <c r="Z793" s="280" t="n"/>
      <c r="AA793" s="280" t="n"/>
      <c r="AB793" s="280" t="n"/>
      <c r="AC793" s="280" t="n"/>
      <c r="AD793" s="280" t="n"/>
    </row>
    <row r="794" ht="15.5" customHeight="1">
      <c r="B794" s="290" t="n">
        <v>45500</v>
      </c>
      <c r="C794" s="291" t="n">
        <v>145</v>
      </c>
      <c r="D794" s="292" t="inlineStr">
        <is>
          <t>Laundry (21 - 27 Juli 2024)</t>
        </is>
      </c>
      <c r="E794" s="289" t="inlineStr">
        <is>
          <t>-</t>
        </is>
      </c>
      <c r="F794" s="285" t="n">
        <v>350000</v>
      </c>
      <c r="G794" s="294" t="inlineStr">
        <is>
          <t>IDR</t>
        </is>
      </c>
      <c r="H794" s="295" t="n">
        <v>1</v>
      </c>
      <c r="I794" s="282" t="n"/>
      <c r="J794" s="287" t="n"/>
      <c r="K794" s="281" t="n"/>
      <c r="L794" s="285" t="n">
        <v>350000</v>
      </c>
      <c r="M794" s="288" t="n"/>
      <c r="N794" s="288" t="n"/>
      <c r="O794" s="285" t="n"/>
      <c r="P794" s="287" t="n"/>
      <c r="Q794" s="289" t="n"/>
      <c r="R794" s="280" t="n"/>
      <c r="S794" s="280" t="n"/>
      <c r="T794" s="280" t="n"/>
      <c r="U794" s="280" t="n"/>
      <c r="V794" s="280" t="n"/>
      <c r="W794" s="280" t="n"/>
      <c r="X794" s="280" t="n"/>
      <c r="Y794" s="280" t="n"/>
      <c r="Z794" s="280" t="n"/>
      <c r="AA794" s="280" t="n"/>
      <c r="AB794" s="280" t="n"/>
      <c r="AC794" s="280" t="n"/>
      <c r="AD794" s="280" t="n"/>
    </row>
    <row r="795">
      <c r="B795" s="351" t="n"/>
      <c r="C795" s="351" t="n"/>
      <c r="D795" s="317" t="inlineStr">
        <is>
          <t>Meal</t>
        </is>
      </c>
      <c r="E795" s="351" t="n"/>
      <c r="F795" s="351" t="n"/>
      <c r="G795" s="351" t="n"/>
      <c r="H795" s="351" t="n"/>
      <c r="I795" s="351" t="n"/>
      <c r="J795" s="351" t="n"/>
      <c r="K795" s="351" t="n"/>
      <c r="L795" s="351" t="n"/>
      <c r="M795" s="351" t="n"/>
      <c r="N795" s="351" t="n"/>
      <c r="O795" s="351" t="n"/>
      <c r="P795" s="351" t="n"/>
      <c r="Q795" s="351" t="n"/>
      <c r="R795" s="280" t="n"/>
      <c r="S795" s="280" t="n"/>
      <c r="T795" s="280" t="n"/>
      <c r="U795" s="280" t="n"/>
      <c r="V795" s="280" t="n"/>
      <c r="W795" s="280" t="n"/>
      <c r="X795" s="280" t="n"/>
      <c r="Y795" s="280" t="n"/>
      <c r="Z795" s="280" t="n"/>
      <c r="AA795" s="280" t="n"/>
      <c r="AB795" s="280" t="n"/>
      <c r="AC795" s="280" t="n"/>
      <c r="AD795" s="280" t="n"/>
    </row>
    <row r="796" ht="15.5" customHeight="1">
      <c r="B796" s="290" t="n">
        <v>45500</v>
      </c>
      <c r="C796" s="291" t="n">
        <v>146</v>
      </c>
      <c r="D796" s="292" t="inlineStr">
        <is>
          <t>Uang Makan (21 - 27 Juli 2024)</t>
        </is>
      </c>
      <c r="E796" s="289" t="inlineStr">
        <is>
          <t>-</t>
        </is>
      </c>
      <c r="F796" s="285" t="n">
        <v>1050000</v>
      </c>
      <c r="G796" s="294" t="inlineStr">
        <is>
          <t>IDR</t>
        </is>
      </c>
      <c r="H796" s="295" t="n">
        <v>1</v>
      </c>
      <c r="I796" s="282" t="n"/>
      <c r="J796" s="287" t="n"/>
      <c r="K796" s="281" t="n"/>
      <c r="L796" s="285" t="n">
        <v>1050000</v>
      </c>
      <c r="M796" s="288" t="n"/>
      <c r="N796" s="288" t="n"/>
      <c r="O796" s="285" t="n"/>
      <c r="P796" s="287" t="n"/>
      <c r="Q796" s="289" t="n"/>
      <c r="R796" s="280" t="n"/>
      <c r="S796" s="280" t="n"/>
      <c r="T796" s="280" t="n"/>
      <c r="U796" s="280" t="n"/>
      <c r="V796" s="280" t="n"/>
      <c r="W796" s="280" t="n"/>
      <c r="X796" s="280" t="n"/>
      <c r="Y796" s="280" t="n"/>
      <c r="Z796" s="280" t="n"/>
      <c r="AA796" s="280" t="n"/>
      <c r="AB796" s="280" t="n"/>
      <c r="AC796" s="280" t="n"/>
      <c r="AD796" s="280" t="n"/>
    </row>
    <row r="797">
      <c r="B797" s="351" t="n"/>
      <c r="C797" s="351" t="n"/>
      <c r="D797" s="317" t="inlineStr">
        <is>
          <t>Sparepart</t>
        </is>
      </c>
      <c r="E797" s="351" t="n"/>
      <c r="F797" s="351" t="n"/>
      <c r="G797" s="351" t="n"/>
      <c r="H797" s="351" t="n"/>
      <c r="I797" s="351" t="n"/>
      <c r="J797" s="351" t="n"/>
      <c r="K797" s="351" t="n"/>
      <c r="L797" s="351" t="n"/>
      <c r="M797" s="351" t="n"/>
      <c r="N797" s="351" t="n"/>
      <c r="O797" s="351" t="n"/>
      <c r="P797" s="351" t="n"/>
      <c r="Q797" s="351" t="n"/>
      <c r="R797" s="280" t="n"/>
      <c r="S797" s="280" t="n"/>
      <c r="T797" s="280" t="n"/>
      <c r="U797" s="280" t="n"/>
      <c r="V797" s="280" t="n"/>
      <c r="W797" s="280" t="n"/>
      <c r="X797" s="280" t="n"/>
      <c r="Y797" s="280" t="n"/>
      <c r="Z797" s="280" t="n"/>
      <c r="AA797" s="280" t="n"/>
      <c r="AB797" s="280" t="n"/>
      <c r="AC797" s="280" t="n"/>
      <c r="AD797" s="280" t="n"/>
    </row>
    <row r="798" ht="15.5" customHeight="1">
      <c r="B798" s="290" t="n">
        <v>45498</v>
      </c>
      <c r="C798" s="291" t="n">
        <v>147</v>
      </c>
      <c r="D798" s="292" t="inlineStr">
        <is>
          <t>Battery for DTR (Spare)</t>
        </is>
      </c>
      <c r="E798" s="289" t="inlineStr">
        <is>
          <t>-</t>
        </is>
      </c>
      <c r="F798" s="285" t="n">
        <v>38900</v>
      </c>
      <c r="G798" s="294" t="inlineStr">
        <is>
          <t>IDR</t>
        </is>
      </c>
      <c r="H798" s="295" t="n">
        <v>1</v>
      </c>
      <c r="I798" s="282" t="n"/>
      <c r="J798" s="287" t="n"/>
      <c r="K798" s="281" t="n"/>
      <c r="L798" s="285" t="n"/>
      <c r="M798" s="288" t="n"/>
      <c r="N798" s="288" t="n">
        <v>38900</v>
      </c>
      <c r="O798" s="285" t="n"/>
      <c r="P798" s="287" t="n"/>
      <c r="Q798" s="289" t="n"/>
      <c r="R798" s="280" t="n"/>
      <c r="S798" s="280" t="n"/>
      <c r="T798" s="280" t="n"/>
      <c r="U798" s="280" t="n"/>
      <c r="V798" s="280" t="n"/>
      <c r="W798" s="280" t="n"/>
      <c r="X798" s="280" t="n"/>
      <c r="Y798" s="280" t="n"/>
      <c r="Z798" s="280" t="n"/>
      <c r="AA798" s="280" t="n"/>
      <c r="AB798" s="280" t="n"/>
      <c r="AC798" s="280" t="n"/>
      <c r="AD798" s="280" t="n"/>
    </row>
    <row r="799">
      <c r="B799" s="351" t="n"/>
      <c r="C799" s="351" t="n"/>
      <c r="D799" s="317" t="inlineStr">
        <is>
          <t>Transportation</t>
        </is>
      </c>
      <c r="E799" s="351" t="n"/>
      <c r="F799" s="351" t="n"/>
      <c r="G799" s="351" t="n"/>
      <c r="H799" s="351" t="n"/>
      <c r="I799" s="351" t="n"/>
      <c r="J799" s="351" t="n"/>
      <c r="K799" s="351" t="n"/>
      <c r="L799" s="351" t="n"/>
      <c r="M799" s="351" t="n"/>
      <c r="N799" s="351" t="n"/>
      <c r="O799" s="351" t="n"/>
      <c r="P799" s="351" t="n"/>
      <c r="Q799" s="351" t="n"/>
      <c r="R799" s="280" t="n"/>
      <c r="S799" s="280" t="n"/>
      <c r="T799" s="280" t="n"/>
      <c r="U799" s="280" t="n"/>
      <c r="V799" s="280" t="n"/>
      <c r="W799" s="280" t="n"/>
      <c r="X799" s="280" t="n"/>
      <c r="Y799" s="280" t="n"/>
      <c r="Z799" s="280" t="n"/>
      <c r="AA799" s="280" t="n"/>
      <c r="AB799" s="280" t="n"/>
      <c r="AC799" s="280" t="n"/>
      <c r="AD799" s="280" t="n"/>
    </row>
    <row r="800" ht="15.5" customHeight="1">
      <c r="B800" s="290" t="n">
        <v>45500</v>
      </c>
      <c r="C800" s="291" t="n">
        <v>148</v>
      </c>
      <c r="D800" s="292" t="inlineStr">
        <is>
          <t>Car rental 21 - 27 Jul 2024</t>
        </is>
      </c>
      <c r="E800" s="289" t="inlineStr">
        <is>
          <t>-</t>
        </is>
      </c>
      <c r="F800" s="285" t="n">
        <v>3500000</v>
      </c>
      <c r="G800" s="294" t="inlineStr">
        <is>
          <t>IDR</t>
        </is>
      </c>
      <c r="H800" s="295" t="n">
        <v>1</v>
      </c>
      <c r="I800" s="282" t="n"/>
      <c r="J800" s="287" t="n"/>
      <c r="K800" s="281" t="n"/>
      <c r="L800" s="285" t="n">
        <v>3500000</v>
      </c>
      <c r="M800" s="288" t="n"/>
      <c r="N800" s="288" t="n"/>
      <c r="O800" s="285" t="n"/>
      <c r="P800" s="287" t="n"/>
      <c r="Q800" s="289" t="n"/>
      <c r="R800" s="280" t="n"/>
      <c r="S800" s="280" t="n"/>
      <c r="T800" s="280" t="n"/>
      <c r="U800" s="280" t="n"/>
      <c r="V800" s="280" t="n"/>
      <c r="W800" s="280" t="n"/>
      <c r="X800" s="280" t="n"/>
      <c r="Y800" s="280" t="n"/>
      <c r="Z800" s="280" t="n"/>
      <c r="AA800" s="280" t="n"/>
      <c r="AB800" s="280" t="n"/>
      <c r="AC800" s="280" t="n"/>
      <c r="AD800" s="280" t="n"/>
    </row>
    <row r="801">
      <c r="B801" s="312" t="inlineStr">
        <is>
          <t>Expense#24</t>
        </is>
      </c>
      <c r="C801" s="311" t="inlineStr">
        <is>
          <t>:</t>
        </is>
      </c>
      <c r="D801" s="312" t="inlineStr">
        <is>
          <t>ALFA JOB - JRK 163 (training 2nd_ IBR)</t>
        </is>
      </c>
      <c r="E801" s="313" t="n"/>
      <c r="F801" s="313" t="n"/>
      <c r="G801" s="313" t="n"/>
      <c r="H801" s="313" t="n"/>
      <c r="I801" s="313" t="n"/>
      <c r="J801" s="313" t="n"/>
      <c r="K801" s="313" t="n"/>
      <c r="L801" s="313" t="n"/>
      <c r="M801" s="313" t="n"/>
      <c r="N801" s="313" t="n"/>
      <c r="O801" s="313" t="n"/>
      <c r="P801" s="313" t="n"/>
      <c r="Q801" s="313" t="n"/>
      <c r="R801" s="280" t="n"/>
      <c r="S801" s="280" t="n"/>
      <c r="T801" s="280" t="n"/>
      <c r="U801" s="280" t="n"/>
      <c r="V801" s="280" t="n"/>
      <c r="W801" s="280" t="n"/>
      <c r="X801" s="280" t="n"/>
      <c r="Y801" s="280" t="n"/>
      <c r="Z801" s="280" t="n"/>
      <c r="AA801" s="280" t="n"/>
      <c r="AB801" s="280" t="n"/>
      <c r="AC801" s="280" t="n"/>
      <c r="AD801" s="280" t="n"/>
    </row>
    <row r="802">
      <c r="B802" s="351" t="n"/>
      <c r="C802" s="351" t="n"/>
      <c r="D802" s="317" t="inlineStr">
        <is>
          <t>Allowance</t>
        </is>
      </c>
      <c r="E802" s="351" t="n"/>
      <c r="F802" s="351" t="n"/>
      <c r="G802" s="351" t="n"/>
      <c r="H802" s="351" t="n"/>
      <c r="I802" s="351" t="n"/>
      <c r="J802" s="351" t="n"/>
      <c r="K802" s="351" t="n"/>
      <c r="L802" s="351" t="n"/>
      <c r="M802" s="351" t="n"/>
      <c r="N802" s="351" t="n"/>
      <c r="O802" s="351" t="n"/>
      <c r="P802" s="351" t="n"/>
      <c r="Q802" s="351" t="n"/>
      <c r="R802" s="280" t="n"/>
      <c r="S802" s="280" t="n"/>
      <c r="T802" s="280" t="n"/>
      <c r="U802" s="280" t="n"/>
      <c r="V802" s="280" t="n"/>
      <c r="W802" s="280" t="n"/>
      <c r="X802" s="280" t="n"/>
      <c r="Y802" s="280" t="n"/>
      <c r="Z802" s="280" t="n"/>
      <c r="AA802" s="280" t="n"/>
      <c r="AB802" s="280" t="n"/>
      <c r="AC802" s="280" t="n"/>
      <c r="AD802" s="280" t="n"/>
    </row>
    <row r="803" ht="15.5" customHeight="1">
      <c r="B803" s="290" t="n">
        <v>45501</v>
      </c>
      <c r="C803" s="291" t="n">
        <v>149</v>
      </c>
      <c r="D803" s="292" t="inlineStr">
        <is>
          <t>Tunjangan Lapangan JRK-163 (21 - 27 Juli 2024)</t>
        </is>
      </c>
      <c r="E803" s="289" t="inlineStr">
        <is>
          <t>-</t>
        </is>
      </c>
      <c r="F803" s="285" t="n">
        <v>2852500</v>
      </c>
      <c r="G803" s="294" t="inlineStr">
        <is>
          <t>$</t>
        </is>
      </c>
      <c r="H803" s="295" t="n">
        <v>16300</v>
      </c>
      <c r="I803" s="282" t="n"/>
      <c r="J803" s="287" t="n"/>
      <c r="K803" s="281" t="n"/>
      <c r="L803" s="285" t="n">
        <v>2852500</v>
      </c>
      <c r="M803" s="288" t="n"/>
      <c r="N803" s="288" t="n"/>
      <c r="O803" s="285" t="n"/>
      <c r="P803" s="287" t="n"/>
      <c r="Q803" s="289" t="n"/>
      <c r="R803" s="280" t="n"/>
      <c r="S803" s="280" t="n"/>
      <c r="T803" s="280" t="n"/>
      <c r="U803" s="280" t="n"/>
      <c r="V803" s="280" t="n"/>
      <c r="W803" s="280" t="n"/>
      <c r="X803" s="280" t="n"/>
      <c r="Y803" s="280" t="n"/>
      <c r="Z803" s="280" t="n"/>
      <c r="AA803" s="280" t="n"/>
      <c r="AB803" s="280" t="n"/>
      <c r="AC803" s="280" t="n"/>
      <c r="AD803" s="280" t="n"/>
    </row>
    <row r="804">
      <c r="B804" s="351" t="n"/>
      <c r="C804" s="351" t="n"/>
      <c r="D804" s="317" t="inlineStr">
        <is>
          <t>Laundry</t>
        </is>
      </c>
      <c r="E804" s="351" t="n"/>
      <c r="F804" s="351" t="n"/>
      <c r="G804" s="351" t="n"/>
      <c r="H804" s="351" t="n"/>
      <c r="I804" s="351" t="n"/>
      <c r="J804" s="351" t="n"/>
      <c r="K804" s="351" t="n"/>
      <c r="L804" s="351" t="n"/>
      <c r="M804" s="351" t="n"/>
      <c r="N804" s="351" t="n"/>
      <c r="O804" s="351" t="n"/>
      <c r="P804" s="351" t="n"/>
      <c r="Q804" s="351" t="n"/>
      <c r="R804" s="280" t="n"/>
      <c r="S804" s="280" t="n"/>
      <c r="T804" s="280" t="n"/>
      <c r="U804" s="280" t="n"/>
      <c r="V804" s="280" t="n"/>
      <c r="W804" s="280" t="n"/>
      <c r="X804" s="280" t="n"/>
      <c r="Y804" s="280" t="n"/>
      <c r="Z804" s="280" t="n"/>
      <c r="AA804" s="280" t="n"/>
      <c r="AB804" s="280" t="n"/>
      <c r="AC804" s="280" t="n"/>
      <c r="AD804" s="280" t="n"/>
    </row>
    <row r="805" ht="15.5" customHeight="1">
      <c r="B805" s="290" t="n">
        <v>45501</v>
      </c>
      <c r="C805" s="291" t="n">
        <v>150</v>
      </c>
      <c r="D805" s="292" t="inlineStr">
        <is>
          <t>Laundry (21 - 27 Juli 2024)</t>
        </is>
      </c>
      <c r="E805" s="289" t="inlineStr">
        <is>
          <t>-</t>
        </is>
      </c>
      <c r="F805" s="285" t="n">
        <v>350000</v>
      </c>
      <c r="G805" s="294" t="inlineStr">
        <is>
          <t>IDR</t>
        </is>
      </c>
      <c r="H805" s="295" t="n">
        <v>1</v>
      </c>
      <c r="I805" s="282" t="n"/>
      <c r="J805" s="287" t="n"/>
      <c r="K805" s="281" t="n"/>
      <c r="L805" s="285" t="n">
        <v>350000</v>
      </c>
      <c r="M805" s="288" t="n"/>
      <c r="N805" s="288" t="n"/>
      <c r="O805" s="285" t="n"/>
      <c r="P805" s="287" t="n"/>
      <c r="Q805" s="289" t="n"/>
      <c r="R805" s="280" t="n"/>
      <c r="S805" s="280" t="n"/>
      <c r="T805" s="280" t="n"/>
      <c r="U805" s="280" t="n"/>
      <c r="V805" s="280" t="n"/>
      <c r="W805" s="280" t="n"/>
      <c r="X805" s="280" t="n"/>
      <c r="Y805" s="280" t="n"/>
      <c r="Z805" s="280" t="n"/>
      <c r="AA805" s="280" t="n"/>
      <c r="AB805" s="280" t="n"/>
      <c r="AC805" s="280" t="n"/>
      <c r="AD805" s="280" t="n"/>
    </row>
    <row r="806">
      <c r="B806" s="351" t="n"/>
      <c r="C806" s="351" t="n"/>
      <c r="D806" s="317" t="inlineStr">
        <is>
          <t>Meal</t>
        </is>
      </c>
      <c r="E806" s="351" t="n"/>
      <c r="F806" s="351" t="n"/>
      <c r="G806" s="351" t="n"/>
      <c r="H806" s="351" t="n"/>
      <c r="I806" s="351" t="n"/>
      <c r="J806" s="351" t="n"/>
      <c r="K806" s="351" t="n"/>
      <c r="L806" s="351" t="n"/>
      <c r="M806" s="351" t="n"/>
      <c r="N806" s="351" t="n"/>
      <c r="O806" s="351" t="n"/>
      <c r="P806" s="351" t="n"/>
      <c r="Q806" s="351" t="n"/>
      <c r="R806" s="280" t="n"/>
      <c r="S806" s="280" t="n"/>
      <c r="T806" s="280" t="n"/>
      <c r="U806" s="280" t="n"/>
      <c r="V806" s="280" t="n"/>
      <c r="W806" s="280" t="n"/>
      <c r="X806" s="280" t="n"/>
      <c r="Y806" s="280" t="n"/>
      <c r="Z806" s="280" t="n"/>
      <c r="AA806" s="280" t="n"/>
      <c r="AB806" s="280" t="n"/>
      <c r="AC806" s="280" t="n"/>
      <c r="AD806" s="280" t="n"/>
    </row>
    <row r="807" ht="15.5" customHeight="1">
      <c r="B807" s="290" t="n">
        <v>45501</v>
      </c>
      <c r="C807" s="291" t="n">
        <v>151</v>
      </c>
      <c r="D807" s="292" t="inlineStr">
        <is>
          <t>Uang makan (21 - 27 Juli 2024)</t>
        </is>
      </c>
      <c r="E807" s="289" t="inlineStr">
        <is>
          <t>-</t>
        </is>
      </c>
      <c r="F807" s="285" t="n">
        <v>1050000</v>
      </c>
      <c r="G807" s="294" t="inlineStr">
        <is>
          <t>IDR</t>
        </is>
      </c>
      <c r="H807" s="295" t="n">
        <v>1</v>
      </c>
      <c r="I807" s="282" t="n"/>
      <c r="J807" s="287" t="n"/>
      <c r="K807" s="281" t="n"/>
      <c r="L807" s="285" t="n">
        <v>1050000</v>
      </c>
      <c r="M807" s="288" t="n"/>
      <c r="N807" s="288" t="n"/>
      <c r="O807" s="285" t="n"/>
      <c r="P807" s="287" t="n"/>
      <c r="Q807" s="289" t="n"/>
      <c r="R807" s="280" t="n"/>
      <c r="S807" s="280" t="n"/>
      <c r="T807" s="280" t="n"/>
      <c r="U807" s="280" t="n"/>
      <c r="V807" s="280" t="n"/>
      <c r="W807" s="280" t="n"/>
      <c r="X807" s="280" t="n"/>
      <c r="Y807" s="280" t="n"/>
      <c r="Z807" s="280" t="n"/>
      <c r="AA807" s="280" t="n"/>
      <c r="AB807" s="280" t="n"/>
      <c r="AC807" s="280" t="n"/>
      <c r="AD807" s="280" t="n"/>
    </row>
    <row r="808">
      <c r="B808" s="312" t="inlineStr">
        <is>
          <t>Expense#25</t>
        </is>
      </c>
      <c r="C808" s="311" t="inlineStr">
        <is>
          <t>:</t>
        </is>
      </c>
      <c r="D808" s="312" t="inlineStr">
        <is>
          <t>TIS-Blora Field-PLT ALFA BHS by BARIKIN - IC</t>
        </is>
      </c>
      <c r="E808" s="313" t="n"/>
      <c r="F808" s="313" t="n"/>
      <c r="G808" s="313" t="n"/>
      <c r="H808" s="313" t="n"/>
      <c r="I808" s="313" t="n"/>
      <c r="J808" s="313" t="n"/>
      <c r="K808" s="313" t="n"/>
      <c r="L808" s="313" t="n"/>
      <c r="M808" s="313" t="n"/>
      <c r="N808" s="313" t="n"/>
      <c r="O808" s="313" t="n"/>
      <c r="P808" s="313" t="n"/>
      <c r="Q808" s="313" t="n"/>
      <c r="R808" s="280" t="n"/>
      <c r="S808" s="280" t="n"/>
      <c r="T808" s="280" t="n"/>
      <c r="U808" s="280" t="n"/>
      <c r="V808" s="280" t="n"/>
      <c r="W808" s="280" t="n"/>
      <c r="X808" s="280" t="n"/>
      <c r="Y808" s="280" t="n"/>
      <c r="Z808" s="280" t="n"/>
      <c r="AA808" s="280" t="n"/>
      <c r="AB808" s="280" t="n"/>
      <c r="AC808" s="280" t="n"/>
      <c r="AD808" s="280" t="n"/>
    </row>
    <row r="809">
      <c r="B809" s="351" t="n"/>
      <c r="C809" s="351" t="n"/>
      <c r="D809" s="317" t="inlineStr">
        <is>
          <t>Allowance</t>
        </is>
      </c>
      <c r="E809" s="351" t="n"/>
      <c r="F809" s="351" t="n"/>
      <c r="G809" s="351" t="n"/>
      <c r="H809" s="351" t="n"/>
      <c r="I809" s="351" t="n"/>
      <c r="J809" s="351" t="n"/>
      <c r="K809" s="351" t="n"/>
      <c r="L809" s="351" t="n"/>
      <c r="M809" s="351" t="n"/>
      <c r="N809" s="351" t="n"/>
      <c r="O809" s="351" t="n"/>
      <c r="P809" s="351" t="n"/>
      <c r="Q809" s="351" t="n"/>
      <c r="R809" s="280" t="n"/>
      <c r="S809" s="280" t="n"/>
      <c r="T809" s="280" t="n"/>
      <c r="U809" s="280" t="n"/>
      <c r="V809" s="280" t="n"/>
      <c r="W809" s="280" t="n"/>
      <c r="X809" s="280" t="n"/>
      <c r="Y809" s="280" t="n"/>
      <c r="Z809" s="280" t="n"/>
      <c r="AA809" s="280" t="n"/>
      <c r="AB809" s="280" t="n"/>
      <c r="AC809" s="280" t="n"/>
      <c r="AD809" s="280" t="n"/>
    </row>
    <row r="810" ht="15.5" customHeight="1">
      <c r="B810" s="290" t="n">
        <v>45512</v>
      </c>
      <c r="C810" s="291" t="n">
        <v>152</v>
      </c>
      <c r="D810" s="292" t="inlineStr">
        <is>
          <t>Tunjangan Lapangan for 10 days</t>
        </is>
      </c>
      <c r="E810" s="289" t="inlineStr">
        <is>
          <t>-</t>
        </is>
      </c>
      <c r="F810" s="285" t="n">
        <v>16100000</v>
      </c>
      <c r="G810" s="294" t="inlineStr">
        <is>
          <t>USD</t>
        </is>
      </c>
      <c r="H810" s="295" t="n">
        <v>16100</v>
      </c>
      <c r="I810" s="282" t="n"/>
      <c r="J810" s="287" t="n"/>
      <c r="K810" s="281" t="n"/>
      <c r="L810" s="285" t="n">
        <v>16100000</v>
      </c>
      <c r="M810" s="288" t="n"/>
      <c r="N810" s="288" t="n"/>
      <c r="O810" s="285" t="n"/>
      <c r="P810" s="287" t="n"/>
      <c r="Q810" s="289" t="n"/>
      <c r="R810" s="280" t="n"/>
      <c r="S810" s="280" t="n"/>
      <c r="T810" s="280" t="n"/>
      <c r="U810" s="280" t="n"/>
      <c r="V810" s="280" t="n"/>
      <c r="W810" s="280" t="n"/>
      <c r="X810" s="280" t="n"/>
      <c r="Y810" s="280" t="n"/>
      <c r="Z810" s="280" t="n"/>
      <c r="AA810" s="280" t="n"/>
      <c r="AB810" s="280" t="n"/>
      <c r="AC810" s="280" t="n"/>
      <c r="AD810" s="280" t="n"/>
    </row>
    <row r="811">
      <c r="B811" s="351" t="n"/>
      <c r="C811" s="351" t="n"/>
      <c r="D811" s="317" t="inlineStr">
        <is>
          <t>Laundry</t>
        </is>
      </c>
      <c r="E811" s="351" t="n"/>
      <c r="F811" s="351" t="n"/>
      <c r="G811" s="351" t="n"/>
      <c r="H811" s="351" t="n"/>
      <c r="I811" s="351" t="n"/>
      <c r="J811" s="351" t="n"/>
      <c r="K811" s="351" t="n"/>
      <c r="L811" s="351" t="n"/>
      <c r="M811" s="351" t="n"/>
      <c r="N811" s="351" t="n"/>
      <c r="O811" s="351" t="n"/>
      <c r="P811" s="351" t="n"/>
      <c r="Q811" s="351" t="n"/>
      <c r="R811" s="280" t="n"/>
      <c r="S811" s="280" t="n"/>
      <c r="T811" s="280" t="n"/>
      <c r="U811" s="280" t="n"/>
      <c r="V811" s="280" t="n"/>
      <c r="W811" s="280" t="n"/>
      <c r="X811" s="280" t="n"/>
      <c r="Y811" s="280" t="n"/>
      <c r="Z811" s="280" t="n"/>
      <c r="AA811" s="280" t="n"/>
      <c r="AB811" s="280" t="n"/>
      <c r="AC811" s="280" t="n"/>
      <c r="AD811" s="280" t="n"/>
    </row>
    <row r="812" ht="15.5" customHeight="1">
      <c r="B812" s="290" t="n">
        <v>45511</v>
      </c>
      <c r="C812" s="291" t="n">
        <v>153</v>
      </c>
      <c r="D812" s="292" t="inlineStr">
        <is>
          <t>Laundry 10 days 1 Persons @ 50K IDR/day</t>
        </is>
      </c>
      <c r="E812" s="289" t="inlineStr">
        <is>
          <t>-</t>
        </is>
      </c>
      <c r="F812" s="285" t="n">
        <v>500000</v>
      </c>
      <c r="G812" s="294" t="inlineStr">
        <is>
          <t>IDR</t>
        </is>
      </c>
      <c r="H812" s="295" t="n">
        <v>1</v>
      </c>
      <c r="I812" s="282" t="n"/>
      <c r="J812" s="287" t="n"/>
      <c r="K812" s="281" t="n"/>
      <c r="L812" s="285" t="n">
        <v>500000</v>
      </c>
      <c r="M812" s="288" t="n"/>
      <c r="N812" s="288" t="n"/>
      <c r="O812" s="285" t="n"/>
      <c r="P812" s="287" t="n"/>
      <c r="Q812" s="289" t="n"/>
      <c r="R812" s="280" t="n"/>
      <c r="S812" s="280" t="n"/>
      <c r="T812" s="280" t="n"/>
      <c r="U812" s="280" t="n"/>
      <c r="V812" s="280" t="n"/>
      <c r="W812" s="280" t="n"/>
      <c r="X812" s="280" t="n"/>
      <c r="Y812" s="280" t="n"/>
      <c r="Z812" s="280" t="n"/>
      <c r="AA812" s="280" t="n"/>
      <c r="AB812" s="280" t="n"/>
      <c r="AC812" s="280" t="n"/>
      <c r="AD812" s="280" t="n"/>
    </row>
    <row r="813">
      <c r="B813" s="351" t="n"/>
      <c r="C813" s="351" t="n"/>
      <c r="D813" s="317" t="inlineStr">
        <is>
          <t>Meal</t>
        </is>
      </c>
      <c r="E813" s="351" t="n"/>
      <c r="F813" s="351" t="n"/>
      <c r="G813" s="351" t="n"/>
      <c r="H813" s="351" t="n"/>
      <c r="I813" s="351" t="n"/>
      <c r="J813" s="351" t="n"/>
      <c r="K813" s="351" t="n"/>
      <c r="L813" s="351" t="n"/>
      <c r="M813" s="351" t="n"/>
      <c r="N813" s="351" t="n"/>
      <c r="O813" s="351" t="n"/>
      <c r="P813" s="351" t="n"/>
      <c r="Q813" s="351" t="n"/>
      <c r="R813" s="280" t="n"/>
      <c r="S813" s="280" t="n"/>
      <c r="T813" s="280" t="n"/>
      <c r="U813" s="280" t="n"/>
      <c r="V813" s="280" t="n"/>
      <c r="W813" s="280" t="n"/>
      <c r="X813" s="280" t="n"/>
      <c r="Y813" s="280" t="n"/>
      <c r="Z813" s="280" t="n"/>
      <c r="AA813" s="280" t="n"/>
      <c r="AB813" s="280" t="n"/>
      <c r="AC813" s="280" t="n"/>
      <c r="AD813" s="280" t="n"/>
    </row>
    <row r="814" ht="15.5" customHeight="1">
      <c r="B814" s="290" t="n">
        <v>45511</v>
      </c>
      <c r="C814" s="291" t="n">
        <v>154</v>
      </c>
      <c r="D814" s="292" t="inlineStr">
        <is>
          <t>Meals 10 days 1 Persons @ 150K IDR/day</t>
        </is>
      </c>
      <c r="E814" s="289" t="inlineStr">
        <is>
          <t>-</t>
        </is>
      </c>
      <c r="F814" s="285" t="n">
        <v>1500000</v>
      </c>
      <c r="G814" s="294" t="inlineStr">
        <is>
          <t>IDR</t>
        </is>
      </c>
      <c r="H814" s="295" t="n">
        <v>1</v>
      </c>
      <c r="I814" s="282" t="n"/>
      <c r="J814" s="287" t="n"/>
      <c r="K814" s="281" t="n"/>
      <c r="L814" s="285" t="n">
        <v>1500000</v>
      </c>
      <c r="M814" s="288" t="n"/>
      <c r="N814" s="288" t="n"/>
      <c r="O814" s="285" t="n"/>
      <c r="P814" s="287" t="n"/>
      <c r="Q814" s="289" t="n"/>
      <c r="R814" s="280" t="n"/>
      <c r="S814" s="280" t="n"/>
      <c r="T814" s="280" t="n"/>
      <c r="U814" s="280" t="n"/>
      <c r="V814" s="280" t="n"/>
      <c r="W814" s="280" t="n"/>
      <c r="X814" s="280" t="n"/>
      <c r="Y814" s="280" t="n"/>
      <c r="Z814" s="280" t="n"/>
      <c r="AA814" s="280" t="n"/>
      <c r="AB814" s="280" t="n"/>
      <c r="AC814" s="280" t="n"/>
      <c r="AD814" s="280" t="n"/>
    </row>
    <row r="815">
      <c r="B815" s="351" t="n"/>
      <c r="C815" s="351" t="n"/>
      <c r="D815" s="317" t="inlineStr">
        <is>
          <t>Sparepart</t>
        </is>
      </c>
      <c r="E815" s="351" t="n"/>
      <c r="F815" s="351" t="n"/>
      <c r="G815" s="351" t="n"/>
      <c r="H815" s="351" t="n"/>
      <c r="I815" s="351" t="n"/>
      <c r="J815" s="351" t="n"/>
      <c r="K815" s="351" t="n"/>
      <c r="L815" s="351" t="n"/>
      <c r="M815" s="351" t="n"/>
      <c r="N815" s="351" t="n"/>
      <c r="O815" s="351" t="n"/>
      <c r="P815" s="351" t="n"/>
      <c r="Q815" s="351" t="n"/>
      <c r="R815" s="280" t="n"/>
      <c r="S815" s="280" t="n"/>
      <c r="T815" s="280" t="n"/>
      <c r="U815" s="280" t="n"/>
      <c r="V815" s="280" t="n"/>
      <c r="W815" s="280" t="n"/>
      <c r="X815" s="280" t="n"/>
      <c r="Y815" s="280" t="n"/>
      <c r="Z815" s="280" t="n"/>
      <c r="AA815" s="280" t="n"/>
      <c r="AB815" s="280" t="n"/>
      <c r="AC815" s="280" t="n"/>
      <c r="AD815" s="280" t="n"/>
    </row>
    <row r="816" ht="15.5" customHeight="1">
      <c r="B816" s="290" t="n">
        <v>45516</v>
      </c>
      <c r="C816" s="291" t="n">
        <v>155</v>
      </c>
      <c r="D816" s="292" t="inlineStr">
        <is>
          <t>Pelican Long Case 1770</t>
        </is>
      </c>
      <c r="E816" s="289" t="inlineStr">
        <is>
          <t>-</t>
        </is>
      </c>
      <c r="F816" s="285" t="n">
        <v>15166600</v>
      </c>
      <c r="G816" s="294" t="inlineStr">
        <is>
          <t>IDR</t>
        </is>
      </c>
      <c r="H816" s="295" t="n">
        <v>1</v>
      </c>
      <c r="I816" s="282" t="n"/>
      <c r="J816" s="287" t="n"/>
      <c r="K816" s="281" t="n"/>
      <c r="L816" s="285" t="n"/>
      <c r="M816" s="288" t="n"/>
      <c r="N816" s="288" t="n">
        <v>15166600</v>
      </c>
      <c r="O816" s="285" t="n"/>
      <c r="P816" s="287" t="n"/>
      <c r="Q816" s="289" t="n"/>
      <c r="R816" s="280" t="n"/>
      <c r="S816" s="280" t="n"/>
      <c r="T816" s="280" t="n"/>
      <c r="U816" s="280" t="n"/>
      <c r="V816" s="280" t="n"/>
      <c r="W816" s="280" t="n"/>
      <c r="X816" s="280" t="n"/>
      <c r="Y816" s="280" t="n"/>
      <c r="Z816" s="280" t="n"/>
      <c r="AA816" s="280" t="n"/>
      <c r="AB816" s="280" t="n"/>
      <c r="AC816" s="280" t="n"/>
      <c r="AD816" s="280" t="n"/>
    </row>
    <row r="817">
      <c r="B817" s="312" t="inlineStr">
        <is>
          <t>Expense#26</t>
        </is>
      </c>
      <c r="C817" s="311" t="inlineStr">
        <is>
          <t>:</t>
        </is>
      </c>
      <c r="D817" s="312" t="inlineStr">
        <is>
          <t>ALFA-MPLT-BHS_ RBG 3B PT. TIS under Barikin sakti _DS</t>
        </is>
      </c>
      <c r="E817" s="313" t="n"/>
      <c r="F817" s="313" t="n"/>
      <c r="G817" s="313" t="n"/>
      <c r="H817" s="313" t="n"/>
      <c r="I817" s="313" t="n"/>
      <c r="J817" s="313" t="n"/>
      <c r="K817" s="313" t="n"/>
      <c r="L817" s="313" t="n"/>
      <c r="M817" s="313" t="n"/>
      <c r="N817" s="313" t="n"/>
      <c r="O817" s="313" t="n"/>
      <c r="P817" s="313" t="n"/>
      <c r="Q817" s="313" t="n"/>
      <c r="R817" s="280" t="n"/>
      <c r="S817" s="280" t="n"/>
      <c r="T817" s="280" t="n"/>
      <c r="U817" s="280" t="n"/>
      <c r="V817" s="280" t="n"/>
      <c r="W817" s="280" t="n"/>
      <c r="X817" s="280" t="n"/>
      <c r="Y817" s="280" t="n"/>
      <c r="Z817" s="280" t="n"/>
      <c r="AA817" s="280" t="n"/>
      <c r="AB817" s="280" t="n"/>
      <c r="AC817" s="280" t="n"/>
      <c r="AD817" s="280" t="n"/>
    </row>
    <row r="818">
      <c r="B818" s="351" t="n"/>
      <c r="C818" s="351" t="n"/>
      <c r="D818" s="317" t="inlineStr">
        <is>
          <t>Accommodation</t>
        </is>
      </c>
      <c r="E818" s="351" t="n"/>
      <c r="F818" s="351" t="n"/>
      <c r="G818" s="351" t="n"/>
      <c r="H818" s="351" t="n"/>
      <c r="I818" s="351" t="n"/>
      <c r="J818" s="351" t="n"/>
      <c r="K818" s="351" t="n"/>
      <c r="L818" s="351" t="n"/>
      <c r="M818" s="351" t="n"/>
      <c r="N818" s="351" t="n"/>
      <c r="O818" s="351" t="n"/>
      <c r="P818" s="351" t="n"/>
      <c r="Q818" s="351" t="n"/>
      <c r="R818" s="280" t="n"/>
      <c r="S818" s="280" t="n"/>
      <c r="T818" s="280" t="n"/>
      <c r="U818" s="280" t="n"/>
      <c r="V818" s="280" t="n"/>
      <c r="W818" s="280" t="n"/>
      <c r="X818" s="280" t="n"/>
      <c r="Y818" s="280" t="n"/>
      <c r="Z818" s="280" t="n"/>
      <c r="AA818" s="280" t="n"/>
      <c r="AB818" s="280" t="n"/>
      <c r="AC818" s="280" t="n"/>
      <c r="AD818" s="280" t="n"/>
    </row>
    <row r="819" ht="15.5" customHeight="1">
      <c r="B819" s="290" t="n">
        <v>45509</v>
      </c>
      <c r="C819" s="291" t="n">
        <v>156</v>
      </c>
      <c r="D819" s="292" t="inlineStr">
        <is>
          <t>Hotel 6 Aug - 7 Aug 2024 (2 rooms)</t>
        </is>
      </c>
      <c r="E819" s="289" t="inlineStr">
        <is>
          <t>-</t>
        </is>
      </c>
      <c r="F819" s="285" t="n">
        <v>795600</v>
      </c>
      <c r="G819" s="294" t="inlineStr">
        <is>
          <t>IDR</t>
        </is>
      </c>
      <c r="H819" s="295" t="n">
        <v>1</v>
      </c>
      <c r="I819" s="282" t="n"/>
      <c r="J819" s="287" t="n"/>
      <c r="K819" s="281" t="n"/>
      <c r="L819" s="285" t="n">
        <v>795600</v>
      </c>
      <c r="M819" s="288" t="n"/>
      <c r="N819" s="288" t="n"/>
      <c r="O819" s="285" t="n"/>
      <c r="P819" s="287" t="n"/>
      <c r="Q819" s="289" t="n"/>
      <c r="R819" s="280" t="n"/>
      <c r="S819" s="280" t="n"/>
      <c r="T819" s="280" t="n"/>
      <c r="U819" s="280" t="n"/>
      <c r="V819" s="280" t="n"/>
      <c r="W819" s="280" t="n"/>
      <c r="X819" s="280" t="n"/>
      <c r="Y819" s="280" t="n"/>
      <c r="Z819" s="280" t="n"/>
      <c r="AA819" s="280" t="n"/>
      <c r="AB819" s="280" t="n"/>
      <c r="AC819" s="280" t="n"/>
      <c r="AD819" s="280" t="n"/>
    </row>
    <row r="820">
      <c r="B820" s="351" t="n"/>
      <c r="C820" s="351" t="n"/>
      <c r="D820" s="317" t="inlineStr">
        <is>
          <t>Allowance</t>
        </is>
      </c>
      <c r="E820" s="351" t="n"/>
      <c r="F820" s="351" t="n"/>
      <c r="G820" s="351" t="n"/>
      <c r="H820" s="351" t="n"/>
      <c r="I820" s="351" t="n"/>
      <c r="J820" s="351" t="n"/>
      <c r="K820" s="351" t="n"/>
      <c r="L820" s="351" t="n"/>
      <c r="M820" s="351" t="n"/>
      <c r="N820" s="351" t="n"/>
      <c r="O820" s="351" t="n"/>
      <c r="P820" s="351" t="n"/>
      <c r="Q820" s="351" t="n"/>
      <c r="R820" s="280" t="n"/>
      <c r="S820" s="280" t="n"/>
      <c r="T820" s="280" t="n"/>
      <c r="U820" s="280" t="n"/>
      <c r="V820" s="280" t="n"/>
      <c r="W820" s="280" t="n"/>
      <c r="X820" s="280" t="n"/>
      <c r="Y820" s="280" t="n"/>
      <c r="Z820" s="280" t="n"/>
      <c r="AA820" s="280" t="n"/>
      <c r="AB820" s="280" t="n"/>
      <c r="AC820" s="280" t="n"/>
      <c r="AD820" s="280" t="n"/>
    </row>
    <row r="821" ht="15.5" customHeight="1">
      <c r="B821" s="290" t="n">
        <v>45511</v>
      </c>
      <c r="C821" s="291" t="n">
        <v>157</v>
      </c>
      <c r="D821" s="292" t="inlineStr">
        <is>
          <t>Tunjangan LapanganRBG-3B PT. TIS (3-7 Aug 2024)</t>
        </is>
      </c>
      <c r="E821" s="289" t="inlineStr">
        <is>
          <t>-</t>
        </is>
      </c>
      <c r="F821" s="285" t="n">
        <v>500</v>
      </c>
      <c r="G821" s="294" t="inlineStr">
        <is>
          <t>IDR</t>
        </is>
      </c>
      <c r="H821" s="295" t="n">
        <v>15900</v>
      </c>
      <c r="I821" s="282" t="n"/>
      <c r="J821" s="287" t="n"/>
      <c r="K821" s="281" t="n"/>
      <c r="L821" s="285" t="n">
        <v>500</v>
      </c>
      <c r="M821" s="288" t="n"/>
      <c r="N821" s="288" t="n"/>
      <c r="O821" s="285" t="n"/>
      <c r="P821" s="287" t="n"/>
      <c r="Q821" s="289" t="n"/>
      <c r="R821" s="280" t="n"/>
      <c r="S821" s="280" t="n"/>
      <c r="T821" s="280" t="n"/>
      <c r="U821" s="280" t="n"/>
      <c r="V821" s="280" t="n"/>
      <c r="W821" s="280" t="n"/>
      <c r="X821" s="280" t="n"/>
      <c r="Y821" s="280" t="n"/>
      <c r="Z821" s="280" t="n"/>
      <c r="AA821" s="280" t="n"/>
      <c r="AB821" s="280" t="n"/>
      <c r="AC821" s="280" t="n"/>
      <c r="AD821" s="280" t="n"/>
    </row>
    <row r="822">
      <c r="B822" s="351" t="n"/>
      <c r="C822" s="351" t="n"/>
      <c r="D822" s="317" t="inlineStr">
        <is>
          <t>Biaya Operasi Lain-lain</t>
        </is>
      </c>
      <c r="E822" s="351" t="n"/>
      <c r="F822" s="351" t="n"/>
      <c r="G822" s="351" t="n"/>
      <c r="H822" s="351" t="n"/>
      <c r="I822" s="351" t="n"/>
      <c r="J822" s="351" t="n"/>
      <c r="K822" s="351" t="n"/>
      <c r="L822" s="351" t="n"/>
      <c r="M822" s="351" t="n"/>
      <c r="N822" s="351" t="n"/>
      <c r="O822" s="351" t="n"/>
      <c r="P822" s="351" t="n"/>
      <c r="Q822" s="351" t="n"/>
      <c r="R822" s="280" t="n"/>
      <c r="S822" s="280" t="n"/>
      <c r="T822" s="280" t="n"/>
      <c r="U822" s="280" t="n"/>
      <c r="V822" s="280" t="n"/>
      <c r="W822" s="280" t="n"/>
      <c r="X822" s="280" t="n"/>
      <c r="Y822" s="280" t="n"/>
      <c r="Z822" s="280" t="n"/>
      <c r="AA822" s="280" t="n"/>
      <c r="AB822" s="280" t="n"/>
      <c r="AC822" s="280" t="n"/>
      <c r="AD822" s="280" t="n"/>
    </row>
    <row r="823" ht="15.5" customHeight="1">
      <c r="B823" s="290" t="n">
        <v>45507</v>
      </c>
      <c r="C823" s="291" t="n">
        <v>158</v>
      </c>
      <c r="D823" s="292" t="inlineStr">
        <is>
          <t>Jakarta - Semarang</t>
        </is>
      </c>
      <c r="E823" s="289" t="inlineStr">
        <is>
          <t>-</t>
        </is>
      </c>
      <c r="F823" s="285" t="n">
        <v>673500</v>
      </c>
      <c r="G823" s="294" t="inlineStr">
        <is>
          <t>IDR</t>
        </is>
      </c>
      <c r="H823" s="295" t="n">
        <v>1</v>
      </c>
      <c r="I823" s="282" t="n"/>
      <c r="J823" s="287" t="n"/>
      <c r="K823" s="281" t="n"/>
      <c r="L823" s="285" t="n">
        <v>673500</v>
      </c>
      <c r="M823" s="288" t="n"/>
      <c r="N823" s="288" t="n"/>
      <c r="O823" s="285" t="n"/>
      <c r="P823" s="287" t="n"/>
      <c r="Q823" s="289" t="n"/>
      <c r="R823" s="280" t="n"/>
      <c r="S823" s="280" t="n"/>
      <c r="T823" s="280" t="n"/>
      <c r="U823" s="280" t="n"/>
      <c r="V823" s="280" t="n"/>
      <c r="W823" s="280" t="n"/>
      <c r="X823" s="280" t="n"/>
      <c r="Y823" s="280" t="n"/>
      <c r="Z823" s="280" t="n"/>
      <c r="AA823" s="280" t="n"/>
      <c r="AB823" s="280" t="n"/>
      <c r="AC823" s="280" t="n"/>
      <c r="AD823" s="280" t="n"/>
    </row>
    <row r="824">
      <c r="B824" s="351" t="n"/>
      <c r="C824" s="351" t="n"/>
      <c r="D824" s="317" t="inlineStr">
        <is>
          <t>Laundry</t>
        </is>
      </c>
      <c r="E824" s="351" t="n"/>
      <c r="F824" s="351" t="n"/>
      <c r="G824" s="351" t="n"/>
      <c r="H824" s="351" t="n"/>
      <c r="I824" s="351" t="n"/>
      <c r="J824" s="351" t="n"/>
      <c r="K824" s="351" t="n"/>
      <c r="L824" s="351" t="n"/>
      <c r="M824" s="351" t="n"/>
      <c r="N824" s="351" t="n"/>
      <c r="O824" s="351" t="n"/>
      <c r="P824" s="351" t="n"/>
      <c r="Q824" s="351" t="n"/>
      <c r="R824" s="280" t="n"/>
      <c r="S824" s="280" t="n"/>
      <c r="T824" s="280" t="n"/>
      <c r="U824" s="280" t="n"/>
      <c r="V824" s="280" t="n"/>
      <c r="W824" s="280" t="n"/>
      <c r="X824" s="280" t="n"/>
      <c r="Y824" s="280" t="n"/>
      <c r="Z824" s="280" t="n"/>
      <c r="AA824" s="280" t="n"/>
      <c r="AB824" s="280" t="n"/>
      <c r="AC824" s="280" t="n"/>
      <c r="AD824" s="280" t="n"/>
    </row>
    <row r="825" ht="15.5" customHeight="1">
      <c r="B825" s="290" t="n">
        <v>45511</v>
      </c>
      <c r="C825" s="291" t="n">
        <v>159</v>
      </c>
      <c r="D825" s="292" t="inlineStr">
        <is>
          <t>Laundry (3 - 7 Aug 2024)</t>
        </is>
      </c>
      <c r="E825" s="289" t="inlineStr">
        <is>
          <t>-</t>
        </is>
      </c>
      <c r="F825" s="285" t="n">
        <v>250000</v>
      </c>
      <c r="G825" s="294" t="inlineStr">
        <is>
          <t>IDR</t>
        </is>
      </c>
      <c r="H825" s="295" t="n">
        <v>1</v>
      </c>
      <c r="I825" s="282" t="n"/>
      <c r="J825" s="287" t="n"/>
      <c r="K825" s="281" t="n"/>
      <c r="L825" s="285" t="n">
        <v>250000</v>
      </c>
      <c r="M825" s="288" t="n"/>
      <c r="N825" s="288" t="n"/>
      <c r="O825" s="285" t="n"/>
      <c r="P825" s="287" t="n"/>
      <c r="Q825" s="289" t="n"/>
      <c r="R825" s="280" t="n"/>
      <c r="S825" s="280" t="n"/>
      <c r="T825" s="280" t="n"/>
      <c r="U825" s="280" t="n"/>
      <c r="V825" s="280" t="n"/>
      <c r="W825" s="280" t="n"/>
      <c r="X825" s="280" t="n"/>
      <c r="Y825" s="280" t="n"/>
      <c r="Z825" s="280" t="n"/>
      <c r="AA825" s="280" t="n"/>
      <c r="AB825" s="280" t="n"/>
      <c r="AC825" s="280" t="n"/>
      <c r="AD825" s="280" t="n"/>
    </row>
    <row r="826">
      <c r="B826" s="351" t="n"/>
      <c r="C826" s="351" t="n"/>
      <c r="D826" s="317" t="inlineStr">
        <is>
          <t>Meal</t>
        </is>
      </c>
      <c r="E826" s="351" t="n"/>
      <c r="F826" s="351" t="n"/>
      <c r="G826" s="351" t="n"/>
      <c r="H826" s="351" t="n"/>
      <c r="I826" s="351" t="n"/>
      <c r="J826" s="351" t="n"/>
      <c r="K826" s="351" t="n"/>
      <c r="L826" s="351" t="n"/>
      <c r="M826" s="351" t="n"/>
      <c r="N826" s="351" t="n"/>
      <c r="O826" s="351" t="n"/>
      <c r="P826" s="351" t="n"/>
      <c r="Q826" s="351" t="n"/>
      <c r="R826" s="280" t="n"/>
      <c r="S826" s="280" t="n"/>
      <c r="T826" s="280" t="n"/>
      <c r="U826" s="280" t="n"/>
      <c r="V826" s="280" t="n"/>
      <c r="W826" s="280" t="n"/>
      <c r="X826" s="280" t="n"/>
      <c r="Y826" s="280" t="n"/>
      <c r="Z826" s="280" t="n"/>
      <c r="AA826" s="280" t="n"/>
      <c r="AB826" s="280" t="n"/>
      <c r="AC826" s="280" t="n"/>
      <c r="AD826" s="280" t="n"/>
    </row>
    <row r="827" ht="15.5" customHeight="1">
      <c r="B827" s="290" t="n">
        <v>45511</v>
      </c>
      <c r="C827" s="291" t="n">
        <v>160</v>
      </c>
      <c r="D827" s="292" t="inlineStr">
        <is>
          <t>Uang Makan (3 - 7 Aug 2024)</t>
        </is>
      </c>
      <c r="E827" s="289" t="inlineStr">
        <is>
          <t>-</t>
        </is>
      </c>
      <c r="F827" s="285" t="n">
        <v>750000</v>
      </c>
      <c r="G827" s="294" t="inlineStr">
        <is>
          <t>IDR</t>
        </is>
      </c>
      <c r="H827" s="295" t="n">
        <v>1</v>
      </c>
      <c r="I827" s="282" t="n"/>
      <c r="J827" s="287" t="n"/>
      <c r="K827" s="281" t="n"/>
      <c r="L827" s="285" t="n">
        <v>750000</v>
      </c>
      <c r="M827" s="288" t="n"/>
      <c r="N827" s="288" t="n"/>
      <c r="O827" s="285" t="n"/>
      <c r="P827" s="287" t="n"/>
      <c r="Q827" s="289" t="n"/>
      <c r="R827" s="280" t="n"/>
      <c r="S827" s="280" t="n"/>
      <c r="T827" s="280" t="n"/>
      <c r="U827" s="280" t="n"/>
      <c r="V827" s="280" t="n"/>
      <c r="W827" s="280" t="n"/>
      <c r="X827" s="280" t="n"/>
      <c r="Y827" s="280" t="n"/>
      <c r="Z827" s="280" t="n"/>
      <c r="AA827" s="280" t="n"/>
      <c r="AB827" s="280" t="n"/>
      <c r="AC827" s="280" t="n"/>
      <c r="AD827" s="280" t="n"/>
    </row>
    <row r="828">
      <c r="B828" s="351" t="n"/>
      <c r="C828" s="351" t="n"/>
      <c r="D828" s="317" t="inlineStr">
        <is>
          <t>Transportation</t>
        </is>
      </c>
      <c r="E828" s="351" t="n"/>
      <c r="F828" s="351" t="n"/>
      <c r="G828" s="351" t="n"/>
      <c r="H828" s="351" t="n"/>
      <c r="I828" s="351" t="n"/>
      <c r="J828" s="351" t="n"/>
      <c r="K828" s="351" t="n"/>
      <c r="L828" s="351" t="n"/>
      <c r="M828" s="351" t="n"/>
      <c r="N828" s="351" t="n"/>
      <c r="O828" s="351" t="n"/>
      <c r="P828" s="351" t="n"/>
      <c r="Q828" s="351" t="n"/>
      <c r="R828" s="280" t="n"/>
      <c r="S828" s="280" t="n"/>
      <c r="T828" s="280" t="n"/>
      <c r="U828" s="280" t="n"/>
      <c r="V828" s="280" t="n"/>
      <c r="W828" s="280" t="n"/>
      <c r="X828" s="280" t="n"/>
      <c r="Y828" s="280" t="n"/>
      <c r="Z828" s="280" t="n"/>
      <c r="AA828" s="280" t="n"/>
      <c r="AB828" s="280" t="n"/>
      <c r="AC828" s="280" t="n"/>
      <c r="AD828" s="280" t="n"/>
    </row>
    <row r="829" ht="15.5" customHeight="1">
      <c r="B829" s="290" t="n">
        <v>45511</v>
      </c>
      <c r="C829" s="291" t="n">
        <v>161</v>
      </c>
      <c r="D829" s="292" t="inlineStr">
        <is>
          <t>Gocar Hotel to Tawang</t>
        </is>
      </c>
      <c r="E829" s="289" t="inlineStr">
        <is>
          <t>-</t>
        </is>
      </c>
      <c r="F829" s="285" t="n">
        <v>45000</v>
      </c>
      <c r="G829" s="294" t="inlineStr">
        <is>
          <t>IDR</t>
        </is>
      </c>
      <c r="H829" s="295" t="n">
        <v>1</v>
      </c>
      <c r="I829" s="282" t="n"/>
      <c r="J829" s="287" t="n"/>
      <c r="K829" s="281" t="n"/>
      <c r="L829" s="285" t="n">
        <v>45000</v>
      </c>
      <c r="M829" s="288" t="n"/>
      <c r="N829" s="288" t="n"/>
      <c r="O829" s="285" t="n"/>
      <c r="P829" s="287" t="n"/>
      <c r="Q829" s="289" t="n"/>
      <c r="R829" s="280" t="n"/>
      <c r="S829" s="280" t="n"/>
      <c r="T829" s="280" t="n"/>
      <c r="U829" s="280" t="n"/>
      <c r="V829" s="280" t="n"/>
      <c r="W829" s="280" t="n"/>
      <c r="X829" s="280" t="n"/>
      <c r="Y829" s="280" t="n"/>
      <c r="Z829" s="280" t="n"/>
      <c r="AA829" s="280" t="n"/>
      <c r="AB829" s="280" t="n"/>
      <c r="AC829" s="280" t="n"/>
      <c r="AD829" s="280" t="n"/>
    </row>
    <row r="830">
      <c r="B830" s="312" t="inlineStr">
        <is>
          <t>Expense#27</t>
        </is>
      </c>
      <c r="C830" s="311" t="inlineStr">
        <is>
          <t>:</t>
        </is>
      </c>
      <c r="D830" s="312" t="inlineStr">
        <is>
          <t>Non tripo 1st -- MCU + Pembelian barang kelengkapan pump AC</t>
        </is>
      </c>
      <c r="E830" s="313" t="n"/>
      <c r="F830" s="313" t="n"/>
      <c r="G830" s="313" t="n"/>
      <c r="H830" s="313" t="n"/>
      <c r="I830" s="313" t="n"/>
      <c r="J830" s="313" t="n"/>
      <c r="K830" s="313" t="n"/>
      <c r="L830" s="313" t="n"/>
      <c r="M830" s="313" t="n"/>
      <c r="N830" s="313" t="n"/>
      <c r="O830" s="313" t="n"/>
      <c r="P830" s="313" t="n"/>
      <c r="Q830" s="313" t="n"/>
      <c r="R830" s="280" t="n"/>
      <c r="S830" s="280" t="n"/>
      <c r="T830" s="280" t="n"/>
      <c r="U830" s="280" t="n"/>
      <c r="V830" s="280" t="n"/>
      <c r="W830" s="280" t="n"/>
      <c r="X830" s="280" t="n"/>
      <c r="Y830" s="280" t="n"/>
      <c r="Z830" s="280" t="n"/>
      <c r="AA830" s="280" t="n"/>
      <c r="AB830" s="280" t="n"/>
      <c r="AC830" s="280" t="n"/>
      <c r="AD830" s="280" t="n"/>
    </row>
    <row r="831">
      <c r="B831" s="351" t="n"/>
      <c r="C831" s="351" t="n"/>
      <c r="D831" s="317" t="inlineStr">
        <is>
          <t>Elektronik &amp; Gadget</t>
        </is>
      </c>
      <c r="E831" s="351" t="n"/>
      <c r="F831" s="351" t="n"/>
      <c r="G831" s="351" t="n"/>
      <c r="H831" s="351" t="n"/>
      <c r="I831" s="351" t="n"/>
      <c r="J831" s="351" t="n"/>
      <c r="K831" s="351" t="n"/>
      <c r="L831" s="351" t="n"/>
      <c r="M831" s="351" t="n"/>
      <c r="N831" s="351" t="n"/>
      <c r="O831" s="351" t="n"/>
      <c r="P831" s="351" t="n"/>
      <c r="Q831" s="351" t="n"/>
      <c r="R831" s="280" t="n"/>
      <c r="S831" s="280" t="n"/>
      <c r="T831" s="280" t="n"/>
      <c r="U831" s="280" t="n"/>
      <c r="V831" s="280" t="n"/>
      <c r="W831" s="280" t="n"/>
      <c r="X831" s="280" t="n"/>
      <c r="Y831" s="280" t="n"/>
      <c r="Z831" s="280" t="n"/>
      <c r="AA831" s="280" t="n"/>
      <c r="AB831" s="280" t="n"/>
      <c r="AC831" s="280" t="n"/>
      <c r="AD831" s="280" t="n"/>
    </row>
    <row r="832" ht="15.5" customHeight="1">
      <c r="B832" s="290" t="n">
        <v>45499</v>
      </c>
      <c r="C832" s="291" t="n">
        <v>162</v>
      </c>
      <c r="D832" s="292" t="inlineStr">
        <is>
          <t>buy Adapter</t>
        </is>
      </c>
      <c r="E832" s="289" t="inlineStr">
        <is>
          <t>-</t>
        </is>
      </c>
      <c r="F832" s="285" t="n">
        <v>20000</v>
      </c>
      <c r="G832" s="294" t="inlineStr">
        <is>
          <t>IDR</t>
        </is>
      </c>
      <c r="H832" s="295" t="n">
        <v>1</v>
      </c>
      <c r="I832" s="282" t="n"/>
      <c r="J832" s="287" t="n"/>
      <c r="K832" s="281" t="n"/>
      <c r="L832" s="285" t="n"/>
      <c r="M832" s="288" t="n"/>
      <c r="N832" s="288" t="n">
        <v>20000</v>
      </c>
      <c r="O832" s="285" t="n"/>
      <c r="P832" s="287" t="n"/>
      <c r="Q832" s="289" t="n"/>
      <c r="R832" s="280" t="n"/>
      <c r="S832" s="280" t="n"/>
      <c r="T832" s="280" t="n"/>
      <c r="U832" s="280" t="n"/>
      <c r="V832" s="280" t="n"/>
      <c r="W832" s="280" t="n"/>
      <c r="X832" s="280" t="n"/>
      <c r="Y832" s="280" t="n"/>
      <c r="Z832" s="280" t="n"/>
      <c r="AA832" s="280" t="n"/>
      <c r="AB832" s="280" t="n"/>
      <c r="AC832" s="280" t="n"/>
      <c r="AD832" s="280" t="n"/>
    </row>
    <row r="833">
      <c r="B833" s="351" t="n"/>
      <c r="C833" s="351" t="n"/>
      <c r="D833" s="317" t="inlineStr">
        <is>
          <t>Hand Tools</t>
        </is>
      </c>
      <c r="E833" s="351" t="n"/>
      <c r="F833" s="351" t="n"/>
      <c r="G833" s="351" t="n"/>
      <c r="H833" s="351" t="n"/>
      <c r="I833" s="351" t="n"/>
      <c r="J833" s="351" t="n"/>
      <c r="K833" s="351" t="n"/>
      <c r="L833" s="351" t="n"/>
      <c r="M833" s="351" t="n"/>
      <c r="N833" s="351" t="n"/>
      <c r="O833" s="351" t="n"/>
      <c r="P833" s="351" t="n"/>
      <c r="Q833" s="351" t="n"/>
      <c r="R833" s="280" t="n"/>
      <c r="S833" s="280" t="n"/>
      <c r="T833" s="280" t="n"/>
      <c r="U833" s="280" t="n"/>
      <c r="V833" s="280" t="n"/>
      <c r="W833" s="280" t="n"/>
      <c r="X833" s="280" t="n"/>
      <c r="Y833" s="280" t="n"/>
      <c r="Z833" s="280" t="n"/>
      <c r="AA833" s="280" t="n"/>
      <c r="AB833" s="280" t="n"/>
      <c r="AC833" s="280" t="n"/>
      <c r="AD833" s="280" t="n"/>
    </row>
    <row r="834" ht="15.5" customHeight="1">
      <c r="B834" s="290" t="n">
        <v>45501</v>
      </c>
      <c r="C834" s="291" t="n">
        <v>163</v>
      </c>
      <c r="D834" s="292" t="inlineStr">
        <is>
          <t>Buy Case for tools box dan hydraulic pump</t>
        </is>
      </c>
      <c r="E834" s="289" t="inlineStr">
        <is>
          <t>-</t>
        </is>
      </c>
      <c r="F834" s="285" t="n">
        <v>2636800</v>
      </c>
      <c r="G834" s="294" t="inlineStr">
        <is>
          <t>IDR</t>
        </is>
      </c>
      <c r="H834" s="295" t="n">
        <v>1</v>
      </c>
      <c r="I834" s="282" t="n"/>
      <c r="J834" s="287" t="n"/>
      <c r="K834" s="281" t="n"/>
      <c r="L834" s="285" t="n"/>
      <c r="M834" s="288" t="n"/>
      <c r="N834" s="288" t="n">
        <v>2636800</v>
      </c>
      <c r="O834" s="285" t="n"/>
      <c r="P834" s="287" t="n"/>
      <c r="Q834" s="289" t="n"/>
      <c r="R834" s="280" t="n"/>
      <c r="S834" s="280" t="n"/>
      <c r="T834" s="280" t="n"/>
      <c r="U834" s="280" t="n"/>
      <c r="V834" s="280" t="n"/>
      <c r="W834" s="280" t="n"/>
      <c r="X834" s="280" t="n"/>
      <c r="Y834" s="280" t="n"/>
      <c r="Z834" s="280" t="n"/>
      <c r="AA834" s="280" t="n"/>
      <c r="AB834" s="280" t="n"/>
      <c r="AC834" s="280" t="n"/>
      <c r="AD834" s="280" t="n"/>
    </row>
    <row r="835">
      <c r="B835" s="351" t="n"/>
      <c r="C835" s="351" t="n"/>
      <c r="D835" s="317" t="inlineStr">
        <is>
          <t>Meal</t>
        </is>
      </c>
      <c r="E835" s="351" t="n"/>
      <c r="F835" s="351" t="n"/>
      <c r="G835" s="351" t="n"/>
      <c r="H835" s="351" t="n"/>
      <c r="I835" s="351" t="n"/>
      <c r="J835" s="351" t="n"/>
      <c r="K835" s="351" t="n"/>
      <c r="L835" s="351" t="n"/>
      <c r="M835" s="351" t="n"/>
      <c r="N835" s="351" t="n"/>
      <c r="O835" s="351" t="n"/>
      <c r="P835" s="351" t="n"/>
      <c r="Q835" s="351" t="n"/>
      <c r="R835" s="280" t="n"/>
      <c r="S835" s="280" t="n"/>
      <c r="T835" s="280" t="n"/>
      <c r="U835" s="280" t="n"/>
      <c r="V835" s="280" t="n"/>
      <c r="W835" s="280" t="n"/>
      <c r="X835" s="280" t="n"/>
      <c r="Y835" s="280" t="n"/>
      <c r="Z835" s="280" t="n"/>
      <c r="AA835" s="280" t="n"/>
      <c r="AB835" s="280" t="n"/>
      <c r="AC835" s="280" t="n"/>
      <c r="AD835" s="280" t="n"/>
    </row>
    <row r="836" ht="15.5" customHeight="1">
      <c r="B836" s="290" t="n">
        <v>45484</v>
      </c>
      <c r="C836" s="291" t="n">
        <v>164</v>
      </c>
      <c r="D836" s="292" t="inlineStr">
        <is>
          <t>Meal lunch when visit to Lemigas (Sample Botol)</t>
        </is>
      </c>
      <c r="E836" s="289" t="inlineStr">
        <is>
          <t>-</t>
        </is>
      </c>
      <c r="F836" s="285" t="n">
        <v>81000</v>
      </c>
      <c r="G836" s="294" t="inlineStr">
        <is>
          <t>IDR</t>
        </is>
      </c>
      <c r="H836" s="295" t="n">
        <v>1</v>
      </c>
      <c r="I836" s="282" t="n"/>
      <c r="J836" s="287" t="n"/>
      <c r="K836" s="281" t="n"/>
      <c r="L836" s="285" t="n">
        <v>81000</v>
      </c>
      <c r="M836" s="288" t="n"/>
      <c r="N836" s="288" t="n"/>
      <c r="O836" s="285" t="n"/>
      <c r="P836" s="287" t="n"/>
      <c r="Q836" s="289" t="n"/>
      <c r="R836" s="280" t="n"/>
      <c r="S836" s="280" t="n"/>
      <c r="T836" s="280" t="n"/>
      <c r="U836" s="280" t="n"/>
      <c r="V836" s="280" t="n"/>
      <c r="W836" s="280" t="n"/>
      <c r="X836" s="280" t="n"/>
      <c r="Y836" s="280" t="n"/>
      <c r="Z836" s="280" t="n"/>
      <c r="AA836" s="280" t="n"/>
      <c r="AB836" s="280" t="n"/>
      <c r="AC836" s="280" t="n"/>
      <c r="AD836" s="280" t="n"/>
    </row>
    <row r="837">
      <c r="B837" s="351" t="n"/>
      <c r="C837" s="351" t="n"/>
      <c r="D837" s="317" t="inlineStr">
        <is>
          <t>Medical</t>
        </is>
      </c>
      <c r="E837" s="351" t="n"/>
      <c r="F837" s="351" t="n"/>
      <c r="G837" s="351" t="n"/>
      <c r="H837" s="351" t="n"/>
      <c r="I837" s="351" t="n"/>
      <c r="J837" s="351" t="n"/>
      <c r="K837" s="351" t="n"/>
      <c r="L837" s="351" t="n"/>
      <c r="M837" s="351" t="n"/>
      <c r="N837" s="351" t="n"/>
      <c r="O837" s="351" t="n"/>
      <c r="P837" s="351" t="n"/>
      <c r="Q837" s="351" t="n"/>
      <c r="R837" s="280" t="n"/>
      <c r="S837" s="280" t="n"/>
      <c r="T837" s="280" t="n"/>
      <c r="U837" s="280" t="n"/>
      <c r="V837" s="280" t="n"/>
      <c r="W837" s="280" t="n"/>
      <c r="X837" s="280" t="n"/>
      <c r="Y837" s="280" t="n"/>
      <c r="Z837" s="280" t="n"/>
      <c r="AA837" s="280" t="n"/>
      <c r="AB837" s="280" t="n"/>
      <c r="AC837" s="280" t="n"/>
      <c r="AD837" s="280" t="n"/>
    </row>
    <row r="838" ht="15.5" customHeight="1">
      <c r="B838" s="290" t="n">
        <v>45484</v>
      </c>
      <c r="C838" s="291" t="n">
        <v>165</v>
      </c>
      <c r="D838" s="292" t="inlineStr">
        <is>
          <t>Fisioterapi 3rd</t>
        </is>
      </c>
      <c r="E838" s="289" t="inlineStr">
        <is>
          <t>-</t>
        </is>
      </c>
      <c r="F838" s="285" t="n">
        <v>285000</v>
      </c>
      <c r="G838" s="294" t="inlineStr">
        <is>
          <t>IDR</t>
        </is>
      </c>
      <c r="H838" s="295" t="n">
        <v>1</v>
      </c>
      <c r="I838" s="282" t="n"/>
      <c r="J838" s="287" t="n"/>
      <c r="K838" s="281" t="n"/>
      <c r="L838" s="285" t="n"/>
      <c r="M838" s="288" t="n"/>
      <c r="N838" s="288" t="n"/>
      <c r="O838" s="285" t="n"/>
      <c r="P838" s="285" t="n">
        <v>285000</v>
      </c>
      <c r="Q838" s="289" t="n"/>
      <c r="R838" s="280" t="n"/>
      <c r="S838" s="280" t="n"/>
      <c r="T838" s="280" t="n"/>
      <c r="U838" s="280" t="n"/>
      <c r="V838" s="280" t="n"/>
      <c r="W838" s="280" t="n"/>
      <c r="X838" s="280" t="n"/>
      <c r="Y838" s="280" t="n"/>
      <c r="Z838" s="280" t="n"/>
      <c r="AA838" s="280" t="n"/>
      <c r="AB838" s="280" t="n"/>
      <c r="AC838" s="280" t="n"/>
      <c r="AD838" s="280" t="n"/>
    </row>
    <row r="839">
      <c r="B839" s="351" t="n"/>
      <c r="C839" s="351" t="n"/>
      <c r="D839" s="317" t="inlineStr">
        <is>
          <t>Sparepart</t>
        </is>
      </c>
      <c r="E839" s="351" t="n"/>
      <c r="F839" s="351" t="n"/>
      <c r="G839" s="351" t="n"/>
      <c r="H839" s="351" t="n"/>
      <c r="I839" s="351" t="n"/>
      <c r="J839" s="351" t="n"/>
      <c r="K839" s="351" t="n"/>
      <c r="L839" s="351" t="n"/>
      <c r="M839" s="351" t="n"/>
      <c r="N839" s="351" t="n"/>
      <c r="O839" s="351" t="n"/>
      <c r="P839" s="351" t="n"/>
      <c r="Q839" s="351" t="n"/>
      <c r="R839" s="280" t="n"/>
      <c r="S839" s="280" t="n"/>
      <c r="T839" s="280" t="n"/>
      <c r="U839" s="280" t="n"/>
      <c r="V839" s="280" t="n"/>
      <c r="W839" s="280" t="n"/>
      <c r="X839" s="280" t="n"/>
      <c r="Y839" s="280" t="n"/>
      <c r="Z839" s="280" t="n"/>
      <c r="AA839" s="280" t="n"/>
      <c r="AB839" s="280" t="n"/>
      <c r="AC839" s="280" t="n"/>
      <c r="AD839" s="280" t="n"/>
    </row>
    <row r="840" ht="15.5" customHeight="1">
      <c r="B840" s="290" t="n">
        <v>45500</v>
      </c>
      <c r="C840" s="291" t="n">
        <v>166</v>
      </c>
      <c r="D840" s="292" t="inlineStr">
        <is>
          <t>Buy Connection 1/4"</t>
        </is>
      </c>
      <c r="E840" s="289" t="inlineStr">
        <is>
          <t>-</t>
        </is>
      </c>
      <c r="F840" s="285" t="n">
        <v>1760000</v>
      </c>
      <c r="G840" s="294" t="inlineStr">
        <is>
          <t>IDR</t>
        </is>
      </c>
      <c r="H840" s="295" t="n">
        <v>1</v>
      </c>
      <c r="I840" s="282" t="n"/>
      <c r="J840" s="287" t="n"/>
      <c r="K840" s="281" t="n"/>
      <c r="L840" s="285" t="n"/>
      <c r="M840" s="288" t="n"/>
      <c r="N840" s="288" t="n">
        <v>1760000</v>
      </c>
      <c r="O840" s="285" t="n"/>
      <c r="P840" s="287" t="n"/>
      <c r="Q840" s="289" t="n"/>
      <c r="R840" s="280" t="n"/>
      <c r="S840" s="280" t="n"/>
      <c r="T840" s="280" t="n"/>
      <c r="U840" s="280" t="n"/>
      <c r="V840" s="280" t="n"/>
      <c r="W840" s="280" t="n"/>
      <c r="X840" s="280" t="n"/>
      <c r="Y840" s="280" t="n"/>
      <c r="Z840" s="280" t="n"/>
      <c r="AA840" s="280" t="n"/>
      <c r="AB840" s="280" t="n"/>
      <c r="AC840" s="280" t="n"/>
      <c r="AD840" s="280" t="n"/>
    </row>
    <row r="841">
      <c r="B841" s="351" t="n"/>
      <c r="C841" s="351" t="n"/>
      <c r="D841" s="317" t="inlineStr">
        <is>
          <t>Transportation</t>
        </is>
      </c>
      <c r="E841" s="351" t="n"/>
      <c r="F841" s="351" t="n"/>
      <c r="G841" s="351" t="n"/>
      <c r="H841" s="351" t="n"/>
      <c r="I841" s="351" t="n"/>
      <c r="J841" s="351" t="n"/>
      <c r="K841" s="351" t="n"/>
      <c r="L841" s="351" t="n"/>
      <c r="M841" s="351" t="n"/>
      <c r="N841" s="351" t="n"/>
      <c r="O841" s="351" t="n"/>
      <c r="P841" s="351" t="n"/>
      <c r="Q841" s="351" t="n"/>
      <c r="R841" s="280" t="n"/>
      <c r="S841" s="280" t="n"/>
      <c r="T841" s="280" t="n"/>
      <c r="U841" s="280" t="n"/>
      <c r="V841" s="280" t="n"/>
      <c r="W841" s="280" t="n"/>
      <c r="X841" s="280" t="n"/>
      <c r="Y841" s="280" t="n"/>
      <c r="Z841" s="280" t="n"/>
      <c r="AA841" s="280" t="n"/>
      <c r="AB841" s="280" t="n"/>
      <c r="AC841" s="280" t="n"/>
      <c r="AD841" s="280" t="n"/>
    </row>
    <row r="842" ht="15.5" customHeight="1">
      <c r="B842" s="290" t="n">
        <v>45501</v>
      </c>
      <c r="C842" s="291" t="n">
        <v>167</v>
      </c>
      <c r="D842" s="292" t="inlineStr">
        <is>
          <t>Fuel trip ke Glodok buy Hydralic pump assesories</t>
        </is>
      </c>
      <c r="E842" s="289" t="inlineStr">
        <is>
          <t>-</t>
        </is>
      </c>
      <c r="F842" s="285" t="n">
        <v>217350</v>
      </c>
      <c r="G842" s="294" t="inlineStr">
        <is>
          <t>IDR</t>
        </is>
      </c>
      <c r="H842" s="295" t="n">
        <v>1</v>
      </c>
      <c r="I842" s="282" t="n"/>
      <c r="J842" s="287" t="n"/>
      <c r="K842" s="281" t="n"/>
      <c r="L842" s="285" t="n">
        <v>217350</v>
      </c>
      <c r="M842" s="288" t="n"/>
      <c r="N842" s="288" t="n"/>
      <c r="O842" s="285" t="n"/>
      <c r="P842" s="287" t="n"/>
      <c r="Q842" s="289" t="n"/>
      <c r="R842" s="280" t="n"/>
      <c r="S842" s="280" t="n"/>
      <c r="T842" s="280" t="n"/>
      <c r="U842" s="280" t="n"/>
      <c r="V842" s="280" t="n"/>
      <c r="W842" s="280" t="n"/>
      <c r="X842" s="280" t="n"/>
      <c r="Y842" s="280" t="n"/>
      <c r="Z842" s="280" t="n"/>
      <c r="AA842" s="280" t="n"/>
      <c r="AB842" s="280" t="n"/>
      <c r="AC842" s="280" t="n"/>
      <c r="AD842" s="280" t="n"/>
    </row>
    <row r="843">
      <c r="B843" s="312" t="inlineStr">
        <is>
          <t>Expense#28</t>
        </is>
      </c>
      <c r="C843" s="311" t="inlineStr">
        <is>
          <t>:</t>
        </is>
      </c>
      <c r="D843" s="312" t="inlineStr">
        <is>
          <t>ALFA-MPLT-Sampler project TIS Energy Blora_well RBG-3B by Barekin Sakti- AC</t>
        </is>
      </c>
      <c r="E843" s="313" t="n"/>
      <c r="F843" s="313" t="n"/>
      <c r="G843" s="313" t="n"/>
      <c r="H843" s="313" t="n"/>
      <c r="I843" s="313" t="n"/>
      <c r="J843" s="313" t="n"/>
      <c r="K843" s="313" t="n"/>
      <c r="L843" s="313" t="n"/>
      <c r="M843" s="313" t="n"/>
      <c r="N843" s="313" t="n"/>
      <c r="O843" s="313" t="n"/>
      <c r="P843" s="313" t="n"/>
      <c r="Q843" s="313" t="n"/>
      <c r="R843" s="280" t="n"/>
      <c r="S843" s="280" t="n"/>
      <c r="T843" s="280" t="n"/>
      <c r="U843" s="280" t="n"/>
      <c r="V843" s="280" t="n"/>
      <c r="W843" s="280" t="n"/>
      <c r="X843" s="280" t="n"/>
      <c r="Y843" s="280" t="n"/>
      <c r="Z843" s="280" t="n"/>
      <c r="AA843" s="280" t="n"/>
      <c r="AB843" s="280" t="n"/>
      <c r="AC843" s="280" t="n"/>
      <c r="AD843" s="280" t="n"/>
    </row>
    <row r="844">
      <c r="B844" s="351" t="n"/>
      <c r="C844" s="351" t="n"/>
      <c r="D844" s="317" t="inlineStr">
        <is>
          <t>Accommodation</t>
        </is>
      </c>
      <c r="E844" s="351" t="n"/>
      <c r="F844" s="351" t="n"/>
      <c r="G844" s="351" t="n"/>
      <c r="H844" s="351" t="n"/>
      <c r="I844" s="351" t="n"/>
      <c r="J844" s="351" t="n"/>
      <c r="K844" s="351" t="n"/>
      <c r="L844" s="351" t="n"/>
      <c r="M844" s="351" t="n"/>
      <c r="N844" s="351" t="n"/>
      <c r="O844" s="351" t="n"/>
      <c r="P844" s="351" t="n"/>
      <c r="Q844" s="351" t="n"/>
      <c r="R844" s="280" t="n"/>
      <c r="S844" s="280" t="n"/>
      <c r="T844" s="280" t="n"/>
      <c r="U844" s="280" t="n"/>
      <c r="V844" s="280" t="n"/>
      <c r="W844" s="280" t="n"/>
      <c r="X844" s="280" t="n"/>
      <c r="Y844" s="280" t="n"/>
      <c r="Z844" s="280" t="n"/>
      <c r="AA844" s="280" t="n"/>
      <c r="AB844" s="280" t="n"/>
      <c r="AC844" s="280" t="n"/>
      <c r="AD844" s="280" t="n"/>
    </row>
    <row r="845" ht="15.5" customHeight="1">
      <c r="B845" s="290" t="n">
        <v>45507</v>
      </c>
      <c r="C845" s="291" t="n">
        <v>168</v>
      </c>
      <c r="D845" s="292" t="inlineStr">
        <is>
          <t>Hotel for 6 days ( 29 Jul - 3 aug 24)</t>
        </is>
      </c>
      <c r="E845" s="289" t="inlineStr">
        <is>
          <t>-</t>
        </is>
      </c>
      <c r="F845" s="285" t="n">
        <v>2700000</v>
      </c>
      <c r="G845" s="294" t="inlineStr">
        <is>
          <t>IDR</t>
        </is>
      </c>
      <c r="H845" s="295" t="n">
        <v>1</v>
      </c>
      <c r="I845" s="282" t="n"/>
      <c r="J845" s="287" t="n"/>
      <c r="K845" s="281" t="n"/>
      <c r="L845" s="285" t="n">
        <v>2700000</v>
      </c>
      <c r="M845" s="288" t="n"/>
      <c r="N845" s="288" t="n"/>
      <c r="O845" s="285" t="n"/>
      <c r="P845" s="287" t="n"/>
      <c r="Q845" s="289" t="n"/>
      <c r="R845" s="280" t="n"/>
      <c r="S845" s="280" t="n"/>
      <c r="T845" s="280" t="n"/>
      <c r="U845" s="280" t="n"/>
      <c r="V845" s="280" t="n"/>
      <c r="W845" s="280" t="n"/>
      <c r="X845" s="280" t="n"/>
      <c r="Y845" s="280" t="n"/>
      <c r="Z845" s="280" t="n"/>
      <c r="AA845" s="280" t="n"/>
      <c r="AB845" s="280" t="n"/>
      <c r="AC845" s="280" t="n"/>
      <c r="AD845" s="280" t="n"/>
    </row>
    <row r="846">
      <c r="B846" s="351" t="n"/>
      <c r="C846" s="351" t="n"/>
      <c r="D846" s="317" t="inlineStr">
        <is>
          <t>Allowance</t>
        </is>
      </c>
      <c r="E846" s="351" t="n"/>
      <c r="F846" s="351" t="n"/>
      <c r="G846" s="351" t="n"/>
      <c r="H846" s="351" t="n"/>
      <c r="I846" s="351" t="n"/>
      <c r="J846" s="351" t="n"/>
      <c r="K846" s="351" t="n"/>
      <c r="L846" s="351" t="n"/>
      <c r="M846" s="351" t="n"/>
      <c r="N846" s="351" t="n"/>
      <c r="O846" s="351" t="n"/>
      <c r="P846" s="351" t="n"/>
      <c r="Q846" s="351" t="n"/>
      <c r="R846" s="280" t="n"/>
      <c r="S846" s="280" t="n"/>
      <c r="T846" s="280" t="n"/>
      <c r="U846" s="280" t="n"/>
      <c r="V846" s="280" t="n"/>
      <c r="W846" s="280" t="n"/>
      <c r="X846" s="280" t="n"/>
      <c r="Y846" s="280" t="n"/>
      <c r="Z846" s="280" t="n"/>
      <c r="AA846" s="280" t="n"/>
      <c r="AB846" s="280" t="n"/>
      <c r="AC846" s="280" t="n"/>
      <c r="AD846" s="280" t="n"/>
    </row>
    <row r="847" ht="15.5" customHeight="1">
      <c r="B847" s="290" t="n">
        <v>45511</v>
      </c>
      <c r="C847" s="291" t="n">
        <v>169</v>
      </c>
      <c r="D847" s="292" t="inlineStr">
        <is>
          <t>Tunjangan lapangan for 10 days (29Jul - 07Aug24) Anevril</t>
        </is>
      </c>
      <c r="E847" s="289" t="inlineStr">
        <is>
          <t>-</t>
        </is>
      </c>
      <c r="F847" s="285" t="n">
        <v>16100000</v>
      </c>
      <c r="G847" s="294" t="inlineStr">
        <is>
          <t>USD</t>
        </is>
      </c>
      <c r="H847" s="295" t="n">
        <v>16100</v>
      </c>
      <c r="I847" s="282" t="n"/>
      <c r="J847" s="287" t="n"/>
      <c r="K847" s="281" t="n"/>
      <c r="L847" s="285" t="n">
        <v>16100000</v>
      </c>
      <c r="M847" s="288" t="n"/>
      <c r="N847" s="288" t="n"/>
      <c r="O847" s="285" t="n"/>
      <c r="P847" s="287" t="n"/>
      <c r="Q847" s="289" t="n"/>
      <c r="R847" s="280" t="n"/>
      <c r="S847" s="280" t="n"/>
      <c r="T847" s="280" t="n"/>
      <c r="U847" s="280" t="n"/>
      <c r="V847" s="280" t="n"/>
      <c r="W847" s="280" t="n"/>
      <c r="X847" s="280" t="n"/>
      <c r="Y847" s="280" t="n"/>
      <c r="Z847" s="280" t="n"/>
      <c r="AA847" s="280" t="n"/>
      <c r="AB847" s="280" t="n"/>
      <c r="AC847" s="280" t="n"/>
      <c r="AD847" s="280" t="n"/>
    </row>
    <row r="848">
      <c r="B848" s="351" t="n"/>
      <c r="C848" s="351" t="n"/>
      <c r="D848" s="317" t="inlineStr">
        <is>
          <t>Biaya Operasi Lain-lain</t>
        </is>
      </c>
      <c r="E848" s="351" t="n"/>
      <c r="F848" s="351" t="n"/>
      <c r="G848" s="351" t="n"/>
      <c r="H848" s="351" t="n"/>
      <c r="I848" s="351" t="n"/>
      <c r="J848" s="351" t="n"/>
      <c r="K848" s="351" t="n"/>
      <c r="L848" s="351" t="n"/>
      <c r="M848" s="351" t="n"/>
      <c r="N848" s="351" t="n"/>
      <c r="O848" s="351" t="n"/>
      <c r="P848" s="351" t="n"/>
      <c r="Q848" s="351" t="n"/>
      <c r="R848" s="280" t="n"/>
      <c r="S848" s="280" t="n"/>
      <c r="T848" s="280" t="n"/>
      <c r="U848" s="280" t="n"/>
      <c r="V848" s="280" t="n"/>
      <c r="W848" s="280" t="n"/>
      <c r="X848" s="280" t="n"/>
      <c r="Y848" s="280" t="n"/>
      <c r="Z848" s="280" t="n"/>
      <c r="AA848" s="280" t="n"/>
      <c r="AB848" s="280" t="n"/>
      <c r="AC848" s="280" t="n"/>
      <c r="AD848" s="280" t="n"/>
    </row>
    <row r="849" ht="15.5" customHeight="1">
      <c r="B849" s="290" t="n">
        <v>45507</v>
      </c>
      <c r="C849" s="291" t="n">
        <v>170</v>
      </c>
      <c r="D849" s="292" t="inlineStr">
        <is>
          <t>w/ TIS Petroleum Personnel</t>
        </is>
      </c>
      <c r="E849" s="289" t="inlineStr">
        <is>
          <t>-</t>
        </is>
      </c>
      <c r="F849" s="285" t="n">
        <v>401000</v>
      </c>
      <c r="G849" s="294" t="inlineStr">
        <is>
          <t>IDR</t>
        </is>
      </c>
      <c r="H849" s="295" t="n">
        <v>1</v>
      </c>
      <c r="I849" s="282" t="n"/>
      <c r="J849" s="287" t="n"/>
      <c r="K849" s="281" t="n"/>
      <c r="L849" s="285" t="n">
        <v>401000</v>
      </c>
      <c r="M849" s="288" t="n"/>
      <c r="N849" s="288" t="n"/>
      <c r="O849" s="285" t="n"/>
      <c r="P849" s="287" t="n"/>
      <c r="Q849" s="289" t="n"/>
      <c r="R849" s="280" t="n"/>
      <c r="S849" s="280" t="n"/>
      <c r="T849" s="280" t="n"/>
      <c r="U849" s="280" t="n"/>
      <c r="V849" s="280" t="n"/>
      <c r="W849" s="280" t="n"/>
      <c r="X849" s="280" t="n"/>
      <c r="Y849" s="280" t="n"/>
      <c r="Z849" s="280" t="n"/>
      <c r="AA849" s="280" t="n"/>
      <c r="AB849" s="280" t="n"/>
      <c r="AC849" s="280" t="n"/>
      <c r="AD849" s="280" t="n"/>
    </row>
    <row r="850">
      <c r="B850" s="351" t="n"/>
      <c r="C850" s="351" t="n"/>
      <c r="D850" s="317" t="inlineStr">
        <is>
          <t>Laundry</t>
        </is>
      </c>
      <c r="E850" s="351" t="n"/>
      <c r="F850" s="351" t="n"/>
      <c r="G850" s="351" t="n"/>
      <c r="H850" s="351" t="n"/>
      <c r="I850" s="351" t="n"/>
      <c r="J850" s="351" t="n"/>
      <c r="K850" s="351" t="n"/>
      <c r="L850" s="351" t="n"/>
      <c r="M850" s="351" t="n"/>
      <c r="N850" s="351" t="n"/>
      <c r="O850" s="351" t="n"/>
      <c r="P850" s="351" t="n"/>
      <c r="Q850" s="351" t="n"/>
      <c r="R850" s="280" t="n"/>
      <c r="S850" s="280" t="n"/>
      <c r="T850" s="280" t="n"/>
      <c r="U850" s="280" t="n"/>
      <c r="V850" s="280" t="n"/>
      <c r="W850" s="280" t="n"/>
      <c r="X850" s="280" t="n"/>
      <c r="Y850" s="280" t="n"/>
      <c r="Z850" s="280" t="n"/>
      <c r="AA850" s="280" t="n"/>
      <c r="AB850" s="280" t="n"/>
      <c r="AC850" s="280" t="n"/>
      <c r="AD850" s="280" t="n"/>
    </row>
    <row r="851" ht="15.5" customHeight="1">
      <c r="B851" s="290" t="n">
        <v>45511</v>
      </c>
      <c r="C851" s="291" t="n">
        <v>171</v>
      </c>
      <c r="D851" s="292" t="inlineStr">
        <is>
          <t>Laundry dor 10 days @Rp.50.000.</t>
        </is>
      </c>
      <c r="E851" s="289" t="inlineStr">
        <is>
          <t>-</t>
        </is>
      </c>
      <c r="F851" s="285" t="n">
        <v>500000</v>
      </c>
      <c r="G851" s="294" t="inlineStr">
        <is>
          <t>IDR</t>
        </is>
      </c>
      <c r="H851" s="295" t="n">
        <v>1</v>
      </c>
      <c r="I851" s="282" t="n"/>
      <c r="J851" s="287" t="n"/>
      <c r="K851" s="281" t="n"/>
      <c r="L851" s="285" t="n">
        <v>500000</v>
      </c>
      <c r="M851" s="288" t="n"/>
      <c r="N851" s="288" t="n"/>
      <c r="O851" s="285" t="n"/>
      <c r="P851" s="287" t="n"/>
      <c r="Q851" s="289" t="n"/>
      <c r="R851" s="280" t="n"/>
      <c r="S851" s="280" t="n"/>
      <c r="T851" s="280" t="n"/>
      <c r="U851" s="280" t="n"/>
      <c r="V851" s="280" t="n"/>
      <c r="W851" s="280" t="n"/>
      <c r="X851" s="280" t="n"/>
      <c r="Y851" s="280" t="n"/>
      <c r="Z851" s="280" t="n"/>
      <c r="AA851" s="280" t="n"/>
      <c r="AB851" s="280" t="n"/>
      <c r="AC851" s="280" t="n"/>
      <c r="AD851" s="280" t="n"/>
    </row>
    <row r="852">
      <c r="B852" s="351" t="n"/>
      <c r="C852" s="351" t="n"/>
      <c r="D852" s="317" t="inlineStr">
        <is>
          <t>Meal</t>
        </is>
      </c>
      <c r="E852" s="351" t="n"/>
      <c r="F852" s="351" t="n"/>
      <c r="G852" s="351" t="n"/>
      <c r="H852" s="351" t="n"/>
      <c r="I852" s="351" t="n"/>
      <c r="J852" s="351" t="n"/>
      <c r="K852" s="351" t="n"/>
      <c r="L852" s="351" t="n"/>
      <c r="M852" s="351" t="n"/>
      <c r="N852" s="351" t="n"/>
      <c r="O852" s="351" t="n"/>
      <c r="P852" s="351" t="n"/>
      <c r="Q852" s="351" t="n"/>
      <c r="R852" s="280" t="n"/>
      <c r="S852" s="280" t="n"/>
      <c r="T852" s="280" t="n"/>
      <c r="U852" s="280" t="n"/>
      <c r="V852" s="280" t="n"/>
      <c r="W852" s="280" t="n"/>
      <c r="X852" s="280" t="n"/>
      <c r="Y852" s="280" t="n"/>
      <c r="Z852" s="280" t="n"/>
      <c r="AA852" s="280" t="n"/>
      <c r="AB852" s="280" t="n"/>
      <c r="AC852" s="280" t="n"/>
      <c r="AD852" s="280" t="n"/>
    </row>
    <row r="853" ht="15.5" customHeight="1">
      <c r="B853" s="290" t="n">
        <v>45511</v>
      </c>
      <c r="C853" s="291" t="n">
        <v>172</v>
      </c>
      <c r="D853" s="292" t="inlineStr">
        <is>
          <t>Meal utk 10 hari (29 Jul -7Aug-24) @Rp. 150.000</t>
        </is>
      </c>
      <c r="E853" s="289" t="inlineStr">
        <is>
          <t>-</t>
        </is>
      </c>
      <c r="F853" s="285" t="n">
        <v>1500000</v>
      </c>
      <c r="G853" s="294" t="inlineStr">
        <is>
          <t>IDR</t>
        </is>
      </c>
      <c r="H853" s="295" t="n">
        <v>1</v>
      </c>
      <c r="I853" s="282" t="n"/>
      <c r="J853" s="287" t="n"/>
      <c r="K853" s="281" t="n"/>
      <c r="L853" s="285" t="n">
        <v>1500000</v>
      </c>
      <c r="M853" s="288" t="n"/>
      <c r="N853" s="288" t="n"/>
      <c r="O853" s="285" t="n"/>
      <c r="P853" s="287" t="n"/>
      <c r="Q853" s="289" t="n"/>
      <c r="R853" s="280" t="n"/>
      <c r="S853" s="280" t="n"/>
      <c r="T853" s="280" t="n"/>
      <c r="U853" s="280" t="n"/>
      <c r="V853" s="280" t="n"/>
      <c r="W853" s="280" t="n"/>
      <c r="X853" s="280" t="n"/>
      <c r="Y853" s="280" t="n"/>
      <c r="Z853" s="280" t="n"/>
      <c r="AA853" s="280" t="n"/>
      <c r="AB853" s="280" t="n"/>
      <c r="AC853" s="280" t="n"/>
      <c r="AD853" s="280" t="n"/>
    </row>
    <row r="854">
      <c r="B854" s="351" t="n"/>
      <c r="C854" s="351" t="n"/>
      <c r="D854" s="317" t="inlineStr">
        <is>
          <t>Medical</t>
        </is>
      </c>
      <c r="E854" s="351" t="n"/>
      <c r="F854" s="351" t="n"/>
      <c r="G854" s="351" t="n"/>
      <c r="H854" s="351" t="n"/>
      <c r="I854" s="351" t="n"/>
      <c r="J854" s="351" t="n"/>
      <c r="K854" s="351" t="n"/>
      <c r="L854" s="351" t="n"/>
      <c r="M854" s="351" t="n"/>
      <c r="N854" s="351" t="n"/>
      <c r="O854" s="351" t="n"/>
      <c r="P854" s="351" t="n"/>
      <c r="Q854" s="351" t="n"/>
      <c r="R854" s="280" t="n"/>
      <c r="S854" s="280" t="n"/>
      <c r="T854" s="280" t="n"/>
      <c r="U854" s="280" t="n"/>
      <c r="V854" s="280" t="n"/>
      <c r="W854" s="280" t="n"/>
      <c r="X854" s="280" t="n"/>
      <c r="Y854" s="280" t="n"/>
      <c r="Z854" s="280" t="n"/>
      <c r="AA854" s="280" t="n"/>
      <c r="AB854" s="280" t="n"/>
      <c r="AC854" s="280" t="n"/>
      <c r="AD854" s="280" t="n"/>
    </row>
    <row r="855" ht="15.5" customHeight="1">
      <c r="B855" s="290" t="n">
        <v>45502</v>
      </c>
      <c r="C855" s="291" t="n">
        <v>173</v>
      </c>
      <c r="D855" s="292" t="inlineStr">
        <is>
          <t>buy Zirolic</t>
        </is>
      </c>
      <c r="E855" s="289" t="inlineStr">
        <is>
          <t>-</t>
        </is>
      </c>
      <c r="F855" s="285" t="n">
        <v>34200</v>
      </c>
      <c r="G855" s="294" t="inlineStr">
        <is>
          <t>IDR</t>
        </is>
      </c>
      <c r="H855" s="295" t="n">
        <v>1</v>
      </c>
      <c r="I855" s="282" t="n"/>
      <c r="J855" s="287" t="n"/>
      <c r="K855" s="281" t="n"/>
      <c r="L855" s="285" t="n"/>
      <c r="M855" s="288" t="n"/>
      <c r="N855" s="288" t="n"/>
      <c r="O855" s="285" t="n"/>
      <c r="P855" s="285" t="n">
        <v>34200</v>
      </c>
      <c r="Q855" s="289" t="n"/>
      <c r="R855" s="280" t="n"/>
      <c r="S855" s="280" t="n"/>
      <c r="T855" s="280" t="n"/>
      <c r="U855" s="280" t="n"/>
      <c r="V855" s="280" t="n"/>
      <c r="W855" s="280" t="n"/>
      <c r="X855" s="280" t="n"/>
      <c r="Y855" s="280" t="n"/>
      <c r="Z855" s="280" t="n"/>
      <c r="AA855" s="280" t="n"/>
      <c r="AB855" s="280" t="n"/>
      <c r="AC855" s="280" t="n"/>
      <c r="AD855" s="280" t="n"/>
    </row>
    <row r="856">
      <c r="B856" s="351" t="n"/>
      <c r="C856" s="351" t="n"/>
      <c r="D856" s="317" t="inlineStr">
        <is>
          <t>Sparepart</t>
        </is>
      </c>
      <c r="E856" s="351" t="n"/>
      <c r="F856" s="351" t="n"/>
      <c r="G856" s="351" t="n"/>
      <c r="H856" s="351" t="n"/>
      <c r="I856" s="351" t="n"/>
      <c r="J856" s="351" t="n"/>
      <c r="K856" s="351" t="n"/>
      <c r="L856" s="351" t="n"/>
      <c r="M856" s="351" t="n"/>
      <c r="N856" s="351" t="n"/>
      <c r="O856" s="351" t="n"/>
      <c r="P856" s="351" t="n"/>
      <c r="Q856" s="351" t="n"/>
      <c r="R856" s="280" t="n"/>
      <c r="S856" s="280" t="n"/>
      <c r="T856" s="280" t="n"/>
      <c r="U856" s="280" t="n"/>
      <c r="V856" s="280" t="n"/>
      <c r="W856" s="280" t="n"/>
      <c r="X856" s="280" t="n"/>
      <c r="Y856" s="280" t="n"/>
      <c r="Z856" s="280" t="n"/>
      <c r="AA856" s="280" t="n"/>
      <c r="AB856" s="280" t="n"/>
      <c r="AC856" s="280" t="n"/>
      <c r="AD856" s="280" t="n"/>
    </row>
    <row r="857" ht="15.5" customHeight="1">
      <c r="B857" s="290" t="n">
        <v>45510</v>
      </c>
      <c r="C857" s="291" t="n">
        <v>174</v>
      </c>
      <c r="D857" s="292" t="inlineStr">
        <is>
          <t>Buy Paint nippon</t>
        </is>
      </c>
      <c r="E857" s="289" t="inlineStr">
        <is>
          <t>-</t>
        </is>
      </c>
      <c r="F857" s="285" t="n">
        <v>60000</v>
      </c>
      <c r="G857" s="294" t="inlineStr">
        <is>
          <t>IDR</t>
        </is>
      </c>
      <c r="H857" s="295" t="n">
        <v>1</v>
      </c>
      <c r="I857" s="282" t="n"/>
      <c r="J857" s="287" t="n"/>
      <c r="K857" s="281" t="n"/>
      <c r="L857" s="285" t="n"/>
      <c r="M857" s="288" t="n"/>
      <c r="N857" s="288" t="n">
        <v>60000</v>
      </c>
      <c r="O857" s="285" t="n"/>
      <c r="P857" s="287" t="n"/>
      <c r="Q857" s="289" t="n"/>
      <c r="R857" s="280" t="n"/>
      <c r="S857" s="280" t="n"/>
      <c r="T857" s="280" t="n"/>
      <c r="U857" s="280" t="n"/>
      <c r="V857" s="280" t="n"/>
      <c r="W857" s="280" t="n"/>
      <c r="X857" s="280" t="n"/>
      <c r="Y857" s="280" t="n"/>
      <c r="Z857" s="280" t="n"/>
      <c r="AA857" s="280" t="n"/>
      <c r="AB857" s="280" t="n"/>
      <c r="AC857" s="280" t="n"/>
      <c r="AD857" s="280" t="n"/>
    </row>
    <row r="858">
      <c r="B858" s="351" t="n"/>
      <c r="C858" s="351" t="n"/>
      <c r="D858" s="317" t="inlineStr">
        <is>
          <t>Transportation</t>
        </is>
      </c>
      <c r="E858" s="351" t="n"/>
      <c r="F858" s="351" t="n"/>
      <c r="G858" s="351" t="n"/>
      <c r="H858" s="351" t="n"/>
      <c r="I858" s="351" t="n"/>
      <c r="J858" s="351" t="n"/>
      <c r="K858" s="351" t="n"/>
      <c r="L858" s="351" t="n"/>
      <c r="M858" s="351" t="n"/>
      <c r="N858" s="351" t="n"/>
      <c r="O858" s="351" t="n"/>
      <c r="P858" s="351" t="n"/>
      <c r="Q858" s="351" t="n"/>
      <c r="R858" s="280" t="n"/>
      <c r="S858" s="280" t="n"/>
      <c r="T858" s="280" t="n"/>
      <c r="U858" s="280" t="n"/>
      <c r="V858" s="280" t="n"/>
      <c r="W858" s="280" t="n"/>
      <c r="X858" s="280" t="n"/>
      <c r="Y858" s="280" t="n"/>
      <c r="Z858" s="280" t="n"/>
      <c r="AA858" s="280" t="n"/>
      <c r="AB858" s="280" t="n"/>
      <c r="AC858" s="280" t="n"/>
      <c r="AD858" s="280" t="n"/>
    </row>
    <row r="859" ht="15.5" customHeight="1">
      <c r="B859" s="290" t="n">
        <v>45511</v>
      </c>
      <c r="C859" s="291" t="n">
        <v>175</v>
      </c>
      <c r="D859" s="292" t="inlineStr">
        <is>
          <t>Toll (Gubug - Jakarta)</t>
        </is>
      </c>
      <c r="E859" s="289" t="inlineStr">
        <is>
          <t>-</t>
        </is>
      </c>
      <c r="F859" s="285" t="n">
        <v>496000</v>
      </c>
      <c r="G859" s="294" t="inlineStr">
        <is>
          <t>IDR</t>
        </is>
      </c>
      <c r="H859" s="295" t="n">
        <v>1</v>
      </c>
      <c r="I859" s="282" t="n"/>
      <c r="J859" s="287" t="n"/>
      <c r="K859" s="281" t="n"/>
      <c r="L859" s="285" t="n">
        <v>496000</v>
      </c>
      <c r="M859" s="288" t="n"/>
      <c r="N859" s="288" t="n"/>
      <c r="O859" s="285" t="n"/>
      <c r="P859" s="287" t="n"/>
      <c r="Q859" s="289" t="n"/>
      <c r="R859" s="280" t="n"/>
      <c r="S859" s="280" t="n"/>
      <c r="T859" s="280" t="n"/>
      <c r="U859" s="280" t="n"/>
      <c r="V859" s="280" t="n"/>
      <c r="W859" s="280" t="n"/>
      <c r="X859" s="280" t="n"/>
      <c r="Y859" s="280" t="n"/>
      <c r="Z859" s="280" t="n"/>
      <c r="AA859" s="280" t="n"/>
      <c r="AB859" s="280" t="n"/>
      <c r="AC859" s="280" t="n"/>
      <c r="AD859" s="280" t="n"/>
    </row>
    <row r="860">
      <c r="B860" s="312" t="inlineStr">
        <is>
          <t>Expense#29</t>
        </is>
      </c>
      <c r="C860" s="311" t="inlineStr">
        <is>
          <t>:</t>
        </is>
      </c>
      <c r="D860" s="312" t="inlineStr">
        <is>
          <t>ALFA-MPLT-BHS_ RBG 3B PT. TIS under Barikin sakti _TMA</t>
        </is>
      </c>
      <c r="E860" s="313" t="n"/>
      <c r="F860" s="313" t="n"/>
      <c r="G860" s="313" t="n"/>
      <c r="H860" s="313" t="n"/>
      <c r="I860" s="313" t="n"/>
      <c r="J860" s="313" t="n"/>
      <c r="K860" s="313" t="n"/>
      <c r="L860" s="313" t="n"/>
      <c r="M860" s="313" t="n"/>
      <c r="N860" s="313" t="n"/>
      <c r="O860" s="313" t="n"/>
      <c r="P860" s="313" t="n"/>
      <c r="Q860" s="313" t="n"/>
      <c r="R860" s="280" t="n"/>
      <c r="S860" s="280" t="n"/>
      <c r="T860" s="280" t="n"/>
      <c r="U860" s="280" t="n"/>
      <c r="V860" s="280" t="n"/>
      <c r="W860" s="280" t="n"/>
      <c r="X860" s="280" t="n"/>
      <c r="Y860" s="280" t="n"/>
      <c r="Z860" s="280" t="n"/>
      <c r="AA860" s="280" t="n"/>
      <c r="AB860" s="280" t="n"/>
      <c r="AC860" s="280" t="n"/>
      <c r="AD860" s="280" t="n"/>
    </row>
    <row r="861">
      <c r="B861" s="351" t="n"/>
      <c r="C861" s="351" t="n"/>
      <c r="D861" s="317" t="inlineStr">
        <is>
          <t>Allowance</t>
        </is>
      </c>
      <c r="E861" s="351" t="n"/>
      <c r="F861" s="351" t="n"/>
      <c r="G861" s="351" t="n"/>
      <c r="H861" s="351" t="n"/>
      <c r="I861" s="351" t="n"/>
      <c r="J861" s="351" t="n"/>
      <c r="K861" s="351" t="n"/>
      <c r="L861" s="351" t="n"/>
      <c r="M861" s="351" t="n"/>
      <c r="N861" s="351" t="n"/>
      <c r="O861" s="351" t="n"/>
      <c r="P861" s="351" t="n"/>
      <c r="Q861" s="351" t="n"/>
      <c r="R861" s="280" t="n"/>
      <c r="S861" s="280" t="n"/>
      <c r="T861" s="280" t="n"/>
      <c r="U861" s="280" t="n"/>
      <c r="V861" s="280" t="n"/>
      <c r="W861" s="280" t="n"/>
      <c r="X861" s="280" t="n"/>
      <c r="Y861" s="280" t="n"/>
      <c r="Z861" s="280" t="n"/>
      <c r="AA861" s="280" t="n"/>
      <c r="AB861" s="280" t="n"/>
      <c r="AC861" s="280" t="n"/>
      <c r="AD861" s="280" t="n"/>
    </row>
    <row r="862" ht="15.5" customHeight="1">
      <c r="B862" s="290" t="n">
        <v>45502</v>
      </c>
      <c r="C862" s="291" t="n">
        <v>176</v>
      </c>
      <c r="D862" s="292" t="inlineStr">
        <is>
          <t>Tunjangan Lapangan for 10 days</t>
        </is>
      </c>
      <c r="E862" s="289" t="inlineStr">
        <is>
          <t>-</t>
        </is>
      </c>
      <c r="F862" s="285" t="n">
        <v>15513000</v>
      </c>
      <c r="G862" s="294" t="inlineStr">
        <is>
          <t>USD</t>
        </is>
      </c>
      <c r="H862" s="295" t="n">
        <v>15513</v>
      </c>
      <c r="I862" s="282" t="n"/>
      <c r="J862" s="287" t="n"/>
      <c r="K862" s="281" t="n"/>
      <c r="L862" s="285" t="n">
        <v>15513000</v>
      </c>
      <c r="M862" s="288" t="n"/>
      <c r="N862" s="288" t="n"/>
      <c r="O862" s="285" t="n"/>
      <c r="P862" s="287" t="n"/>
      <c r="Q862" s="289" t="n"/>
      <c r="R862" s="280" t="n"/>
      <c r="S862" s="280" t="n"/>
      <c r="T862" s="280" t="n"/>
      <c r="U862" s="280" t="n"/>
      <c r="V862" s="280" t="n"/>
      <c r="W862" s="280" t="n"/>
      <c r="X862" s="280" t="n"/>
      <c r="Y862" s="280" t="n"/>
      <c r="Z862" s="280" t="n"/>
      <c r="AA862" s="280" t="n"/>
      <c r="AB862" s="280" t="n"/>
      <c r="AC862" s="280" t="n"/>
      <c r="AD862" s="280" t="n"/>
    </row>
    <row r="863">
      <c r="B863" s="351" t="n"/>
      <c r="C863" s="351" t="n"/>
      <c r="D863" s="317" t="inlineStr">
        <is>
          <t>Biaya Operasi Lain-lain</t>
        </is>
      </c>
      <c r="E863" s="351" t="n"/>
      <c r="F863" s="351" t="n"/>
      <c r="G863" s="351" t="n"/>
      <c r="H863" s="351" t="n"/>
      <c r="I863" s="351" t="n"/>
      <c r="J863" s="351" t="n"/>
      <c r="K863" s="351" t="n"/>
      <c r="L863" s="351" t="n"/>
      <c r="M863" s="351" t="n"/>
      <c r="N863" s="351" t="n"/>
      <c r="O863" s="351" t="n"/>
      <c r="P863" s="351" t="n"/>
      <c r="Q863" s="351" t="n"/>
      <c r="R863" s="280" t="n"/>
      <c r="S863" s="280" t="n"/>
      <c r="T863" s="280" t="n"/>
      <c r="U863" s="280" t="n"/>
      <c r="V863" s="280" t="n"/>
      <c r="W863" s="280" t="n"/>
      <c r="X863" s="280" t="n"/>
      <c r="Y863" s="280" t="n"/>
      <c r="Z863" s="280" t="n"/>
      <c r="AA863" s="280" t="n"/>
      <c r="AB863" s="280" t="n"/>
      <c r="AC863" s="280" t="n"/>
      <c r="AD863" s="280" t="n"/>
    </row>
    <row r="864" ht="15.5" customHeight="1">
      <c r="B864" s="290" t="n">
        <v>45502</v>
      </c>
      <c r="C864" s="291" t="n">
        <v>177</v>
      </c>
      <c r="D864" s="292" t="inlineStr">
        <is>
          <t>Electrical Bill</t>
        </is>
      </c>
      <c r="E864" s="289" t="inlineStr">
        <is>
          <t>-</t>
        </is>
      </c>
      <c r="F864" s="285" t="n">
        <v>159682</v>
      </c>
      <c r="G864" s="294" t="inlineStr">
        <is>
          <t>IDR</t>
        </is>
      </c>
      <c r="H864" s="295" t="n">
        <v>1</v>
      </c>
      <c r="I864" s="282" t="n"/>
      <c r="J864" s="287" t="n"/>
      <c r="K864" s="281" t="n"/>
      <c r="L864" s="285" t="n">
        <v>159682</v>
      </c>
      <c r="M864" s="288" t="n"/>
      <c r="N864" s="288" t="n"/>
      <c r="O864" s="285" t="n"/>
      <c r="P864" s="287" t="n"/>
      <c r="Q864" s="289" t="n"/>
      <c r="R864" s="280" t="n"/>
      <c r="S864" s="280" t="n"/>
      <c r="T864" s="280" t="n"/>
      <c r="U864" s="280" t="n"/>
      <c r="V864" s="280" t="n"/>
      <c r="W864" s="280" t="n"/>
      <c r="X864" s="280" t="n"/>
      <c r="Y864" s="280" t="n"/>
      <c r="Z864" s="280" t="n"/>
      <c r="AA864" s="280" t="n"/>
      <c r="AB864" s="280" t="n"/>
      <c r="AC864" s="280" t="n"/>
      <c r="AD864" s="280" t="n"/>
    </row>
    <row r="865">
      <c r="B865" s="351" t="n"/>
      <c r="C865" s="351" t="n"/>
      <c r="D865" s="317" t="inlineStr">
        <is>
          <t>Laundry</t>
        </is>
      </c>
      <c r="E865" s="351" t="n"/>
      <c r="F865" s="351" t="n"/>
      <c r="G865" s="351" t="n"/>
      <c r="H865" s="351" t="n"/>
      <c r="I865" s="351" t="n"/>
      <c r="J865" s="351" t="n"/>
      <c r="K865" s="351" t="n"/>
      <c r="L865" s="351" t="n"/>
      <c r="M865" s="351" t="n"/>
      <c r="N865" s="351" t="n"/>
      <c r="O865" s="351" t="n"/>
      <c r="P865" s="351" t="n"/>
      <c r="Q865" s="351" t="n"/>
      <c r="R865" s="280" t="n"/>
      <c r="S865" s="280" t="n"/>
      <c r="T865" s="280" t="n"/>
      <c r="U865" s="280" t="n"/>
      <c r="V865" s="280" t="n"/>
      <c r="W865" s="280" t="n"/>
      <c r="X865" s="280" t="n"/>
      <c r="Y865" s="280" t="n"/>
      <c r="Z865" s="280" t="n"/>
      <c r="AA865" s="280" t="n"/>
      <c r="AB865" s="280" t="n"/>
      <c r="AC865" s="280" t="n"/>
      <c r="AD865" s="280" t="n"/>
    </row>
    <row r="866" ht="15.5" customHeight="1">
      <c r="B866" s="290" t="n">
        <v>45502</v>
      </c>
      <c r="C866" s="291" t="n">
        <v>178</v>
      </c>
      <c r="D866" s="292" t="inlineStr">
        <is>
          <t>Laundry 10 days 1 Persons @ 50K IDR/day</t>
        </is>
      </c>
      <c r="E866" s="289" t="inlineStr">
        <is>
          <t>-</t>
        </is>
      </c>
      <c r="F866" s="285" t="n">
        <v>500000</v>
      </c>
      <c r="G866" s="294" t="inlineStr">
        <is>
          <t>IDR</t>
        </is>
      </c>
      <c r="H866" s="295" t="n">
        <v>1</v>
      </c>
      <c r="I866" s="282" t="n"/>
      <c r="J866" s="287" t="n"/>
      <c r="K866" s="281" t="n"/>
      <c r="L866" s="285" t="n">
        <v>500000</v>
      </c>
      <c r="M866" s="288" t="n"/>
      <c r="N866" s="288" t="n"/>
      <c r="O866" s="285" t="n"/>
      <c r="P866" s="287" t="n"/>
      <c r="Q866" s="289" t="n"/>
      <c r="R866" s="280" t="n"/>
      <c r="S866" s="280" t="n"/>
      <c r="T866" s="280" t="n"/>
      <c r="U866" s="280" t="n"/>
      <c r="V866" s="280" t="n"/>
      <c r="W866" s="280" t="n"/>
      <c r="X866" s="280" t="n"/>
      <c r="Y866" s="280" t="n"/>
      <c r="Z866" s="280" t="n"/>
      <c r="AA866" s="280" t="n"/>
      <c r="AB866" s="280" t="n"/>
      <c r="AC866" s="280" t="n"/>
      <c r="AD866" s="280" t="n"/>
    </row>
    <row r="867">
      <c r="B867" s="351" t="n"/>
      <c r="C867" s="351" t="n"/>
      <c r="D867" s="317" t="inlineStr">
        <is>
          <t>Meal</t>
        </is>
      </c>
      <c r="E867" s="351" t="n"/>
      <c r="F867" s="351" t="n"/>
      <c r="G867" s="351" t="n"/>
      <c r="H867" s="351" t="n"/>
      <c r="I867" s="351" t="n"/>
      <c r="J867" s="351" t="n"/>
      <c r="K867" s="351" t="n"/>
      <c r="L867" s="351" t="n"/>
      <c r="M867" s="351" t="n"/>
      <c r="N867" s="351" t="n"/>
      <c r="O867" s="351" t="n"/>
      <c r="P867" s="351" t="n"/>
      <c r="Q867" s="351" t="n"/>
      <c r="R867" s="280" t="n"/>
      <c r="S867" s="280" t="n"/>
      <c r="T867" s="280" t="n"/>
      <c r="U867" s="280" t="n"/>
      <c r="V867" s="280" t="n"/>
      <c r="W867" s="280" t="n"/>
      <c r="X867" s="280" t="n"/>
      <c r="Y867" s="280" t="n"/>
      <c r="Z867" s="280" t="n"/>
      <c r="AA867" s="280" t="n"/>
      <c r="AB867" s="280" t="n"/>
      <c r="AC867" s="280" t="n"/>
      <c r="AD867" s="280" t="n"/>
    </row>
    <row r="868" ht="15.5" customHeight="1">
      <c r="B868" s="290" t="n">
        <v>45502</v>
      </c>
      <c r="C868" s="291" t="n">
        <v>179</v>
      </c>
      <c r="D868" s="292" t="inlineStr">
        <is>
          <t>Meals 10 days 1 Persons @ 150K IDR/day</t>
        </is>
      </c>
      <c r="E868" s="289" t="inlineStr">
        <is>
          <t>-</t>
        </is>
      </c>
      <c r="F868" s="285" t="n">
        <v>1500000</v>
      </c>
      <c r="G868" s="294" t="inlineStr">
        <is>
          <t>IDR</t>
        </is>
      </c>
      <c r="H868" s="295" t="n">
        <v>1</v>
      </c>
      <c r="I868" s="282" t="n"/>
      <c r="J868" s="287" t="n"/>
      <c r="K868" s="281" t="n"/>
      <c r="L868" s="285" t="n">
        <v>1500000</v>
      </c>
      <c r="M868" s="288" t="n"/>
      <c r="N868" s="288" t="n"/>
      <c r="O868" s="285" t="n"/>
      <c r="P868" s="287" t="n"/>
      <c r="Q868" s="289" t="n"/>
      <c r="R868" s="280" t="n"/>
      <c r="S868" s="280" t="n"/>
      <c r="T868" s="280" t="n"/>
      <c r="U868" s="280" t="n"/>
      <c r="V868" s="280" t="n"/>
      <c r="W868" s="280" t="n"/>
      <c r="X868" s="280" t="n"/>
      <c r="Y868" s="280" t="n"/>
      <c r="Z868" s="280" t="n"/>
      <c r="AA868" s="280" t="n"/>
      <c r="AB868" s="280" t="n"/>
      <c r="AC868" s="280" t="n"/>
      <c r="AD868" s="280" t="n"/>
    </row>
    <row r="869">
      <c r="B869" s="351" t="n"/>
      <c r="C869" s="351" t="n"/>
      <c r="D869" s="317" t="inlineStr">
        <is>
          <t>Sparepart</t>
        </is>
      </c>
      <c r="E869" s="351" t="n"/>
      <c r="F869" s="351" t="n"/>
      <c r="G869" s="351" t="n"/>
      <c r="H869" s="351" t="n"/>
      <c r="I869" s="351" t="n"/>
      <c r="J869" s="351" t="n"/>
      <c r="K869" s="351" t="n"/>
      <c r="L869" s="351" t="n"/>
      <c r="M869" s="351" t="n"/>
      <c r="N869" s="351" t="n"/>
      <c r="O869" s="351" t="n"/>
      <c r="P869" s="351" t="n"/>
      <c r="Q869" s="351" t="n"/>
      <c r="R869" s="280" t="n"/>
      <c r="S869" s="280" t="n"/>
      <c r="T869" s="280" t="n"/>
      <c r="U869" s="280" t="n"/>
      <c r="V869" s="280" t="n"/>
      <c r="W869" s="280" t="n"/>
      <c r="X869" s="280" t="n"/>
      <c r="Y869" s="280" t="n"/>
      <c r="Z869" s="280" t="n"/>
      <c r="AA869" s="280" t="n"/>
      <c r="AB869" s="280" t="n"/>
      <c r="AC869" s="280" t="n"/>
      <c r="AD869" s="280" t="n"/>
    </row>
    <row r="870" ht="15.5" customHeight="1">
      <c r="B870" s="290" t="n">
        <v>45499</v>
      </c>
      <c r="C870" s="291" t="n">
        <v>180</v>
      </c>
      <c r="D870" s="292" t="inlineStr">
        <is>
          <t>TOP 1 High Temp Grease</t>
        </is>
      </c>
      <c r="E870" s="289" t="inlineStr">
        <is>
          <t>-</t>
        </is>
      </c>
      <c r="F870" s="285" t="n">
        <v>144900</v>
      </c>
      <c r="G870" s="294" t="inlineStr">
        <is>
          <t>IDR</t>
        </is>
      </c>
      <c r="H870" s="295" t="n">
        <v>1</v>
      </c>
      <c r="I870" s="282" t="n"/>
      <c r="J870" s="287" t="n"/>
      <c r="K870" s="281" t="n"/>
      <c r="L870" s="285" t="n"/>
      <c r="M870" s="288" t="n"/>
      <c r="N870" s="288" t="n">
        <v>144900</v>
      </c>
      <c r="O870" s="285" t="n"/>
      <c r="P870" s="287" t="n"/>
      <c r="Q870" s="289" t="n"/>
      <c r="R870" s="280" t="n"/>
      <c r="S870" s="280" t="n"/>
      <c r="T870" s="280" t="n"/>
      <c r="U870" s="280" t="n"/>
      <c r="V870" s="280" t="n"/>
      <c r="W870" s="280" t="n"/>
      <c r="X870" s="280" t="n"/>
      <c r="Y870" s="280" t="n"/>
      <c r="Z870" s="280" t="n"/>
      <c r="AA870" s="280" t="n"/>
      <c r="AB870" s="280" t="n"/>
      <c r="AC870" s="280" t="n"/>
      <c r="AD870" s="280" t="n"/>
    </row>
    <row r="871">
      <c r="B871" s="351" t="n"/>
      <c r="C871" s="351" t="n"/>
      <c r="D871" s="317" t="inlineStr">
        <is>
          <t>Transportation</t>
        </is>
      </c>
      <c r="E871" s="351" t="n"/>
      <c r="F871" s="351" t="n"/>
      <c r="G871" s="351" t="n"/>
      <c r="H871" s="351" t="n"/>
      <c r="I871" s="351" t="n"/>
      <c r="J871" s="351" t="n"/>
      <c r="K871" s="351" t="n"/>
      <c r="L871" s="351" t="n"/>
      <c r="M871" s="351" t="n"/>
      <c r="N871" s="351" t="n"/>
      <c r="O871" s="351" t="n"/>
      <c r="P871" s="351" t="n"/>
      <c r="Q871" s="351" t="n"/>
      <c r="R871" s="280" t="n"/>
      <c r="S871" s="280" t="n"/>
      <c r="T871" s="280" t="n"/>
      <c r="U871" s="280" t="n"/>
      <c r="V871" s="280" t="n"/>
      <c r="W871" s="280" t="n"/>
      <c r="X871" s="280" t="n"/>
      <c r="Y871" s="280" t="n"/>
      <c r="Z871" s="280" t="n"/>
      <c r="AA871" s="280" t="n"/>
      <c r="AB871" s="280" t="n"/>
      <c r="AC871" s="280" t="n"/>
      <c r="AD871" s="280" t="n"/>
    </row>
    <row r="872" ht="15.5" customHeight="1">
      <c r="B872" s="290" t="n">
        <v>45517</v>
      </c>
      <c r="C872" s="291" t="n">
        <v>181</v>
      </c>
      <c r="D872" s="292" t="inlineStr">
        <is>
          <t>Lalamove Barikin to Base</t>
        </is>
      </c>
      <c r="E872" s="289" t="inlineStr">
        <is>
          <t>-</t>
        </is>
      </c>
      <c r="F872" s="285" t="n">
        <v>161885</v>
      </c>
      <c r="G872" s="294" t="inlineStr">
        <is>
          <t>IDR</t>
        </is>
      </c>
      <c r="H872" s="295" t="n">
        <v>1</v>
      </c>
      <c r="I872" s="282" t="n"/>
      <c r="J872" s="287" t="n"/>
      <c r="K872" s="281" t="n"/>
      <c r="L872" s="285" t="n">
        <v>161885</v>
      </c>
      <c r="M872" s="288" t="n"/>
      <c r="N872" s="288" t="n"/>
      <c r="O872" s="285" t="n"/>
      <c r="P872" s="287" t="n"/>
      <c r="Q872" s="289" t="n"/>
      <c r="R872" s="280" t="n"/>
      <c r="S872" s="280" t="n"/>
      <c r="T872" s="280" t="n"/>
      <c r="U872" s="280" t="n"/>
      <c r="V872" s="280" t="n"/>
      <c r="W872" s="280" t="n"/>
      <c r="X872" s="280" t="n"/>
      <c r="Y872" s="280" t="n"/>
      <c r="Z872" s="280" t="n"/>
      <c r="AA872" s="280" t="n"/>
      <c r="AB872" s="280" t="n"/>
      <c r="AC872" s="280" t="n"/>
      <c r="AD872" s="280" t="n"/>
    </row>
    <row r="873">
      <c r="B873" s="312" t="inlineStr">
        <is>
          <t>Expense#30</t>
        </is>
      </c>
      <c r="C873" s="311" t="inlineStr">
        <is>
          <t>:</t>
        </is>
      </c>
      <c r="D873" s="312" t="inlineStr">
        <is>
          <t>ALFA JOB - PMB 009 (cancel job) - IBR</t>
        </is>
      </c>
      <c r="E873" s="313" t="n"/>
      <c r="F873" s="313" t="n"/>
      <c r="G873" s="313" t="n"/>
      <c r="H873" s="313" t="n"/>
      <c r="I873" s="313" t="n"/>
      <c r="J873" s="313" t="n"/>
      <c r="K873" s="313" t="n"/>
      <c r="L873" s="313" t="n"/>
      <c r="M873" s="313" t="n"/>
      <c r="N873" s="313" t="n"/>
      <c r="O873" s="313" t="n"/>
      <c r="P873" s="313" t="n"/>
      <c r="Q873" s="313" t="n"/>
      <c r="R873" s="280" t="n"/>
      <c r="S873" s="280" t="n"/>
      <c r="T873" s="280" t="n"/>
      <c r="U873" s="280" t="n"/>
      <c r="V873" s="280" t="n"/>
      <c r="W873" s="280" t="n"/>
      <c r="X873" s="280" t="n"/>
      <c r="Y873" s="280" t="n"/>
      <c r="Z873" s="280" t="n"/>
      <c r="AA873" s="280" t="n"/>
      <c r="AB873" s="280" t="n"/>
      <c r="AC873" s="280" t="n"/>
      <c r="AD873" s="280" t="n"/>
    </row>
    <row r="874">
      <c r="B874" s="351" t="n"/>
      <c r="C874" s="351" t="n"/>
      <c r="D874" s="317" t="inlineStr">
        <is>
          <t>Allowance</t>
        </is>
      </c>
      <c r="E874" s="351" t="n"/>
      <c r="F874" s="351" t="n"/>
      <c r="G874" s="351" t="n"/>
      <c r="H874" s="351" t="n"/>
      <c r="I874" s="351" t="n"/>
      <c r="J874" s="351" t="n"/>
      <c r="K874" s="351" t="n"/>
      <c r="L874" s="351" t="n"/>
      <c r="M874" s="351" t="n"/>
      <c r="N874" s="351" t="n"/>
      <c r="O874" s="351" t="n"/>
      <c r="P874" s="351" t="n"/>
      <c r="Q874" s="351" t="n"/>
      <c r="R874" s="280" t="n"/>
      <c r="S874" s="280" t="n"/>
      <c r="T874" s="280" t="n"/>
      <c r="U874" s="280" t="n"/>
      <c r="V874" s="280" t="n"/>
      <c r="W874" s="280" t="n"/>
      <c r="X874" s="280" t="n"/>
      <c r="Y874" s="280" t="n"/>
      <c r="Z874" s="280" t="n"/>
      <c r="AA874" s="280" t="n"/>
      <c r="AB874" s="280" t="n"/>
      <c r="AC874" s="280" t="n"/>
      <c r="AD874" s="280" t="n"/>
    </row>
    <row r="875" ht="15.5" customHeight="1">
      <c r="B875" s="290" t="n">
        <v>45548</v>
      </c>
      <c r="C875" s="291" t="n">
        <v>182</v>
      </c>
      <c r="D875" s="292" t="inlineStr">
        <is>
          <t>Tunjangan Lapangan PBM - 009 (6 - 11 September 2024)</t>
        </is>
      </c>
      <c r="E875" s="289" t="inlineStr">
        <is>
          <t>-</t>
        </is>
      </c>
      <c r="F875" s="285" t="n">
        <v>2317500</v>
      </c>
      <c r="G875" s="294" t="inlineStr">
        <is>
          <t>$</t>
        </is>
      </c>
      <c r="H875" s="295" t="n">
        <v>15450</v>
      </c>
      <c r="I875" s="282" t="n"/>
      <c r="J875" s="287" t="n"/>
      <c r="K875" s="281" t="n"/>
      <c r="L875" s="285" t="n">
        <v>2317500</v>
      </c>
      <c r="M875" s="288" t="n"/>
      <c r="N875" s="288" t="n"/>
      <c r="O875" s="285" t="n"/>
      <c r="P875" s="287" t="n"/>
      <c r="Q875" s="289" t="n"/>
      <c r="R875" s="280" t="n"/>
      <c r="S875" s="280" t="n"/>
      <c r="T875" s="280" t="n"/>
      <c r="U875" s="280" t="n"/>
      <c r="V875" s="280" t="n"/>
      <c r="W875" s="280" t="n"/>
      <c r="X875" s="280" t="n"/>
      <c r="Y875" s="280" t="n"/>
      <c r="Z875" s="280" t="n"/>
      <c r="AA875" s="280" t="n"/>
      <c r="AB875" s="280" t="n"/>
      <c r="AC875" s="280" t="n"/>
      <c r="AD875" s="280" t="n"/>
    </row>
    <row r="876">
      <c r="B876" s="351" t="n"/>
      <c r="C876" s="351" t="n"/>
      <c r="D876" s="317" t="inlineStr">
        <is>
          <t>Laundry</t>
        </is>
      </c>
      <c r="E876" s="351" t="n"/>
      <c r="F876" s="351" t="n"/>
      <c r="G876" s="351" t="n"/>
      <c r="H876" s="351" t="n"/>
      <c r="I876" s="351" t="n"/>
      <c r="J876" s="351" t="n"/>
      <c r="K876" s="351" t="n"/>
      <c r="L876" s="351" t="n"/>
      <c r="M876" s="351" t="n"/>
      <c r="N876" s="351" t="n"/>
      <c r="O876" s="351" t="n"/>
      <c r="P876" s="351" t="n"/>
      <c r="Q876" s="351" t="n"/>
      <c r="R876" s="280" t="n"/>
      <c r="S876" s="280" t="n"/>
      <c r="T876" s="280" t="n"/>
      <c r="U876" s="280" t="n"/>
      <c r="V876" s="280" t="n"/>
      <c r="W876" s="280" t="n"/>
      <c r="X876" s="280" t="n"/>
      <c r="Y876" s="280" t="n"/>
      <c r="Z876" s="280" t="n"/>
      <c r="AA876" s="280" t="n"/>
      <c r="AB876" s="280" t="n"/>
      <c r="AC876" s="280" t="n"/>
      <c r="AD876" s="280" t="n"/>
    </row>
    <row r="877" ht="15.5" customHeight="1">
      <c r="B877" s="290" t="n">
        <v>45548</v>
      </c>
      <c r="C877" s="291" t="n">
        <v>183</v>
      </c>
      <c r="D877" s="292" t="inlineStr">
        <is>
          <t>Laundry (6 - 11 September 2024) 6 days</t>
        </is>
      </c>
      <c r="E877" s="289" t="inlineStr">
        <is>
          <t>-</t>
        </is>
      </c>
      <c r="F877" s="285" t="n">
        <v>300000</v>
      </c>
      <c r="G877" s="294" t="inlineStr">
        <is>
          <t>IDR</t>
        </is>
      </c>
      <c r="H877" s="295" t="n">
        <v>1</v>
      </c>
      <c r="I877" s="282" t="n"/>
      <c r="J877" s="287" t="n"/>
      <c r="K877" s="281" t="n"/>
      <c r="L877" s="285" t="n">
        <v>300000</v>
      </c>
      <c r="M877" s="288" t="n"/>
      <c r="N877" s="288" t="n"/>
      <c r="O877" s="285" t="n"/>
      <c r="P877" s="287" t="n"/>
      <c r="Q877" s="289" t="n"/>
      <c r="R877" s="280" t="n"/>
      <c r="S877" s="280" t="n"/>
      <c r="T877" s="280" t="n"/>
      <c r="U877" s="280" t="n"/>
      <c r="V877" s="280" t="n"/>
      <c r="W877" s="280" t="n"/>
      <c r="X877" s="280" t="n"/>
      <c r="Y877" s="280" t="n"/>
      <c r="Z877" s="280" t="n"/>
      <c r="AA877" s="280" t="n"/>
      <c r="AB877" s="280" t="n"/>
      <c r="AC877" s="280" t="n"/>
      <c r="AD877" s="280" t="n"/>
    </row>
    <row r="878">
      <c r="B878" s="351" t="n"/>
      <c r="C878" s="351" t="n"/>
      <c r="D878" s="317" t="inlineStr">
        <is>
          <t>Meal</t>
        </is>
      </c>
      <c r="E878" s="351" t="n"/>
      <c r="F878" s="351" t="n"/>
      <c r="G878" s="351" t="n"/>
      <c r="H878" s="351" t="n"/>
      <c r="I878" s="351" t="n"/>
      <c r="J878" s="351" t="n"/>
      <c r="K878" s="351" t="n"/>
      <c r="L878" s="351" t="n"/>
      <c r="M878" s="351" t="n"/>
      <c r="N878" s="351" t="n"/>
      <c r="O878" s="351" t="n"/>
      <c r="P878" s="351" t="n"/>
      <c r="Q878" s="351" t="n"/>
      <c r="R878" s="280" t="n"/>
      <c r="S878" s="280" t="n"/>
      <c r="T878" s="280" t="n"/>
      <c r="U878" s="280" t="n"/>
      <c r="V878" s="280" t="n"/>
      <c r="W878" s="280" t="n"/>
      <c r="X878" s="280" t="n"/>
      <c r="Y878" s="280" t="n"/>
      <c r="Z878" s="280" t="n"/>
      <c r="AA878" s="280" t="n"/>
      <c r="AB878" s="280" t="n"/>
      <c r="AC878" s="280" t="n"/>
      <c r="AD878" s="280" t="n"/>
    </row>
    <row r="879" ht="15.5" customHeight="1">
      <c r="B879" s="290" t="n">
        <v>45548</v>
      </c>
      <c r="C879" s="291" t="n">
        <v>184</v>
      </c>
      <c r="D879" s="292" t="inlineStr">
        <is>
          <t>Uang makan (6 - 11 September 2024) 6 days</t>
        </is>
      </c>
      <c r="E879" s="289" t="inlineStr">
        <is>
          <t>-</t>
        </is>
      </c>
      <c r="F879" s="285" t="n">
        <v>900000</v>
      </c>
      <c r="G879" s="294" t="inlineStr">
        <is>
          <t>IDR</t>
        </is>
      </c>
      <c r="H879" s="295" t="n">
        <v>1</v>
      </c>
      <c r="I879" s="282" t="n"/>
      <c r="J879" s="287" t="n"/>
      <c r="K879" s="281" t="n"/>
      <c r="L879" s="285" t="n">
        <v>900000</v>
      </c>
      <c r="M879" s="288" t="n"/>
      <c r="N879" s="288" t="n"/>
      <c r="O879" s="285" t="n"/>
      <c r="P879" s="287" t="n"/>
      <c r="Q879" s="289" t="n"/>
      <c r="R879" s="280" t="n"/>
      <c r="S879" s="280" t="n"/>
      <c r="T879" s="280" t="n"/>
      <c r="U879" s="280" t="n"/>
      <c r="V879" s="280" t="n"/>
      <c r="W879" s="280" t="n"/>
      <c r="X879" s="280" t="n"/>
      <c r="Y879" s="280" t="n"/>
      <c r="Z879" s="280" t="n"/>
      <c r="AA879" s="280" t="n"/>
      <c r="AB879" s="280" t="n"/>
      <c r="AC879" s="280" t="n"/>
      <c r="AD879" s="280" t="n"/>
    </row>
    <row r="880">
      <c r="B880" s="312" t="inlineStr">
        <is>
          <t>Expense#31</t>
        </is>
      </c>
      <c r="C880" s="311" t="inlineStr">
        <is>
          <t>:</t>
        </is>
      </c>
      <c r="D880" s="312" t="inlineStr">
        <is>
          <t>ALFA PMB-009 (Cancel)_ TMA</t>
        </is>
      </c>
      <c r="E880" s="313" t="n"/>
      <c r="F880" s="313" t="n"/>
      <c r="G880" s="313" t="n"/>
      <c r="H880" s="313" t="n"/>
      <c r="I880" s="313" t="n"/>
      <c r="J880" s="313" t="n"/>
      <c r="K880" s="313" t="n"/>
      <c r="L880" s="313" t="n"/>
      <c r="M880" s="313" t="n"/>
      <c r="N880" s="313" t="n"/>
      <c r="O880" s="313" t="n"/>
      <c r="P880" s="313" t="n"/>
      <c r="Q880" s="313" t="n"/>
      <c r="R880" s="280" t="n"/>
      <c r="S880" s="280" t="n"/>
      <c r="T880" s="280" t="n"/>
      <c r="U880" s="280" t="n"/>
      <c r="V880" s="280" t="n"/>
      <c r="W880" s="280" t="n"/>
      <c r="X880" s="280" t="n"/>
      <c r="Y880" s="280" t="n"/>
      <c r="Z880" s="280" t="n"/>
      <c r="AA880" s="280" t="n"/>
      <c r="AB880" s="280" t="n"/>
      <c r="AC880" s="280" t="n"/>
      <c r="AD880" s="280" t="n"/>
    </row>
    <row r="881">
      <c r="B881" s="351" t="n"/>
      <c r="C881" s="351" t="n"/>
      <c r="D881" s="317" t="inlineStr">
        <is>
          <t>Accommodation</t>
        </is>
      </c>
      <c r="E881" s="351" t="n"/>
      <c r="F881" s="351" t="n"/>
      <c r="G881" s="351" t="n"/>
      <c r="H881" s="351" t="n"/>
      <c r="I881" s="351" t="n"/>
      <c r="J881" s="351" t="n"/>
      <c r="K881" s="351" t="n"/>
      <c r="L881" s="351" t="n"/>
      <c r="M881" s="351" t="n"/>
      <c r="N881" s="351" t="n"/>
      <c r="O881" s="351" t="n"/>
      <c r="P881" s="351" t="n"/>
      <c r="Q881" s="351" t="n"/>
      <c r="R881" s="280" t="n"/>
      <c r="S881" s="280" t="n"/>
      <c r="T881" s="280" t="n"/>
      <c r="U881" s="280" t="n"/>
      <c r="V881" s="280" t="n"/>
      <c r="W881" s="280" t="n"/>
      <c r="X881" s="280" t="n"/>
      <c r="Y881" s="280" t="n"/>
      <c r="Z881" s="280" t="n"/>
      <c r="AA881" s="280" t="n"/>
      <c r="AB881" s="280" t="n"/>
      <c r="AC881" s="280" t="n"/>
      <c r="AD881" s="280" t="n"/>
    </row>
    <row r="882" ht="15.5" customHeight="1">
      <c r="B882" s="290" t="n">
        <v>45541</v>
      </c>
      <c r="C882" s="291" t="n">
        <v>185</v>
      </c>
      <c r="D882" s="292" t="inlineStr">
        <is>
          <t>Hotel 6 Sept - 11 Sept (5 days)</t>
        </is>
      </c>
      <c r="E882" s="289" t="inlineStr">
        <is>
          <t>-</t>
        </is>
      </c>
      <c r="F882" s="285" t="n">
        <v>1800000</v>
      </c>
      <c r="G882" s="294" t="inlineStr">
        <is>
          <t>IDR</t>
        </is>
      </c>
      <c r="H882" s="295" t="n">
        <v>1</v>
      </c>
      <c r="I882" s="282" t="n"/>
      <c r="J882" s="287" t="n"/>
      <c r="K882" s="281" t="n"/>
      <c r="L882" s="285" t="n">
        <v>1800000</v>
      </c>
      <c r="M882" s="288" t="n"/>
      <c r="N882" s="288" t="n"/>
      <c r="O882" s="285" t="n"/>
      <c r="P882" s="287" t="n"/>
      <c r="Q882" s="289" t="n"/>
      <c r="R882" s="280" t="n"/>
      <c r="S882" s="280" t="n"/>
      <c r="T882" s="280" t="n"/>
      <c r="U882" s="280" t="n"/>
      <c r="V882" s="280" t="n"/>
      <c r="W882" s="280" t="n"/>
      <c r="X882" s="280" t="n"/>
      <c r="Y882" s="280" t="n"/>
      <c r="Z882" s="280" t="n"/>
      <c r="AA882" s="280" t="n"/>
      <c r="AB882" s="280" t="n"/>
      <c r="AC882" s="280" t="n"/>
      <c r="AD882" s="280" t="n"/>
    </row>
    <row r="883">
      <c r="B883" s="351" t="n"/>
      <c r="C883" s="351" t="n"/>
      <c r="D883" s="317" t="inlineStr">
        <is>
          <t>Allowance</t>
        </is>
      </c>
      <c r="E883" s="351" t="n"/>
      <c r="F883" s="351" t="n"/>
      <c r="G883" s="351" t="n"/>
      <c r="H883" s="351" t="n"/>
      <c r="I883" s="351" t="n"/>
      <c r="J883" s="351" t="n"/>
      <c r="K883" s="351" t="n"/>
      <c r="L883" s="351" t="n"/>
      <c r="M883" s="351" t="n"/>
      <c r="N883" s="351" t="n"/>
      <c r="O883" s="351" t="n"/>
      <c r="P883" s="351" t="n"/>
      <c r="Q883" s="351" t="n"/>
      <c r="R883" s="280" t="n"/>
      <c r="S883" s="280" t="n"/>
      <c r="T883" s="280" t="n"/>
      <c r="U883" s="280" t="n"/>
      <c r="V883" s="280" t="n"/>
      <c r="W883" s="280" t="n"/>
      <c r="X883" s="280" t="n"/>
      <c r="Y883" s="280" t="n"/>
      <c r="Z883" s="280" t="n"/>
      <c r="AA883" s="280" t="n"/>
      <c r="AB883" s="280" t="n"/>
      <c r="AC883" s="280" t="n"/>
      <c r="AD883" s="280" t="n"/>
    </row>
    <row r="884" ht="15.5" customHeight="1">
      <c r="B884" s="290" t="n">
        <v>45541</v>
      </c>
      <c r="C884" s="291" t="n">
        <v>186</v>
      </c>
      <c r="D884" s="292" t="inlineStr">
        <is>
          <t>Field Allowance</t>
        </is>
      </c>
      <c r="E884" s="289" t="inlineStr">
        <is>
          <t>-</t>
        </is>
      </c>
      <c r="F884" s="285" t="n">
        <v>9262800</v>
      </c>
      <c r="G884" s="294" t="inlineStr">
        <is>
          <t>USD</t>
        </is>
      </c>
      <c r="H884" s="295" t="n">
        <v>15438</v>
      </c>
      <c r="I884" s="282" t="n"/>
      <c r="J884" s="287" t="n"/>
      <c r="K884" s="281" t="n"/>
      <c r="L884" s="285" t="n">
        <v>9262800</v>
      </c>
      <c r="M884" s="288" t="n"/>
      <c r="N884" s="288" t="n"/>
      <c r="O884" s="285" t="n"/>
      <c r="P884" s="287" t="n"/>
      <c r="Q884" s="289" t="n"/>
      <c r="R884" s="280" t="n"/>
      <c r="S884" s="280" t="n"/>
      <c r="T884" s="280" t="n"/>
      <c r="U884" s="280" t="n"/>
      <c r="V884" s="280" t="n"/>
      <c r="W884" s="280" t="n"/>
      <c r="X884" s="280" t="n"/>
      <c r="Y884" s="280" t="n"/>
      <c r="Z884" s="280" t="n"/>
      <c r="AA884" s="280" t="n"/>
      <c r="AB884" s="280" t="n"/>
      <c r="AC884" s="280" t="n"/>
      <c r="AD884" s="280" t="n"/>
    </row>
    <row r="885">
      <c r="B885" s="351" t="n"/>
      <c r="C885" s="351" t="n"/>
      <c r="D885" s="317" t="inlineStr">
        <is>
          <t>Biaya Operasi Lain-lain</t>
        </is>
      </c>
      <c r="E885" s="351" t="n"/>
      <c r="F885" s="351" t="n"/>
      <c r="G885" s="351" t="n"/>
      <c r="H885" s="351" t="n"/>
      <c r="I885" s="351" t="n"/>
      <c r="J885" s="351" t="n"/>
      <c r="K885" s="351" t="n"/>
      <c r="L885" s="351" t="n"/>
      <c r="M885" s="351" t="n"/>
      <c r="N885" s="351" t="n"/>
      <c r="O885" s="351" t="n"/>
      <c r="P885" s="351" t="n"/>
      <c r="Q885" s="351" t="n"/>
      <c r="R885" s="280" t="n"/>
      <c r="S885" s="280" t="n"/>
      <c r="T885" s="280" t="n"/>
      <c r="U885" s="280" t="n"/>
      <c r="V885" s="280" t="n"/>
      <c r="W885" s="280" t="n"/>
      <c r="X885" s="280" t="n"/>
      <c r="Y885" s="280" t="n"/>
      <c r="Z885" s="280" t="n"/>
      <c r="AA885" s="280" t="n"/>
      <c r="AB885" s="280" t="n"/>
      <c r="AC885" s="280" t="n"/>
      <c r="AD885" s="280" t="n"/>
    </row>
    <row r="886" ht="15.5" customHeight="1">
      <c r="B886" s="290" t="n">
        <v>45541</v>
      </c>
      <c r="C886" s="291" t="n">
        <v>187</v>
      </c>
      <c r="D886" s="292" t="inlineStr">
        <is>
          <t>Rent Car 6 Days</t>
        </is>
      </c>
      <c r="E886" s="289" t="inlineStr">
        <is>
          <t>-</t>
        </is>
      </c>
      <c r="F886" s="285" t="n">
        <v>3000000</v>
      </c>
      <c r="G886" s="294" t="inlineStr">
        <is>
          <t>IDR</t>
        </is>
      </c>
      <c r="H886" s="295" t="n">
        <v>1</v>
      </c>
      <c r="I886" s="282" t="n"/>
      <c r="J886" s="287" t="n"/>
      <c r="K886" s="281" t="n"/>
      <c r="L886" s="285" t="n">
        <v>3000000</v>
      </c>
      <c r="M886" s="288" t="n"/>
      <c r="N886" s="288" t="n"/>
      <c r="O886" s="285" t="n"/>
      <c r="P886" s="287" t="n"/>
      <c r="Q886" s="289" t="n"/>
      <c r="R886" s="280" t="n"/>
      <c r="S886" s="280" t="n"/>
      <c r="T886" s="280" t="n"/>
      <c r="U886" s="280" t="n"/>
      <c r="V886" s="280" t="n"/>
      <c r="W886" s="280" t="n"/>
      <c r="X886" s="280" t="n"/>
      <c r="Y886" s="280" t="n"/>
      <c r="Z886" s="280" t="n"/>
      <c r="AA886" s="280" t="n"/>
      <c r="AB886" s="280" t="n"/>
      <c r="AC886" s="280" t="n"/>
      <c r="AD886" s="280" t="n"/>
    </row>
    <row r="887">
      <c r="B887" s="351" t="n"/>
      <c r="C887" s="351" t="n"/>
      <c r="D887" s="317" t="inlineStr">
        <is>
          <t>Laundry</t>
        </is>
      </c>
      <c r="E887" s="351" t="n"/>
      <c r="F887" s="351" t="n"/>
      <c r="G887" s="351" t="n"/>
      <c r="H887" s="351" t="n"/>
      <c r="I887" s="351" t="n"/>
      <c r="J887" s="351" t="n"/>
      <c r="K887" s="351" t="n"/>
      <c r="L887" s="351" t="n"/>
      <c r="M887" s="351" t="n"/>
      <c r="N887" s="351" t="n"/>
      <c r="O887" s="351" t="n"/>
      <c r="P887" s="351" t="n"/>
      <c r="Q887" s="351" t="n"/>
      <c r="R887" s="280" t="n"/>
      <c r="S887" s="280" t="n"/>
      <c r="T887" s="280" t="n"/>
      <c r="U887" s="280" t="n"/>
      <c r="V887" s="280" t="n"/>
      <c r="W887" s="280" t="n"/>
      <c r="X887" s="280" t="n"/>
      <c r="Y887" s="280" t="n"/>
      <c r="Z887" s="280" t="n"/>
      <c r="AA887" s="280" t="n"/>
      <c r="AB887" s="280" t="n"/>
      <c r="AC887" s="280" t="n"/>
      <c r="AD887" s="280" t="n"/>
    </row>
    <row r="888" ht="15.5" customHeight="1">
      <c r="B888" s="290" t="n">
        <v>45541</v>
      </c>
      <c r="C888" s="291" t="n">
        <v>188</v>
      </c>
      <c r="D888" s="292" t="inlineStr">
        <is>
          <t>Laundry 6 days 1 Persons @ 50K IDR/day</t>
        </is>
      </c>
      <c r="E888" s="289" t="inlineStr">
        <is>
          <t>-</t>
        </is>
      </c>
      <c r="F888" s="285" t="n">
        <v>300000</v>
      </c>
      <c r="G888" s="294" t="inlineStr">
        <is>
          <t>IDR</t>
        </is>
      </c>
      <c r="H888" s="295" t="n">
        <v>1</v>
      </c>
      <c r="I888" s="282" t="n"/>
      <c r="J888" s="287" t="n"/>
      <c r="K888" s="281" t="n"/>
      <c r="L888" s="285" t="n">
        <v>300000</v>
      </c>
      <c r="M888" s="288" t="n"/>
      <c r="N888" s="288" t="n"/>
      <c r="O888" s="285" t="n"/>
      <c r="P888" s="287" t="n"/>
      <c r="Q888" s="289" t="n"/>
      <c r="R888" s="280" t="n"/>
      <c r="S888" s="280" t="n"/>
      <c r="T888" s="280" t="n"/>
      <c r="U888" s="280" t="n"/>
      <c r="V888" s="280" t="n"/>
      <c r="W888" s="280" t="n"/>
      <c r="X888" s="280" t="n"/>
      <c r="Y888" s="280" t="n"/>
      <c r="Z888" s="280" t="n"/>
      <c r="AA888" s="280" t="n"/>
      <c r="AB888" s="280" t="n"/>
      <c r="AC888" s="280" t="n"/>
      <c r="AD888" s="280" t="n"/>
    </row>
    <row r="889">
      <c r="B889" s="351" t="n"/>
      <c r="C889" s="351" t="n"/>
      <c r="D889" s="317" t="inlineStr">
        <is>
          <t>Meal</t>
        </is>
      </c>
      <c r="E889" s="351" t="n"/>
      <c r="F889" s="351" t="n"/>
      <c r="G889" s="351" t="n"/>
      <c r="H889" s="351" t="n"/>
      <c r="I889" s="351" t="n"/>
      <c r="J889" s="351" t="n"/>
      <c r="K889" s="351" t="n"/>
      <c r="L889" s="351" t="n"/>
      <c r="M889" s="351" t="n"/>
      <c r="N889" s="351" t="n"/>
      <c r="O889" s="351" t="n"/>
      <c r="P889" s="351" t="n"/>
      <c r="Q889" s="351" t="n"/>
      <c r="R889" s="280" t="n"/>
      <c r="S889" s="280" t="n"/>
      <c r="T889" s="280" t="n"/>
      <c r="U889" s="280" t="n"/>
      <c r="V889" s="280" t="n"/>
      <c r="W889" s="280" t="n"/>
      <c r="X889" s="280" t="n"/>
      <c r="Y889" s="280" t="n"/>
      <c r="Z889" s="280" t="n"/>
      <c r="AA889" s="280" t="n"/>
      <c r="AB889" s="280" t="n"/>
      <c r="AC889" s="280" t="n"/>
      <c r="AD889" s="280" t="n"/>
    </row>
    <row r="890" ht="15.5" customHeight="1">
      <c r="B890" s="290" t="n">
        <v>45541</v>
      </c>
      <c r="C890" s="291" t="n">
        <v>189</v>
      </c>
      <c r="D890" s="292" t="inlineStr">
        <is>
          <t>Meals</t>
        </is>
      </c>
      <c r="E890" s="289" t="inlineStr">
        <is>
          <t>-</t>
        </is>
      </c>
      <c r="F890" s="285" t="n">
        <v>900000</v>
      </c>
      <c r="G890" s="294" t="inlineStr">
        <is>
          <t>IDR</t>
        </is>
      </c>
      <c r="H890" s="295" t="n">
        <v>1</v>
      </c>
      <c r="I890" s="282" t="n"/>
      <c r="J890" s="287" t="n"/>
      <c r="K890" s="281" t="n"/>
      <c r="L890" s="285" t="n">
        <v>900000</v>
      </c>
      <c r="M890" s="288" t="n"/>
      <c r="N890" s="288" t="n"/>
      <c r="O890" s="285" t="n"/>
      <c r="P890" s="287" t="n"/>
      <c r="Q890" s="289" t="n"/>
      <c r="R890" s="280" t="n"/>
      <c r="S890" s="280" t="n"/>
      <c r="T890" s="280" t="n"/>
      <c r="U890" s="280" t="n"/>
      <c r="V890" s="280" t="n"/>
      <c r="W890" s="280" t="n"/>
      <c r="X890" s="280" t="n"/>
      <c r="Y890" s="280" t="n"/>
      <c r="Z890" s="280" t="n"/>
      <c r="AA890" s="280" t="n"/>
      <c r="AB890" s="280" t="n"/>
      <c r="AC890" s="280" t="n"/>
      <c r="AD890" s="280" t="n"/>
    </row>
    <row r="891">
      <c r="B891" s="351" t="n"/>
      <c r="C891" s="351" t="n"/>
      <c r="D891" s="317" t="inlineStr">
        <is>
          <t>Transportation</t>
        </is>
      </c>
      <c r="E891" s="351" t="n"/>
      <c r="F891" s="351" t="n"/>
      <c r="G891" s="351" t="n"/>
      <c r="H891" s="351" t="n"/>
      <c r="I891" s="351" t="n"/>
      <c r="J891" s="351" t="n"/>
      <c r="K891" s="351" t="n"/>
      <c r="L891" s="351" t="n"/>
      <c r="M891" s="351" t="n"/>
      <c r="N891" s="351" t="n"/>
      <c r="O891" s="351" t="n"/>
      <c r="P891" s="351" t="n"/>
      <c r="Q891" s="351" t="n"/>
      <c r="R891" s="280" t="n"/>
      <c r="S891" s="280" t="n"/>
      <c r="T891" s="280" t="n"/>
      <c r="U891" s="280" t="n"/>
      <c r="V891" s="280" t="n"/>
      <c r="W891" s="280" t="n"/>
      <c r="X891" s="280" t="n"/>
      <c r="Y891" s="280" t="n"/>
      <c r="Z891" s="280" t="n"/>
      <c r="AA891" s="280" t="n"/>
      <c r="AB891" s="280" t="n"/>
      <c r="AC891" s="280" t="n"/>
      <c r="AD891" s="280" t="n"/>
    </row>
    <row r="892" ht="15.5" customHeight="1">
      <c r="B892" s="290" t="n">
        <v>45543</v>
      </c>
      <c r="C892" s="291" t="n">
        <v>190</v>
      </c>
      <c r="D892" s="292" t="inlineStr">
        <is>
          <t>Airplane Ticket PLM-CGK</t>
        </is>
      </c>
      <c r="E892" s="289" t="inlineStr">
        <is>
          <t>-</t>
        </is>
      </c>
      <c r="F892" s="285" t="n">
        <v>836100</v>
      </c>
      <c r="G892" s="294" t="inlineStr">
        <is>
          <t>IDR</t>
        </is>
      </c>
      <c r="H892" s="295" t="n">
        <v>1</v>
      </c>
      <c r="I892" s="282" t="n"/>
      <c r="J892" s="287" t="n"/>
      <c r="K892" s="281" t="n"/>
      <c r="L892" s="285" t="n">
        <v>836100</v>
      </c>
      <c r="M892" s="288" t="n"/>
      <c r="N892" s="288" t="n"/>
      <c r="O892" s="285" t="n"/>
      <c r="P892" s="287" t="n"/>
      <c r="Q892" s="289" t="n"/>
      <c r="R892" s="280" t="n"/>
      <c r="S892" s="280" t="n"/>
      <c r="T892" s="280" t="n"/>
      <c r="U892" s="280" t="n"/>
      <c r="V892" s="280" t="n"/>
      <c r="W892" s="280" t="n"/>
      <c r="X892" s="280" t="n"/>
      <c r="Y892" s="280" t="n"/>
      <c r="Z892" s="280" t="n"/>
      <c r="AA892" s="280" t="n"/>
      <c r="AB892" s="280" t="n"/>
      <c r="AC892" s="280" t="n"/>
      <c r="AD892" s="280" t="n"/>
    </row>
    <row r="893">
      <c r="B893" s="312" t="inlineStr">
        <is>
          <t>Expense#32</t>
        </is>
      </c>
      <c r="C893" s="311" t="inlineStr">
        <is>
          <t>:</t>
        </is>
      </c>
      <c r="D893" s="312" t="inlineStr">
        <is>
          <t>ALFA PMB-009 (Cancel)_ TMA</t>
        </is>
      </c>
      <c r="E893" s="313" t="n"/>
      <c r="F893" s="313" t="n"/>
      <c r="G893" s="313" t="n"/>
      <c r="H893" s="313" t="n"/>
      <c r="I893" s="313" t="n"/>
      <c r="J893" s="313" t="n"/>
      <c r="K893" s="313" t="n"/>
      <c r="L893" s="313" t="n"/>
      <c r="M893" s="313" t="n"/>
      <c r="N893" s="313" t="n"/>
      <c r="O893" s="313" t="n"/>
      <c r="P893" s="313" t="n"/>
      <c r="Q893" s="313" t="n"/>
      <c r="R893" s="280" t="n"/>
      <c r="S893" s="280" t="n"/>
      <c r="T893" s="280" t="n"/>
      <c r="U893" s="280" t="n"/>
      <c r="V893" s="280" t="n"/>
      <c r="W893" s="280" t="n"/>
      <c r="X893" s="280" t="n"/>
      <c r="Y893" s="280" t="n"/>
      <c r="Z893" s="280" t="n"/>
      <c r="AA893" s="280" t="n"/>
      <c r="AB893" s="280" t="n"/>
      <c r="AC893" s="280" t="n"/>
      <c r="AD893" s="280" t="n"/>
    </row>
    <row r="894">
      <c r="B894" s="351" t="n"/>
      <c r="C894" s="351" t="n"/>
      <c r="D894" s="317" t="inlineStr">
        <is>
          <t>Allowance</t>
        </is>
      </c>
      <c r="E894" s="351" t="n"/>
      <c r="F894" s="351" t="n"/>
      <c r="G894" s="351" t="n"/>
      <c r="H894" s="351" t="n"/>
      <c r="I894" s="351" t="n"/>
      <c r="J894" s="351" t="n"/>
      <c r="K894" s="351" t="n"/>
      <c r="L894" s="351" t="n"/>
      <c r="M894" s="351" t="n"/>
      <c r="N894" s="351" t="n"/>
      <c r="O894" s="351" t="n"/>
      <c r="P894" s="351" t="n"/>
      <c r="Q894" s="351" t="n"/>
      <c r="R894" s="280" t="n"/>
      <c r="S894" s="280" t="n"/>
      <c r="T894" s="280" t="n"/>
      <c r="U894" s="280" t="n"/>
      <c r="V894" s="280" t="n"/>
      <c r="W894" s="280" t="n"/>
      <c r="X894" s="280" t="n"/>
      <c r="Y894" s="280" t="n"/>
      <c r="Z894" s="280" t="n"/>
      <c r="AA894" s="280" t="n"/>
      <c r="AB894" s="280" t="n"/>
      <c r="AC894" s="280" t="n"/>
      <c r="AD894" s="280" t="n"/>
    </row>
    <row r="895" ht="15.5" customHeight="1">
      <c r="B895" s="290" t="n">
        <v>45561</v>
      </c>
      <c r="C895" s="291" t="n">
        <v>191</v>
      </c>
      <c r="D895" s="292" t="inlineStr">
        <is>
          <t>Field Bonus SKW#26 (22 - 26 Sept 2024). 1US$=15.100</t>
        </is>
      </c>
      <c r="E895" s="289" t="inlineStr">
        <is>
          <t>-</t>
        </is>
      </c>
      <c r="F895" s="285" t="n">
        <v>500</v>
      </c>
      <c r="G895" s="294" t="inlineStr">
        <is>
          <t>IDR</t>
        </is>
      </c>
      <c r="H895" s="295" t="n">
        <v>15100</v>
      </c>
      <c r="I895" s="282" t="n"/>
      <c r="J895" s="287" t="n"/>
      <c r="K895" s="281" t="n"/>
      <c r="L895" s="285" t="n">
        <v>500</v>
      </c>
      <c r="M895" s="288" t="n"/>
      <c r="N895" s="288" t="n"/>
      <c r="O895" s="285" t="n"/>
      <c r="P895" s="287" t="n"/>
      <c r="Q895" s="289" t="n"/>
      <c r="R895" s="280" t="n"/>
      <c r="S895" s="280" t="n"/>
      <c r="T895" s="280" t="n"/>
      <c r="U895" s="280" t="n"/>
      <c r="V895" s="280" t="n"/>
      <c r="W895" s="280" t="n"/>
      <c r="X895" s="280" t="n"/>
      <c r="Y895" s="280" t="n"/>
      <c r="Z895" s="280" t="n"/>
      <c r="AA895" s="280" t="n"/>
      <c r="AB895" s="280" t="n"/>
      <c r="AC895" s="280" t="n"/>
      <c r="AD895" s="280" t="n"/>
    </row>
    <row r="896">
      <c r="B896" s="351" t="n"/>
      <c r="C896" s="351" t="n"/>
      <c r="D896" s="317" t="inlineStr">
        <is>
          <t>Laundry</t>
        </is>
      </c>
      <c r="E896" s="351" t="n"/>
      <c r="F896" s="351" t="n"/>
      <c r="G896" s="351" t="n"/>
      <c r="H896" s="351" t="n"/>
      <c r="I896" s="351" t="n"/>
      <c r="J896" s="351" t="n"/>
      <c r="K896" s="351" t="n"/>
      <c r="L896" s="351" t="n"/>
      <c r="M896" s="351" t="n"/>
      <c r="N896" s="351" t="n"/>
      <c r="O896" s="351" t="n"/>
      <c r="P896" s="351" t="n"/>
      <c r="Q896" s="351" t="n"/>
      <c r="R896" s="280" t="n"/>
      <c r="S896" s="280" t="n"/>
      <c r="T896" s="280" t="n"/>
      <c r="U896" s="280" t="n"/>
      <c r="V896" s="280" t="n"/>
      <c r="W896" s="280" t="n"/>
      <c r="X896" s="280" t="n"/>
      <c r="Y896" s="280" t="n"/>
      <c r="Z896" s="280" t="n"/>
      <c r="AA896" s="280" t="n"/>
      <c r="AB896" s="280" t="n"/>
      <c r="AC896" s="280" t="n"/>
      <c r="AD896" s="280" t="n"/>
    </row>
    <row r="897" ht="15.5" customHeight="1">
      <c r="B897" s="290" t="n">
        <v>45561</v>
      </c>
      <c r="C897" s="291" t="n">
        <v>192</v>
      </c>
      <c r="D897" s="292" t="inlineStr">
        <is>
          <t>Laundry (22 - 26 Sept 2024)</t>
        </is>
      </c>
      <c r="E897" s="289" t="inlineStr">
        <is>
          <t>-</t>
        </is>
      </c>
      <c r="F897" s="285" t="n">
        <v>250000</v>
      </c>
      <c r="G897" s="294" t="inlineStr">
        <is>
          <t>IDR</t>
        </is>
      </c>
      <c r="H897" s="295" t="n">
        <v>1</v>
      </c>
      <c r="I897" s="282" t="n"/>
      <c r="J897" s="287" t="n"/>
      <c r="K897" s="281" t="n"/>
      <c r="L897" s="285" t="n">
        <v>250000</v>
      </c>
      <c r="M897" s="288" t="n"/>
      <c r="N897" s="288" t="n"/>
      <c r="O897" s="285" t="n"/>
      <c r="P897" s="287" t="n"/>
      <c r="Q897" s="289" t="n"/>
      <c r="R897" s="280" t="n"/>
      <c r="S897" s="280" t="n"/>
      <c r="T897" s="280" t="n"/>
      <c r="U897" s="280" t="n"/>
      <c r="V897" s="280" t="n"/>
      <c r="W897" s="280" t="n"/>
      <c r="X897" s="280" t="n"/>
      <c r="Y897" s="280" t="n"/>
      <c r="Z897" s="280" t="n"/>
      <c r="AA897" s="280" t="n"/>
      <c r="AB897" s="280" t="n"/>
      <c r="AC897" s="280" t="n"/>
      <c r="AD897" s="280" t="n"/>
    </row>
    <row r="898">
      <c r="B898" s="351" t="n"/>
      <c r="C898" s="351" t="n"/>
      <c r="D898" s="317" t="inlineStr">
        <is>
          <t>Meal</t>
        </is>
      </c>
      <c r="E898" s="351" t="n"/>
      <c r="F898" s="351" t="n"/>
      <c r="G898" s="351" t="n"/>
      <c r="H898" s="351" t="n"/>
      <c r="I898" s="351" t="n"/>
      <c r="J898" s="351" t="n"/>
      <c r="K898" s="351" t="n"/>
      <c r="L898" s="351" t="n"/>
      <c r="M898" s="351" t="n"/>
      <c r="N898" s="351" t="n"/>
      <c r="O898" s="351" t="n"/>
      <c r="P898" s="351" t="n"/>
      <c r="Q898" s="351" t="n"/>
      <c r="R898" s="280" t="n"/>
      <c r="S898" s="280" t="n"/>
      <c r="T898" s="280" t="n"/>
      <c r="U898" s="280" t="n"/>
      <c r="V898" s="280" t="n"/>
      <c r="W898" s="280" t="n"/>
      <c r="X898" s="280" t="n"/>
      <c r="Y898" s="280" t="n"/>
      <c r="Z898" s="280" t="n"/>
      <c r="AA898" s="280" t="n"/>
      <c r="AB898" s="280" t="n"/>
      <c r="AC898" s="280" t="n"/>
      <c r="AD898" s="280" t="n"/>
    </row>
    <row r="899" ht="15.5" customHeight="1">
      <c r="B899" s="290" t="n">
        <v>45561</v>
      </c>
      <c r="C899" s="291" t="n">
        <v>193</v>
      </c>
      <c r="D899" s="292" t="inlineStr">
        <is>
          <t>Uang Makan (22 - 26 Sept 2024)</t>
        </is>
      </c>
      <c r="E899" s="289" t="inlineStr">
        <is>
          <t>-</t>
        </is>
      </c>
      <c r="F899" s="285" t="n">
        <v>750000</v>
      </c>
      <c r="G899" s="294" t="inlineStr">
        <is>
          <t>IDR</t>
        </is>
      </c>
      <c r="H899" s="295" t="n">
        <v>1</v>
      </c>
      <c r="I899" s="282" t="n"/>
      <c r="J899" s="287" t="n"/>
      <c r="K899" s="281" t="n"/>
      <c r="L899" s="285" t="n">
        <v>750000</v>
      </c>
      <c r="M899" s="288" t="n"/>
      <c r="N899" s="288" t="n"/>
      <c r="O899" s="285" t="n"/>
      <c r="P899" s="287" t="n"/>
      <c r="Q899" s="289" t="n"/>
      <c r="R899" s="280" t="n"/>
      <c r="S899" s="280" t="n"/>
      <c r="T899" s="280" t="n"/>
      <c r="U899" s="280" t="n"/>
      <c r="V899" s="280" t="n"/>
      <c r="W899" s="280" t="n"/>
      <c r="X899" s="280" t="n"/>
      <c r="Y899" s="280" t="n"/>
      <c r="Z899" s="280" t="n"/>
      <c r="AA899" s="280" t="n"/>
      <c r="AB899" s="280" t="n"/>
      <c r="AC899" s="280" t="n"/>
      <c r="AD899" s="280" t="n"/>
    </row>
    <row r="900">
      <c r="B900" s="351" t="n"/>
      <c r="C900" s="351" t="n"/>
      <c r="D900" s="317" t="inlineStr">
        <is>
          <t>Transportation</t>
        </is>
      </c>
      <c r="E900" s="351" t="n"/>
      <c r="F900" s="351" t="n"/>
      <c r="G900" s="351" t="n"/>
      <c r="H900" s="351" t="n"/>
      <c r="I900" s="351" t="n"/>
      <c r="J900" s="351" t="n"/>
      <c r="K900" s="351" t="n"/>
      <c r="L900" s="351" t="n"/>
      <c r="M900" s="351" t="n"/>
      <c r="N900" s="351" t="n"/>
      <c r="O900" s="351" t="n"/>
      <c r="P900" s="351" t="n"/>
      <c r="Q900" s="351" t="n"/>
      <c r="R900" s="280" t="n"/>
      <c r="S900" s="280" t="n"/>
      <c r="T900" s="280" t="n"/>
      <c r="U900" s="280" t="n"/>
      <c r="V900" s="280" t="n"/>
      <c r="W900" s="280" t="n"/>
      <c r="X900" s="280" t="n"/>
      <c r="Y900" s="280" t="n"/>
      <c r="Z900" s="280" t="n"/>
      <c r="AA900" s="280" t="n"/>
      <c r="AB900" s="280" t="n"/>
      <c r="AC900" s="280" t="n"/>
      <c r="AD900" s="280" t="n"/>
    </row>
    <row r="901" ht="15.5" customHeight="1">
      <c r="B901" s="290" t="n">
        <v>45561</v>
      </c>
      <c r="C901" s="291" t="n">
        <v>194</v>
      </c>
      <c r="D901" s="292" t="inlineStr">
        <is>
          <t>Taxi+Tol Gambir - Serpong</t>
        </is>
      </c>
      <c r="E901" s="289" t="inlineStr">
        <is>
          <t>-</t>
        </is>
      </c>
      <c r="F901" s="285" t="n">
        <v>240000</v>
      </c>
      <c r="G901" s="294" t="inlineStr">
        <is>
          <t>IDR</t>
        </is>
      </c>
      <c r="H901" s="295" t="n">
        <v>1</v>
      </c>
      <c r="I901" s="282" t="n"/>
      <c r="J901" s="287" t="n"/>
      <c r="K901" s="281" t="n"/>
      <c r="L901" s="285" t="n">
        <v>240000</v>
      </c>
      <c r="M901" s="288" t="n"/>
      <c r="N901" s="288" t="n"/>
      <c r="O901" s="285" t="n"/>
      <c r="P901" s="287" t="n"/>
      <c r="Q901" s="289" t="n"/>
      <c r="R901" s="280" t="n"/>
      <c r="S901" s="280" t="n"/>
      <c r="T901" s="280" t="n"/>
      <c r="U901" s="280" t="n"/>
      <c r="V901" s="280" t="n"/>
      <c r="W901" s="280" t="n"/>
      <c r="X901" s="280" t="n"/>
      <c r="Y901" s="280" t="n"/>
      <c r="Z901" s="280" t="n"/>
      <c r="AA901" s="280" t="n"/>
      <c r="AB901" s="280" t="n"/>
      <c r="AC901" s="280" t="n"/>
      <c r="AD901" s="280" t="n"/>
    </row>
    <row r="902">
      <c r="B902" s="312" t="inlineStr">
        <is>
          <t>Expense#33</t>
        </is>
      </c>
      <c r="C902" s="311" t="inlineStr">
        <is>
          <t>:</t>
        </is>
      </c>
      <c r="D902" s="312" t="inlineStr">
        <is>
          <t>ALFA Job JRK-095 (Jirak) - IBR</t>
        </is>
      </c>
      <c r="E902" s="313" t="n"/>
      <c r="F902" s="313" t="n"/>
      <c r="G902" s="313" t="n"/>
      <c r="H902" s="313" t="n"/>
      <c r="I902" s="313" t="n"/>
      <c r="J902" s="313" t="n"/>
      <c r="K902" s="313" t="n"/>
      <c r="L902" s="313" t="n"/>
      <c r="M902" s="313" t="n"/>
      <c r="N902" s="313" t="n"/>
      <c r="O902" s="313" t="n"/>
      <c r="P902" s="313" t="n"/>
      <c r="Q902" s="313" t="n"/>
      <c r="R902" s="280" t="n"/>
      <c r="S902" s="280" t="n"/>
      <c r="T902" s="280" t="n"/>
      <c r="U902" s="280" t="n"/>
      <c r="V902" s="280" t="n"/>
      <c r="W902" s="280" t="n"/>
      <c r="X902" s="280" t="n"/>
      <c r="Y902" s="280" t="n"/>
      <c r="Z902" s="280" t="n"/>
      <c r="AA902" s="280" t="n"/>
      <c r="AB902" s="280" t="n"/>
      <c r="AC902" s="280" t="n"/>
      <c r="AD902" s="280" t="n"/>
    </row>
    <row r="903">
      <c r="B903" s="351" t="n"/>
      <c r="C903" s="351" t="n"/>
      <c r="D903" s="317" t="inlineStr">
        <is>
          <t>Accommodation</t>
        </is>
      </c>
      <c r="E903" s="351" t="n"/>
      <c r="F903" s="351" t="n"/>
      <c r="G903" s="351" t="n"/>
      <c r="H903" s="351" t="n"/>
      <c r="I903" s="351" t="n"/>
      <c r="J903" s="351" t="n"/>
      <c r="K903" s="351" t="n"/>
      <c r="L903" s="351" t="n"/>
      <c r="M903" s="351" t="n"/>
      <c r="N903" s="351" t="n"/>
      <c r="O903" s="351" t="n"/>
      <c r="P903" s="351" t="n"/>
      <c r="Q903" s="351" t="n"/>
      <c r="R903" s="280" t="n"/>
      <c r="S903" s="280" t="n"/>
      <c r="T903" s="280" t="n"/>
      <c r="U903" s="280" t="n"/>
      <c r="V903" s="280" t="n"/>
      <c r="W903" s="280" t="n"/>
      <c r="X903" s="280" t="n"/>
      <c r="Y903" s="280" t="n"/>
      <c r="Z903" s="280" t="n"/>
      <c r="AA903" s="280" t="n"/>
      <c r="AB903" s="280" t="n"/>
      <c r="AC903" s="280" t="n"/>
      <c r="AD903" s="280" t="n"/>
    </row>
    <row r="904" ht="15.5" customHeight="1">
      <c r="B904" s="290" t="n">
        <v>45563</v>
      </c>
      <c r="C904" s="291" t="n">
        <v>195</v>
      </c>
      <c r="D904" s="292" t="inlineStr">
        <is>
          <t>Hotel 21 Sept - 27 Sept 2024 (6 days)</t>
        </is>
      </c>
      <c r="E904" s="289" t="inlineStr">
        <is>
          <t>-</t>
        </is>
      </c>
      <c r="F904" s="285" t="n">
        <v>1680000</v>
      </c>
      <c r="G904" s="294" t="inlineStr">
        <is>
          <t>IDR</t>
        </is>
      </c>
      <c r="H904" s="295" t="n">
        <v>1</v>
      </c>
      <c r="I904" s="282" t="n"/>
      <c r="J904" s="287" t="n"/>
      <c r="K904" s="281" t="n"/>
      <c r="L904" s="285" t="n">
        <v>1680000</v>
      </c>
      <c r="M904" s="288" t="n"/>
      <c r="N904" s="288" t="n"/>
      <c r="O904" s="285" t="n"/>
      <c r="P904" s="287" t="n"/>
      <c r="Q904" s="289" t="n"/>
      <c r="R904" s="280" t="n"/>
      <c r="S904" s="280" t="n"/>
      <c r="T904" s="280" t="n"/>
      <c r="U904" s="280" t="n"/>
      <c r="V904" s="280" t="n"/>
      <c r="W904" s="280" t="n"/>
      <c r="X904" s="280" t="n"/>
      <c r="Y904" s="280" t="n"/>
      <c r="Z904" s="280" t="n"/>
      <c r="AA904" s="280" t="n"/>
      <c r="AB904" s="280" t="n"/>
      <c r="AC904" s="280" t="n"/>
      <c r="AD904" s="280" t="n"/>
    </row>
    <row r="905">
      <c r="B905" s="351" t="n"/>
      <c r="C905" s="351" t="n"/>
      <c r="D905" s="317" t="inlineStr">
        <is>
          <t>Allowance</t>
        </is>
      </c>
      <c r="E905" s="351" t="n"/>
      <c r="F905" s="351" t="n"/>
      <c r="G905" s="351" t="n"/>
      <c r="H905" s="351" t="n"/>
      <c r="I905" s="351" t="n"/>
      <c r="J905" s="351" t="n"/>
      <c r="K905" s="351" t="n"/>
      <c r="L905" s="351" t="n"/>
      <c r="M905" s="351" t="n"/>
      <c r="N905" s="351" t="n"/>
      <c r="O905" s="351" t="n"/>
      <c r="P905" s="351" t="n"/>
      <c r="Q905" s="351" t="n"/>
      <c r="R905" s="280" t="n"/>
      <c r="S905" s="280" t="n"/>
      <c r="T905" s="280" t="n"/>
      <c r="U905" s="280" t="n"/>
      <c r="V905" s="280" t="n"/>
      <c r="W905" s="280" t="n"/>
      <c r="X905" s="280" t="n"/>
      <c r="Y905" s="280" t="n"/>
      <c r="Z905" s="280" t="n"/>
      <c r="AA905" s="280" t="n"/>
      <c r="AB905" s="280" t="n"/>
      <c r="AC905" s="280" t="n"/>
      <c r="AD905" s="280" t="n"/>
    </row>
    <row r="906" ht="15.5" customHeight="1">
      <c r="B906" s="290" t="n">
        <v>45563</v>
      </c>
      <c r="C906" s="291" t="n">
        <v>196</v>
      </c>
      <c r="D906" s="292" t="inlineStr">
        <is>
          <t>Field Allowance 20 Sept - 27 Sept 2024</t>
        </is>
      </c>
      <c r="E906" s="289" t="inlineStr">
        <is>
          <t>-</t>
        </is>
      </c>
      <c r="F906" s="285" t="n">
        <v>2668750</v>
      </c>
      <c r="G906" s="294" t="inlineStr">
        <is>
          <t>USD</t>
        </is>
      </c>
      <c r="H906" s="295" t="n">
        <v>15250</v>
      </c>
      <c r="I906" s="282" t="n"/>
      <c r="J906" s="287" t="n"/>
      <c r="K906" s="281" t="n"/>
      <c r="L906" s="285" t="n">
        <v>2668750</v>
      </c>
      <c r="M906" s="288" t="n"/>
      <c r="N906" s="288" t="n"/>
      <c r="O906" s="285" t="n"/>
      <c r="P906" s="287" t="n"/>
      <c r="Q906" s="289" t="n"/>
      <c r="R906" s="280" t="n"/>
      <c r="S906" s="280" t="n"/>
      <c r="T906" s="280" t="n"/>
      <c r="U906" s="280" t="n"/>
      <c r="V906" s="280" t="n"/>
      <c r="W906" s="280" t="n"/>
      <c r="X906" s="280" t="n"/>
      <c r="Y906" s="280" t="n"/>
      <c r="Z906" s="280" t="n"/>
      <c r="AA906" s="280" t="n"/>
      <c r="AB906" s="280" t="n"/>
      <c r="AC906" s="280" t="n"/>
      <c r="AD906" s="280" t="n"/>
    </row>
    <row r="907">
      <c r="B907" s="351" t="n"/>
      <c r="C907" s="351" t="n"/>
      <c r="D907" s="317" t="inlineStr">
        <is>
          <t>Laundry</t>
        </is>
      </c>
      <c r="E907" s="351" t="n"/>
      <c r="F907" s="351" t="n"/>
      <c r="G907" s="351" t="n"/>
      <c r="H907" s="351" t="n"/>
      <c r="I907" s="351" t="n"/>
      <c r="J907" s="351" t="n"/>
      <c r="K907" s="351" t="n"/>
      <c r="L907" s="351" t="n"/>
      <c r="M907" s="351" t="n"/>
      <c r="N907" s="351" t="n"/>
      <c r="O907" s="351" t="n"/>
      <c r="P907" s="351" t="n"/>
      <c r="Q907" s="351" t="n"/>
      <c r="R907" s="280" t="n"/>
      <c r="S907" s="280" t="n"/>
      <c r="T907" s="280" t="n"/>
      <c r="U907" s="280" t="n"/>
      <c r="V907" s="280" t="n"/>
      <c r="W907" s="280" t="n"/>
      <c r="X907" s="280" t="n"/>
      <c r="Y907" s="280" t="n"/>
      <c r="Z907" s="280" t="n"/>
      <c r="AA907" s="280" t="n"/>
      <c r="AB907" s="280" t="n"/>
      <c r="AC907" s="280" t="n"/>
      <c r="AD907" s="280" t="n"/>
    </row>
    <row r="908" ht="15.5" customHeight="1">
      <c r="B908" s="290" t="n">
        <v>45563</v>
      </c>
      <c r="C908" s="291" t="n">
        <v>197</v>
      </c>
      <c r="D908" s="292" t="inlineStr">
        <is>
          <t>Laundry 20 Sept - 27 Sept 2024 (7days) @ Rp. 50000</t>
        </is>
      </c>
      <c r="E908" s="289" t="inlineStr">
        <is>
          <t>-</t>
        </is>
      </c>
      <c r="F908" s="285" t="n">
        <v>350000</v>
      </c>
      <c r="G908" s="294" t="inlineStr">
        <is>
          <t>IDR</t>
        </is>
      </c>
      <c r="H908" s="295" t="n">
        <v>1</v>
      </c>
      <c r="I908" s="282" t="n"/>
      <c r="J908" s="287" t="n"/>
      <c r="K908" s="281" t="n"/>
      <c r="L908" s="285" t="n">
        <v>350000</v>
      </c>
      <c r="M908" s="288" t="n"/>
      <c r="N908" s="288" t="n"/>
      <c r="O908" s="285" t="n"/>
      <c r="P908" s="287" t="n"/>
      <c r="Q908" s="289" t="n"/>
      <c r="R908" s="280" t="n"/>
      <c r="S908" s="280" t="n"/>
      <c r="T908" s="280" t="n"/>
      <c r="U908" s="280" t="n"/>
      <c r="V908" s="280" t="n"/>
      <c r="W908" s="280" t="n"/>
      <c r="X908" s="280" t="n"/>
      <c r="Y908" s="280" t="n"/>
      <c r="Z908" s="280" t="n"/>
      <c r="AA908" s="280" t="n"/>
      <c r="AB908" s="280" t="n"/>
      <c r="AC908" s="280" t="n"/>
      <c r="AD908" s="280" t="n"/>
    </row>
    <row r="909">
      <c r="B909" s="351" t="n"/>
      <c r="C909" s="351" t="n"/>
      <c r="D909" s="317" t="inlineStr">
        <is>
          <t>Maintenance</t>
        </is>
      </c>
      <c r="E909" s="351" t="n"/>
      <c r="F909" s="351" t="n"/>
      <c r="G909" s="351" t="n"/>
      <c r="H909" s="351" t="n"/>
      <c r="I909" s="351" t="n"/>
      <c r="J909" s="351" t="n"/>
      <c r="K909" s="351" t="n"/>
      <c r="L909" s="351" t="n"/>
      <c r="M909" s="351" t="n"/>
      <c r="N909" s="351" t="n"/>
      <c r="O909" s="351" t="n"/>
      <c r="P909" s="351" t="n"/>
      <c r="Q909" s="351" t="n"/>
      <c r="R909" s="280" t="n"/>
      <c r="S909" s="280" t="n"/>
      <c r="T909" s="280" t="n"/>
      <c r="U909" s="280" t="n"/>
      <c r="V909" s="280" t="n"/>
      <c r="W909" s="280" t="n"/>
      <c r="X909" s="280" t="n"/>
      <c r="Y909" s="280" t="n"/>
      <c r="Z909" s="280" t="n"/>
      <c r="AA909" s="280" t="n"/>
      <c r="AB909" s="280" t="n"/>
      <c r="AC909" s="280" t="n"/>
      <c r="AD909" s="280" t="n"/>
    </row>
    <row r="910" ht="15.5" customHeight="1">
      <c r="B910" s="290" t="n">
        <v>45563</v>
      </c>
      <c r="C910" s="291" t="n">
        <v>198</v>
      </c>
      <c r="D910" s="292" t="inlineStr">
        <is>
          <t>Car Wash</t>
        </is>
      </c>
      <c r="E910" s="289" t="inlineStr">
        <is>
          <t>-</t>
        </is>
      </c>
      <c r="F910" s="285" t="n">
        <v>40000</v>
      </c>
      <c r="G910" s="294" t="inlineStr">
        <is>
          <t>IDR</t>
        </is>
      </c>
      <c r="H910" s="295" t="n">
        <v>1</v>
      </c>
      <c r="I910" s="282" t="n"/>
      <c r="J910" s="287" t="n"/>
      <c r="K910" s="281" t="n"/>
      <c r="L910" s="285" t="n">
        <v>40000</v>
      </c>
      <c r="M910" s="288" t="n"/>
      <c r="N910" s="288" t="n"/>
      <c r="O910" s="285" t="n"/>
      <c r="P910" s="287" t="n"/>
      <c r="Q910" s="289" t="n"/>
      <c r="R910" s="280" t="n"/>
      <c r="S910" s="280" t="n"/>
      <c r="T910" s="280" t="n"/>
      <c r="U910" s="280" t="n"/>
      <c r="V910" s="280" t="n"/>
      <c r="W910" s="280" t="n"/>
      <c r="X910" s="280" t="n"/>
      <c r="Y910" s="280" t="n"/>
      <c r="Z910" s="280" t="n"/>
      <c r="AA910" s="280" t="n"/>
      <c r="AB910" s="280" t="n"/>
      <c r="AC910" s="280" t="n"/>
      <c r="AD910" s="280" t="n"/>
    </row>
    <row r="911">
      <c r="B911" s="351" t="n"/>
      <c r="C911" s="351" t="n"/>
      <c r="D911" s="317" t="inlineStr">
        <is>
          <t>Meal</t>
        </is>
      </c>
      <c r="E911" s="351" t="n"/>
      <c r="F911" s="351" t="n"/>
      <c r="G911" s="351" t="n"/>
      <c r="H911" s="351" t="n"/>
      <c r="I911" s="351" t="n"/>
      <c r="J911" s="351" t="n"/>
      <c r="K911" s="351" t="n"/>
      <c r="L911" s="351" t="n"/>
      <c r="M911" s="351" t="n"/>
      <c r="N911" s="351" t="n"/>
      <c r="O911" s="351" t="n"/>
      <c r="P911" s="351" t="n"/>
      <c r="Q911" s="351" t="n"/>
      <c r="R911" s="280" t="n"/>
      <c r="S911" s="280" t="n"/>
      <c r="T911" s="280" t="n"/>
      <c r="U911" s="280" t="n"/>
      <c r="V911" s="280" t="n"/>
      <c r="W911" s="280" t="n"/>
      <c r="X911" s="280" t="n"/>
      <c r="Y911" s="280" t="n"/>
      <c r="Z911" s="280" t="n"/>
      <c r="AA911" s="280" t="n"/>
      <c r="AB911" s="280" t="n"/>
      <c r="AC911" s="280" t="n"/>
      <c r="AD911" s="280" t="n"/>
    </row>
    <row r="912" ht="15.5" customHeight="1">
      <c r="B912" s="290" t="n">
        <v>45563</v>
      </c>
      <c r="C912" s="291" t="n">
        <v>199</v>
      </c>
      <c r="D912" s="292" t="inlineStr">
        <is>
          <t>Meals 20 Sept - 27 Sept 2024 7 days</t>
        </is>
      </c>
      <c r="E912" s="289" t="inlineStr">
        <is>
          <t>-</t>
        </is>
      </c>
      <c r="F912" s="285" t="n">
        <v>1050000</v>
      </c>
      <c r="G912" s="294" t="inlineStr">
        <is>
          <t>IDR</t>
        </is>
      </c>
      <c r="H912" s="295" t="n">
        <v>1</v>
      </c>
      <c r="I912" s="282" t="n"/>
      <c r="J912" s="287" t="n"/>
      <c r="K912" s="281" t="n"/>
      <c r="L912" s="285" t="n">
        <v>1050000</v>
      </c>
      <c r="M912" s="288" t="n"/>
      <c r="N912" s="288" t="n"/>
      <c r="O912" s="285" t="n"/>
      <c r="P912" s="287" t="n"/>
      <c r="Q912" s="289" t="n"/>
      <c r="R912" s="280" t="n"/>
      <c r="S912" s="280" t="n"/>
      <c r="T912" s="280" t="n"/>
      <c r="U912" s="280" t="n"/>
      <c r="V912" s="280" t="n"/>
      <c r="W912" s="280" t="n"/>
      <c r="X912" s="280" t="n"/>
      <c r="Y912" s="280" t="n"/>
      <c r="Z912" s="280" t="n"/>
      <c r="AA912" s="280" t="n"/>
      <c r="AB912" s="280" t="n"/>
      <c r="AC912" s="280" t="n"/>
      <c r="AD912" s="280" t="n"/>
    </row>
    <row r="913">
      <c r="B913" s="351" t="n"/>
      <c r="C913" s="351" t="n"/>
      <c r="D913" s="317" t="inlineStr">
        <is>
          <t>Transportation</t>
        </is>
      </c>
      <c r="E913" s="351" t="n"/>
      <c r="F913" s="351" t="n"/>
      <c r="G913" s="351" t="n"/>
      <c r="H913" s="351" t="n"/>
      <c r="I913" s="351" t="n"/>
      <c r="J913" s="351" t="n"/>
      <c r="K913" s="351" t="n"/>
      <c r="L913" s="351" t="n"/>
      <c r="M913" s="351" t="n"/>
      <c r="N913" s="351" t="n"/>
      <c r="O913" s="351" t="n"/>
      <c r="P913" s="351" t="n"/>
      <c r="Q913" s="351" t="n"/>
      <c r="R913" s="280" t="n"/>
      <c r="S913" s="280" t="n"/>
      <c r="T913" s="280" t="n"/>
      <c r="U913" s="280" t="n"/>
      <c r="V913" s="280" t="n"/>
      <c r="W913" s="280" t="n"/>
      <c r="X913" s="280" t="n"/>
      <c r="Y913" s="280" t="n"/>
      <c r="Z913" s="280" t="n"/>
      <c r="AA913" s="280" t="n"/>
      <c r="AB913" s="280" t="n"/>
      <c r="AC913" s="280" t="n"/>
      <c r="AD913" s="280" t="n"/>
    </row>
    <row r="914" ht="15.5" customHeight="1">
      <c r="B914" s="290" t="n">
        <v>45563</v>
      </c>
      <c r="C914" s="291" t="n">
        <v>200</v>
      </c>
      <c r="D914" s="292" t="inlineStr">
        <is>
          <t>Toll (Prabumulih-PLM)</t>
        </is>
      </c>
      <c r="E914" s="289" t="inlineStr">
        <is>
          <t>-</t>
        </is>
      </c>
      <c r="F914" s="285" t="n">
        <v>117000</v>
      </c>
      <c r="G914" s="294" t="inlineStr">
        <is>
          <t>IDR</t>
        </is>
      </c>
      <c r="H914" s="295" t="n">
        <v>1</v>
      </c>
      <c r="I914" s="282" t="n"/>
      <c r="J914" s="287" t="n"/>
      <c r="K914" s="281" t="n"/>
      <c r="L914" s="285" t="n">
        <v>117000</v>
      </c>
      <c r="M914" s="288" t="n"/>
      <c r="N914" s="288" t="n"/>
      <c r="O914" s="285" t="n"/>
      <c r="P914" s="287" t="n"/>
      <c r="Q914" s="289" t="n"/>
      <c r="R914" s="280" t="n"/>
      <c r="S914" s="280" t="n"/>
      <c r="T914" s="280" t="n"/>
      <c r="U914" s="280" t="n"/>
      <c r="V914" s="280" t="n"/>
      <c r="W914" s="280" t="n"/>
      <c r="X914" s="280" t="n"/>
      <c r="Y914" s="280" t="n"/>
      <c r="Z914" s="280" t="n"/>
      <c r="AA914" s="280" t="n"/>
      <c r="AB914" s="280" t="n"/>
      <c r="AC914" s="280" t="n"/>
      <c r="AD914" s="280" t="n"/>
    </row>
    <row r="915">
      <c r="B915" s="312" t="inlineStr">
        <is>
          <t>Expense#34</t>
        </is>
      </c>
      <c r="C915" s="311" t="inlineStr">
        <is>
          <t>:</t>
        </is>
      </c>
      <c r="D915" s="312" t="inlineStr">
        <is>
          <t>ALFA_JRK-095 well (PEPZ4-PEndopo field) SI jakarta _ AC</t>
        </is>
      </c>
      <c r="E915" s="313" t="n"/>
      <c r="F915" s="313" t="n"/>
      <c r="G915" s="313" t="n"/>
      <c r="H915" s="313" t="n"/>
      <c r="I915" s="313" t="n"/>
      <c r="J915" s="313" t="n"/>
      <c r="K915" s="313" t="n"/>
      <c r="L915" s="313" t="n"/>
      <c r="M915" s="313" t="n"/>
      <c r="N915" s="313" t="n"/>
      <c r="O915" s="313" t="n"/>
      <c r="P915" s="313" t="n"/>
      <c r="Q915" s="313" t="n"/>
      <c r="R915" s="280" t="n"/>
      <c r="S915" s="280" t="n"/>
      <c r="T915" s="280" t="n"/>
      <c r="U915" s="280" t="n"/>
      <c r="V915" s="280" t="n"/>
      <c r="W915" s="280" t="n"/>
      <c r="X915" s="280" t="n"/>
      <c r="Y915" s="280" t="n"/>
      <c r="Z915" s="280" t="n"/>
      <c r="AA915" s="280" t="n"/>
      <c r="AB915" s="280" t="n"/>
      <c r="AC915" s="280" t="n"/>
      <c r="AD915" s="280" t="n"/>
    </row>
    <row r="916">
      <c r="B916" s="351" t="n"/>
      <c r="C916" s="351" t="n"/>
      <c r="D916" s="317" t="inlineStr">
        <is>
          <t>Allowance</t>
        </is>
      </c>
      <c r="E916" s="351" t="n"/>
      <c r="F916" s="351" t="n"/>
      <c r="G916" s="351" t="n"/>
      <c r="H916" s="351" t="n"/>
      <c r="I916" s="351" t="n"/>
      <c r="J916" s="351" t="n"/>
      <c r="K916" s="351" t="n"/>
      <c r="L916" s="351" t="n"/>
      <c r="M916" s="351" t="n"/>
      <c r="N916" s="351" t="n"/>
      <c r="O916" s="351" t="n"/>
      <c r="P916" s="351" t="n"/>
      <c r="Q916" s="351" t="n"/>
      <c r="R916" s="280" t="n"/>
      <c r="S916" s="280" t="n"/>
      <c r="T916" s="280" t="n"/>
      <c r="U916" s="280" t="n"/>
      <c r="V916" s="280" t="n"/>
      <c r="W916" s="280" t="n"/>
      <c r="X916" s="280" t="n"/>
      <c r="Y916" s="280" t="n"/>
      <c r="Z916" s="280" t="n"/>
      <c r="AA916" s="280" t="n"/>
      <c r="AB916" s="280" t="n"/>
      <c r="AC916" s="280" t="n"/>
      <c r="AD916" s="280" t="n"/>
    </row>
    <row r="917" ht="15.5" customHeight="1">
      <c r="B917" s="290" t="n">
        <v>45565</v>
      </c>
      <c r="C917" s="291" t="n">
        <v>201</v>
      </c>
      <c r="D917" s="292" t="inlineStr">
        <is>
          <t>Tunjangan lapaangan for 8 days- (job at JRK-095)</t>
        </is>
      </c>
      <c r="E917" s="289" t="inlineStr">
        <is>
          <t>-</t>
        </is>
      </c>
      <c r="F917" s="285" t="n">
        <v>12160000</v>
      </c>
      <c r="G917" s="294" t="inlineStr">
        <is>
          <t>USD</t>
        </is>
      </c>
      <c r="H917" s="295" t="n">
        <v>15200</v>
      </c>
      <c r="I917" s="282" t="n"/>
      <c r="J917" s="287" t="n"/>
      <c r="K917" s="281" t="n"/>
      <c r="L917" s="285" t="n">
        <v>12160000</v>
      </c>
      <c r="M917" s="288" t="n"/>
      <c r="N917" s="288" t="n"/>
      <c r="O917" s="285" t="n"/>
      <c r="P917" s="287" t="n"/>
      <c r="Q917" s="289" t="n"/>
      <c r="R917" s="280" t="n"/>
      <c r="S917" s="280" t="n"/>
      <c r="T917" s="280" t="n"/>
      <c r="U917" s="280" t="n"/>
      <c r="V917" s="280" t="n"/>
      <c r="W917" s="280" t="n"/>
      <c r="X917" s="280" t="n"/>
      <c r="Y917" s="280" t="n"/>
      <c r="Z917" s="280" t="n"/>
      <c r="AA917" s="280" t="n"/>
      <c r="AB917" s="280" t="n"/>
      <c r="AC917" s="280" t="n"/>
      <c r="AD917" s="280" t="n"/>
    </row>
    <row r="918">
      <c r="B918" s="351" t="n"/>
      <c r="C918" s="351" t="n"/>
      <c r="D918" s="317" t="inlineStr">
        <is>
          <t>Laundry</t>
        </is>
      </c>
      <c r="E918" s="351" t="n"/>
      <c r="F918" s="351" t="n"/>
      <c r="G918" s="351" t="n"/>
      <c r="H918" s="351" t="n"/>
      <c r="I918" s="351" t="n"/>
      <c r="J918" s="351" t="n"/>
      <c r="K918" s="351" t="n"/>
      <c r="L918" s="351" t="n"/>
      <c r="M918" s="351" t="n"/>
      <c r="N918" s="351" t="n"/>
      <c r="O918" s="351" t="n"/>
      <c r="P918" s="351" t="n"/>
      <c r="Q918" s="351" t="n"/>
      <c r="R918" s="280" t="n"/>
      <c r="S918" s="280" t="n"/>
      <c r="T918" s="280" t="n"/>
      <c r="U918" s="280" t="n"/>
      <c r="V918" s="280" t="n"/>
      <c r="W918" s="280" t="n"/>
      <c r="X918" s="280" t="n"/>
      <c r="Y918" s="280" t="n"/>
      <c r="Z918" s="280" t="n"/>
      <c r="AA918" s="280" t="n"/>
      <c r="AB918" s="280" t="n"/>
      <c r="AC918" s="280" t="n"/>
      <c r="AD918" s="280" t="n"/>
    </row>
    <row r="919" ht="15.5" customHeight="1">
      <c r="B919" s="290" t="n">
        <v>45564</v>
      </c>
      <c r="C919" s="291" t="n">
        <v>202</v>
      </c>
      <c r="D919" s="292" t="inlineStr">
        <is>
          <t>Laundry 8 days @ 50K IDR/day</t>
        </is>
      </c>
      <c r="E919" s="289" t="inlineStr">
        <is>
          <t>-</t>
        </is>
      </c>
      <c r="F919" s="285" t="n">
        <v>400000</v>
      </c>
      <c r="G919" s="294" t="inlineStr">
        <is>
          <t>IDR</t>
        </is>
      </c>
      <c r="H919" s="295" t="n">
        <v>1</v>
      </c>
      <c r="I919" s="282" t="n"/>
      <c r="J919" s="287" t="n"/>
      <c r="K919" s="281" t="n"/>
      <c r="L919" s="285" t="n">
        <v>400000</v>
      </c>
      <c r="M919" s="288" t="n"/>
      <c r="N919" s="288" t="n"/>
      <c r="O919" s="285" t="n"/>
      <c r="P919" s="287" t="n"/>
      <c r="Q919" s="289" t="n"/>
      <c r="R919" s="280" t="n"/>
      <c r="S919" s="280" t="n"/>
      <c r="T919" s="280" t="n"/>
      <c r="U919" s="280" t="n"/>
      <c r="V919" s="280" t="n"/>
      <c r="W919" s="280" t="n"/>
      <c r="X919" s="280" t="n"/>
      <c r="Y919" s="280" t="n"/>
      <c r="Z919" s="280" t="n"/>
      <c r="AA919" s="280" t="n"/>
      <c r="AB919" s="280" t="n"/>
      <c r="AC919" s="280" t="n"/>
      <c r="AD919" s="280" t="n"/>
    </row>
    <row r="920">
      <c r="B920" s="351" t="n"/>
      <c r="C920" s="351" t="n"/>
      <c r="D920" s="317" t="inlineStr">
        <is>
          <t>Meal</t>
        </is>
      </c>
      <c r="E920" s="351" t="n"/>
      <c r="F920" s="351" t="n"/>
      <c r="G920" s="351" t="n"/>
      <c r="H920" s="351" t="n"/>
      <c r="I920" s="351" t="n"/>
      <c r="J920" s="351" t="n"/>
      <c r="K920" s="351" t="n"/>
      <c r="L920" s="351" t="n"/>
      <c r="M920" s="351" t="n"/>
      <c r="N920" s="351" t="n"/>
      <c r="O920" s="351" t="n"/>
      <c r="P920" s="351" t="n"/>
      <c r="Q920" s="351" t="n"/>
      <c r="R920" s="280" t="n"/>
      <c r="S920" s="280" t="n"/>
      <c r="T920" s="280" t="n"/>
      <c r="U920" s="280" t="n"/>
      <c r="V920" s="280" t="n"/>
      <c r="W920" s="280" t="n"/>
      <c r="X920" s="280" t="n"/>
      <c r="Y920" s="280" t="n"/>
      <c r="Z920" s="280" t="n"/>
      <c r="AA920" s="280" t="n"/>
      <c r="AB920" s="280" t="n"/>
      <c r="AC920" s="280" t="n"/>
      <c r="AD920" s="280" t="n"/>
    </row>
    <row r="921" ht="15.5" customHeight="1">
      <c r="B921" s="290" t="n">
        <v>45564</v>
      </c>
      <c r="C921" s="291" t="n">
        <v>203</v>
      </c>
      <c r="D921" s="292" t="inlineStr">
        <is>
          <t>Meals 8 days @ 150K IDR/day</t>
        </is>
      </c>
      <c r="E921" s="289" t="inlineStr">
        <is>
          <t>-</t>
        </is>
      </c>
      <c r="F921" s="285" t="n">
        <v>900000</v>
      </c>
      <c r="G921" s="294" t="inlineStr">
        <is>
          <t>IDR</t>
        </is>
      </c>
      <c r="H921" s="295" t="n">
        <v>1</v>
      </c>
      <c r="I921" s="282" t="n"/>
      <c r="J921" s="287" t="n"/>
      <c r="K921" s="281" t="n"/>
      <c r="L921" s="285" t="n">
        <v>900000</v>
      </c>
      <c r="M921" s="288" t="n"/>
      <c r="N921" s="288" t="n"/>
      <c r="O921" s="285" t="n"/>
      <c r="P921" s="287" t="n"/>
      <c r="Q921" s="289" t="n"/>
      <c r="R921" s="280" t="n"/>
      <c r="S921" s="280" t="n"/>
      <c r="T921" s="280" t="n"/>
      <c r="U921" s="280" t="n"/>
      <c r="V921" s="280" t="n"/>
      <c r="W921" s="280" t="n"/>
      <c r="X921" s="280" t="n"/>
      <c r="Y921" s="280" t="n"/>
      <c r="Z921" s="280" t="n"/>
      <c r="AA921" s="280" t="n"/>
      <c r="AB921" s="280" t="n"/>
      <c r="AC921" s="280" t="n"/>
      <c r="AD921" s="280" t="n"/>
    </row>
    <row r="922">
      <c r="B922" s="351" t="n"/>
      <c r="C922" s="351" t="n"/>
      <c r="D922" s="317" t="inlineStr">
        <is>
          <t>Transportation</t>
        </is>
      </c>
      <c r="E922" s="351" t="n"/>
      <c r="F922" s="351" t="n"/>
      <c r="G922" s="351" t="n"/>
      <c r="H922" s="351" t="n"/>
      <c r="I922" s="351" t="n"/>
      <c r="J922" s="351" t="n"/>
      <c r="K922" s="351" t="n"/>
      <c r="L922" s="351" t="n"/>
      <c r="M922" s="351" t="n"/>
      <c r="N922" s="351" t="n"/>
      <c r="O922" s="351" t="n"/>
      <c r="P922" s="351" t="n"/>
      <c r="Q922" s="351" t="n"/>
      <c r="R922" s="280" t="n"/>
      <c r="S922" s="280" t="n"/>
      <c r="T922" s="280" t="n"/>
      <c r="U922" s="280" t="n"/>
      <c r="V922" s="280" t="n"/>
      <c r="W922" s="280" t="n"/>
      <c r="X922" s="280" t="n"/>
      <c r="Y922" s="280" t="n"/>
      <c r="Z922" s="280" t="n"/>
      <c r="AA922" s="280" t="n"/>
      <c r="AB922" s="280" t="n"/>
      <c r="AC922" s="280" t="n"/>
      <c r="AD922" s="280" t="n"/>
    </row>
    <row r="923" ht="15.5" customHeight="1">
      <c r="B923" s="290" t="n">
        <v>45564</v>
      </c>
      <c r="C923" s="291" t="n">
        <v>204</v>
      </c>
      <c r="D923" s="292" t="inlineStr">
        <is>
          <t>Sewa mobil 8 hari (21/09/24 - 29/09/24)</t>
        </is>
      </c>
      <c r="E923" s="289" t="inlineStr">
        <is>
          <t>-</t>
        </is>
      </c>
      <c r="F923" s="285" t="n">
        <v>4000000</v>
      </c>
      <c r="G923" s="294" t="inlineStr">
        <is>
          <t>IDR</t>
        </is>
      </c>
      <c r="H923" s="295" t="n">
        <v>1</v>
      </c>
      <c r="I923" s="282" t="n"/>
      <c r="J923" s="287" t="n"/>
      <c r="K923" s="281" t="n"/>
      <c r="L923" s="285" t="n">
        <v>4000000</v>
      </c>
      <c r="M923" s="288" t="n"/>
      <c r="N923" s="288" t="n"/>
      <c r="O923" s="285" t="n"/>
      <c r="P923" s="287" t="n"/>
      <c r="Q923" s="289" t="n"/>
      <c r="R923" s="280" t="n"/>
      <c r="S923" s="280" t="n"/>
      <c r="T923" s="280" t="n"/>
      <c r="U923" s="280" t="n"/>
      <c r="V923" s="280" t="n"/>
      <c r="W923" s="280" t="n"/>
      <c r="X923" s="280" t="n"/>
      <c r="Y923" s="280" t="n"/>
      <c r="Z923" s="280" t="n"/>
      <c r="AA923" s="280" t="n"/>
      <c r="AB923" s="280" t="n"/>
      <c r="AC923" s="280" t="n"/>
      <c r="AD923" s="280" t="n"/>
    </row>
    <row r="924">
      <c r="B924" s="312" t="inlineStr">
        <is>
          <t>Expense#35</t>
        </is>
      </c>
      <c r="C924" s="311" t="inlineStr">
        <is>
          <t>:</t>
        </is>
      </c>
      <c r="D924" s="312" t="inlineStr">
        <is>
          <t>Trip to Cirebon Meeting MTD job X-ray field with PEP Zona 7 Region2_AC</t>
        </is>
      </c>
      <c r="E924" s="313" t="n"/>
      <c r="F924" s="313" t="n"/>
      <c r="G924" s="313" t="n"/>
      <c r="H924" s="313" t="n"/>
      <c r="I924" s="313" t="n"/>
      <c r="J924" s="313" t="n"/>
      <c r="K924" s="313" t="n"/>
      <c r="L924" s="313" t="n"/>
      <c r="M924" s="313" t="n"/>
      <c r="N924" s="313" t="n"/>
      <c r="O924" s="313" t="n"/>
      <c r="P924" s="313" t="n"/>
      <c r="Q924" s="313" t="n"/>
      <c r="R924" s="280" t="n"/>
      <c r="S924" s="280" t="n"/>
      <c r="T924" s="280" t="n"/>
      <c r="U924" s="280" t="n"/>
      <c r="V924" s="280" t="n"/>
      <c r="W924" s="280" t="n"/>
      <c r="X924" s="280" t="n"/>
      <c r="Y924" s="280" t="n"/>
      <c r="Z924" s="280" t="n"/>
      <c r="AA924" s="280" t="n"/>
      <c r="AB924" s="280" t="n"/>
      <c r="AC924" s="280" t="n"/>
      <c r="AD924" s="280" t="n"/>
    </row>
    <row r="925">
      <c r="B925" s="351" t="n"/>
      <c r="C925" s="351" t="n"/>
      <c r="D925" s="317" t="inlineStr">
        <is>
          <t>Accommodation</t>
        </is>
      </c>
      <c r="E925" s="351" t="n"/>
      <c r="F925" s="351" t="n"/>
      <c r="G925" s="351" t="n"/>
      <c r="H925" s="351" t="n"/>
      <c r="I925" s="351" t="n"/>
      <c r="J925" s="351" t="n"/>
      <c r="K925" s="351" t="n"/>
      <c r="L925" s="351" t="n"/>
      <c r="M925" s="351" t="n"/>
      <c r="N925" s="351" t="n"/>
      <c r="O925" s="351" t="n"/>
      <c r="P925" s="351" t="n"/>
      <c r="Q925" s="351" t="n"/>
      <c r="R925" s="280" t="n"/>
      <c r="S925" s="280" t="n"/>
      <c r="T925" s="280" t="n"/>
      <c r="U925" s="280" t="n"/>
      <c r="V925" s="280" t="n"/>
      <c r="W925" s="280" t="n"/>
      <c r="X925" s="280" t="n"/>
      <c r="Y925" s="280" t="n"/>
      <c r="Z925" s="280" t="n"/>
      <c r="AA925" s="280" t="n"/>
      <c r="AB925" s="280" t="n"/>
      <c r="AC925" s="280" t="n"/>
      <c r="AD925" s="280" t="n"/>
    </row>
    <row r="926" ht="15.5" customHeight="1">
      <c r="B926" s="290" t="n">
        <v>45552</v>
      </c>
      <c r="C926" s="291" t="n">
        <v>205</v>
      </c>
      <c r="D926" s="292" t="inlineStr">
        <is>
          <t>Hotel</t>
        </is>
      </c>
      <c r="E926" s="289" t="inlineStr">
        <is>
          <t>-</t>
        </is>
      </c>
      <c r="F926" s="285" t="n">
        <v>700000</v>
      </c>
      <c r="G926" s="294" t="inlineStr">
        <is>
          <t>IDR</t>
        </is>
      </c>
      <c r="H926" s="295" t="n">
        <v>1</v>
      </c>
      <c r="I926" s="282" t="n"/>
      <c r="J926" s="287" t="n"/>
      <c r="K926" s="281" t="n"/>
      <c r="L926" s="285" t="n">
        <v>700000</v>
      </c>
      <c r="M926" s="288" t="n"/>
      <c r="N926" s="288" t="n"/>
      <c r="O926" s="285" t="n"/>
      <c r="P926" s="287" t="n"/>
      <c r="Q926" s="289" t="n"/>
      <c r="R926" s="280" t="n"/>
      <c r="S926" s="280" t="n"/>
      <c r="T926" s="280" t="n"/>
      <c r="U926" s="280" t="n"/>
      <c r="V926" s="280" t="n"/>
      <c r="W926" s="280" t="n"/>
      <c r="X926" s="280" t="n"/>
      <c r="Y926" s="280" t="n"/>
      <c r="Z926" s="280" t="n"/>
      <c r="AA926" s="280" t="n"/>
      <c r="AB926" s="280" t="n"/>
      <c r="AC926" s="280" t="n"/>
      <c r="AD926" s="280" t="n"/>
    </row>
    <row r="927">
      <c r="B927" s="351" t="n"/>
      <c r="C927" s="351" t="n"/>
      <c r="D927" s="317" t="inlineStr">
        <is>
          <t>Laundry</t>
        </is>
      </c>
      <c r="E927" s="351" t="n"/>
      <c r="F927" s="351" t="n"/>
      <c r="G927" s="351" t="n"/>
      <c r="H927" s="351" t="n"/>
      <c r="I927" s="351" t="n"/>
      <c r="J927" s="351" t="n"/>
      <c r="K927" s="351" t="n"/>
      <c r="L927" s="351" t="n"/>
      <c r="M927" s="351" t="n"/>
      <c r="N927" s="351" t="n"/>
      <c r="O927" s="351" t="n"/>
      <c r="P927" s="351" t="n"/>
      <c r="Q927" s="351" t="n"/>
      <c r="R927" s="280" t="n"/>
      <c r="S927" s="280" t="n"/>
      <c r="T927" s="280" t="n"/>
      <c r="U927" s="280" t="n"/>
      <c r="V927" s="280" t="n"/>
      <c r="W927" s="280" t="n"/>
      <c r="X927" s="280" t="n"/>
      <c r="Y927" s="280" t="n"/>
      <c r="Z927" s="280" t="n"/>
      <c r="AA927" s="280" t="n"/>
      <c r="AB927" s="280" t="n"/>
      <c r="AC927" s="280" t="n"/>
      <c r="AD927" s="280" t="n"/>
    </row>
    <row r="928" ht="15.5" customHeight="1">
      <c r="B928" s="290" t="n">
        <v>45553</v>
      </c>
      <c r="C928" s="291" t="n">
        <v>206</v>
      </c>
      <c r="D928" s="292" t="inlineStr">
        <is>
          <t>Loundry 2 days @Rp. 50.000</t>
        </is>
      </c>
      <c r="E928" s="289" t="inlineStr">
        <is>
          <t>-</t>
        </is>
      </c>
      <c r="F928" s="285" t="n">
        <v>100000</v>
      </c>
      <c r="G928" s="294" t="inlineStr">
        <is>
          <t>IDR</t>
        </is>
      </c>
      <c r="H928" s="295" t="n">
        <v>1</v>
      </c>
      <c r="I928" s="282" t="n"/>
      <c r="J928" s="287" t="n"/>
      <c r="K928" s="281" t="n"/>
      <c r="L928" s="285" t="n">
        <v>100000</v>
      </c>
      <c r="M928" s="288" t="n"/>
      <c r="N928" s="288" t="n"/>
      <c r="O928" s="285" t="n"/>
      <c r="P928" s="287" t="n"/>
      <c r="Q928" s="289" t="n"/>
      <c r="R928" s="280" t="n"/>
      <c r="S928" s="280" t="n"/>
      <c r="T928" s="280" t="n"/>
      <c r="U928" s="280" t="n"/>
      <c r="V928" s="280" t="n"/>
      <c r="W928" s="280" t="n"/>
      <c r="X928" s="280" t="n"/>
      <c r="Y928" s="280" t="n"/>
      <c r="Z928" s="280" t="n"/>
      <c r="AA928" s="280" t="n"/>
      <c r="AB928" s="280" t="n"/>
      <c r="AC928" s="280" t="n"/>
      <c r="AD928" s="280" t="n"/>
    </row>
    <row r="929">
      <c r="B929" s="351" t="n"/>
      <c r="C929" s="351" t="n"/>
      <c r="D929" s="317" t="inlineStr">
        <is>
          <t>Meal</t>
        </is>
      </c>
      <c r="E929" s="351" t="n"/>
      <c r="F929" s="351" t="n"/>
      <c r="G929" s="351" t="n"/>
      <c r="H929" s="351" t="n"/>
      <c r="I929" s="351" t="n"/>
      <c r="J929" s="351" t="n"/>
      <c r="K929" s="351" t="n"/>
      <c r="L929" s="351" t="n"/>
      <c r="M929" s="351" t="n"/>
      <c r="N929" s="351" t="n"/>
      <c r="O929" s="351" t="n"/>
      <c r="P929" s="351" t="n"/>
      <c r="Q929" s="351" t="n"/>
      <c r="R929" s="280" t="n"/>
      <c r="S929" s="280" t="n"/>
      <c r="T929" s="280" t="n"/>
      <c r="U929" s="280" t="n"/>
      <c r="V929" s="280" t="n"/>
      <c r="W929" s="280" t="n"/>
      <c r="X929" s="280" t="n"/>
      <c r="Y929" s="280" t="n"/>
      <c r="Z929" s="280" t="n"/>
      <c r="AA929" s="280" t="n"/>
      <c r="AB929" s="280" t="n"/>
      <c r="AC929" s="280" t="n"/>
      <c r="AD929" s="280" t="n"/>
    </row>
    <row r="930" ht="15.5" customHeight="1">
      <c r="B930" s="290" t="n">
        <v>45553</v>
      </c>
      <c r="C930" s="291" t="n">
        <v>207</v>
      </c>
      <c r="D930" s="292" t="inlineStr">
        <is>
          <t>Uang makan utk 3 hari (17-18 Sept-24) @150.000</t>
        </is>
      </c>
      <c r="E930" s="289" t="inlineStr">
        <is>
          <t>-</t>
        </is>
      </c>
      <c r="F930" s="285" t="n">
        <v>300000</v>
      </c>
      <c r="G930" s="294" t="inlineStr">
        <is>
          <t>IDR</t>
        </is>
      </c>
      <c r="H930" s="295" t="n">
        <v>1</v>
      </c>
      <c r="I930" s="282" t="n"/>
      <c r="J930" s="287" t="n"/>
      <c r="K930" s="281" t="n"/>
      <c r="L930" s="285" t="n">
        <v>300000</v>
      </c>
      <c r="M930" s="288" t="n"/>
      <c r="N930" s="288" t="n"/>
      <c r="O930" s="285" t="n"/>
      <c r="P930" s="287" t="n"/>
      <c r="Q930" s="289" t="n"/>
      <c r="R930" s="280" t="n"/>
      <c r="S930" s="280" t="n"/>
      <c r="T930" s="280" t="n"/>
      <c r="U930" s="280" t="n"/>
      <c r="V930" s="280" t="n"/>
      <c r="W930" s="280" t="n"/>
      <c r="X930" s="280" t="n"/>
      <c r="Y930" s="280" t="n"/>
      <c r="Z930" s="280" t="n"/>
      <c r="AA930" s="280" t="n"/>
      <c r="AB930" s="280" t="n"/>
      <c r="AC930" s="280" t="n"/>
      <c r="AD930" s="280" t="n"/>
    </row>
    <row r="931">
      <c r="B931" s="351" t="n"/>
      <c r="C931" s="351" t="n"/>
      <c r="D931" s="317" t="inlineStr">
        <is>
          <t>Transportation</t>
        </is>
      </c>
      <c r="E931" s="351" t="n"/>
      <c r="F931" s="351" t="n"/>
      <c r="G931" s="351" t="n"/>
      <c r="H931" s="351" t="n"/>
      <c r="I931" s="351" t="n"/>
      <c r="J931" s="351" t="n"/>
      <c r="K931" s="351" t="n"/>
      <c r="L931" s="351" t="n"/>
      <c r="M931" s="351" t="n"/>
      <c r="N931" s="351" t="n"/>
      <c r="O931" s="351" t="n"/>
      <c r="P931" s="351" t="n"/>
      <c r="Q931" s="351" t="n"/>
      <c r="R931" s="280" t="n"/>
      <c r="S931" s="280" t="n"/>
      <c r="T931" s="280" t="n"/>
      <c r="U931" s="280" t="n"/>
      <c r="V931" s="280" t="n"/>
      <c r="W931" s="280" t="n"/>
      <c r="X931" s="280" t="n"/>
      <c r="Y931" s="280" t="n"/>
      <c r="Z931" s="280" t="n"/>
      <c r="AA931" s="280" t="n"/>
      <c r="AB931" s="280" t="n"/>
      <c r="AC931" s="280" t="n"/>
      <c r="AD931" s="280" t="n"/>
    </row>
    <row r="932" ht="15.5" customHeight="1">
      <c r="B932" s="290" t="n">
        <v>45553</v>
      </c>
      <c r="C932" s="291" t="n">
        <v>208</v>
      </c>
      <c r="D932" s="292" t="inlineStr">
        <is>
          <t>Fuel</t>
        </is>
      </c>
      <c r="E932" s="289" t="inlineStr">
        <is>
          <t>-</t>
        </is>
      </c>
      <c r="F932" s="285" t="n">
        <v>222650</v>
      </c>
      <c r="G932" s="294" t="inlineStr">
        <is>
          <t>IDR</t>
        </is>
      </c>
      <c r="H932" s="295" t="n">
        <v>1</v>
      </c>
      <c r="I932" s="282" t="n"/>
      <c r="J932" s="287" t="n"/>
      <c r="K932" s="281" t="n"/>
      <c r="L932" s="285" t="n">
        <v>222650</v>
      </c>
      <c r="M932" s="288" t="n"/>
      <c r="N932" s="288" t="n"/>
      <c r="O932" s="285" t="n"/>
      <c r="P932" s="287" t="n"/>
      <c r="Q932" s="289" t="n"/>
      <c r="R932" s="280" t="n"/>
      <c r="S932" s="280" t="n"/>
      <c r="T932" s="280" t="n"/>
      <c r="U932" s="280" t="n"/>
      <c r="V932" s="280" t="n"/>
      <c r="W932" s="280" t="n"/>
      <c r="X932" s="280" t="n"/>
      <c r="Y932" s="280" t="n"/>
      <c r="Z932" s="280" t="n"/>
      <c r="AA932" s="280" t="n"/>
      <c r="AB932" s="280" t="n"/>
      <c r="AC932" s="280" t="n"/>
      <c r="AD932" s="280" t="n"/>
    </row>
    <row r="933">
      <c r="B933" s="312" t="inlineStr">
        <is>
          <t>Expense#36</t>
        </is>
      </c>
      <c r="C933" s="311" t="inlineStr">
        <is>
          <t>:</t>
        </is>
      </c>
      <c r="D933" s="312" t="inlineStr">
        <is>
          <t>Non project (follow up MCU concul &amp; inspection tool)_AC_ 2 nd</t>
        </is>
      </c>
      <c r="E933" s="313" t="n"/>
      <c r="F933" s="313" t="n"/>
      <c r="G933" s="313" t="n"/>
      <c r="H933" s="313" t="n"/>
      <c r="I933" s="313" t="n"/>
      <c r="J933" s="313" t="n"/>
      <c r="K933" s="313" t="n"/>
      <c r="L933" s="313" t="n"/>
      <c r="M933" s="313" t="n"/>
      <c r="N933" s="313" t="n"/>
      <c r="O933" s="313" t="n"/>
      <c r="P933" s="313" t="n"/>
      <c r="Q933" s="313" t="n"/>
      <c r="R933" s="280" t="n"/>
      <c r="S933" s="280" t="n"/>
      <c r="T933" s="280" t="n"/>
      <c r="U933" s="280" t="n"/>
      <c r="V933" s="280" t="n"/>
      <c r="W933" s="280" t="n"/>
      <c r="X933" s="280" t="n"/>
      <c r="Y933" s="280" t="n"/>
      <c r="Z933" s="280" t="n"/>
      <c r="AA933" s="280" t="n"/>
      <c r="AB933" s="280" t="n"/>
      <c r="AC933" s="280" t="n"/>
      <c r="AD933" s="280" t="n"/>
    </row>
    <row r="934">
      <c r="B934" s="351" t="n"/>
      <c r="C934" s="351" t="n"/>
      <c r="D934" s="317" t="inlineStr">
        <is>
          <t>Biaya Operasi Lain-lain</t>
        </is>
      </c>
      <c r="E934" s="351" t="n"/>
      <c r="F934" s="351" t="n"/>
      <c r="G934" s="351" t="n"/>
      <c r="H934" s="351" t="n"/>
      <c r="I934" s="351" t="n"/>
      <c r="J934" s="351" t="n"/>
      <c r="K934" s="351" t="n"/>
      <c r="L934" s="351" t="n"/>
      <c r="M934" s="351" t="n"/>
      <c r="N934" s="351" t="n"/>
      <c r="O934" s="351" t="n"/>
      <c r="P934" s="351" t="n"/>
      <c r="Q934" s="351" t="n"/>
      <c r="R934" s="280" t="n"/>
      <c r="S934" s="280" t="n"/>
      <c r="T934" s="280" t="n"/>
      <c r="U934" s="280" t="n"/>
      <c r="V934" s="280" t="n"/>
      <c r="W934" s="280" t="n"/>
      <c r="X934" s="280" t="n"/>
      <c r="Y934" s="280" t="n"/>
      <c r="Z934" s="280" t="n"/>
      <c r="AA934" s="280" t="n"/>
      <c r="AB934" s="280" t="n"/>
      <c r="AC934" s="280" t="n"/>
      <c r="AD934" s="280" t="n"/>
    </row>
    <row r="935" ht="15.5" customHeight="1">
      <c r="B935" s="290" t="n">
        <v>45530</v>
      </c>
      <c r="C935" s="291" t="n">
        <v>209</v>
      </c>
      <c r="D935" s="292" t="inlineStr">
        <is>
          <t>printing di snappy</t>
        </is>
      </c>
      <c r="E935" s="289" t="inlineStr">
        <is>
          <t>-</t>
        </is>
      </c>
      <c r="F935" s="285" t="n">
        <v>31000</v>
      </c>
      <c r="G935" s="294" t="inlineStr">
        <is>
          <t>IDR</t>
        </is>
      </c>
      <c r="H935" s="295" t="n">
        <v>1</v>
      </c>
      <c r="I935" s="282" t="n"/>
      <c r="J935" s="287" t="n"/>
      <c r="K935" s="281" t="n"/>
      <c r="L935" s="285" t="n">
        <v>31000</v>
      </c>
      <c r="M935" s="288" t="n"/>
      <c r="N935" s="288" t="n"/>
      <c r="O935" s="285" t="n"/>
      <c r="P935" s="287" t="n"/>
      <c r="Q935" s="289" t="n"/>
      <c r="R935" s="280" t="n"/>
      <c r="S935" s="280" t="n"/>
      <c r="T935" s="280" t="n"/>
      <c r="U935" s="280" t="n"/>
      <c r="V935" s="280" t="n"/>
      <c r="W935" s="280" t="n"/>
      <c r="X935" s="280" t="n"/>
      <c r="Y935" s="280" t="n"/>
      <c r="Z935" s="280" t="n"/>
      <c r="AA935" s="280" t="n"/>
      <c r="AB935" s="280" t="n"/>
      <c r="AC935" s="280" t="n"/>
      <c r="AD935" s="280" t="n"/>
    </row>
    <row r="936">
      <c r="B936" s="351" t="n"/>
      <c r="C936" s="351" t="n"/>
      <c r="D936" s="317" t="inlineStr">
        <is>
          <t>Medical</t>
        </is>
      </c>
      <c r="E936" s="351" t="n"/>
      <c r="F936" s="351" t="n"/>
      <c r="G936" s="351" t="n"/>
      <c r="H936" s="351" t="n"/>
      <c r="I936" s="351" t="n"/>
      <c r="J936" s="351" t="n"/>
      <c r="K936" s="351" t="n"/>
      <c r="L936" s="351" t="n"/>
      <c r="M936" s="351" t="n"/>
      <c r="N936" s="351" t="n"/>
      <c r="O936" s="351" t="n"/>
      <c r="P936" s="351" t="n"/>
      <c r="Q936" s="351" t="n"/>
      <c r="R936" s="280" t="n"/>
      <c r="S936" s="280" t="n"/>
      <c r="T936" s="280" t="n"/>
      <c r="U936" s="280" t="n"/>
      <c r="V936" s="280" t="n"/>
      <c r="W936" s="280" t="n"/>
      <c r="X936" s="280" t="n"/>
      <c r="Y936" s="280" t="n"/>
      <c r="Z936" s="280" t="n"/>
      <c r="AA936" s="280" t="n"/>
      <c r="AB936" s="280" t="n"/>
      <c r="AC936" s="280" t="n"/>
      <c r="AD936" s="280" t="n"/>
    </row>
    <row r="937" ht="15.5" customHeight="1">
      <c r="B937" s="290" t="n">
        <v>45566</v>
      </c>
      <c r="C937" s="291" t="n">
        <v>210</v>
      </c>
      <c r="D937" s="292" t="inlineStr">
        <is>
          <t>Biaya Konsul ke 2, Dokter Jantung</t>
        </is>
      </c>
      <c r="E937" s="289" t="inlineStr">
        <is>
          <t>-</t>
        </is>
      </c>
      <c r="F937" s="285" t="n">
        <v>1370000</v>
      </c>
      <c r="G937" s="294" t="inlineStr">
        <is>
          <t>IDR</t>
        </is>
      </c>
      <c r="H937" s="295" t="n">
        <v>1</v>
      </c>
      <c r="I937" s="282" t="n"/>
      <c r="J937" s="287" t="n"/>
      <c r="K937" s="281" t="n"/>
      <c r="L937" s="285" t="n"/>
      <c r="M937" s="288" t="n"/>
      <c r="N937" s="288" t="n"/>
      <c r="O937" s="285" t="n"/>
      <c r="P937" s="285" t="n">
        <v>1370000</v>
      </c>
      <c r="Q937" s="289" t="n"/>
      <c r="R937" s="280" t="n"/>
      <c r="S937" s="280" t="n"/>
      <c r="T937" s="280" t="n"/>
      <c r="U937" s="280" t="n"/>
      <c r="V937" s="280" t="n"/>
      <c r="W937" s="280" t="n"/>
      <c r="X937" s="280" t="n"/>
      <c r="Y937" s="280" t="n"/>
      <c r="Z937" s="280" t="n"/>
      <c r="AA937" s="280" t="n"/>
      <c r="AB937" s="280" t="n"/>
      <c r="AC937" s="280" t="n"/>
      <c r="AD937" s="280" t="n"/>
    </row>
    <row r="938">
      <c r="B938" s="351" t="n"/>
      <c r="C938" s="351" t="n"/>
      <c r="D938" s="317" t="inlineStr">
        <is>
          <t>Transportation</t>
        </is>
      </c>
      <c r="E938" s="351" t="n"/>
      <c r="F938" s="351" t="n"/>
      <c r="G938" s="351" t="n"/>
      <c r="H938" s="351" t="n"/>
      <c r="I938" s="351" t="n"/>
      <c r="J938" s="351" t="n"/>
      <c r="K938" s="351" t="n"/>
      <c r="L938" s="351" t="n"/>
      <c r="M938" s="351" t="n"/>
      <c r="N938" s="351" t="n"/>
      <c r="O938" s="351" t="n"/>
      <c r="P938" s="351" t="n"/>
      <c r="Q938" s="351" t="n"/>
      <c r="R938" s="280" t="n"/>
      <c r="S938" s="280" t="n"/>
      <c r="T938" s="280" t="n"/>
      <c r="U938" s="280" t="n"/>
      <c r="V938" s="280" t="n"/>
      <c r="W938" s="280" t="n"/>
      <c r="X938" s="280" t="n"/>
      <c r="Y938" s="280" t="n"/>
      <c r="Z938" s="280" t="n"/>
      <c r="AA938" s="280" t="n"/>
      <c r="AB938" s="280" t="n"/>
      <c r="AC938" s="280" t="n"/>
      <c r="AD938" s="280" t="n"/>
    </row>
    <row r="939" ht="15.5" customHeight="1">
      <c r="B939" s="290" t="n">
        <v>45537</v>
      </c>
      <c r="C939" s="291" t="n">
        <v>211</v>
      </c>
      <c r="D939" s="292" t="inlineStr">
        <is>
          <t>Pengiriman dokumen ke Rachmansyah-Sijak</t>
        </is>
      </c>
      <c r="E939" s="289" t="inlineStr">
        <is>
          <t>-</t>
        </is>
      </c>
      <c r="F939" s="285" t="n">
        <v>18000</v>
      </c>
      <c r="G939" s="294" t="inlineStr">
        <is>
          <t>IDR</t>
        </is>
      </c>
      <c r="H939" s="295" t="n">
        <v>1</v>
      </c>
      <c r="I939" s="282" t="n"/>
      <c r="J939" s="287" t="n"/>
      <c r="K939" s="281" t="n"/>
      <c r="L939" s="285" t="n">
        <v>18000</v>
      </c>
      <c r="M939" s="288" t="n"/>
      <c r="N939" s="288" t="n"/>
      <c r="O939" s="285" t="n"/>
      <c r="P939" s="287" t="n"/>
      <c r="Q939" s="289" t="n"/>
      <c r="R939" s="280" t="n"/>
      <c r="S939" s="280" t="n"/>
      <c r="T939" s="280" t="n"/>
      <c r="U939" s="280" t="n"/>
      <c r="V939" s="280" t="n"/>
      <c r="W939" s="280" t="n"/>
      <c r="X939" s="280" t="n"/>
      <c r="Y939" s="280" t="n"/>
      <c r="Z939" s="280" t="n"/>
      <c r="AA939" s="280" t="n"/>
      <c r="AB939" s="280" t="n"/>
      <c r="AC939" s="280" t="n"/>
      <c r="AD939" s="280" t="n"/>
    </row>
    <row r="940">
      <c r="B940" s="312" t="inlineStr">
        <is>
          <t>Expense#37</t>
        </is>
      </c>
      <c r="C940" s="311" t="inlineStr">
        <is>
          <t>:</t>
        </is>
      </c>
      <c r="D940" s="312" t="inlineStr">
        <is>
          <t>MTD SKW-26_sukowati_TMA</t>
        </is>
      </c>
      <c r="E940" s="313" t="n"/>
      <c r="F940" s="313" t="n"/>
      <c r="G940" s="313" t="n"/>
      <c r="H940" s="313" t="n"/>
      <c r="I940" s="313" t="n"/>
      <c r="J940" s="313" t="n"/>
      <c r="K940" s="313" t="n"/>
      <c r="L940" s="313" t="n"/>
      <c r="M940" s="313" t="n"/>
      <c r="N940" s="313" t="n"/>
      <c r="O940" s="313" t="n"/>
      <c r="P940" s="313" t="n"/>
      <c r="Q940" s="313" t="n"/>
      <c r="R940" s="280" t="n"/>
      <c r="S940" s="280" t="n"/>
      <c r="T940" s="280" t="n"/>
      <c r="U940" s="280" t="n"/>
      <c r="V940" s="280" t="n"/>
      <c r="W940" s="280" t="n"/>
      <c r="X940" s="280" t="n"/>
      <c r="Y940" s="280" t="n"/>
      <c r="Z940" s="280" t="n"/>
      <c r="AA940" s="280" t="n"/>
      <c r="AB940" s="280" t="n"/>
      <c r="AC940" s="280" t="n"/>
      <c r="AD940" s="280" t="n"/>
    </row>
    <row r="941">
      <c r="B941" s="351" t="n"/>
      <c r="C941" s="351" t="n"/>
      <c r="D941" s="317" t="inlineStr">
        <is>
          <t>Accommodation</t>
        </is>
      </c>
      <c r="E941" s="351" t="n"/>
      <c r="F941" s="351" t="n"/>
      <c r="G941" s="351" t="n"/>
      <c r="H941" s="351" t="n"/>
      <c r="I941" s="351" t="n"/>
      <c r="J941" s="351" t="n"/>
      <c r="K941" s="351" t="n"/>
      <c r="L941" s="351" t="n"/>
      <c r="M941" s="351" t="n"/>
      <c r="N941" s="351" t="n"/>
      <c r="O941" s="351" t="n"/>
      <c r="P941" s="351" t="n"/>
      <c r="Q941" s="351" t="n"/>
      <c r="R941" s="280" t="n"/>
      <c r="S941" s="280" t="n"/>
      <c r="T941" s="280" t="n"/>
      <c r="U941" s="280" t="n"/>
      <c r="V941" s="280" t="n"/>
      <c r="W941" s="280" t="n"/>
      <c r="X941" s="280" t="n"/>
      <c r="Y941" s="280" t="n"/>
      <c r="Z941" s="280" t="n"/>
      <c r="AA941" s="280" t="n"/>
      <c r="AB941" s="280" t="n"/>
      <c r="AC941" s="280" t="n"/>
      <c r="AD941" s="280" t="n"/>
    </row>
    <row r="942" ht="15.5" customHeight="1">
      <c r="B942" s="290" t="n">
        <v>45558</v>
      </c>
      <c r="C942" s="291" t="n">
        <v>212</v>
      </c>
      <c r="D942" s="292" t="inlineStr">
        <is>
          <t>Hotel 23 Sept - 26 Sept (3 days)</t>
        </is>
      </c>
      <c r="E942" s="289" t="inlineStr">
        <is>
          <t>-</t>
        </is>
      </c>
      <c r="F942" s="285" t="n">
        <v>1584184</v>
      </c>
      <c r="G942" s="294" t="inlineStr">
        <is>
          <t>IDR</t>
        </is>
      </c>
      <c r="H942" s="295" t="n">
        <v>1</v>
      </c>
      <c r="I942" s="282" t="n"/>
      <c r="J942" s="287" t="n"/>
      <c r="K942" s="281" t="n"/>
      <c r="L942" s="285" t="n">
        <v>1584184</v>
      </c>
      <c r="M942" s="288" t="n"/>
      <c r="N942" s="288" t="n"/>
      <c r="O942" s="285" t="n"/>
      <c r="P942" s="287" t="n"/>
      <c r="Q942" s="289" t="n"/>
      <c r="R942" s="280" t="n"/>
      <c r="S942" s="280" t="n"/>
      <c r="T942" s="280" t="n"/>
      <c r="U942" s="280" t="n"/>
      <c r="V942" s="280" t="n"/>
      <c r="W942" s="280" t="n"/>
      <c r="X942" s="280" t="n"/>
      <c r="Y942" s="280" t="n"/>
      <c r="Z942" s="280" t="n"/>
      <c r="AA942" s="280" t="n"/>
      <c r="AB942" s="280" t="n"/>
      <c r="AC942" s="280" t="n"/>
      <c r="AD942" s="280" t="n"/>
    </row>
    <row r="943">
      <c r="B943" s="351" t="n"/>
      <c r="C943" s="351" t="n"/>
      <c r="D943" s="317" t="inlineStr">
        <is>
          <t>Allowance</t>
        </is>
      </c>
      <c r="E943" s="351" t="n"/>
      <c r="F943" s="351" t="n"/>
      <c r="G943" s="351" t="n"/>
      <c r="H943" s="351" t="n"/>
      <c r="I943" s="351" t="n"/>
      <c r="J943" s="351" t="n"/>
      <c r="K943" s="351" t="n"/>
      <c r="L943" s="351" t="n"/>
      <c r="M943" s="351" t="n"/>
      <c r="N943" s="351" t="n"/>
      <c r="O943" s="351" t="n"/>
      <c r="P943" s="351" t="n"/>
      <c r="Q943" s="351" t="n"/>
      <c r="R943" s="280" t="n"/>
      <c r="S943" s="280" t="n"/>
      <c r="T943" s="280" t="n"/>
      <c r="U943" s="280" t="n"/>
      <c r="V943" s="280" t="n"/>
      <c r="W943" s="280" t="n"/>
      <c r="X943" s="280" t="n"/>
      <c r="Y943" s="280" t="n"/>
      <c r="Z943" s="280" t="n"/>
      <c r="AA943" s="280" t="n"/>
      <c r="AB943" s="280" t="n"/>
      <c r="AC943" s="280" t="n"/>
      <c r="AD943" s="280" t="n"/>
    </row>
    <row r="944" ht="15.5" customHeight="1">
      <c r="B944" s="290" t="n">
        <v>45558</v>
      </c>
      <c r="C944" s="291" t="n">
        <v>213</v>
      </c>
      <c r="D944" s="292" t="inlineStr">
        <is>
          <t>Field Allowance</t>
        </is>
      </c>
      <c r="E944" s="289" t="inlineStr">
        <is>
          <t>-</t>
        </is>
      </c>
      <c r="F944" s="285" t="n">
        <v>7615500</v>
      </c>
      <c r="G944" s="294" t="inlineStr">
        <is>
          <t>USD</t>
        </is>
      </c>
      <c r="H944" s="295" t="n">
        <v>15231</v>
      </c>
      <c r="I944" s="282" t="n"/>
      <c r="J944" s="287" t="n"/>
      <c r="K944" s="281" t="n"/>
      <c r="L944" s="285" t="n">
        <v>7615500</v>
      </c>
      <c r="M944" s="288" t="n"/>
      <c r="N944" s="288" t="n"/>
      <c r="O944" s="285" t="n"/>
      <c r="P944" s="287" t="n"/>
      <c r="Q944" s="289" t="n"/>
      <c r="R944" s="280" t="n"/>
      <c r="S944" s="280" t="n"/>
      <c r="T944" s="280" t="n"/>
      <c r="U944" s="280" t="n"/>
      <c r="V944" s="280" t="n"/>
      <c r="W944" s="280" t="n"/>
      <c r="X944" s="280" t="n"/>
      <c r="Y944" s="280" t="n"/>
      <c r="Z944" s="280" t="n"/>
      <c r="AA944" s="280" t="n"/>
      <c r="AB944" s="280" t="n"/>
      <c r="AC944" s="280" t="n"/>
      <c r="AD944" s="280" t="n"/>
    </row>
    <row r="945">
      <c r="B945" s="351" t="n"/>
      <c r="C945" s="351" t="n"/>
      <c r="D945" s="317" t="inlineStr">
        <is>
          <t>Laundry</t>
        </is>
      </c>
      <c r="E945" s="351" t="n"/>
      <c r="F945" s="351" t="n"/>
      <c r="G945" s="351" t="n"/>
      <c r="H945" s="351" t="n"/>
      <c r="I945" s="351" t="n"/>
      <c r="J945" s="351" t="n"/>
      <c r="K945" s="351" t="n"/>
      <c r="L945" s="351" t="n"/>
      <c r="M945" s="351" t="n"/>
      <c r="N945" s="351" t="n"/>
      <c r="O945" s="351" t="n"/>
      <c r="P945" s="351" t="n"/>
      <c r="Q945" s="351" t="n"/>
      <c r="R945" s="280" t="n"/>
      <c r="S945" s="280" t="n"/>
      <c r="T945" s="280" t="n"/>
      <c r="U945" s="280" t="n"/>
      <c r="V945" s="280" t="n"/>
      <c r="W945" s="280" t="n"/>
      <c r="X945" s="280" t="n"/>
      <c r="Y945" s="280" t="n"/>
      <c r="Z945" s="280" t="n"/>
      <c r="AA945" s="280" t="n"/>
      <c r="AB945" s="280" t="n"/>
      <c r="AC945" s="280" t="n"/>
      <c r="AD945" s="280" t="n"/>
    </row>
    <row r="946" ht="15.5" customHeight="1">
      <c r="B946" s="290" t="n">
        <v>45558</v>
      </c>
      <c r="C946" s="291" t="n">
        <v>214</v>
      </c>
      <c r="D946" s="292" t="inlineStr">
        <is>
          <t>Laundry 6 days 1 Persons @ 50K IDR/day</t>
        </is>
      </c>
      <c r="E946" s="289" t="inlineStr">
        <is>
          <t>-</t>
        </is>
      </c>
      <c r="F946" s="285" t="n">
        <v>250000</v>
      </c>
      <c r="G946" s="294" t="inlineStr">
        <is>
          <t>IDR</t>
        </is>
      </c>
      <c r="H946" s="295" t="n">
        <v>1</v>
      </c>
      <c r="I946" s="282" t="n"/>
      <c r="J946" s="287" t="n"/>
      <c r="K946" s="281" t="n"/>
      <c r="L946" s="285" t="n">
        <v>250000</v>
      </c>
      <c r="M946" s="288" t="n"/>
      <c r="N946" s="288" t="n"/>
      <c r="O946" s="285" t="n"/>
      <c r="P946" s="287" t="n"/>
      <c r="Q946" s="289" t="n"/>
      <c r="R946" s="280" t="n"/>
      <c r="S946" s="280" t="n"/>
      <c r="T946" s="280" t="n"/>
      <c r="U946" s="280" t="n"/>
      <c r="V946" s="280" t="n"/>
      <c r="W946" s="280" t="n"/>
      <c r="X946" s="280" t="n"/>
      <c r="Y946" s="280" t="n"/>
      <c r="Z946" s="280" t="n"/>
      <c r="AA946" s="280" t="n"/>
      <c r="AB946" s="280" t="n"/>
      <c r="AC946" s="280" t="n"/>
      <c r="AD946" s="280" t="n"/>
    </row>
    <row r="947">
      <c r="B947" s="351" t="n"/>
      <c r="C947" s="351" t="n"/>
      <c r="D947" s="317" t="inlineStr">
        <is>
          <t>Meal</t>
        </is>
      </c>
      <c r="E947" s="351" t="n"/>
      <c r="F947" s="351" t="n"/>
      <c r="G947" s="351" t="n"/>
      <c r="H947" s="351" t="n"/>
      <c r="I947" s="351" t="n"/>
      <c r="J947" s="351" t="n"/>
      <c r="K947" s="351" t="n"/>
      <c r="L947" s="351" t="n"/>
      <c r="M947" s="351" t="n"/>
      <c r="N947" s="351" t="n"/>
      <c r="O947" s="351" t="n"/>
      <c r="P947" s="351" t="n"/>
      <c r="Q947" s="351" t="n"/>
      <c r="R947" s="280" t="n"/>
      <c r="S947" s="280" t="n"/>
      <c r="T947" s="280" t="n"/>
      <c r="U947" s="280" t="n"/>
      <c r="V947" s="280" t="n"/>
      <c r="W947" s="280" t="n"/>
      <c r="X947" s="280" t="n"/>
      <c r="Y947" s="280" t="n"/>
      <c r="Z947" s="280" t="n"/>
      <c r="AA947" s="280" t="n"/>
      <c r="AB947" s="280" t="n"/>
      <c r="AC947" s="280" t="n"/>
      <c r="AD947" s="280" t="n"/>
    </row>
    <row r="948" ht="15.5" customHeight="1">
      <c r="B948" s="290" t="n">
        <v>45558</v>
      </c>
      <c r="C948" s="291" t="n">
        <v>215</v>
      </c>
      <c r="D948" s="292" t="inlineStr">
        <is>
          <t>Meals</t>
        </is>
      </c>
      <c r="E948" s="289" t="inlineStr">
        <is>
          <t>-</t>
        </is>
      </c>
      <c r="F948" s="285" t="n">
        <v>750000</v>
      </c>
      <c r="G948" s="294" t="inlineStr">
        <is>
          <t>IDR</t>
        </is>
      </c>
      <c r="H948" s="295" t="n">
        <v>1</v>
      </c>
      <c r="I948" s="282" t="n"/>
      <c r="J948" s="287" t="n"/>
      <c r="K948" s="281" t="n"/>
      <c r="L948" s="285" t="n">
        <v>750000</v>
      </c>
      <c r="M948" s="288" t="n"/>
      <c r="N948" s="288" t="n"/>
      <c r="O948" s="285" t="n"/>
      <c r="P948" s="287" t="n"/>
      <c r="Q948" s="289" t="n"/>
      <c r="R948" s="280" t="n"/>
      <c r="S948" s="280" t="n"/>
      <c r="T948" s="280" t="n"/>
      <c r="U948" s="280" t="n"/>
      <c r="V948" s="280" t="n"/>
      <c r="W948" s="280" t="n"/>
      <c r="X948" s="280" t="n"/>
      <c r="Y948" s="280" t="n"/>
      <c r="Z948" s="280" t="n"/>
      <c r="AA948" s="280" t="n"/>
      <c r="AB948" s="280" t="n"/>
      <c r="AC948" s="280" t="n"/>
      <c r="AD948" s="280" t="n"/>
    </row>
    <row r="949">
      <c r="B949" s="351" t="n"/>
      <c r="C949" s="351" t="n"/>
      <c r="D949" s="317" t="inlineStr">
        <is>
          <t>Transportation</t>
        </is>
      </c>
      <c r="E949" s="351" t="n"/>
      <c r="F949" s="351" t="n"/>
      <c r="G949" s="351" t="n"/>
      <c r="H949" s="351" t="n"/>
      <c r="I949" s="351" t="n"/>
      <c r="J949" s="351" t="n"/>
      <c r="K949" s="351" t="n"/>
      <c r="L949" s="351" t="n"/>
      <c r="M949" s="351" t="n"/>
      <c r="N949" s="351" t="n"/>
      <c r="O949" s="351" t="n"/>
      <c r="P949" s="351" t="n"/>
      <c r="Q949" s="351" t="n"/>
      <c r="R949" s="280" t="n"/>
      <c r="S949" s="280" t="n"/>
      <c r="T949" s="280" t="n"/>
      <c r="U949" s="280" t="n"/>
      <c r="V949" s="280" t="n"/>
      <c r="W949" s="280" t="n"/>
      <c r="X949" s="280" t="n"/>
      <c r="Y949" s="280" t="n"/>
      <c r="Z949" s="280" t="n"/>
      <c r="AA949" s="280" t="n"/>
      <c r="AB949" s="280" t="n"/>
      <c r="AC949" s="280" t="n"/>
      <c r="AD949" s="280" t="n"/>
    </row>
    <row r="950" ht="15.5" customHeight="1">
      <c r="B950" s="290" t="n">
        <v>45558</v>
      </c>
      <c r="C950" s="291" t="n">
        <v>216</v>
      </c>
      <c r="D950" s="292" t="inlineStr">
        <is>
          <t>Lalamove Kalog-Gowell</t>
        </is>
      </c>
      <c r="E950" s="289" t="inlineStr">
        <is>
          <t>-</t>
        </is>
      </c>
      <c r="F950" s="285" t="n">
        <v>73584</v>
      </c>
      <c r="G950" s="294" t="inlineStr">
        <is>
          <t>IDR</t>
        </is>
      </c>
      <c r="H950" s="295" t="n">
        <v>1</v>
      </c>
      <c r="I950" s="282" t="n"/>
      <c r="J950" s="287" t="n"/>
      <c r="K950" s="281" t="n"/>
      <c r="L950" s="285" t="n">
        <v>73584</v>
      </c>
      <c r="M950" s="288" t="n"/>
      <c r="N950" s="288" t="n"/>
      <c r="O950" s="285" t="n"/>
      <c r="P950" s="287" t="n"/>
      <c r="Q950" s="289" t="n"/>
      <c r="R950" s="280" t="n"/>
      <c r="S950" s="280" t="n"/>
      <c r="T950" s="280" t="n"/>
      <c r="U950" s="280" t="n"/>
      <c r="V950" s="280" t="n"/>
      <c r="W950" s="280" t="n"/>
      <c r="X950" s="280" t="n"/>
      <c r="Y950" s="280" t="n"/>
      <c r="Z950" s="280" t="n"/>
      <c r="AA950" s="280" t="n"/>
      <c r="AB950" s="280" t="n"/>
      <c r="AC950" s="280" t="n"/>
      <c r="AD950" s="280" t="n"/>
    </row>
    <row r="951">
      <c r="B951" s="312" t="inlineStr">
        <is>
          <t>Expense#38</t>
        </is>
      </c>
      <c r="C951" s="311" t="inlineStr">
        <is>
          <t>:</t>
        </is>
      </c>
      <c r="D951" s="312" t="inlineStr">
        <is>
          <t>MTD_STM_HDP 01 s/d 03 well (BHI project ndr Gowell) Sumbawa</t>
        </is>
      </c>
      <c r="E951" s="313" t="n"/>
      <c r="F951" s="313" t="n"/>
      <c r="G951" s="313" t="n"/>
      <c r="H951" s="313" t="n"/>
      <c r="I951" s="313" t="n"/>
      <c r="J951" s="313" t="n"/>
      <c r="K951" s="313" t="n"/>
      <c r="L951" s="313" t="n"/>
      <c r="M951" s="313" t="n"/>
      <c r="N951" s="313" t="n"/>
      <c r="O951" s="313" t="n"/>
      <c r="P951" s="313" t="n"/>
      <c r="Q951" s="313" t="n"/>
      <c r="R951" s="280" t="n"/>
      <c r="S951" s="280" t="n"/>
      <c r="T951" s="280" t="n"/>
      <c r="U951" s="280" t="n"/>
      <c r="V951" s="280" t="n"/>
      <c r="W951" s="280" t="n"/>
      <c r="X951" s="280" t="n"/>
      <c r="Y951" s="280" t="n"/>
      <c r="Z951" s="280" t="n"/>
      <c r="AA951" s="280" t="n"/>
      <c r="AB951" s="280" t="n"/>
      <c r="AC951" s="280" t="n"/>
      <c r="AD951" s="280" t="n"/>
    </row>
    <row r="952">
      <c r="B952" s="351" t="n"/>
      <c r="C952" s="351" t="n"/>
      <c r="D952" s="317" t="inlineStr">
        <is>
          <t>Allowance</t>
        </is>
      </c>
      <c r="E952" s="351" t="n"/>
      <c r="F952" s="351" t="n"/>
      <c r="G952" s="351" t="n"/>
      <c r="H952" s="351" t="n"/>
      <c r="I952" s="351" t="n"/>
      <c r="J952" s="351" t="n"/>
      <c r="K952" s="351" t="n"/>
      <c r="L952" s="351" t="n"/>
      <c r="M952" s="351" t="n"/>
      <c r="N952" s="351" t="n"/>
      <c r="O952" s="351" t="n"/>
      <c r="P952" s="351" t="n"/>
      <c r="Q952" s="351" t="n"/>
      <c r="R952" s="280" t="n"/>
      <c r="S952" s="280" t="n"/>
      <c r="T952" s="280" t="n"/>
      <c r="U952" s="280" t="n"/>
      <c r="V952" s="280" t="n"/>
      <c r="W952" s="280" t="n"/>
      <c r="X952" s="280" t="n"/>
      <c r="Y952" s="280" t="n"/>
      <c r="Z952" s="280" t="n"/>
      <c r="AA952" s="280" t="n"/>
      <c r="AB952" s="280" t="n"/>
      <c r="AC952" s="280" t="n"/>
      <c r="AD952" s="280" t="n"/>
    </row>
    <row r="953" ht="15.5" customHeight="1">
      <c r="B953" s="290" t="n">
        <v>45585</v>
      </c>
      <c r="C953" s="291" t="n">
        <v>217</v>
      </c>
      <c r="D953" s="292" t="inlineStr">
        <is>
          <t>Field Allowance for 18 days</t>
        </is>
      </c>
      <c r="E953" s="289" t="inlineStr">
        <is>
          <t>-</t>
        </is>
      </c>
      <c r="F953" s="285" t="n">
        <v>28528200</v>
      </c>
      <c r="G953" s="294" t="inlineStr">
        <is>
          <t>USD</t>
        </is>
      </c>
      <c r="H953" s="295" t="n">
        <v>15849</v>
      </c>
      <c r="I953" s="282" t="n"/>
      <c r="J953" s="287" t="n"/>
      <c r="K953" s="281" t="n"/>
      <c r="L953" s="285" t="n">
        <v>28528200</v>
      </c>
      <c r="M953" s="288" t="n"/>
      <c r="N953" s="288" t="n"/>
      <c r="O953" s="285" t="n"/>
      <c r="P953" s="287" t="n"/>
      <c r="Q953" s="289" t="n"/>
      <c r="R953" s="280" t="n"/>
      <c r="S953" s="280" t="n"/>
      <c r="T953" s="280" t="n"/>
      <c r="U953" s="280" t="n"/>
      <c r="V953" s="280" t="n"/>
      <c r="W953" s="280" t="n"/>
      <c r="X953" s="280" t="n"/>
      <c r="Y953" s="280" t="n"/>
      <c r="Z953" s="280" t="n"/>
      <c r="AA953" s="280" t="n"/>
      <c r="AB953" s="280" t="n"/>
      <c r="AC953" s="280" t="n"/>
      <c r="AD953" s="280" t="n"/>
    </row>
    <row r="954">
      <c r="B954" s="351" t="n"/>
      <c r="C954" s="351" t="n"/>
      <c r="D954" s="317" t="inlineStr">
        <is>
          <t>Laundry</t>
        </is>
      </c>
      <c r="E954" s="351" t="n"/>
      <c r="F954" s="351" t="n"/>
      <c r="G954" s="351" t="n"/>
      <c r="H954" s="351" t="n"/>
      <c r="I954" s="351" t="n"/>
      <c r="J954" s="351" t="n"/>
      <c r="K954" s="351" t="n"/>
      <c r="L954" s="351" t="n"/>
      <c r="M954" s="351" t="n"/>
      <c r="N954" s="351" t="n"/>
      <c r="O954" s="351" t="n"/>
      <c r="P954" s="351" t="n"/>
      <c r="Q954" s="351" t="n"/>
      <c r="R954" s="280" t="n"/>
      <c r="S954" s="280" t="n"/>
      <c r="T954" s="280" t="n"/>
      <c r="U954" s="280" t="n"/>
      <c r="V954" s="280" t="n"/>
      <c r="W954" s="280" t="n"/>
      <c r="X954" s="280" t="n"/>
      <c r="Y954" s="280" t="n"/>
      <c r="Z954" s="280" t="n"/>
      <c r="AA954" s="280" t="n"/>
      <c r="AB954" s="280" t="n"/>
      <c r="AC954" s="280" t="n"/>
      <c r="AD954" s="280" t="n"/>
    </row>
    <row r="955" ht="15.5" customHeight="1">
      <c r="B955" s="290" t="n">
        <v>45585</v>
      </c>
      <c r="C955" s="291" t="n">
        <v>218</v>
      </c>
      <c r="D955" s="292" t="inlineStr">
        <is>
          <t>Laundry 18 days @ 50K IDR/day</t>
        </is>
      </c>
      <c r="E955" s="289" t="inlineStr">
        <is>
          <t>-</t>
        </is>
      </c>
      <c r="F955" s="285" t="n">
        <v>900000</v>
      </c>
      <c r="G955" s="294" t="inlineStr">
        <is>
          <t>IDR</t>
        </is>
      </c>
      <c r="H955" s="295" t="n">
        <v>1</v>
      </c>
      <c r="I955" s="282" t="n"/>
      <c r="J955" s="287" t="n"/>
      <c r="K955" s="281" t="n"/>
      <c r="L955" s="285" t="n">
        <v>900000</v>
      </c>
      <c r="M955" s="288" t="n"/>
      <c r="N955" s="288" t="n"/>
      <c r="O955" s="285" t="n"/>
      <c r="P955" s="287" t="n"/>
      <c r="Q955" s="289" t="n"/>
      <c r="R955" s="280" t="n"/>
      <c r="S955" s="280" t="n"/>
      <c r="T955" s="280" t="n"/>
      <c r="U955" s="280" t="n"/>
      <c r="V955" s="280" t="n"/>
      <c r="W955" s="280" t="n"/>
      <c r="X955" s="280" t="n"/>
      <c r="Y955" s="280" t="n"/>
      <c r="Z955" s="280" t="n"/>
      <c r="AA955" s="280" t="n"/>
      <c r="AB955" s="280" t="n"/>
      <c r="AC955" s="280" t="n"/>
      <c r="AD955" s="280" t="n"/>
    </row>
    <row r="956">
      <c r="B956" s="351" t="n"/>
      <c r="C956" s="351" t="n"/>
      <c r="D956" s="317" t="inlineStr">
        <is>
          <t>Meal</t>
        </is>
      </c>
      <c r="E956" s="351" t="n"/>
      <c r="F956" s="351" t="n"/>
      <c r="G956" s="351" t="n"/>
      <c r="H956" s="351" t="n"/>
      <c r="I956" s="351" t="n"/>
      <c r="J956" s="351" t="n"/>
      <c r="K956" s="351" t="n"/>
      <c r="L956" s="351" t="n"/>
      <c r="M956" s="351" t="n"/>
      <c r="N956" s="351" t="n"/>
      <c r="O956" s="351" t="n"/>
      <c r="P956" s="351" t="n"/>
      <c r="Q956" s="351" t="n"/>
      <c r="R956" s="280" t="n"/>
      <c r="S956" s="280" t="n"/>
      <c r="T956" s="280" t="n"/>
      <c r="U956" s="280" t="n"/>
      <c r="V956" s="280" t="n"/>
      <c r="W956" s="280" t="n"/>
      <c r="X956" s="280" t="n"/>
      <c r="Y956" s="280" t="n"/>
      <c r="Z956" s="280" t="n"/>
      <c r="AA956" s="280" t="n"/>
      <c r="AB956" s="280" t="n"/>
      <c r="AC956" s="280" t="n"/>
      <c r="AD956" s="280" t="n"/>
    </row>
    <row r="957" ht="15.5" customHeight="1">
      <c r="B957" s="290" t="n">
        <v>45585</v>
      </c>
      <c r="C957" s="291" t="n">
        <v>219</v>
      </c>
      <c r="D957" s="292" t="inlineStr">
        <is>
          <t>Meal 18 days @ 150K IDR/day</t>
        </is>
      </c>
      <c r="E957" s="289" t="inlineStr">
        <is>
          <t>-</t>
        </is>
      </c>
      <c r="F957" s="285" t="n">
        <v>2700000</v>
      </c>
      <c r="G957" s="294" t="inlineStr">
        <is>
          <t>IDR</t>
        </is>
      </c>
      <c r="H957" s="295" t="n">
        <v>1</v>
      </c>
      <c r="I957" s="282" t="n"/>
      <c r="J957" s="287" t="n"/>
      <c r="K957" s="281" t="n"/>
      <c r="L957" s="285" t="n">
        <v>2700000</v>
      </c>
      <c r="M957" s="288" t="n"/>
      <c r="N957" s="288" t="n"/>
      <c r="O957" s="285" t="n"/>
      <c r="P957" s="287" t="n"/>
      <c r="Q957" s="289" t="n"/>
      <c r="R957" s="280" t="n"/>
      <c r="S957" s="280" t="n"/>
      <c r="T957" s="280" t="n"/>
      <c r="U957" s="280" t="n"/>
      <c r="V957" s="280" t="n"/>
      <c r="W957" s="280" t="n"/>
      <c r="X957" s="280" t="n"/>
      <c r="Y957" s="280" t="n"/>
      <c r="Z957" s="280" t="n"/>
      <c r="AA957" s="280" t="n"/>
      <c r="AB957" s="280" t="n"/>
      <c r="AC957" s="280" t="n"/>
      <c r="AD957" s="280" t="n"/>
    </row>
    <row r="958">
      <c r="B958" s="351" t="n"/>
      <c r="C958" s="351" t="n"/>
      <c r="D958" s="317" t="inlineStr">
        <is>
          <t>Transportation</t>
        </is>
      </c>
      <c r="E958" s="351" t="n"/>
      <c r="F958" s="351" t="n"/>
      <c r="G958" s="351" t="n"/>
      <c r="H958" s="351" t="n"/>
      <c r="I958" s="351" t="n"/>
      <c r="J958" s="351" t="n"/>
      <c r="K958" s="351" t="n"/>
      <c r="L958" s="351" t="n"/>
      <c r="M958" s="351" t="n"/>
      <c r="N958" s="351" t="n"/>
      <c r="O958" s="351" t="n"/>
      <c r="P958" s="351" t="n"/>
      <c r="Q958" s="351" t="n"/>
      <c r="R958" s="280" t="n"/>
      <c r="S958" s="280" t="n"/>
      <c r="T958" s="280" t="n"/>
      <c r="U958" s="280" t="n"/>
      <c r="V958" s="280" t="n"/>
      <c r="W958" s="280" t="n"/>
      <c r="X958" s="280" t="n"/>
      <c r="Y958" s="280" t="n"/>
      <c r="Z958" s="280" t="n"/>
      <c r="AA958" s="280" t="n"/>
      <c r="AB958" s="280" t="n"/>
      <c r="AC958" s="280" t="n"/>
      <c r="AD958" s="280" t="n"/>
    </row>
    <row r="959" ht="15.5" customHeight="1">
      <c r="B959" s="290" t="n">
        <v>45585</v>
      </c>
      <c r="C959" s="291" t="n">
        <v>220</v>
      </c>
      <c r="D959" s="292" t="inlineStr">
        <is>
          <t>Taxi Anevril CGK Airport - Home</t>
        </is>
      </c>
      <c r="E959" s="289" t="inlineStr">
        <is>
          <t>-</t>
        </is>
      </c>
      <c r="F959" s="285" t="n">
        <v>250000</v>
      </c>
      <c r="G959" s="294" t="inlineStr">
        <is>
          <t>IDR</t>
        </is>
      </c>
      <c r="H959" s="295" t="n">
        <v>1</v>
      </c>
      <c r="I959" s="282" t="n"/>
      <c r="J959" s="287" t="n"/>
      <c r="K959" s="281" t="n"/>
      <c r="L959" s="285" t="n">
        <v>250000</v>
      </c>
      <c r="M959" s="288" t="n"/>
      <c r="N959" s="288" t="n"/>
      <c r="O959" s="285" t="n"/>
      <c r="P959" s="287" t="n"/>
      <c r="Q959" s="289" t="n"/>
      <c r="R959" s="280" t="n"/>
      <c r="S959" s="280" t="n"/>
      <c r="T959" s="280" t="n"/>
      <c r="U959" s="280" t="n"/>
      <c r="V959" s="280" t="n"/>
      <c r="W959" s="280" t="n"/>
      <c r="X959" s="280" t="n"/>
      <c r="Y959" s="280" t="n"/>
      <c r="Z959" s="280" t="n"/>
      <c r="AA959" s="280" t="n"/>
      <c r="AB959" s="280" t="n"/>
      <c r="AC959" s="280" t="n"/>
      <c r="AD959" s="280" t="n"/>
    </row>
    <row r="960">
      <c r="B960" s="312" t="inlineStr">
        <is>
          <t>Expense#39</t>
        </is>
      </c>
      <c r="C960" s="311" t="inlineStr">
        <is>
          <t>:</t>
        </is>
      </c>
      <c r="D960" s="312" t="inlineStr">
        <is>
          <t>Training Basic Sea Survival_IBR</t>
        </is>
      </c>
      <c r="E960" s="313" t="n"/>
      <c r="F960" s="313" t="n"/>
      <c r="G960" s="313" t="n"/>
      <c r="H960" s="313" t="n"/>
      <c r="I960" s="313" t="n"/>
      <c r="J960" s="313" t="n"/>
      <c r="K960" s="313" t="n"/>
      <c r="L960" s="313" t="n"/>
      <c r="M960" s="313" t="n"/>
      <c r="N960" s="313" t="n"/>
      <c r="O960" s="313" t="n"/>
      <c r="P960" s="313" t="n"/>
      <c r="Q960" s="313" t="n"/>
      <c r="R960" s="280" t="n"/>
      <c r="S960" s="280" t="n"/>
      <c r="T960" s="280" t="n"/>
      <c r="U960" s="280" t="n"/>
      <c r="V960" s="280" t="n"/>
      <c r="W960" s="280" t="n"/>
      <c r="X960" s="280" t="n"/>
      <c r="Y960" s="280" t="n"/>
      <c r="Z960" s="280" t="n"/>
      <c r="AA960" s="280" t="n"/>
      <c r="AB960" s="280" t="n"/>
      <c r="AC960" s="280" t="n"/>
      <c r="AD960" s="280" t="n"/>
    </row>
    <row r="961">
      <c r="B961" s="351" t="n"/>
      <c r="C961" s="351" t="n"/>
      <c r="D961" s="317" t="inlineStr">
        <is>
          <t>Training</t>
        </is>
      </c>
      <c r="E961" s="351" t="n"/>
      <c r="F961" s="351" t="n"/>
      <c r="G961" s="351" t="n"/>
      <c r="H961" s="351" t="n"/>
      <c r="I961" s="351" t="n"/>
      <c r="J961" s="351" t="n"/>
      <c r="K961" s="351" t="n"/>
      <c r="L961" s="351" t="n"/>
      <c r="M961" s="351" t="n"/>
      <c r="N961" s="351" t="n"/>
      <c r="O961" s="351" t="n"/>
      <c r="P961" s="351" t="n"/>
      <c r="Q961" s="351" t="n"/>
      <c r="R961" s="280" t="n"/>
      <c r="S961" s="280" t="n"/>
      <c r="T961" s="280" t="n"/>
      <c r="U961" s="280" t="n"/>
      <c r="V961" s="280" t="n"/>
      <c r="W961" s="280" t="n"/>
      <c r="X961" s="280" t="n"/>
      <c r="Y961" s="280" t="n"/>
      <c r="Z961" s="280" t="n"/>
      <c r="AA961" s="280" t="n"/>
      <c r="AB961" s="280" t="n"/>
      <c r="AC961" s="280" t="n"/>
      <c r="AD961" s="280" t="n"/>
    </row>
    <row r="962" ht="15.5" customHeight="1">
      <c r="B962" s="290" t="n">
        <v>45622</v>
      </c>
      <c r="C962" s="291" t="n">
        <v>221</v>
      </c>
      <c r="D962" s="292" t="inlineStr">
        <is>
          <t>Basic Sea Survival</t>
        </is>
      </c>
      <c r="E962" s="289" t="inlineStr">
        <is>
          <t>-</t>
        </is>
      </c>
      <c r="F962" s="285" t="n">
        <v>2700000</v>
      </c>
      <c r="G962" s="294" t="inlineStr">
        <is>
          <t>IDR</t>
        </is>
      </c>
      <c r="H962" s="295" t="n">
        <v>1</v>
      </c>
      <c r="I962" s="282" t="n"/>
      <c r="J962" s="287" t="n"/>
      <c r="K962" s="281" t="n"/>
      <c r="L962" s="285" t="n">
        <v>2700000</v>
      </c>
      <c r="M962" s="288" t="n"/>
      <c r="N962" s="288" t="n"/>
      <c r="O962" s="285" t="n"/>
      <c r="P962" s="287" t="n"/>
      <c r="Q962" s="289" t="n"/>
      <c r="R962" s="280" t="n"/>
      <c r="S962" s="280" t="n"/>
      <c r="T962" s="280" t="n"/>
      <c r="U962" s="280" t="n"/>
      <c r="V962" s="280" t="n"/>
      <c r="W962" s="280" t="n"/>
      <c r="X962" s="280" t="n"/>
      <c r="Y962" s="280" t="n"/>
      <c r="Z962" s="280" t="n"/>
      <c r="AA962" s="280" t="n"/>
      <c r="AB962" s="280" t="n"/>
      <c r="AC962" s="280" t="n"/>
      <c r="AD962" s="280" t="n"/>
    </row>
    <row r="963">
      <c r="B963" s="351" t="n"/>
      <c r="C963" s="351" t="n"/>
      <c r="D963" s="317" t="inlineStr">
        <is>
          <t>Transportation</t>
        </is>
      </c>
      <c r="E963" s="351" t="n"/>
      <c r="F963" s="351" t="n"/>
      <c r="G963" s="351" t="n"/>
      <c r="H963" s="351" t="n"/>
      <c r="I963" s="351" t="n"/>
      <c r="J963" s="351" t="n"/>
      <c r="K963" s="351" t="n"/>
      <c r="L963" s="351" t="n"/>
      <c r="M963" s="351" t="n"/>
      <c r="N963" s="351" t="n"/>
      <c r="O963" s="351" t="n"/>
      <c r="P963" s="351" t="n"/>
      <c r="Q963" s="351" t="n"/>
      <c r="R963" s="280" t="n"/>
      <c r="S963" s="280" t="n"/>
      <c r="T963" s="280" t="n"/>
      <c r="U963" s="280" t="n"/>
      <c r="V963" s="280" t="n"/>
      <c r="W963" s="280" t="n"/>
      <c r="X963" s="280" t="n"/>
      <c r="Y963" s="280" t="n"/>
      <c r="Z963" s="280" t="n"/>
      <c r="AA963" s="280" t="n"/>
      <c r="AB963" s="280" t="n"/>
      <c r="AC963" s="280" t="n"/>
      <c r="AD963" s="280" t="n"/>
    </row>
    <row r="964" ht="15.5" customHeight="1">
      <c r="B964" s="290" t="n">
        <v>45622</v>
      </c>
      <c r="C964" s="291" t="n">
        <v>222</v>
      </c>
      <c r="D964" s="292" t="inlineStr">
        <is>
          <t>KRL ( Duku Atas - Sudimara )</t>
        </is>
      </c>
      <c r="E964" s="289" t="inlineStr">
        <is>
          <t>-</t>
        </is>
      </c>
      <c r="F964" s="285" t="n">
        <v>3000</v>
      </c>
      <c r="G964" s="294" t="inlineStr">
        <is>
          <t>IDR</t>
        </is>
      </c>
      <c r="H964" s="295" t="n">
        <v>1</v>
      </c>
      <c r="I964" s="282" t="n"/>
      <c r="J964" s="287" t="n"/>
      <c r="K964" s="281" t="n"/>
      <c r="L964" s="285" t="n">
        <v>3000</v>
      </c>
      <c r="M964" s="288" t="n"/>
      <c r="N964" s="288" t="n"/>
      <c r="O964" s="285" t="n"/>
      <c r="P964" s="287" t="n"/>
      <c r="Q964" s="289" t="n"/>
      <c r="R964" s="280" t="n"/>
      <c r="S964" s="280" t="n"/>
      <c r="T964" s="280" t="n"/>
      <c r="U964" s="280" t="n"/>
      <c r="V964" s="280" t="n"/>
      <c r="W964" s="280" t="n"/>
      <c r="X964" s="280" t="n"/>
      <c r="Y964" s="280" t="n"/>
      <c r="Z964" s="280" t="n"/>
      <c r="AA964" s="280" t="n"/>
      <c r="AB964" s="280" t="n"/>
      <c r="AC964" s="280" t="n"/>
      <c r="AD964" s="280" t="n"/>
    </row>
    <row r="965">
      <c r="B965" s="312" t="inlineStr">
        <is>
          <t>Expense#40</t>
        </is>
      </c>
      <c r="C965" s="311" t="inlineStr">
        <is>
          <t>:</t>
        </is>
      </c>
      <c r="D965" s="312" t="inlineStr">
        <is>
          <t>Non trip 1st - project _ Pety cash 1st - YY</t>
        </is>
      </c>
      <c r="E965" s="313" t="n"/>
      <c r="F965" s="313" t="n"/>
      <c r="G965" s="313" t="n"/>
      <c r="H965" s="313" t="n"/>
      <c r="I965" s="313" t="n"/>
      <c r="J965" s="313" t="n"/>
      <c r="K965" s="313" t="n"/>
      <c r="L965" s="313" t="n"/>
      <c r="M965" s="313" t="n"/>
      <c r="N965" s="313" t="n"/>
      <c r="O965" s="313" t="n"/>
      <c r="P965" s="313" t="n"/>
      <c r="Q965" s="313" t="n"/>
      <c r="R965" s="280" t="n"/>
      <c r="S965" s="280" t="n"/>
      <c r="T965" s="280" t="n"/>
      <c r="U965" s="280" t="n"/>
      <c r="V965" s="280" t="n"/>
      <c r="W965" s="280" t="n"/>
      <c r="X965" s="280" t="n"/>
      <c r="Y965" s="280" t="n"/>
      <c r="Z965" s="280" t="n"/>
      <c r="AA965" s="280" t="n"/>
      <c r="AB965" s="280" t="n"/>
      <c r="AC965" s="280" t="n"/>
      <c r="AD965" s="280" t="n"/>
    </row>
    <row r="966">
      <c r="B966" s="351" t="n"/>
      <c r="C966" s="351" t="n"/>
      <c r="D966" s="317" t="inlineStr">
        <is>
          <t>ATK &amp; Dokumentasi</t>
        </is>
      </c>
      <c r="E966" s="351" t="n"/>
      <c r="F966" s="351" t="n"/>
      <c r="G966" s="351" t="n"/>
      <c r="H966" s="351" t="n"/>
      <c r="I966" s="351" t="n"/>
      <c r="J966" s="351" t="n"/>
      <c r="K966" s="351" t="n"/>
      <c r="L966" s="351" t="n"/>
      <c r="M966" s="351" t="n"/>
      <c r="N966" s="351" t="n"/>
      <c r="O966" s="351" t="n"/>
      <c r="P966" s="351" t="n"/>
      <c r="Q966" s="351" t="n"/>
      <c r="R966" s="280" t="n"/>
      <c r="S966" s="280" t="n"/>
      <c r="T966" s="280" t="n"/>
      <c r="U966" s="280" t="n"/>
      <c r="V966" s="280" t="n"/>
      <c r="W966" s="280" t="n"/>
      <c r="X966" s="280" t="n"/>
      <c r="Y966" s="280" t="n"/>
      <c r="Z966" s="280" t="n"/>
      <c r="AA966" s="280" t="n"/>
      <c r="AB966" s="280" t="n"/>
      <c r="AC966" s="280" t="n"/>
      <c r="AD966" s="280" t="n"/>
    </row>
    <row r="967" ht="15.5" customHeight="1">
      <c r="B967" s="290" t="n">
        <v>45617</v>
      </c>
      <c r="C967" s="291" t="n">
        <v>223</v>
      </c>
      <c r="D967" s="292" t="inlineStr">
        <is>
          <t>Materai 10 pcs</t>
        </is>
      </c>
      <c r="E967" s="289" t="inlineStr">
        <is>
          <t>-</t>
        </is>
      </c>
      <c r="F967" s="285" t="n">
        <v>103000</v>
      </c>
      <c r="G967" s="294" t="inlineStr">
        <is>
          <t>IDR</t>
        </is>
      </c>
      <c r="H967" s="295" t="n">
        <v>1</v>
      </c>
      <c r="I967" s="282" t="n"/>
      <c r="J967" s="287" t="n"/>
      <c r="K967" s="281" t="n"/>
      <c r="L967" s="285" t="n"/>
      <c r="M967" s="288" t="n">
        <v>103000</v>
      </c>
      <c r="N967" s="288" t="n"/>
      <c r="O967" s="285" t="n"/>
      <c r="P967" s="287" t="n"/>
      <c r="Q967" s="289" t="n"/>
      <c r="R967" s="280" t="n"/>
      <c r="S967" s="280" t="n"/>
      <c r="T967" s="280" t="n"/>
      <c r="U967" s="280" t="n"/>
      <c r="V967" s="280" t="n"/>
      <c r="W967" s="280" t="n"/>
      <c r="X967" s="280" t="n"/>
      <c r="Y967" s="280" t="n"/>
      <c r="Z967" s="280" t="n"/>
      <c r="AA967" s="280" t="n"/>
      <c r="AB967" s="280" t="n"/>
      <c r="AC967" s="280" t="n"/>
      <c r="AD967" s="280" t="n"/>
    </row>
    <row r="968">
      <c r="B968" s="351" t="n"/>
      <c r="C968" s="351" t="n"/>
      <c r="D968" s="317" t="inlineStr">
        <is>
          <t>IT Services</t>
        </is>
      </c>
      <c r="E968" s="351" t="n"/>
      <c r="F968" s="351" t="n"/>
      <c r="G968" s="351" t="n"/>
      <c r="H968" s="351" t="n"/>
      <c r="I968" s="351" t="n"/>
      <c r="J968" s="351" t="n"/>
      <c r="K968" s="351" t="n"/>
      <c r="L968" s="351" t="n"/>
      <c r="M968" s="351" t="n"/>
      <c r="N968" s="351" t="n"/>
      <c r="O968" s="351" t="n"/>
      <c r="P968" s="351" t="n"/>
      <c r="Q968" s="351" t="n"/>
      <c r="R968" s="280" t="n"/>
      <c r="S968" s="280" t="n"/>
      <c r="T968" s="280" t="n"/>
      <c r="U968" s="280" t="n"/>
      <c r="V968" s="280" t="n"/>
      <c r="W968" s="280" t="n"/>
      <c r="X968" s="280" t="n"/>
      <c r="Y968" s="280" t="n"/>
      <c r="Z968" s="280" t="n"/>
      <c r="AA968" s="280" t="n"/>
      <c r="AB968" s="280" t="n"/>
      <c r="AC968" s="280" t="n"/>
      <c r="AD968" s="280" t="n"/>
    </row>
    <row r="969" ht="15.5" customHeight="1">
      <c r="B969" s="290" t="n">
        <v>45121</v>
      </c>
      <c r="C969" s="291" t="n">
        <v>224</v>
      </c>
      <c r="D969" s="292" t="inlineStr">
        <is>
          <t>Anvelope, Plastic map</t>
        </is>
      </c>
      <c r="E969" s="289" t="inlineStr">
        <is>
          <t>-</t>
        </is>
      </c>
      <c r="F969" s="285" t="n">
        <v>12000</v>
      </c>
      <c r="G969" s="294" t="inlineStr">
        <is>
          <t>IDR</t>
        </is>
      </c>
      <c r="H969" s="295" t="n">
        <v>1</v>
      </c>
      <c r="I969" s="282" t="n"/>
      <c r="J969" s="287" t="n"/>
      <c r="K969" s="281" t="n"/>
      <c r="L969" s="285" t="n"/>
      <c r="M969" s="288" t="n">
        <v>12000</v>
      </c>
      <c r="N969" s="288" t="n"/>
      <c r="O969" s="285" t="n"/>
      <c r="P969" s="287" t="n"/>
      <c r="Q969" s="289" t="n"/>
      <c r="R969" s="280" t="n"/>
      <c r="S969" s="280" t="n"/>
      <c r="T969" s="280" t="n"/>
      <c r="U969" s="280" t="n"/>
      <c r="V969" s="280" t="n"/>
      <c r="W969" s="280" t="n"/>
      <c r="X969" s="280" t="n"/>
      <c r="Y969" s="280" t="n"/>
      <c r="Z969" s="280" t="n"/>
      <c r="AA969" s="280" t="n"/>
      <c r="AB969" s="280" t="n"/>
      <c r="AC969" s="280" t="n"/>
      <c r="AD969" s="280" t="n"/>
    </row>
    <row r="970">
      <c r="B970" s="351" t="n"/>
      <c r="C970" s="351" t="n"/>
      <c r="D970" s="317" t="inlineStr">
        <is>
          <t>Transportation</t>
        </is>
      </c>
      <c r="E970" s="351" t="n"/>
      <c r="F970" s="351" t="n"/>
      <c r="G970" s="351" t="n"/>
      <c r="H970" s="351" t="n"/>
      <c r="I970" s="351" t="n"/>
      <c r="J970" s="351" t="n"/>
      <c r="K970" s="351" t="n"/>
      <c r="L970" s="351" t="n"/>
      <c r="M970" s="351" t="n"/>
      <c r="N970" s="351" t="n"/>
      <c r="O970" s="351" t="n"/>
      <c r="P970" s="351" t="n"/>
      <c r="Q970" s="351" t="n"/>
      <c r="R970" s="280" t="n"/>
      <c r="S970" s="280" t="n"/>
      <c r="T970" s="280" t="n"/>
      <c r="U970" s="280" t="n"/>
      <c r="V970" s="280" t="n"/>
      <c r="W970" s="280" t="n"/>
      <c r="X970" s="280" t="n"/>
      <c r="Y970" s="280" t="n"/>
      <c r="Z970" s="280" t="n"/>
      <c r="AA970" s="280" t="n"/>
      <c r="AB970" s="280" t="n"/>
      <c r="AC970" s="280" t="n"/>
      <c r="AD970" s="280" t="n"/>
    </row>
    <row r="971" ht="15.5" customHeight="1">
      <c r="B971" s="290" t="n">
        <v>45636</v>
      </c>
      <c r="C971" s="291" t="n">
        <v>225</v>
      </c>
      <c r="D971" s="292" t="inlineStr">
        <is>
          <t>Tol &amp; parking fee</t>
        </is>
      </c>
      <c r="E971" s="289" t="inlineStr">
        <is>
          <t>-</t>
        </is>
      </c>
      <c r="F971" s="285" t="n">
        <v>48500</v>
      </c>
      <c r="G971" s="294" t="inlineStr">
        <is>
          <t>IDR</t>
        </is>
      </c>
      <c r="H971" s="295" t="n">
        <v>1</v>
      </c>
      <c r="I971" s="282" t="n"/>
      <c r="J971" s="287" t="n"/>
      <c r="K971" s="281" t="n"/>
      <c r="L971" s="285" t="n">
        <v>48500</v>
      </c>
      <c r="M971" s="288" t="n"/>
      <c r="N971" s="288" t="n"/>
      <c r="O971" s="285" t="n"/>
      <c r="P971" s="287" t="n"/>
      <c r="Q971" s="289" t="n"/>
      <c r="R971" s="280" t="n"/>
      <c r="S971" s="280" t="n"/>
      <c r="T971" s="280" t="n"/>
      <c r="U971" s="280" t="n"/>
      <c r="V971" s="280" t="n"/>
      <c r="W971" s="280" t="n"/>
      <c r="X971" s="280" t="n"/>
      <c r="Y971" s="280" t="n"/>
      <c r="Z971" s="280" t="n"/>
      <c r="AA971" s="280" t="n"/>
      <c r="AB971" s="280" t="n"/>
      <c r="AC971" s="280" t="n"/>
      <c r="AD971" s="280" t="n"/>
    </row>
    <row r="972">
      <c r="B972" s="312" t="inlineStr">
        <is>
          <t>Expense#41</t>
        </is>
      </c>
      <c r="C972" s="311" t="inlineStr">
        <is>
          <t>:</t>
        </is>
      </c>
      <c r="D972" s="312" t="inlineStr">
        <is>
          <t>Starlink Kit_DS</t>
        </is>
      </c>
      <c r="E972" s="313" t="n"/>
      <c r="F972" s="313" t="n"/>
      <c r="G972" s="313" t="n"/>
      <c r="H972" s="313" t="n"/>
      <c r="I972" s="313" t="n"/>
      <c r="J972" s="313" t="n"/>
      <c r="K972" s="313" t="n"/>
      <c r="L972" s="313" t="n"/>
      <c r="M972" s="313" t="n"/>
      <c r="N972" s="313" t="n"/>
      <c r="O972" s="313" t="n"/>
      <c r="P972" s="313" t="n"/>
      <c r="Q972" s="313" t="n"/>
      <c r="R972" s="280" t="n"/>
      <c r="S972" s="280" t="n"/>
      <c r="T972" s="280" t="n"/>
      <c r="U972" s="280" t="n"/>
      <c r="V972" s="280" t="n"/>
      <c r="W972" s="280" t="n"/>
      <c r="X972" s="280" t="n"/>
      <c r="Y972" s="280" t="n"/>
      <c r="Z972" s="280" t="n"/>
      <c r="AA972" s="280" t="n"/>
      <c r="AB972" s="280" t="n"/>
      <c r="AC972" s="280" t="n"/>
      <c r="AD972" s="280" t="n"/>
    </row>
    <row r="973">
      <c r="B973" s="351" t="n"/>
      <c r="C973" s="351" t="n"/>
      <c r="D973" s="317" t="inlineStr">
        <is>
          <t>Elektronik &amp; Gadget</t>
        </is>
      </c>
      <c r="E973" s="351" t="n"/>
      <c r="F973" s="351" t="n"/>
      <c r="G973" s="351" t="n"/>
      <c r="H973" s="351" t="n"/>
      <c r="I973" s="351" t="n"/>
      <c r="J973" s="351" t="n"/>
      <c r="K973" s="351" t="n"/>
      <c r="L973" s="351" t="n"/>
      <c r="M973" s="351" t="n"/>
      <c r="N973" s="351" t="n"/>
      <c r="O973" s="351" t="n"/>
      <c r="P973" s="351" t="n"/>
      <c r="Q973" s="351" t="n"/>
      <c r="R973" s="280" t="n"/>
      <c r="S973" s="280" t="n"/>
      <c r="T973" s="280" t="n"/>
      <c r="U973" s="280" t="n"/>
      <c r="V973" s="280" t="n"/>
      <c r="W973" s="280" t="n"/>
      <c r="X973" s="280" t="n"/>
      <c r="Y973" s="280" t="n"/>
      <c r="Z973" s="280" t="n"/>
      <c r="AA973" s="280" t="n"/>
      <c r="AB973" s="280" t="n"/>
      <c r="AC973" s="280" t="n"/>
      <c r="AD973" s="280" t="n"/>
    </row>
    <row r="974" ht="15.5" customHeight="1">
      <c r="B974" s="290" t="n">
        <v>45607</v>
      </c>
      <c r="C974" s="291" t="n">
        <v>226</v>
      </c>
      <c r="D974" s="292" t="inlineStr">
        <is>
          <t>Starlink Kit</t>
        </is>
      </c>
      <c r="E974" s="289" t="inlineStr">
        <is>
          <t>-</t>
        </is>
      </c>
      <c r="F974" s="285" t="n">
        <v>5583200</v>
      </c>
      <c r="G974" s="294" t="inlineStr">
        <is>
          <t>IDR</t>
        </is>
      </c>
      <c r="H974" s="295" t="n">
        <v>1</v>
      </c>
      <c r="I974" s="282" t="n"/>
      <c r="J974" s="287" t="n"/>
      <c r="K974" s="281" t="n"/>
      <c r="L974" s="285" t="n"/>
      <c r="M974" s="288" t="n"/>
      <c r="N974" s="288" t="n">
        <v>5583200</v>
      </c>
      <c r="O974" s="285" t="n"/>
      <c r="P974" s="287" t="n"/>
      <c r="Q974" s="289" t="n"/>
      <c r="R974" s="280" t="n"/>
      <c r="S974" s="280" t="n"/>
      <c r="T974" s="280" t="n"/>
      <c r="U974" s="280" t="n"/>
      <c r="V974" s="280" t="n"/>
      <c r="W974" s="280" t="n"/>
      <c r="X974" s="280" t="n"/>
      <c r="Y974" s="280" t="n"/>
      <c r="Z974" s="280" t="n"/>
      <c r="AA974" s="280" t="n"/>
      <c r="AB974" s="280" t="n"/>
      <c r="AC974" s="280" t="n"/>
      <c r="AD974" s="280" t="n"/>
    </row>
    <row r="975">
      <c r="B975" s="312" t="inlineStr">
        <is>
          <t>Expense#42</t>
        </is>
      </c>
      <c r="C975" s="311" t="inlineStr">
        <is>
          <t>:</t>
        </is>
      </c>
      <c r="D975" s="312" t="inlineStr">
        <is>
          <t>Pelican Case 1650 TMA</t>
        </is>
      </c>
      <c r="E975" s="313" t="n"/>
      <c r="F975" s="313" t="n"/>
      <c r="G975" s="313" t="n"/>
      <c r="H975" s="313" t="n"/>
      <c r="I975" s="313" t="n"/>
      <c r="J975" s="313" t="n"/>
      <c r="K975" s="313" t="n"/>
      <c r="L975" s="313" t="n"/>
      <c r="M975" s="313" t="n"/>
      <c r="N975" s="313" t="n"/>
      <c r="O975" s="313" t="n"/>
      <c r="P975" s="313" t="n"/>
      <c r="Q975" s="313" t="n"/>
      <c r="R975" s="280" t="n"/>
      <c r="S975" s="280" t="n"/>
      <c r="T975" s="280" t="n"/>
      <c r="U975" s="280" t="n"/>
      <c r="V975" s="280" t="n"/>
      <c r="W975" s="280" t="n"/>
      <c r="X975" s="280" t="n"/>
      <c r="Y975" s="280" t="n"/>
      <c r="Z975" s="280" t="n"/>
      <c r="AA975" s="280" t="n"/>
      <c r="AB975" s="280" t="n"/>
      <c r="AC975" s="280" t="n"/>
      <c r="AD975" s="280" t="n"/>
    </row>
    <row r="976">
      <c r="B976" s="351" t="n"/>
      <c r="C976" s="351" t="n"/>
      <c r="D976" s="317" t="inlineStr">
        <is>
          <t>Sparepart</t>
        </is>
      </c>
      <c r="E976" s="351" t="n"/>
      <c r="F976" s="351" t="n"/>
      <c r="G976" s="351" t="n"/>
      <c r="H976" s="351" t="n"/>
      <c r="I976" s="351" t="n"/>
      <c r="J976" s="351" t="n"/>
      <c r="K976" s="351" t="n"/>
      <c r="L976" s="351" t="n"/>
      <c r="M976" s="351" t="n"/>
      <c r="N976" s="351" t="n"/>
      <c r="O976" s="351" t="n"/>
      <c r="P976" s="351" t="n"/>
      <c r="Q976" s="351" t="n"/>
      <c r="R976" s="280" t="n"/>
      <c r="S976" s="280" t="n"/>
      <c r="T976" s="280" t="n"/>
      <c r="U976" s="280" t="n"/>
      <c r="V976" s="280" t="n"/>
      <c r="W976" s="280" t="n"/>
      <c r="X976" s="280" t="n"/>
      <c r="Y976" s="280" t="n"/>
      <c r="Z976" s="280" t="n"/>
      <c r="AA976" s="280" t="n"/>
      <c r="AB976" s="280" t="n"/>
      <c r="AC976" s="280" t="n"/>
      <c r="AD976" s="280" t="n"/>
    </row>
    <row r="977" ht="15.5" customHeight="1">
      <c r="B977" s="290" t="n">
        <v>45640</v>
      </c>
      <c r="C977" s="291" t="n">
        <v>227</v>
      </c>
      <c r="D977" s="292" t="inlineStr">
        <is>
          <t>Pelican Case 1650</t>
        </is>
      </c>
      <c r="E977" s="289" t="inlineStr">
        <is>
          <t>-</t>
        </is>
      </c>
      <c r="F977" s="285" t="n">
        <v>8156000</v>
      </c>
      <c r="G977" s="294" t="inlineStr">
        <is>
          <t>IDR</t>
        </is>
      </c>
      <c r="H977" s="295" t="n">
        <v>1</v>
      </c>
      <c r="I977" s="282" t="n"/>
      <c r="J977" s="287" t="n"/>
      <c r="K977" s="281" t="n"/>
      <c r="L977" s="285" t="n"/>
      <c r="M977" s="288" t="n"/>
      <c r="N977" s="288" t="n">
        <v>8156000</v>
      </c>
      <c r="O977" s="285" t="n"/>
      <c r="P977" s="287" t="n"/>
      <c r="Q977" s="289" t="n"/>
      <c r="R977" s="280" t="n"/>
      <c r="S977" s="280" t="n"/>
      <c r="T977" s="280" t="n"/>
      <c r="U977" s="280" t="n"/>
      <c r="V977" s="280" t="n"/>
      <c r="W977" s="280" t="n"/>
      <c r="X977" s="280" t="n"/>
      <c r="Y977" s="280" t="n"/>
      <c r="Z977" s="280" t="n"/>
      <c r="AA977" s="280" t="n"/>
      <c r="AB977" s="280" t="n"/>
      <c r="AC977" s="280" t="n"/>
      <c r="AD977" s="280" t="n"/>
    </row>
    <row r="978">
      <c r="B978" s="312" t="inlineStr">
        <is>
          <t>Expense#43</t>
        </is>
      </c>
      <c r="C978" s="311" t="inlineStr">
        <is>
          <t>:</t>
        </is>
      </c>
      <c r="D978" s="312" t="inlineStr">
        <is>
          <t>Non trip 3rd (follow up MCU concul &amp; visit KPP and Graha Elnusa)_AC</t>
        </is>
      </c>
      <c r="E978" s="313" t="n"/>
      <c r="F978" s="313" t="n"/>
      <c r="G978" s="313" t="n"/>
      <c r="H978" s="313" t="n"/>
      <c r="I978" s="313" t="n"/>
      <c r="J978" s="313" t="n"/>
      <c r="K978" s="313" t="n"/>
      <c r="L978" s="313" t="n"/>
      <c r="M978" s="313" t="n"/>
      <c r="N978" s="313" t="n"/>
      <c r="O978" s="313" t="n"/>
      <c r="P978" s="313" t="n"/>
      <c r="Q978" s="313" t="n"/>
      <c r="R978" s="280" t="n"/>
      <c r="S978" s="280" t="n"/>
      <c r="T978" s="280" t="n"/>
      <c r="U978" s="280" t="n"/>
      <c r="V978" s="280" t="n"/>
      <c r="W978" s="280" t="n"/>
      <c r="X978" s="280" t="n"/>
      <c r="Y978" s="280" t="n"/>
      <c r="Z978" s="280" t="n"/>
      <c r="AA978" s="280" t="n"/>
      <c r="AB978" s="280" t="n"/>
      <c r="AC978" s="280" t="n"/>
      <c r="AD978" s="280" t="n"/>
    </row>
    <row r="979">
      <c r="B979" s="351" t="n"/>
      <c r="C979" s="351" t="n"/>
      <c r="D979" s="317" t="inlineStr">
        <is>
          <t>Medical</t>
        </is>
      </c>
      <c r="E979" s="351" t="n"/>
      <c r="F979" s="351" t="n"/>
      <c r="G979" s="351" t="n"/>
      <c r="H979" s="351" t="n"/>
      <c r="I979" s="351" t="n"/>
      <c r="J979" s="351" t="n"/>
      <c r="K979" s="351" t="n"/>
      <c r="L979" s="351" t="n"/>
      <c r="M979" s="351" t="n"/>
      <c r="N979" s="351" t="n"/>
      <c r="O979" s="351" t="n"/>
      <c r="P979" s="351" t="n"/>
      <c r="Q979" s="351" t="n"/>
      <c r="R979" s="280" t="n"/>
      <c r="S979" s="280" t="n"/>
      <c r="T979" s="280" t="n"/>
      <c r="U979" s="280" t="n"/>
      <c r="V979" s="280" t="n"/>
      <c r="W979" s="280" t="n"/>
      <c r="X979" s="280" t="n"/>
      <c r="Y979" s="280" t="n"/>
      <c r="Z979" s="280" t="n"/>
      <c r="AA979" s="280" t="n"/>
      <c r="AB979" s="280" t="n"/>
      <c r="AC979" s="280" t="n"/>
      <c r="AD979" s="280" t="n"/>
    </row>
    <row r="980" ht="15.5" customHeight="1">
      <c r="B980" s="290" t="n">
        <v>45637</v>
      </c>
      <c r="C980" s="291" t="n">
        <v>228</v>
      </c>
      <c r="D980" s="292" t="inlineStr">
        <is>
          <t>Medicine after konsul jantung 3rd</t>
        </is>
      </c>
      <c r="E980" s="289" t="inlineStr">
        <is>
          <t>-</t>
        </is>
      </c>
      <c r="F980" s="285" t="n">
        <v>417600</v>
      </c>
      <c r="G980" s="294" t="inlineStr">
        <is>
          <t>IDR</t>
        </is>
      </c>
      <c r="H980" s="295" t="n">
        <v>1</v>
      </c>
      <c r="I980" s="282" t="n"/>
      <c r="J980" s="287" t="n"/>
      <c r="K980" s="281" t="n"/>
      <c r="L980" s="285" t="n"/>
      <c r="M980" s="288" t="n"/>
      <c r="N980" s="288" t="n"/>
      <c r="O980" s="285" t="n"/>
      <c r="P980" s="285" t="n">
        <v>417600</v>
      </c>
      <c r="Q980" s="289" t="n"/>
      <c r="R980" s="280" t="n"/>
      <c r="S980" s="280" t="n"/>
      <c r="T980" s="280" t="n"/>
      <c r="U980" s="280" t="n"/>
      <c r="V980" s="280" t="n"/>
      <c r="W980" s="280" t="n"/>
      <c r="X980" s="280" t="n"/>
      <c r="Y980" s="280" t="n"/>
      <c r="Z980" s="280" t="n"/>
      <c r="AA980" s="280" t="n"/>
      <c r="AB980" s="280" t="n"/>
      <c r="AC980" s="280" t="n"/>
      <c r="AD980" s="280" t="n"/>
    </row>
    <row r="981">
      <c r="B981" s="351" t="n"/>
      <c r="C981" s="351" t="n"/>
      <c r="D981" s="317" t="inlineStr">
        <is>
          <t>Transportation</t>
        </is>
      </c>
      <c r="E981" s="351" t="n"/>
      <c r="F981" s="351" t="n"/>
      <c r="G981" s="351" t="n"/>
      <c r="H981" s="351" t="n"/>
      <c r="I981" s="351" t="n"/>
      <c r="J981" s="351" t="n"/>
      <c r="K981" s="351" t="n"/>
      <c r="L981" s="351" t="n"/>
      <c r="M981" s="351" t="n"/>
      <c r="N981" s="351" t="n"/>
      <c r="O981" s="351" t="n"/>
      <c r="P981" s="351" t="n"/>
      <c r="Q981" s="351" t="n"/>
      <c r="R981" s="280" t="n"/>
      <c r="S981" s="280" t="n"/>
      <c r="T981" s="280" t="n"/>
      <c r="U981" s="280" t="n"/>
      <c r="V981" s="280" t="n"/>
      <c r="W981" s="280" t="n"/>
      <c r="X981" s="280" t="n"/>
      <c r="Y981" s="280" t="n"/>
      <c r="Z981" s="280" t="n"/>
      <c r="AA981" s="280" t="n"/>
      <c r="AB981" s="280" t="n"/>
      <c r="AC981" s="280" t="n"/>
      <c r="AD981" s="280" t="n"/>
    </row>
    <row r="982" ht="15.5" customHeight="1">
      <c r="B982" s="290" t="n">
        <v>45636</v>
      </c>
      <c r="C982" s="291" t="n">
        <v>229</v>
      </c>
      <c r="D982" s="292" t="inlineStr">
        <is>
          <t>Parkir Graha Elnusa (antar dokemen invoice)</t>
        </is>
      </c>
      <c r="E982" s="289" t="inlineStr">
        <is>
          <t>-</t>
        </is>
      </c>
      <c r="F982" s="285" t="n">
        <v>17000</v>
      </c>
      <c r="G982" s="294" t="inlineStr">
        <is>
          <t>IDR</t>
        </is>
      </c>
      <c r="H982" s="295" t="n">
        <v>1</v>
      </c>
      <c r="I982" s="282" t="n"/>
      <c r="J982" s="287" t="n"/>
      <c r="K982" s="281" t="n"/>
      <c r="L982" s="285" t="n">
        <v>17000</v>
      </c>
      <c r="M982" s="288" t="n"/>
      <c r="N982" s="288" t="n"/>
      <c r="O982" s="285" t="n"/>
      <c r="P982" s="287" t="n"/>
      <c r="Q982" s="289" t="n"/>
      <c r="R982" s="280" t="n"/>
      <c r="S982" s="280" t="n"/>
      <c r="T982" s="280" t="n"/>
      <c r="U982" s="280" t="n"/>
      <c r="V982" s="280" t="n"/>
      <c r="W982" s="280" t="n"/>
      <c r="X982" s="280" t="n"/>
      <c r="Y982" s="280" t="n"/>
      <c r="Z982" s="280" t="n"/>
      <c r="AA982" s="280" t="n"/>
      <c r="AB982" s="280" t="n"/>
      <c r="AC982" s="280" t="n"/>
      <c r="AD982" s="280" t="n"/>
    </row>
    <row r="983">
      <c r="B983" s="312" t="inlineStr">
        <is>
          <t>Expense#44</t>
        </is>
      </c>
      <c r="C983" s="311" t="inlineStr">
        <is>
          <t>:</t>
        </is>
      </c>
      <c r="D983" s="312" t="inlineStr">
        <is>
          <t>Meeting presentasi With Elnusa - Bandung &amp;Pembelian Sparepart dari Pei-Genesis.</t>
        </is>
      </c>
      <c r="E983" s="313" t="n"/>
      <c r="F983" s="313" t="n"/>
      <c r="G983" s="313" t="n"/>
      <c r="H983" s="313" t="n"/>
      <c r="I983" s="313" t="n"/>
      <c r="J983" s="313" t="n"/>
      <c r="K983" s="313" t="n"/>
      <c r="L983" s="313" t="n"/>
      <c r="M983" s="313" t="n"/>
      <c r="N983" s="313" t="n"/>
      <c r="O983" s="313" t="n"/>
      <c r="P983" s="313" t="n"/>
      <c r="Q983" s="313" t="n"/>
      <c r="R983" s="280" t="n"/>
      <c r="S983" s="280" t="n"/>
      <c r="T983" s="280" t="n"/>
      <c r="U983" s="280" t="n"/>
      <c r="V983" s="280" t="n"/>
      <c r="W983" s="280" t="n"/>
      <c r="X983" s="280" t="n"/>
      <c r="Y983" s="280" t="n"/>
      <c r="Z983" s="280" t="n"/>
      <c r="AA983" s="280" t="n"/>
      <c r="AB983" s="280" t="n"/>
      <c r="AC983" s="280" t="n"/>
      <c r="AD983" s="280" t="n"/>
    </row>
    <row r="984">
      <c r="B984" s="351" t="n"/>
      <c r="C984" s="351" t="n"/>
      <c r="D984" s="317" t="inlineStr">
        <is>
          <t>Biaya Operasi Lain-lain</t>
        </is>
      </c>
      <c r="E984" s="351" t="n"/>
      <c r="F984" s="351" t="n"/>
      <c r="G984" s="351" t="n"/>
      <c r="H984" s="351" t="n"/>
      <c r="I984" s="351" t="n"/>
      <c r="J984" s="351" t="n"/>
      <c r="K984" s="351" t="n"/>
      <c r="L984" s="351" t="n"/>
      <c r="M984" s="351" t="n"/>
      <c r="N984" s="351" t="n"/>
      <c r="O984" s="351" t="n"/>
      <c r="P984" s="351" t="n"/>
      <c r="Q984" s="351" t="n"/>
      <c r="R984" s="280" t="n"/>
      <c r="S984" s="280" t="n"/>
      <c r="T984" s="280" t="n"/>
      <c r="U984" s="280" t="n"/>
      <c r="V984" s="280" t="n"/>
      <c r="W984" s="280" t="n"/>
      <c r="X984" s="280" t="n"/>
      <c r="Y984" s="280" t="n"/>
      <c r="Z984" s="280" t="n"/>
      <c r="AA984" s="280" t="n"/>
      <c r="AB984" s="280" t="n"/>
      <c r="AC984" s="280" t="n"/>
      <c r="AD984" s="280" t="n"/>
    </row>
    <row r="985" ht="15.5" customHeight="1">
      <c r="B985" s="290" t="n">
        <v>45647</v>
      </c>
      <c r="C985" s="291" t="n">
        <v>230</v>
      </c>
      <c r="D985" s="292" t="inlineStr">
        <is>
          <t>Traveling Bandung - Jakarta</t>
        </is>
      </c>
      <c r="E985" s="289" t="inlineStr">
        <is>
          <t>-</t>
        </is>
      </c>
      <c r="F985" s="285" t="n">
        <v>160000</v>
      </c>
      <c r="G985" s="294" t="inlineStr">
        <is>
          <t>IDR</t>
        </is>
      </c>
      <c r="H985" s="295" t="n">
        <v>1</v>
      </c>
      <c r="I985" s="282" t="n"/>
      <c r="J985" s="287" t="n"/>
      <c r="K985" s="281" t="n"/>
      <c r="L985" s="285" t="n">
        <v>160000</v>
      </c>
      <c r="M985" s="288" t="n"/>
      <c r="N985" s="288" t="n"/>
      <c r="O985" s="285" t="n"/>
      <c r="P985" s="287" t="n"/>
      <c r="Q985" s="289" t="n"/>
      <c r="R985" s="280" t="n"/>
      <c r="S985" s="280" t="n"/>
      <c r="T985" s="280" t="n"/>
      <c r="U985" s="280" t="n"/>
      <c r="V985" s="280" t="n"/>
      <c r="W985" s="280" t="n"/>
      <c r="X985" s="280" t="n"/>
      <c r="Y985" s="280" t="n"/>
      <c r="Z985" s="280" t="n"/>
      <c r="AA985" s="280" t="n"/>
      <c r="AB985" s="280" t="n"/>
      <c r="AC985" s="280" t="n"/>
      <c r="AD985" s="280" t="n"/>
    </row>
    <row r="986">
      <c r="B986" s="351" t="n"/>
      <c r="C986" s="351" t="n"/>
      <c r="D986" s="317" t="inlineStr">
        <is>
          <t>IT Services</t>
        </is>
      </c>
      <c r="E986" s="351" t="n"/>
      <c r="F986" s="351" t="n"/>
      <c r="G986" s="351" t="n"/>
      <c r="H986" s="351" t="n"/>
      <c r="I986" s="351" t="n"/>
      <c r="J986" s="351" t="n"/>
      <c r="K986" s="351" t="n"/>
      <c r="L986" s="351" t="n"/>
      <c r="M986" s="351" t="n"/>
      <c r="N986" s="351" t="n"/>
      <c r="O986" s="351" t="n"/>
      <c r="P986" s="351" t="n"/>
      <c r="Q986" s="351" t="n"/>
      <c r="R986" s="280" t="n"/>
      <c r="S986" s="280" t="n"/>
      <c r="T986" s="280" t="n"/>
      <c r="U986" s="280" t="n"/>
      <c r="V986" s="280" t="n"/>
      <c r="W986" s="280" t="n"/>
      <c r="X986" s="280" t="n"/>
      <c r="Y986" s="280" t="n"/>
      <c r="Z986" s="280" t="n"/>
      <c r="AA986" s="280" t="n"/>
      <c r="AB986" s="280" t="n"/>
      <c r="AC986" s="280" t="n"/>
      <c r="AD986" s="280" t="n"/>
    </row>
    <row r="987" ht="15.5" customHeight="1">
      <c r="B987" s="290" t="n">
        <v>45650</v>
      </c>
      <c r="C987" s="291" t="n">
        <v>231</v>
      </c>
      <c r="D987" s="292" t="inlineStr">
        <is>
          <t>payment for hotel Grand Dafam and</t>
        </is>
      </c>
      <c r="E987" s="289" t="inlineStr">
        <is>
          <t>-</t>
        </is>
      </c>
      <c r="F987" s="285" t="n">
        <v>4913283</v>
      </c>
      <c r="G987" s="294" t="inlineStr">
        <is>
          <t>IDR</t>
        </is>
      </c>
      <c r="H987" s="295" t="n">
        <v>1</v>
      </c>
      <c r="I987" s="282" t="n"/>
      <c r="J987" s="287" t="n"/>
      <c r="K987" s="281" t="n"/>
      <c r="L987" s="285" t="n"/>
      <c r="M987" s="288" t="n">
        <v>4913283</v>
      </c>
      <c r="N987" s="288" t="n"/>
      <c r="O987" s="285" t="n"/>
      <c r="P987" s="287" t="n"/>
      <c r="Q987" s="289" t="n"/>
      <c r="R987" s="280" t="n"/>
      <c r="S987" s="280" t="n"/>
      <c r="T987" s="280" t="n"/>
      <c r="U987" s="280" t="n"/>
      <c r="V987" s="280" t="n"/>
      <c r="W987" s="280" t="n"/>
      <c r="X987" s="280" t="n"/>
      <c r="Y987" s="280" t="n"/>
      <c r="Z987" s="280" t="n"/>
      <c r="AA987" s="280" t="n"/>
      <c r="AB987" s="280" t="n"/>
      <c r="AC987" s="280" t="n"/>
      <c r="AD987" s="280" t="n"/>
    </row>
    <row r="988">
      <c r="B988" s="351" t="n"/>
      <c r="C988" s="351" t="n"/>
      <c r="D988" s="317" t="inlineStr">
        <is>
          <t>Meal</t>
        </is>
      </c>
      <c r="E988" s="351" t="n"/>
      <c r="F988" s="351" t="n"/>
      <c r="G988" s="351" t="n"/>
      <c r="H988" s="351" t="n"/>
      <c r="I988" s="351" t="n"/>
      <c r="J988" s="351" t="n"/>
      <c r="K988" s="351" t="n"/>
      <c r="L988" s="351" t="n"/>
      <c r="M988" s="351" t="n"/>
      <c r="N988" s="351" t="n"/>
      <c r="O988" s="351" t="n"/>
      <c r="P988" s="351" t="n"/>
      <c r="Q988" s="351" t="n"/>
      <c r="R988" s="280" t="n"/>
      <c r="S988" s="280" t="n"/>
      <c r="T988" s="280" t="n"/>
      <c r="U988" s="280" t="n"/>
      <c r="V988" s="280" t="n"/>
      <c r="W988" s="280" t="n"/>
      <c r="X988" s="280" t="n"/>
      <c r="Y988" s="280" t="n"/>
      <c r="Z988" s="280" t="n"/>
      <c r="AA988" s="280" t="n"/>
      <c r="AB988" s="280" t="n"/>
      <c r="AC988" s="280" t="n"/>
      <c r="AD988" s="280" t="n"/>
    </row>
    <row r="989" ht="15.5" customHeight="1">
      <c r="B989" s="290" t="n">
        <v>45647</v>
      </c>
      <c r="C989" s="291" t="n">
        <v>232</v>
      </c>
      <c r="D989" s="292" t="inlineStr">
        <is>
          <t>Meal</t>
        </is>
      </c>
      <c r="E989" s="289" t="inlineStr">
        <is>
          <t>-</t>
        </is>
      </c>
      <c r="F989" s="285" t="n">
        <v>299900</v>
      </c>
      <c r="G989" s="294" t="inlineStr">
        <is>
          <t>IDR</t>
        </is>
      </c>
      <c r="H989" s="295" t="n">
        <v>1</v>
      </c>
      <c r="I989" s="282" t="n"/>
      <c r="J989" s="287" t="n"/>
      <c r="K989" s="281" t="n"/>
      <c r="L989" s="285" t="n">
        <v>299900</v>
      </c>
      <c r="M989" s="288" t="n"/>
      <c r="N989" s="288" t="n"/>
      <c r="O989" s="285" t="n"/>
      <c r="P989" s="287" t="n"/>
      <c r="Q989" s="289" t="n"/>
      <c r="R989" s="280" t="n"/>
      <c r="S989" s="280" t="n"/>
      <c r="T989" s="280" t="n"/>
      <c r="U989" s="280" t="n"/>
      <c r="V989" s="280" t="n"/>
      <c r="W989" s="280" t="n"/>
      <c r="X989" s="280" t="n"/>
      <c r="Y989" s="280" t="n"/>
      <c r="Z989" s="280" t="n"/>
      <c r="AA989" s="280" t="n"/>
      <c r="AB989" s="280" t="n"/>
      <c r="AC989" s="280" t="n"/>
      <c r="AD989" s="280" t="n"/>
    </row>
    <row r="990">
      <c r="B990" s="351" t="n"/>
      <c r="C990" s="351" t="n"/>
      <c r="D990" s="317" t="inlineStr">
        <is>
          <t>Transportation</t>
        </is>
      </c>
      <c r="E990" s="351" t="n"/>
      <c r="F990" s="351" t="n"/>
      <c r="G990" s="351" t="n"/>
      <c r="H990" s="351" t="n"/>
      <c r="I990" s="351" t="n"/>
      <c r="J990" s="351" t="n"/>
      <c r="K990" s="351" t="n"/>
      <c r="L990" s="351" t="n"/>
      <c r="M990" s="351" t="n"/>
      <c r="N990" s="351" t="n"/>
      <c r="O990" s="351" t="n"/>
      <c r="P990" s="351" t="n"/>
      <c r="Q990" s="351" t="n"/>
      <c r="R990" s="280" t="n"/>
      <c r="S990" s="280" t="n"/>
      <c r="T990" s="280" t="n"/>
      <c r="U990" s="280" t="n"/>
      <c r="V990" s="280" t="n"/>
      <c r="W990" s="280" t="n"/>
      <c r="X990" s="280" t="n"/>
      <c r="Y990" s="280" t="n"/>
      <c r="Z990" s="280" t="n"/>
      <c r="AA990" s="280" t="n"/>
      <c r="AB990" s="280" t="n"/>
      <c r="AC990" s="280" t="n"/>
      <c r="AD990" s="280" t="n"/>
    </row>
    <row r="991" ht="15.5" customHeight="1">
      <c r="B991" s="290" t="n">
        <v>45647</v>
      </c>
      <c r="C991" s="291" t="n">
        <v>233</v>
      </c>
      <c r="D991" s="292" t="inlineStr">
        <is>
          <t>Taksi around the Bandung city for 2 days</t>
        </is>
      </c>
      <c r="E991" s="289" t="inlineStr">
        <is>
          <t>-</t>
        </is>
      </c>
      <c r="F991" s="285" t="n">
        <v>200000</v>
      </c>
      <c r="G991" s="294" t="inlineStr">
        <is>
          <t>IDR</t>
        </is>
      </c>
      <c r="H991" s="295" t="n">
        <v>1</v>
      </c>
      <c r="I991" s="282" t="n"/>
      <c r="J991" s="287" t="n"/>
      <c r="K991" s="281" t="n"/>
      <c r="L991" s="285" t="n">
        <v>200000</v>
      </c>
      <c r="M991" s="288" t="n"/>
      <c r="N991" s="288" t="n"/>
      <c r="O991" s="285" t="n"/>
      <c r="P991" s="287" t="n"/>
      <c r="Q991" s="289" t="n"/>
      <c r="R991" s="280" t="n"/>
      <c r="S991" s="280" t="n"/>
      <c r="T991" s="280" t="n"/>
      <c r="U991" s="280" t="n"/>
      <c r="V991" s="280" t="n"/>
      <c r="W991" s="280" t="n"/>
      <c r="X991" s="280" t="n"/>
      <c r="Y991" s="280" t="n"/>
      <c r="Z991" s="280" t="n"/>
      <c r="AA991" s="280" t="n"/>
      <c r="AB991" s="280" t="n"/>
      <c r="AC991" s="280" t="n"/>
      <c r="AD991" s="280" t="n"/>
    </row>
    <row r="992">
      <c r="B992" s="312" t="inlineStr">
        <is>
          <t>Expense#45</t>
        </is>
      </c>
      <c r="C992" s="311" t="inlineStr">
        <is>
          <t>:</t>
        </is>
      </c>
      <c r="D992" s="312" t="inlineStr">
        <is>
          <t>General Operation_Year 2024 - AM</t>
        </is>
      </c>
      <c r="E992" s="313" t="n"/>
      <c r="F992" s="313" t="n"/>
      <c r="G992" s="313" t="n"/>
      <c r="H992" s="313" t="n"/>
      <c r="I992" s="313" t="n"/>
      <c r="J992" s="313" t="n"/>
      <c r="K992" s="313" t="n"/>
      <c r="L992" s="313" t="n"/>
      <c r="M992" s="313" t="n"/>
      <c r="N992" s="313" t="n"/>
      <c r="O992" s="313" t="n"/>
      <c r="P992" s="313" t="n"/>
      <c r="Q992" s="313" t="n"/>
      <c r="R992" s="280" t="n"/>
      <c r="S992" s="280" t="n"/>
      <c r="T992" s="280" t="n"/>
      <c r="U992" s="280" t="n"/>
      <c r="V992" s="280" t="n"/>
      <c r="W992" s="280" t="n"/>
      <c r="X992" s="280" t="n"/>
      <c r="Y992" s="280" t="n"/>
      <c r="Z992" s="280" t="n"/>
      <c r="AA992" s="280" t="n"/>
      <c r="AB992" s="280" t="n"/>
      <c r="AC992" s="280" t="n"/>
      <c r="AD992" s="280" t="n"/>
    </row>
    <row r="993">
      <c r="B993" s="351" t="n"/>
      <c r="C993" s="351" t="n"/>
      <c r="D993" s="317" t="inlineStr">
        <is>
          <t>Accommodation</t>
        </is>
      </c>
      <c r="E993" s="351" t="n"/>
      <c r="F993" s="351" t="n"/>
      <c r="G993" s="351" t="n"/>
      <c r="H993" s="351" t="n"/>
      <c r="I993" s="351" t="n"/>
      <c r="J993" s="351" t="n"/>
      <c r="K993" s="351" t="n"/>
      <c r="L993" s="351" t="n"/>
      <c r="M993" s="351" t="n"/>
      <c r="N993" s="351" t="n"/>
      <c r="O993" s="351" t="n"/>
      <c r="P993" s="351" t="n"/>
      <c r="Q993" s="351" t="n"/>
      <c r="R993" s="280" t="n"/>
      <c r="S993" s="280" t="n"/>
      <c r="T993" s="280" t="n"/>
      <c r="U993" s="280" t="n"/>
      <c r="V993" s="280" t="n"/>
      <c r="W993" s="280" t="n"/>
      <c r="X993" s="280" t="n"/>
      <c r="Y993" s="280" t="n"/>
      <c r="Z993" s="280" t="n"/>
      <c r="AA993" s="280" t="n"/>
      <c r="AB993" s="280" t="n"/>
      <c r="AC993" s="280" t="n"/>
      <c r="AD993" s="280" t="n"/>
    </row>
    <row r="994" ht="15.5" customHeight="1">
      <c r="B994" s="290" t="n">
        <v>45647</v>
      </c>
      <c r="C994" s="291" t="n">
        <v>234</v>
      </c>
      <c r="D994" s="292" t="inlineStr">
        <is>
          <t>Hotel 1 night 20 - 21 Dec 2024</t>
        </is>
      </c>
      <c r="E994" s="289" t="inlineStr">
        <is>
          <t>-</t>
        </is>
      </c>
      <c r="F994" s="285" t="n">
        <v>784000</v>
      </c>
      <c r="G994" s="294" t="inlineStr">
        <is>
          <t>IDR</t>
        </is>
      </c>
      <c r="H994" s="295" t="n">
        <v>1</v>
      </c>
      <c r="I994" s="282" t="n"/>
      <c r="J994" s="287" t="n"/>
      <c r="K994" s="281" t="n"/>
      <c r="L994" s="285" t="n">
        <v>784000</v>
      </c>
      <c r="M994" s="288" t="n"/>
      <c r="N994" s="288" t="n"/>
      <c r="O994" s="285" t="n"/>
      <c r="P994" s="287" t="n"/>
      <c r="Q994" s="289" t="n"/>
      <c r="R994" s="280" t="n"/>
      <c r="S994" s="280" t="n"/>
      <c r="T994" s="280" t="n"/>
      <c r="U994" s="280" t="n"/>
      <c r="V994" s="280" t="n"/>
      <c r="W994" s="280" t="n"/>
      <c r="X994" s="280" t="n"/>
      <c r="Y994" s="280" t="n"/>
      <c r="Z994" s="280" t="n"/>
      <c r="AA994" s="280" t="n"/>
      <c r="AB994" s="280" t="n"/>
      <c r="AC994" s="280" t="n"/>
      <c r="AD994" s="280" t="n"/>
    </row>
    <row r="995">
      <c r="B995" s="351" t="n"/>
      <c r="C995" s="351" t="n"/>
      <c r="D995" s="317" t="inlineStr">
        <is>
          <t>Allowance</t>
        </is>
      </c>
      <c r="E995" s="351" t="n"/>
      <c r="F995" s="351" t="n"/>
      <c r="G995" s="351" t="n"/>
      <c r="H995" s="351" t="n"/>
      <c r="I995" s="351" t="n"/>
      <c r="J995" s="351" t="n"/>
      <c r="K995" s="351" t="n"/>
      <c r="L995" s="351" t="n"/>
      <c r="M995" s="351" t="n"/>
      <c r="N995" s="351" t="n"/>
      <c r="O995" s="351" t="n"/>
      <c r="P995" s="351" t="n"/>
      <c r="Q995" s="351" t="n"/>
      <c r="R995" s="280" t="n"/>
      <c r="S995" s="280" t="n"/>
      <c r="T995" s="280" t="n"/>
      <c r="U995" s="280" t="n"/>
      <c r="V995" s="280" t="n"/>
      <c r="W995" s="280" t="n"/>
      <c r="X995" s="280" t="n"/>
      <c r="Y995" s="280" t="n"/>
      <c r="Z995" s="280" t="n"/>
      <c r="AA995" s="280" t="n"/>
      <c r="AB995" s="280" t="n"/>
      <c r="AC995" s="280" t="n"/>
      <c r="AD995" s="280" t="n"/>
    </row>
    <row r="996" ht="15.5" customHeight="1">
      <c r="B996" s="290" t="n">
        <v>45405</v>
      </c>
      <c r="C996" s="291" t="n">
        <v>235</v>
      </c>
      <c r="D996" s="292" t="inlineStr">
        <is>
          <t>Tunjangan Lapangan @ 1.5 juta/day x 2 days</t>
        </is>
      </c>
      <c r="E996" s="289" t="inlineStr">
        <is>
          <t>-</t>
        </is>
      </c>
      <c r="F996" s="285" t="n">
        <v>3000000</v>
      </c>
      <c r="G996" s="294" t="inlineStr">
        <is>
          <t>IDR</t>
        </is>
      </c>
      <c r="H996" s="295" t="n">
        <v>1</v>
      </c>
      <c r="I996" s="282" t="n"/>
      <c r="J996" s="287" t="n"/>
      <c r="K996" s="281" t="n"/>
      <c r="L996" s="285" t="n">
        <v>3000000</v>
      </c>
      <c r="M996" s="288" t="n"/>
      <c r="N996" s="288" t="n"/>
      <c r="O996" s="285" t="n"/>
      <c r="P996" s="287" t="n"/>
      <c r="Q996" s="289" t="n"/>
      <c r="R996" s="280" t="n"/>
      <c r="S996" s="280" t="n"/>
      <c r="T996" s="280" t="n"/>
      <c r="U996" s="280" t="n"/>
      <c r="V996" s="280" t="n"/>
      <c r="W996" s="280" t="n"/>
      <c r="X996" s="280" t="n"/>
      <c r="Y996" s="280" t="n"/>
      <c r="Z996" s="280" t="n"/>
      <c r="AA996" s="280" t="n"/>
      <c r="AB996" s="280" t="n"/>
      <c r="AC996" s="280" t="n"/>
      <c r="AD996" s="280" t="n"/>
    </row>
    <row r="997">
      <c r="B997" s="351" t="n"/>
      <c r="C997" s="351" t="n"/>
      <c r="D997" s="317" t="inlineStr">
        <is>
          <t>Biaya Operasi Lain-lain</t>
        </is>
      </c>
      <c r="E997" s="351" t="n"/>
      <c r="F997" s="351" t="n"/>
      <c r="G997" s="351" t="n"/>
      <c r="H997" s="351" t="n"/>
      <c r="I997" s="351" t="n"/>
      <c r="J997" s="351" t="n"/>
      <c r="K997" s="351" t="n"/>
      <c r="L997" s="351" t="n"/>
      <c r="M997" s="351" t="n"/>
      <c r="N997" s="351" t="n"/>
      <c r="O997" s="351" t="n"/>
      <c r="P997" s="351" t="n"/>
      <c r="Q997" s="351" t="n"/>
      <c r="R997" s="280" t="n"/>
      <c r="S997" s="280" t="n"/>
      <c r="T997" s="280" t="n"/>
      <c r="U997" s="280" t="n"/>
      <c r="V997" s="280" t="n"/>
      <c r="W997" s="280" t="n"/>
      <c r="X997" s="280" t="n"/>
      <c r="Y997" s="280" t="n"/>
      <c r="Z997" s="280" t="n"/>
      <c r="AA997" s="280" t="n"/>
      <c r="AB997" s="280" t="n"/>
      <c r="AC997" s="280" t="n"/>
      <c r="AD997" s="280" t="n"/>
    </row>
    <row r="998" ht="15.5" customHeight="1">
      <c r="B998" s="290" t="n">
        <v>45335</v>
      </c>
      <c r="C998" s="291" t="n">
        <v>236</v>
      </c>
      <c r="D998" s="292" t="inlineStr">
        <is>
          <t>Shipment Benchmark DTR to Malaysia</t>
        </is>
      </c>
      <c r="E998" s="289" t="inlineStr">
        <is>
          <t>-</t>
        </is>
      </c>
      <c r="F998" s="285" t="n">
        <v>13201183.322</v>
      </c>
      <c r="G998" s="294" t="inlineStr">
        <is>
          <t>MYR</t>
        </is>
      </c>
      <c r="H998" s="295" t="n">
        <v>3636.89</v>
      </c>
      <c r="I998" s="282" t="n"/>
      <c r="J998" s="287" t="n"/>
      <c r="K998" s="281" t="n"/>
      <c r="L998" s="285" t="n">
        <v>13201183.322</v>
      </c>
      <c r="M998" s="288" t="n"/>
      <c r="N998" s="288" t="n"/>
      <c r="O998" s="285" t="n"/>
      <c r="P998" s="287" t="n"/>
      <c r="Q998" s="289" t="n"/>
      <c r="R998" s="280" t="n"/>
      <c r="S998" s="280" t="n"/>
      <c r="T998" s="280" t="n"/>
      <c r="U998" s="280" t="n"/>
      <c r="V998" s="280" t="n"/>
      <c r="W998" s="280" t="n"/>
      <c r="X998" s="280" t="n"/>
      <c r="Y998" s="280" t="n"/>
      <c r="Z998" s="280" t="n"/>
      <c r="AA998" s="280" t="n"/>
      <c r="AB998" s="280" t="n"/>
      <c r="AC998" s="280" t="n"/>
      <c r="AD998" s="280" t="n"/>
    </row>
    <row r="999">
      <c r="B999" s="351" t="n"/>
      <c r="C999" s="351" t="n"/>
      <c r="D999" s="317" t="inlineStr">
        <is>
          <t>IT Services</t>
        </is>
      </c>
      <c r="E999" s="351" t="n"/>
      <c r="F999" s="351" t="n"/>
      <c r="G999" s="351" t="n"/>
      <c r="H999" s="351" t="n"/>
      <c r="I999" s="351" t="n"/>
      <c r="J999" s="351" t="n"/>
      <c r="K999" s="351" t="n"/>
      <c r="L999" s="351" t="n"/>
      <c r="M999" s="351" t="n"/>
      <c r="N999" s="351" t="n"/>
      <c r="O999" s="351" t="n"/>
      <c r="P999" s="351" t="n"/>
      <c r="Q999" s="351" t="n"/>
      <c r="R999" s="280" t="n"/>
      <c r="S999" s="280" t="n"/>
      <c r="T999" s="280" t="n"/>
      <c r="U999" s="280" t="n"/>
      <c r="V999" s="280" t="n"/>
      <c r="W999" s="280" t="n"/>
      <c r="X999" s="280" t="n"/>
      <c r="Y999" s="280" t="n"/>
      <c r="Z999" s="280" t="n"/>
      <c r="AA999" s="280" t="n"/>
      <c r="AB999" s="280" t="n"/>
      <c r="AC999" s="280" t="n"/>
      <c r="AD999" s="280" t="n"/>
    </row>
    <row r="1000" ht="15.5" customHeight="1">
      <c r="B1000" s="290" t="n">
        <v>45428</v>
      </c>
      <c r="C1000" s="291" t="n">
        <v>237</v>
      </c>
      <c r="D1000" s="292" t="inlineStr">
        <is>
          <t>Google Workspace PT. EWI</t>
        </is>
      </c>
      <c r="E1000" s="289" t="inlineStr">
        <is>
          <t>-</t>
        </is>
      </c>
      <c r="F1000" s="285" t="n">
        <v>306982</v>
      </c>
      <c r="G1000" s="294" t="inlineStr">
        <is>
          <t>IDR</t>
        </is>
      </c>
      <c r="H1000" s="295" t="n">
        <v>1</v>
      </c>
      <c r="I1000" s="282" t="n"/>
      <c r="J1000" s="287" t="n"/>
      <c r="K1000" s="281" t="n"/>
      <c r="L1000" s="285" t="n"/>
      <c r="M1000" s="288" t="n">
        <v>306982</v>
      </c>
      <c r="N1000" s="288" t="n"/>
      <c r="O1000" s="285" t="n"/>
      <c r="P1000" s="287" t="n"/>
      <c r="Q1000" s="289" t="n"/>
      <c r="R1000" s="280" t="n"/>
      <c r="S1000" s="280" t="n"/>
      <c r="T1000" s="280" t="n"/>
      <c r="U1000" s="280" t="n"/>
      <c r="V1000" s="280" t="n"/>
      <c r="W1000" s="280" t="n"/>
      <c r="X1000" s="280" t="n"/>
      <c r="Y1000" s="280" t="n"/>
      <c r="Z1000" s="280" t="n"/>
      <c r="AA1000" s="280" t="n"/>
      <c r="AB1000" s="280" t="n"/>
      <c r="AC1000" s="280" t="n"/>
      <c r="AD1000" s="280" t="n"/>
    </row>
    <row r="1001">
      <c r="B1001" s="351" t="n"/>
      <c r="C1001" s="351" t="n"/>
      <c r="D1001" s="317" t="inlineStr">
        <is>
          <t>Meal</t>
        </is>
      </c>
      <c r="E1001" s="351" t="n"/>
      <c r="F1001" s="351" t="n"/>
      <c r="G1001" s="351" t="n"/>
      <c r="H1001" s="351" t="n"/>
      <c r="I1001" s="351" t="n"/>
      <c r="J1001" s="351" t="n"/>
      <c r="K1001" s="351" t="n"/>
      <c r="L1001" s="351" t="n"/>
      <c r="M1001" s="351" t="n"/>
      <c r="N1001" s="351" t="n"/>
      <c r="O1001" s="351" t="n"/>
      <c r="P1001" s="351" t="n"/>
      <c r="Q1001" s="351" t="n"/>
      <c r="R1001" s="280" t="n"/>
      <c r="S1001" s="280" t="n"/>
      <c r="T1001" s="280" t="n"/>
      <c r="U1001" s="280" t="n"/>
      <c r="V1001" s="280" t="n"/>
      <c r="W1001" s="280" t="n"/>
      <c r="X1001" s="280" t="n"/>
      <c r="Y1001" s="280" t="n"/>
      <c r="Z1001" s="280" t="n"/>
      <c r="AA1001" s="280" t="n"/>
      <c r="AB1001" s="280" t="n"/>
      <c r="AC1001" s="280" t="n"/>
      <c r="AD1001" s="280" t="n"/>
    </row>
    <row r="1002" ht="15.5" customHeight="1">
      <c r="B1002" s="290" t="n">
        <v>45647</v>
      </c>
      <c r="C1002" s="291" t="n">
        <v>238</v>
      </c>
      <c r="D1002" s="292" t="inlineStr">
        <is>
          <t>Meals 2 days @ 150,000/day</t>
        </is>
      </c>
      <c r="E1002" s="289" t="inlineStr">
        <is>
          <t>-</t>
        </is>
      </c>
      <c r="F1002" s="285" t="n">
        <v>300000</v>
      </c>
      <c r="G1002" s="294" t="inlineStr">
        <is>
          <t>IDR</t>
        </is>
      </c>
      <c r="H1002" s="295" t="n">
        <v>1</v>
      </c>
      <c r="I1002" s="282" t="n"/>
      <c r="J1002" s="287" t="n"/>
      <c r="K1002" s="281" t="n"/>
      <c r="L1002" s="285" t="n">
        <v>300000</v>
      </c>
      <c r="M1002" s="288" t="n"/>
      <c r="N1002" s="288" t="n"/>
      <c r="O1002" s="285" t="n"/>
      <c r="P1002" s="287" t="n"/>
      <c r="Q1002" s="289" t="n"/>
      <c r="R1002" s="280" t="n"/>
      <c r="S1002" s="280" t="n"/>
      <c r="T1002" s="280" t="n"/>
      <c r="U1002" s="280" t="n"/>
      <c r="V1002" s="280" t="n"/>
      <c r="W1002" s="280" t="n"/>
      <c r="X1002" s="280" t="n"/>
      <c r="Y1002" s="280" t="n"/>
      <c r="Z1002" s="280" t="n"/>
      <c r="AA1002" s="280" t="n"/>
      <c r="AB1002" s="280" t="n"/>
      <c r="AC1002" s="280" t="n"/>
      <c r="AD1002" s="280" t="n"/>
    </row>
    <row r="1003">
      <c r="B1003" s="351" t="n"/>
      <c r="C1003" s="351" t="n"/>
      <c r="D1003" s="317" t="inlineStr">
        <is>
          <t>Transportation</t>
        </is>
      </c>
      <c r="E1003" s="351" t="n"/>
      <c r="F1003" s="351" t="n"/>
      <c r="G1003" s="351" t="n"/>
      <c r="H1003" s="351" t="n"/>
      <c r="I1003" s="351" t="n"/>
      <c r="J1003" s="351" t="n"/>
      <c r="K1003" s="351" t="n"/>
      <c r="L1003" s="351" t="n"/>
      <c r="M1003" s="351" t="n"/>
      <c r="N1003" s="351" t="n"/>
      <c r="O1003" s="351" t="n"/>
      <c r="P1003" s="351" t="n"/>
      <c r="Q1003" s="351" t="n"/>
      <c r="R1003" s="280" t="n"/>
      <c r="S1003" s="280" t="n"/>
      <c r="T1003" s="280" t="n"/>
      <c r="U1003" s="280" t="n"/>
      <c r="V1003" s="280" t="n"/>
      <c r="W1003" s="280" t="n"/>
      <c r="X1003" s="280" t="n"/>
      <c r="Y1003" s="280" t="n"/>
      <c r="Z1003" s="280" t="n"/>
      <c r="AA1003" s="280" t="n"/>
      <c r="AB1003" s="280" t="n"/>
      <c r="AC1003" s="280" t="n"/>
      <c r="AD1003" s="280" t="n"/>
    </row>
    <row r="1004" ht="15.5" customHeight="1">
      <c r="B1004" s="290" t="n">
        <v>45647</v>
      </c>
      <c r="C1004" s="291" t="n">
        <v>239</v>
      </c>
      <c r="D1004" s="292" t="inlineStr">
        <is>
          <t>Taxi from KCIC Stationa Halim to Home</t>
        </is>
      </c>
      <c r="E1004" s="289" t="inlineStr">
        <is>
          <t>-</t>
        </is>
      </c>
      <c r="F1004" s="285" t="n">
        <v>100000</v>
      </c>
      <c r="G1004" s="294" t="inlineStr">
        <is>
          <t>IDR</t>
        </is>
      </c>
      <c r="H1004" s="295" t="n">
        <v>1</v>
      </c>
      <c r="I1004" s="282" t="n"/>
      <c r="J1004" s="287" t="n"/>
      <c r="K1004" s="281" t="n"/>
      <c r="L1004" s="285" t="n">
        <v>100000</v>
      </c>
      <c r="M1004" s="288" t="n"/>
      <c r="N1004" s="288" t="n"/>
      <c r="O1004" s="285" t="n"/>
      <c r="P1004" s="287" t="n"/>
      <c r="Q1004" s="289" t="n"/>
      <c r="R1004" s="280" t="n"/>
      <c r="S1004" s="280" t="n"/>
      <c r="T1004" s="280" t="n"/>
      <c r="U1004" s="280" t="n"/>
      <c r="V1004" s="280" t="n"/>
      <c r="W1004" s="280" t="n"/>
      <c r="X1004" s="280" t="n"/>
      <c r="Y1004" s="280" t="n"/>
      <c r="Z1004" s="280" t="n"/>
      <c r="AA1004" s="280" t="n"/>
      <c r="AB1004" s="280" t="n"/>
      <c r="AC1004" s="280" t="n"/>
      <c r="AD1004" s="280" t="n"/>
    </row>
    <row r="1005">
      <c r="B1005" s="312" t="inlineStr">
        <is>
          <t>Expense#46</t>
        </is>
      </c>
      <c r="C1005" s="311" t="inlineStr">
        <is>
          <t>:</t>
        </is>
      </c>
      <c r="D1005" s="312" t="inlineStr">
        <is>
          <t>Non trip - Training BSS - AC</t>
        </is>
      </c>
      <c r="E1005" s="313" t="n"/>
      <c r="F1005" s="313" t="n"/>
      <c r="G1005" s="313" t="n"/>
      <c r="H1005" s="313" t="n"/>
      <c r="I1005" s="313" t="n"/>
      <c r="J1005" s="313" t="n"/>
      <c r="K1005" s="313" t="n"/>
      <c r="L1005" s="313" t="n"/>
      <c r="M1005" s="313" t="n"/>
      <c r="N1005" s="313" t="n"/>
      <c r="O1005" s="313" t="n"/>
      <c r="P1005" s="313" t="n"/>
      <c r="Q1005" s="313" t="n"/>
      <c r="R1005" s="280" t="n"/>
      <c r="S1005" s="280" t="n"/>
      <c r="T1005" s="280" t="n"/>
      <c r="U1005" s="280" t="n"/>
      <c r="V1005" s="280" t="n"/>
      <c r="W1005" s="280" t="n"/>
      <c r="X1005" s="280" t="n"/>
      <c r="Y1005" s="280" t="n"/>
      <c r="Z1005" s="280" t="n"/>
      <c r="AA1005" s="280" t="n"/>
      <c r="AB1005" s="280" t="n"/>
      <c r="AC1005" s="280" t="n"/>
      <c r="AD1005" s="280" t="n"/>
    </row>
    <row r="1006">
      <c r="B1006" s="351" t="n"/>
      <c r="C1006" s="351" t="n"/>
      <c r="D1006" s="317" t="inlineStr">
        <is>
          <t>Training</t>
        </is>
      </c>
      <c r="E1006" s="351" t="n"/>
      <c r="F1006" s="351" t="n"/>
      <c r="G1006" s="351" t="n"/>
      <c r="H1006" s="351" t="n"/>
      <c r="I1006" s="351" t="n"/>
      <c r="J1006" s="351" t="n"/>
      <c r="K1006" s="351" t="n"/>
      <c r="L1006" s="351" t="n"/>
      <c r="M1006" s="351" t="n"/>
      <c r="N1006" s="351" t="n"/>
      <c r="O1006" s="351" t="n"/>
      <c r="P1006" s="351" t="n"/>
      <c r="Q1006" s="351" t="n"/>
      <c r="R1006" s="280" t="n"/>
      <c r="S1006" s="280" t="n"/>
      <c r="T1006" s="280" t="n"/>
      <c r="U1006" s="280" t="n"/>
      <c r="V1006" s="280" t="n"/>
      <c r="W1006" s="280" t="n"/>
      <c r="X1006" s="280" t="n"/>
      <c r="Y1006" s="280" t="n"/>
      <c r="Z1006" s="280" t="n"/>
      <c r="AA1006" s="280" t="n"/>
      <c r="AB1006" s="280" t="n"/>
      <c r="AC1006" s="280" t="n"/>
      <c r="AD1006" s="280" t="n"/>
    </row>
    <row r="1007" ht="15.5" customHeight="1">
      <c r="B1007" s="290" t="n">
        <v>45636</v>
      </c>
      <c r="C1007" s="291" t="n">
        <v>240</v>
      </c>
      <c r="D1007" s="292" t="inlineStr">
        <is>
          <t>Traning Basic Sea Survival (BSS)</t>
        </is>
      </c>
      <c r="E1007" s="289" t="inlineStr">
        <is>
          <t>-</t>
        </is>
      </c>
      <c r="F1007" s="285" t="n">
        <v>2700000</v>
      </c>
      <c r="G1007" s="294" t="inlineStr">
        <is>
          <t>IDR</t>
        </is>
      </c>
      <c r="H1007" s="295" t="n">
        <v>1</v>
      </c>
      <c r="I1007" s="282" t="n"/>
      <c r="J1007" s="287" t="n"/>
      <c r="K1007" s="281" t="n"/>
      <c r="L1007" s="285" t="n">
        <v>2700000</v>
      </c>
      <c r="M1007" s="288" t="n"/>
      <c r="N1007" s="288" t="n"/>
      <c r="O1007" s="285" t="n"/>
      <c r="P1007" s="287" t="n"/>
      <c r="Q1007" s="289" t="n"/>
      <c r="R1007" s="280" t="n"/>
      <c r="S1007" s="280" t="n"/>
      <c r="T1007" s="280" t="n"/>
      <c r="U1007" s="280" t="n"/>
      <c r="V1007" s="280" t="n"/>
      <c r="W1007" s="280" t="n"/>
      <c r="X1007" s="280" t="n"/>
      <c r="Y1007" s="280" t="n"/>
      <c r="Z1007" s="280" t="n"/>
      <c r="AA1007" s="280" t="n"/>
      <c r="AB1007" s="280" t="n"/>
      <c r="AC1007" s="280" t="n"/>
      <c r="AD1007" s="280" t="n"/>
    </row>
    <row r="1008">
      <c r="B1008" s="312" t="inlineStr">
        <is>
          <t>Expense#47</t>
        </is>
      </c>
      <c r="C1008" s="311" t="inlineStr">
        <is>
          <t>:</t>
        </is>
      </c>
      <c r="D1008" s="312" t="inlineStr">
        <is>
          <t>Trip Rakan : BSTTraining at HSSE Training Center PT Pertamina EP Zone 7 Cirebon</t>
        </is>
      </c>
      <c r="E1008" s="313" t="n"/>
      <c r="F1008" s="313" t="n"/>
      <c r="G1008" s="313" t="n"/>
      <c r="H1008" s="313" t="n"/>
      <c r="I1008" s="313" t="n"/>
      <c r="J1008" s="313" t="n"/>
      <c r="K1008" s="313" t="n"/>
      <c r="L1008" s="313" t="n"/>
      <c r="M1008" s="313" t="n"/>
      <c r="N1008" s="313" t="n"/>
      <c r="O1008" s="313" t="n"/>
      <c r="P1008" s="313" t="n"/>
      <c r="Q1008" s="313" t="n"/>
      <c r="R1008" s="280" t="n"/>
      <c r="S1008" s="280" t="n"/>
      <c r="T1008" s="280" t="n"/>
      <c r="U1008" s="280" t="n"/>
      <c r="V1008" s="280" t="n"/>
      <c r="W1008" s="280" t="n"/>
      <c r="X1008" s="280" t="n"/>
      <c r="Y1008" s="280" t="n"/>
      <c r="Z1008" s="280" t="n"/>
      <c r="AA1008" s="280" t="n"/>
      <c r="AB1008" s="280" t="n"/>
      <c r="AC1008" s="280" t="n"/>
      <c r="AD1008" s="280" t="n"/>
    </row>
    <row r="1009">
      <c r="B1009" s="351" t="n"/>
      <c r="C1009" s="351" t="n"/>
      <c r="D1009" s="317" t="inlineStr">
        <is>
          <t>Accommodation</t>
        </is>
      </c>
      <c r="E1009" s="351" t="n"/>
      <c r="F1009" s="351" t="n"/>
      <c r="G1009" s="351" t="n"/>
      <c r="H1009" s="351" t="n"/>
      <c r="I1009" s="351" t="n"/>
      <c r="J1009" s="351" t="n"/>
      <c r="K1009" s="351" t="n"/>
      <c r="L1009" s="351" t="n"/>
      <c r="M1009" s="351" t="n"/>
      <c r="N1009" s="351" t="n"/>
      <c r="O1009" s="351" t="n"/>
      <c r="P1009" s="351" t="n"/>
      <c r="Q1009" s="351" t="n"/>
      <c r="R1009" s="280" t="n"/>
      <c r="S1009" s="280" t="n"/>
      <c r="T1009" s="280" t="n"/>
      <c r="U1009" s="280" t="n"/>
      <c r="V1009" s="280" t="n"/>
      <c r="W1009" s="280" t="n"/>
      <c r="X1009" s="280" t="n"/>
      <c r="Y1009" s="280" t="n"/>
      <c r="Z1009" s="280" t="n"/>
      <c r="AA1009" s="280" t="n"/>
      <c r="AB1009" s="280" t="n"/>
      <c r="AC1009" s="280" t="n"/>
      <c r="AD1009" s="280" t="n"/>
    </row>
    <row r="1010" ht="15.5" customHeight="1">
      <c r="B1010" s="290" t="n">
        <v>45655</v>
      </c>
      <c r="C1010" s="291" t="n">
        <v>241</v>
      </c>
      <c r="D1010" s="292" t="inlineStr">
        <is>
          <t>Accomodation Hotel (Pia Hotel 29 - 30 des, 1 Night)</t>
        </is>
      </c>
      <c r="E1010" s="289" t="inlineStr">
        <is>
          <t>-</t>
        </is>
      </c>
      <c r="F1010" s="285" t="n">
        <v>224000</v>
      </c>
      <c r="G1010" s="294" t="inlineStr">
        <is>
          <t>IDR</t>
        </is>
      </c>
      <c r="H1010" s="295" t="n">
        <v>1</v>
      </c>
      <c r="I1010" s="282" t="n"/>
      <c r="J1010" s="287" t="n"/>
      <c r="K1010" s="281" t="n"/>
      <c r="L1010" s="285" t="n">
        <v>224000</v>
      </c>
      <c r="M1010" s="288" t="n"/>
      <c r="N1010" s="288" t="n"/>
      <c r="O1010" s="285" t="n"/>
      <c r="P1010" s="287" t="n"/>
      <c r="Q1010" s="289" t="n"/>
      <c r="R1010" s="280" t="n"/>
      <c r="S1010" s="280" t="n"/>
      <c r="T1010" s="280" t="n"/>
      <c r="U1010" s="280" t="n"/>
      <c r="V1010" s="280" t="n"/>
      <c r="W1010" s="280" t="n"/>
      <c r="X1010" s="280" t="n"/>
      <c r="Y1010" s="280" t="n"/>
      <c r="Z1010" s="280" t="n"/>
      <c r="AA1010" s="280" t="n"/>
      <c r="AB1010" s="280" t="n"/>
      <c r="AC1010" s="280" t="n"/>
      <c r="AD1010" s="280" t="n"/>
    </row>
    <row r="1011">
      <c r="B1011" s="351" t="n"/>
      <c r="C1011" s="351" t="n"/>
      <c r="D1011" s="317" t="inlineStr">
        <is>
          <t>Allowance</t>
        </is>
      </c>
      <c r="E1011" s="351" t="n"/>
      <c r="F1011" s="351" t="n"/>
      <c r="G1011" s="351" t="n"/>
      <c r="H1011" s="351" t="n"/>
      <c r="I1011" s="351" t="n"/>
      <c r="J1011" s="351" t="n"/>
      <c r="K1011" s="351" t="n"/>
      <c r="L1011" s="351" t="n"/>
      <c r="M1011" s="351" t="n"/>
      <c r="N1011" s="351" t="n"/>
      <c r="O1011" s="351" t="n"/>
      <c r="P1011" s="351" t="n"/>
      <c r="Q1011" s="351" t="n"/>
      <c r="R1011" s="280" t="n"/>
      <c r="S1011" s="280" t="n"/>
      <c r="T1011" s="280" t="n"/>
      <c r="U1011" s="280" t="n"/>
      <c r="V1011" s="280" t="n"/>
      <c r="W1011" s="280" t="n"/>
      <c r="X1011" s="280" t="n"/>
      <c r="Y1011" s="280" t="n"/>
      <c r="Z1011" s="280" t="n"/>
      <c r="AA1011" s="280" t="n"/>
      <c r="AB1011" s="280" t="n"/>
      <c r="AC1011" s="280" t="n"/>
      <c r="AD1011" s="280" t="n"/>
    </row>
    <row r="1012" ht="15.5" customHeight="1">
      <c r="B1012" s="290" t="n">
        <v>45656</v>
      </c>
      <c r="C1012" s="291" t="n">
        <v>242</v>
      </c>
      <c r="D1012" s="292" t="inlineStr">
        <is>
          <t>Meal Allowance 2 Days (29 - 30 December 2024)@ 150 rb</t>
        </is>
      </c>
      <c r="E1012" s="289" t="inlineStr">
        <is>
          <t>-</t>
        </is>
      </c>
      <c r="F1012" s="285" t="n">
        <v>300000</v>
      </c>
      <c r="G1012" s="294" t="inlineStr">
        <is>
          <t>IDR</t>
        </is>
      </c>
      <c r="H1012" s="295" t="n">
        <v>1</v>
      </c>
      <c r="I1012" s="282" t="n"/>
      <c r="J1012" s="287" t="n"/>
      <c r="K1012" s="281" t="n"/>
      <c r="L1012" s="285" t="n">
        <v>300000</v>
      </c>
      <c r="M1012" s="288" t="n"/>
      <c r="N1012" s="288" t="n"/>
      <c r="O1012" s="285" t="n"/>
      <c r="P1012" s="287" t="n"/>
      <c r="Q1012" s="289" t="n"/>
      <c r="R1012" s="280" t="n"/>
      <c r="S1012" s="280" t="n"/>
      <c r="T1012" s="280" t="n"/>
      <c r="U1012" s="280" t="n"/>
      <c r="V1012" s="280" t="n"/>
      <c r="W1012" s="280" t="n"/>
      <c r="X1012" s="280" t="n"/>
      <c r="Y1012" s="280" t="n"/>
      <c r="Z1012" s="280" t="n"/>
      <c r="AA1012" s="280" t="n"/>
      <c r="AB1012" s="280" t="n"/>
      <c r="AC1012" s="280" t="n"/>
      <c r="AD1012" s="280" t="n"/>
    </row>
    <row r="1013">
      <c r="B1013" s="351" t="n"/>
      <c r="C1013" s="351" t="n"/>
      <c r="D1013" s="317" t="inlineStr">
        <is>
          <t>Transportation</t>
        </is>
      </c>
      <c r="E1013" s="351" t="n"/>
      <c r="F1013" s="351" t="n"/>
      <c r="G1013" s="351" t="n"/>
      <c r="H1013" s="351" t="n"/>
      <c r="I1013" s="351" t="n"/>
      <c r="J1013" s="351" t="n"/>
      <c r="K1013" s="351" t="n"/>
      <c r="L1013" s="351" t="n"/>
      <c r="M1013" s="351" t="n"/>
      <c r="N1013" s="351" t="n"/>
      <c r="O1013" s="351" t="n"/>
      <c r="P1013" s="351" t="n"/>
      <c r="Q1013" s="351" t="n"/>
      <c r="R1013" s="280" t="n"/>
      <c r="S1013" s="280" t="n"/>
      <c r="T1013" s="280" t="n"/>
      <c r="U1013" s="280" t="n"/>
      <c r="V1013" s="280" t="n"/>
      <c r="W1013" s="280" t="n"/>
      <c r="X1013" s="280" t="n"/>
      <c r="Y1013" s="280" t="n"/>
      <c r="Z1013" s="280" t="n"/>
      <c r="AA1013" s="280" t="n"/>
      <c r="AB1013" s="280" t="n"/>
      <c r="AC1013" s="280" t="n"/>
      <c r="AD1013" s="280" t="n"/>
    </row>
    <row r="1014" ht="15.5" customHeight="1">
      <c r="B1014" s="290" t="n">
        <v>45656</v>
      </c>
      <c r="C1014" s="291" t="n">
        <v>243</v>
      </c>
      <c r="D1014" s="292" t="inlineStr">
        <is>
          <t>Gojek (Gambir Station to Cirendeu)</t>
        </is>
      </c>
      <c r="E1014" s="289" t="inlineStr">
        <is>
          <t>-</t>
        </is>
      </c>
      <c r="F1014" s="285" t="n">
        <v>66000</v>
      </c>
      <c r="G1014" s="294" t="inlineStr">
        <is>
          <t>IDR</t>
        </is>
      </c>
      <c r="H1014" s="295" t="n">
        <v>1</v>
      </c>
      <c r="I1014" s="282" t="n"/>
      <c r="J1014" s="287" t="n"/>
      <c r="K1014" s="281" t="n"/>
      <c r="L1014" s="285" t="n">
        <v>66000</v>
      </c>
      <c r="M1014" s="288" t="n"/>
      <c r="N1014" s="288" t="n"/>
      <c r="O1014" s="285" t="n"/>
      <c r="P1014" s="287" t="n"/>
      <c r="Q1014" s="289" t="n"/>
      <c r="R1014" s="280" t="n"/>
      <c r="S1014" s="280" t="n"/>
      <c r="T1014" s="280" t="n"/>
      <c r="U1014" s="280" t="n"/>
      <c r="V1014" s="280" t="n"/>
      <c r="W1014" s="280" t="n"/>
      <c r="X1014" s="280" t="n"/>
      <c r="Y1014" s="280" t="n"/>
      <c r="Z1014" s="280" t="n"/>
      <c r="AA1014" s="280" t="n"/>
      <c r="AB1014" s="280" t="n"/>
      <c r="AC1014" s="280" t="n"/>
      <c r="AD1014" s="280" t="n"/>
    </row>
    <row r="1015">
      <c r="B1015" s="352" t="inlineStr">
        <is>
          <t>TOTAL</t>
        </is>
      </c>
      <c r="I1015" s="353" t="n">
        <v>356012003</v>
      </c>
      <c r="J1015" s="353" t="n">
        <v>991500000</v>
      </c>
      <c r="K1015" s="353" t="n">
        <v>367745000</v>
      </c>
      <c r="L1015" s="353" t="n">
        <v>1165473146.932</v>
      </c>
      <c r="M1015" s="353" t="n">
        <v>12904641</v>
      </c>
      <c r="N1015" s="353" t="n">
        <v>200517570</v>
      </c>
      <c r="O1015" s="353" t="n">
        <v>4995000</v>
      </c>
      <c r="P1015" s="353" t="n">
        <v>38548717.5</v>
      </c>
      <c r="Q1015" s="353" t="n">
        <v>202920000</v>
      </c>
      <c r="R1015" s="280" t="n"/>
      <c r="S1015" s="280" t="n"/>
      <c r="T1015" s="280" t="n"/>
      <c r="U1015" s="280" t="n"/>
      <c r="V1015" s="280" t="n"/>
      <c r="W1015" s="280" t="n"/>
      <c r="X1015" s="280" t="n"/>
      <c r="Y1015" s="280" t="n"/>
      <c r="Z1015" s="280" t="n"/>
      <c r="AA1015" s="280" t="n"/>
      <c r="AB1015" s="280" t="n"/>
      <c r="AC1015" s="280" t="n"/>
      <c r="AD1015" s="280" t="n"/>
    </row>
    <row r="1019">
      <c r="B1019" s="354" t="inlineStr">
        <is>
          <t>Nama Lengkap</t>
        </is>
      </c>
    </row>
    <row r="1020">
      <c r="B1020" s="355" t="inlineStr">
        <is>
          <t>Direktur</t>
        </is>
      </c>
    </row>
  </sheetData>
  <mergeCells count="532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518:E518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D411:E411"/>
    <mergeCell ref="D351:E351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313:E313"/>
    <mergeCell ref="B1020:E1020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303:E303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06:E306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D26:E26"/>
    <mergeCell ref="D148:E148"/>
    <mergeCell ref="D324:E324"/>
    <mergeCell ref="D517:E517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B1015:H1015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519:E519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B1019:E1019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304:E304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305:E305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521:E521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6" t="n"/>
      <c r="B1" s="356" t="n"/>
      <c r="C1" s="356" t="n"/>
      <c r="D1" s="356" t="n"/>
      <c r="E1" s="357" t="n"/>
    </row>
    <row r="2" ht="37.25" customHeight="1">
      <c r="A2" s="356" t="n"/>
      <c r="B2" s="356" t="n"/>
      <c r="C2" s="356" t="n"/>
      <c r="D2" s="356" t="n"/>
      <c r="E2" s="357" t="n"/>
    </row>
    <row r="3" ht="33.6" customHeight="1">
      <c r="A3" s="356" t="n"/>
      <c r="B3" s="358" t="inlineStr">
        <is>
          <t>PT. EXSPAN WIRELINE INDONESIA</t>
        </is>
      </c>
      <c r="F3" s="359" t="n"/>
      <c r="G3" s="360" t="inlineStr">
        <is>
          <t>PT. EXSPAN WIRELINE INDONESIA</t>
        </is>
      </c>
      <c r="H3" s="360" t="n"/>
      <c r="I3" s="360" t="n"/>
      <c r="J3" s="360" t="n"/>
    </row>
    <row r="4" ht="20.45" customHeight="1">
      <c r="A4" s="356" t="n"/>
      <c r="B4" s="361" t="inlineStr">
        <is>
          <t>LABA RUGI | TAHUN 2024</t>
        </is>
      </c>
      <c r="F4" s="359" t="n"/>
      <c r="G4" s="362" t="inlineStr">
        <is>
          <t>NERACA |TAHUN YANG BERAKHIR, 31 DESEMBER 2024</t>
        </is>
      </c>
      <c r="H4" s="362" t="n"/>
      <c r="I4" s="362" t="n"/>
      <c r="J4" s="362" t="n"/>
    </row>
    <row r="5" ht="6" customHeight="1">
      <c r="A5" s="356" t="n"/>
      <c r="B5" s="356" t="n"/>
      <c r="C5" s="356" t="n"/>
      <c r="D5" s="356" t="n"/>
      <c r="E5" s="357" t="n"/>
      <c r="F5" s="359" t="n"/>
      <c r="G5" s="359" t="n"/>
      <c r="H5" s="363" t="n"/>
      <c r="I5" s="363" t="n"/>
      <c r="J5" s="363" t="n"/>
    </row>
    <row r="6" ht="15.4" customHeight="1">
      <c r="A6" s="356" t="n"/>
      <c r="B6" s="364" t="n"/>
      <c r="C6" s="365" t="n"/>
      <c r="D6" s="366" t="inlineStr">
        <is>
          <t>PT. Exspan Wireline Indonesia</t>
        </is>
      </c>
      <c r="E6" s="221" t="n"/>
      <c r="F6" s="359" t="n"/>
      <c r="G6" s="367" t="n"/>
      <c r="H6" s="368" t="n"/>
      <c r="I6" s="366" t="inlineStr">
        <is>
          <t>PT. Exspan Wireline Indonesia</t>
        </is>
      </c>
      <c r="J6" s="221" t="n"/>
    </row>
    <row r="7" ht="15.4" customHeight="1">
      <c r="A7" s="356" t="n"/>
      <c r="B7" s="369" t="n"/>
      <c r="C7" s="370" t="n"/>
      <c r="D7" s="371" t="inlineStr">
        <is>
          <t>(Rp)</t>
        </is>
      </c>
      <c r="E7" s="226" t="n"/>
      <c r="F7" s="359" t="n"/>
      <c r="G7" s="372" t="n"/>
      <c r="H7" s="373" t="n"/>
      <c r="I7" s="371" t="inlineStr">
        <is>
          <t>(Rp)</t>
        </is>
      </c>
      <c r="J7" s="226" t="n"/>
    </row>
    <row r="8" ht="15" customHeight="1">
      <c r="A8" s="374" t="n"/>
      <c r="B8" s="375" t="inlineStr">
        <is>
          <t>PENDAPATAN</t>
        </is>
      </c>
      <c r="C8" s="376" t="n"/>
      <c r="D8" s="377" t="n"/>
      <c r="E8" s="378" t="n"/>
      <c r="F8" s="359" t="n"/>
      <c r="G8" s="379" t="inlineStr">
        <is>
          <t>AKTIVA</t>
        </is>
      </c>
      <c r="H8" s="380" t="inlineStr">
        <is>
          <t>AKTIVA</t>
        </is>
      </c>
      <c r="I8" s="381" t="n"/>
      <c r="J8" s="378" t="n"/>
    </row>
    <row r="9" ht="15" customHeight="1">
      <c r="A9" s="374" t="n"/>
      <c r="B9" s="382" t="n"/>
      <c r="C9" s="383" t="inlineStr">
        <is>
          <t>PENDAPATAN LANGSUNG</t>
        </is>
      </c>
      <c r="D9" s="384" t="inlineStr">
        <is>
          <t>Rp</t>
        </is>
      </c>
      <c r="E9" s="385">
        <f>SUM('Revenue-Cost_2024'!F8:F280)</f>
        <v/>
      </c>
      <c r="F9" s="359" t="n"/>
      <c r="G9" s="386" t="inlineStr">
        <is>
          <t>AKTIVA LANCAR</t>
        </is>
      </c>
      <c r="H9" s="387" t="inlineStr">
        <is>
          <t>AKTIVA LANCAR</t>
        </is>
      </c>
      <c r="I9" s="388" t="n"/>
      <c r="J9" s="385" t="n"/>
    </row>
    <row r="10" ht="15" customHeight="1">
      <c r="A10" s="374" t="n"/>
      <c r="B10" s="382" t="n"/>
      <c r="C10" s="383" t="inlineStr">
        <is>
          <t>PENDAPATAN LAIN LAIN</t>
        </is>
      </c>
      <c r="D10" s="384" t="inlineStr">
        <is>
          <t>Rp</t>
        </is>
      </c>
      <c r="E10" s="385">
        <f>SUM('Revenue-Cost_2024'!F281:F301)</f>
        <v/>
      </c>
      <c r="F10" s="359" t="n"/>
      <c r="G10" s="386" t="n"/>
      <c r="H10" s="387" t="inlineStr">
        <is>
          <t xml:space="preserve">  KAS DAN SETARA KAS TAHUN SEBELUMNYA</t>
        </is>
      </c>
      <c r="I10" s="384" t="inlineStr">
        <is>
          <t>Rp</t>
        </is>
      </c>
      <c r="J10" s="385" t="n">
        <v>161401093</v>
      </c>
    </row>
    <row r="11" ht="15" customHeight="1">
      <c r="A11" s="374" t="n"/>
      <c r="B11" s="382" t="n"/>
      <c r="C11" s="383" t="n"/>
      <c r="D11" s="384" t="n"/>
      <c r="E11" s="385" t="n"/>
      <c r="F11" s="359" t="n"/>
      <c r="G11" s="386" t="n"/>
      <c r="H11" s="387" t="inlineStr">
        <is>
          <t xml:space="preserve">  KAS DAN SETARA KAS TAHUN LAPORAN</t>
        </is>
      </c>
      <c r="I11" s="384" t="inlineStr">
        <is>
          <t>Rp</t>
        </is>
      </c>
      <c r="J11" s="385">
        <f>ROUND(E41-'Business Summary'!E13, 0)</f>
        <v/>
      </c>
    </row>
    <row r="12" ht="15" customHeight="1">
      <c r="A12" s="374" t="n"/>
      <c r="B12" s="389" t="inlineStr">
        <is>
          <t>TOTAL PENDAPATAN</t>
        </is>
      </c>
      <c r="C12" s="390" t="n"/>
      <c r="D12" s="391" t="inlineStr">
        <is>
          <t>Rp</t>
        </is>
      </c>
      <c r="E12" s="392">
        <f>SUM(E9:E11)</f>
        <v/>
      </c>
      <c r="F12" s="359" t="n"/>
      <c r="G12" s="386" t="n"/>
      <c r="H12" s="387" t="inlineStr">
        <is>
          <t xml:space="preserve">  PIUTANG USAHA</t>
        </is>
      </c>
      <c r="I12" s="384" t="inlineStr">
        <is>
          <t>Rp</t>
        </is>
      </c>
      <c r="J12" s="385" t="n">
        <v>0</v>
      </c>
    </row>
    <row r="13" ht="15" customHeight="1">
      <c r="A13" s="374" t="n"/>
      <c r="B13" s="382" t="n"/>
      <c r="C13" s="383" t="n"/>
      <c r="D13" s="384" t="n"/>
      <c r="E13" s="385" t="n"/>
      <c r="F13" s="359" t="n"/>
      <c r="G13" s="386" t="n"/>
      <c r="H13" s="387" t="inlineStr">
        <is>
          <t xml:space="preserve">  PAJAK BAYAR DI MUKA (pph23)</t>
        </is>
      </c>
      <c r="I13" s="384" t="inlineStr">
        <is>
          <t>Rp</t>
        </is>
      </c>
      <c r="J13" s="385" t="n">
        <v>0</v>
      </c>
    </row>
    <row r="14" ht="15" customHeight="1">
      <c r="A14" s="374" t="n"/>
      <c r="B14" s="375" t="inlineStr">
        <is>
          <t>BEBAN LANGSUNG</t>
        </is>
      </c>
      <c r="C14" s="376" t="n"/>
      <c r="D14" s="377" t="n"/>
      <c r="E14" s="378" t="n"/>
      <c r="F14" s="359" t="n"/>
      <c r="G14" s="386" t="n"/>
      <c r="H14" s="387" t="inlineStr">
        <is>
          <t xml:space="preserve">  BIAYA BAYAR DI MUKA</t>
        </is>
      </c>
      <c r="I14" s="384" t="inlineStr">
        <is>
          <t>Rp</t>
        </is>
      </c>
      <c r="J14" s="385" t="n">
        <v>0</v>
      </c>
    </row>
    <row r="15" ht="15" customHeight="1">
      <c r="A15" s="374" t="n"/>
      <c r="B15" s="382" t="n"/>
      <c r="C15" s="383" t="inlineStr">
        <is>
          <t>BIAYA SEWA PERALATAN</t>
        </is>
      </c>
      <c r="D15" s="384" t="inlineStr">
        <is>
          <t>Rp</t>
        </is>
      </c>
      <c r="E15" s="385">
        <f>'Revenue-Cost_2024'!I1015</f>
        <v/>
      </c>
      <c r="F15" s="359" t="n"/>
      <c r="G15" s="393" t="n"/>
      <c r="H15" s="387" t="inlineStr">
        <is>
          <t xml:space="preserve">  PIUTANG LAIN LAIN</t>
        </is>
      </c>
      <c r="I15" s="384" t="inlineStr">
        <is>
          <t>Rp</t>
        </is>
      </c>
      <c r="J15" s="385" t="n">
        <v>0</v>
      </c>
    </row>
    <row r="16" ht="15" customHeight="1">
      <c r="A16" s="374" t="n"/>
      <c r="B16" s="382" t="n"/>
      <c r="C16" s="383" t="inlineStr">
        <is>
          <t>BIAYA RESEARCH (R&amp;D)</t>
        </is>
      </c>
      <c r="D16" s="384" t="inlineStr">
        <is>
          <t>Rp</t>
        </is>
      </c>
      <c r="E16" s="385">
        <f>'Revenue-Cost_2024'!J1015</f>
        <v/>
      </c>
      <c r="F16" s="359" t="n"/>
      <c r="G16" s="394" t="n"/>
      <c r="H16" s="395" t="inlineStr">
        <is>
          <t>TOTAL AKTIVA LANCAR</t>
        </is>
      </c>
      <c r="I16" s="391" t="inlineStr">
        <is>
          <t>Rp</t>
        </is>
      </c>
      <c r="J16" s="392">
        <f>SUM(J10:J15)</f>
        <v/>
      </c>
    </row>
    <row r="17" ht="15" customHeight="1">
      <c r="A17" s="374" t="n"/>
      <c r="B17" s="382" t="n"/>
      <c r="C17" s="383" t="inlineStr">
        <is>
          <t>BIAYA INTERPRETASI LOG DATA</t>
        </is>
      </c>
      <c r="D17" s="384" t="inlineStr">
        <is>
          <t>Rp</t>
        </is>
      </c>
      <c r="E17" s="385">
        <f>'Revenue-Cost_2024'!K1015</f>
        <v/>
      </c>
      <c r="F17" s="359" t="n"/>
      <c r="G17" s="379" t="n"/>
      <c r="H17" s="380" t="inlineStr">
        <is>
          <t>ACTIVA TETAP</t>
        </is>
      </c>
      <c r="I17" s="381" t="n"/>
      <c r="J17" s="378" t="n"/>
    </row>
    <row r="18" ht="15" customHeight="1">
      <c r="A18" s="374" t="n"/>
      <c r="B18" s="382" t="n"/>
      <c r="C18" s="383" t="inlineStr">
        <is>
          <t>BIAYA OPERASI</t>
        </is>
      </c>
      <c r="D18" s="384" t="inlineStr">
        <is>
          <t>Rp</t>
        </is>
      </c>
      <c r="E18" s="385">
        <f>'Revenue-Cost_2024'!L1015</f>
        <v/>
      </c>
      <c r="F18" s="359" t="n"/>
      <c r="G18" s="386" t="inlineStr">
        <is>
          <t>ACTIVA TETAP</t>
        </is>
      </c>
      <c r="H18" s="387" t="n"/>
      <c r="I18" s="388" t="n"/>
      <c r="J18" s="385" t="n"/>
    </row>
    <row r="19" ht="15" customHeight="1">
      <c r="A19" s="374" t="n"/>
      <c r="B19" s="389" t="inlineStr">
        <is>
          <t>TOTAL BIAYA LANGSUNG</t>
        </is>
      </c>
      <c r="C19" s="390" t="n"/>
      <c r="D19" s="391" t="inlineStr">
        <is>
          <t>Rp</t>
        </is>
      </c>
      <c r="E19" s="392">
        <f>SUM(E15:E18)</f>
        <v/>
      </c>
      <c r="F19" s="359" t="n"/>
      <c r="G19" s="386" t="n"/>
      <c r="H19" s="387" t="n"/>
      <c r="I19" s="388" t="n"/>
      <c r="J19" s="385" t="n"/>
    </row>
    <row r="20" ht="15" customHeight="1">
      <c r="A20" s="374" t="n"/>
      <c r="B20" s="382" t="n"/>
      <c r="C20" s="383" t="n"/>
      <c r="D20" s="384" t="n"/>
      <c r="E20" s="385" t="n"/>
      <c r="F20" s="359" t="n"/>
      <c r="G20" s="386" t="n"/>
      <c r="H20" s="387" t="inlineStr">
        <is>
          <t xml:space="preserve">  INVENTARIS KANTOR</t>
        </is>
      </c>
      <c r="I20" s="384" t="inlineStr">
        <is>
          <t>Rp</t>
        </is>
      </c>
      <c r="J20" s="385" t="n">
        <v>0</v>
      </c>
    </row>
    <row r="21" ht="15" customHeight="1">
      <c r="A21" s="374" t="n"/>
      <c r="B21" s="375" t="inlineStr">
        <is>
          <t>BEBAN TIDAK LANGSUNG</t>
        </is>
      </c>
      <c r="C21" s="376" t="n"/>
      <c r="D21" s="377" t="n"/>
      <c r="E21" s="378" t="n"/>
      <c r="F21" s="359" t="n"/>
      <c r="G21" s="386" t="n"/>
      <c r="H21" s="387" t="n"/>
      <c r="I21" s="388" t="n"/>
      <c r="J21" s="385" t="n"/>
    </row>
    <row r="22" ht="15" customHeight="1">
      <c r="A22" s="374" t="n"/>
      <c r="B22" s="382" t="n"/>
      <c r="C22" s="383" t="inlineStr">
        <is>
          <t>BISNIS DEV</t>
        </is>
      </c>
      <c r="D22" s="384" t="inlineStr">
        <is>
          <t>Rp</t>
        </is>
      </c>
      <c r="E22" s="385">
        <f>'Revenue-Cost_2024'!Q1015</f>
        <v/>
      </c>
      <c r="F22" s="359" t="n"/>
      <c r="G22" s="394" t="n"/>
      <c r="H22" s="395" t="inlineStr">
        <is>
          <t>TOTAL AKTIVA TETAP</t>
        </is>
      </c>
      <c r="I22" s="391" t="inlineStr">
        <is>
          <t>Rp</t>
        </is>
      </c>
      <c r="J22" s="392">
        <f>J20</f>
        <v/>
      </c>
    </row>
    <row r="23" ht="15" customHeight="1">
      <c r="A23" s="374" t="n"/>
      <c r="B23" s="389" t="inlineStr">
        <is>
          <t>TOTAL BIAYA TIDAK LANGSUNG</t>
        </is>
      </c>
      <c r="C23" s="390" t="n"/>
      <c r="D23" s="391" t="inlineStr">
        <is>
          <t>Rp</t>
        </is>
      </c>
      <c r="E23" s="392">
        <f>SUM(E22:E22)</f>
        <v/>
      </c>
      <c r="F23" s="359" t="n"/>
      <c r="G23" s="386" t="n"/>
      <c r="H23" s="387" t="n"/>
      <c r="I23" s="388" t="n"/>
      <c r="J23" s="385" t="n"/>
    </row>
    <row r="24" ht="15" customHeight="1">
      <c r="A24" s="374" t="n"/>
      <c r="B24" s="382" t="n"/>
      <c r="C24" s="383" t="n"/>
      <c r="D24" s="384" t="n"/>
      <c r="E24" s="385" t="n"/>
      <c r="F24" s="359" t="n"/>
      <c r="G24" s="379" t="inlineStr">
        <is>
          <t>ACTIVA LAIN LAIN</t>
        </is>
      </c>
      <c r="H24" s="380" t="inlineStr">
        <is>
          <t>ACTIVA LAIN LAIN</t>
        </is>
      </c>
      <c r="I24" s="381" t="n"/>
      <c r="J24" s="378" t="n">
        <v>0</v>
      </c>
    </row>
    <row r="25" ht="15" customHeight="1">
      <c r="A25" s="374" t="n"/>
      <c r="B25" s="375" t="inlineStr">
        <is>
          <t>BIAYA ADMINISTRASI DAN UMUM</t>
        </is>
      </c>
      <c r="C25" s="376" t="n"/>
      <c r="D25" s="377" t="n"/>
      <c r="E25" s="378" t="n"/>
      <c r="F25" s="359" t="n"/>
      <c r="G25" s="394" t="n"/>
      <c r="H25" s="395" t="inlineStr">
        <is>
          <t xml:space="preserve">  TOTAL AKTIVA LAIN LAIN</t>
        </is>
      </c>
      <c r="I25" s="396" t="inlineStr">
        <is>
          <t>Rp</t>
        </is>
      </c>
      <c r="J25" s="392" t="n">
        <v>0</v>
      </c>
    </row>
    <row r="26" ht="15" customHeight="1">
      <c r="A26" s="374" t="n"/>
      <c r="B26" s="382" t="n"/>
      <c r="C26" s="383" t="inlineStr">
        <is>
          <t>ADMINISTRASI</t>
        </is>
      </c>
      <c r="D26" s="384" t="inlineStr">
        <is>
          <t>Rp</t>
        </is>
      </c>
      <c r="E26" s="385">
        <f>'Revenue-Cost_2024'!M1015</f>
        <v/>
      </c>
      <c r="F26" s="359" t="n"/>
      <c r="G26" s="386" t="n"/>
      <c r="H26" s="387" t="inlineStr">
        <is>
          <t>TOTAL AKTIVA LAIN LAIN</t>
        </is>
      </c>
      <c r="I26" s="384" t="inlineStr">
        <is>
          <t>Rp</t>
        </is>
      </c>
      <c r="J26" s="385">
        <f>SUM(J25:J25)</f>
        <v/>
      </c>
    </row>
    <row r="27" ht="15" customHeight="1">
      <c r="A27" s="374" t="n"/>
      <c r="B27" s="382" t="n"/>
      <c r="C27" s="383" t="inlineStr">
        <is>
          <t>PEMBELIAN BARANG</t>
        </is>
      </c>
      <c r="D27" s="384" t="inlineStr">
        <is>
          <t>Rp</t>
        </is>
      </c>
      <c r="E27" s="385">
        <f>'Revenue-Cost_2024'!N1015</f>
        <v/>
      </c>
      <c r="F27" s="359" t="n"/>
      <c r="G27" s="386" t="n"/>
      <c r="H27" s="387" t="n"/>
      <c r="I27" s="388" t="n"/>
      <c r="J27" s="385" t="n"/>
    </row>
    <row r="28" ht="15" customHeight="1">
      <c r="A28" s="374" t="n"/>
      <c r="B28" s="382" t="n"/>
      <c r="C28" s="383" t="inlineStr">
        <is>
          <t>SEWA KANTOR</t>
        </is>
      </c>
      <c r="D28" s="384" t="inlineStr">
        <is>
          <t>Rp</t>
        </is>
      </c>
      <c r="E28" s="385">
        <f>'Revenue-Cost_2024'!O1015</f>
        <v/>
      </c>
      <c r="F28" s="359" t="n"/>
      <c r="G28" s="397" t="inlineStr">
        <is>
          <t>TOTAL AKTIVA</t>
        </is>
      </c>
      <c r="H28" s="390" t="inlineStr">
        <is>
          <t>TOTAL AKTIVA</t>
        </is>
      </c>
      <c r="I28" s="391" t="inlineStr">
        <is>
          <t>Rp</t>
        </is>
      </c>
      <c r="J28" s="392">
        <f>J26+J22+J16</f>
        <v/>
      </c>
    </row>
    <row r="29" ht="15" customHeight="1">
      <c r="A29" s="374" t="n"/>
      <c r="B29" s="382" t="n"/>
      <c r="C29" s="383" t="inlineStr">
        <is>
          <t>KESEHATAN</t>
        </is>
      </c>
      <c r="D29" s="384" t="inlineStr">
        <is>
          <t>Rp</t>
        </is>
      </c>
      <c r="E29" s="385">
        <f>'Revenue-Cost_2024'!P1015</f>
        <v/>
      </c>
      <c r="F29" s="359" t="n"/>
      <c r="G29" s="386" t="n"/>
      <c r="H29" s="387" t="n"/>
      <c r="I29" s="388" t="n"/>
      <c r="J29" s="385" t="n"/>
    </row>
    <row r="30" ht="15" customHeight="1">
      <c r="A30" s="374" t="n"/>
      <c r="B30" s="389" t="inlineStr">
        <is>
          <t>TOTAL BIAYA ADMINISTRASI DAN UMUM</t>
        </is>
      </c>
      <c r="C30" s="390" t="n"/>
      <c r="D30" s="391" t="inlineStr">
        <is>
          <t>Rp</t>
        </is>
      </c>
      <c r="E30" s="392">
        <f>SUM(E26:E29)</f>
        <v/>
      </c>
      <c r="F30" s="359" t="n"/>
      <c r="G30" s="379" t="inlineStr">
        <is>
          <t>HUTANG DAN MODAL</t>
        </is>
      </c>
      <c r="H30" s="380" t="inlineStr">
        <is>
          <t>HUTANG DAN MODAL</t>
        </is>
      </c>
      <c r="I30" s="381" t="n"/>
      <c r="J30" s="378" t="n"/>
    </row>
    <row r="31" ht="15" customHeight="1">
      <c r="A31" s="374" t="n"/>
      <c r="B31" s="382" t="n"/>
      <c r="C31" s="383" t="n"/>
      <c r="D31" s="384" t="n"/>
      <c r="E31" s="385" t="n"/>
      <c r="F31" s="359" t="n"/>
      <c r="G31" s="386" t="n"/>
      <c r="H31" s="387" t="n"/>
      <c r="I31" s="388" t="n"/>
      <c r="J31" s="385" t="n"/>
    </row>
    <row r="32" ht="15" customHeight="1">
      <c r="A32" s="374" t="n"/>
      <c r="B32" s="389" t="inlineStr">
        <is>
          <t>TOTAL BIAYA</t>
        </is>
      </c>
      <c r="C32" s="390" t="n"/>
      <c r="D32" s="391" t="inlineStr">
        <is>
          <t>Rp</t>
        </is>
      </c>
      <c r="E32" s="392">
        <f>E19+E23+E30</f>
        <v/>
      </c>
      <c r="F32" s="359" t="n"/>
      <c r="G32" s="379" t="inlineStr">
        <is>
          <t>HUTANG LANCAR</t>
        </is>
      </c>
      <c r="H32" s="380" t="inlineStr">
        <is>
          <t>HUTANG LANCAR</t>
        </is>
      </c>
      <c r="I32" s="381" t="n"/>
      <c r="J32" s="378" t="n"/>
    </row>
    <row r="33" ht="15" customHeight="1">
      <c r="A33" s="374" t="n"/>
      <c r="B33" s="382" t="n"/>
      <c r="C33" s="383" t="n"/>
      <c r="D33" s="384" t="n"/>
      <c r="E33" s="385" t="n"/>
      <c r="F33" s="359" t="n"/>
      <c r="G33" s="386" t="n"/>
      <c r="H33" s="387" t="inlineStr">
        <is>
          <t xml:space="preserve">  HUTANG USAHA</t>
        </is>
      </c>
      <c r="I33" s="384" t="inlineStr">
        <is>
          <t>Rp</t>
        </is>
      </c>
      <c r="J33" s="385" t="n">
        <v>0</v>
      </c>
    </row>
    <row r="34" ht="15" customHeight="1">
      <c r="A34" s="374" t="n"/>
      <c r="B34" s="375" t="inlineStr">
        <is>
          <t>PENDAPATAN/BEBAN LAIN LAIN</t>
        </is>
      </c>
      <c r="C34" s="376" t="n"/>
      <c r="D34" s="377" t="n"/>
      <c r="E34" s="378" t="n"/>
      <c r="F34" s="359" t="n"/>
      <c r="G34" s="386" t="n"/>
      <c r="H34" s="383" t="inlineStr">
        <is>
          <t xml:space="preserve">  HUTANG GAJI</t>
        </is>
      </c>
      <c r="I34" s="384" t="inlineStr">
        <is>
          <t>Rp</t>
        </is>
      </c>
      <c r="J34" s="385" t="n">
        <v>0</v>
      </c>
    </row>
    <row r="35" ht="15" customHeight="1">
      <c r="A35" s="374" t="n"/>
      <c r="B35" s="382" t="n"/>
      <c r="C35" s="383" t="inlineStr">
        <is>
          <t>PENDAPATAN LAIN LAIN</t>
        </is>
      </c>
      <c r="D35" s="384" t="inlineStr">
        <is>
          <t>Rp</t>
        </is>
      </c>
      <c r="E35" s="385" t="n">
        <v>0</v>
      </c>
      <c r="F35" s="359" t="n"/>
      <c r="G35" s="386" t="n"/>
      <c r="H35" s="387" t="inlineStr">
        <is>
          <t xml:space="preserve">  HUTANG PEMEGANG SAHAM</t>
        </is>
      </c>
      <c r="I35" s="384" t="inlineStr">
        <is>
          <t>Rp</t>
        </is>
      </c>
      <c r="J35" s="385" t="n">
        <v>0</v>
      </c>
    </row>
    <row r="36" ht="15" customHeight="1">
      <c r="A36" s="374" t="n"/>
      <c r="B36" s="382" t="n"/>
      <c r="C36" s="383" t="n"/>
      <c r="D36" s="384" t="n"/>
      <c r="E36" s="385" t="n"/>
      <c r="F36" s="359" t="n"/>
      <c r="G36" s="386" t="n"/>
      <c r="H36" s="387" t="inlineStr">
        <is>
          <t xml:space="preserve">  BIAYA YANG MASIH HARUS DI BAYAR</t>
        </is>
      </c>
      <c r="I36" s="384" t="inlineStr">
        <is>
          <t>Rp</t>
        </is>
      </c>
      <c r="J36" s="385" t="n">
        <v>0</v>
      </c>
    </row>
    <row r="37" ht="15" customHeight="1">
      <c r="A37" s="374" t="n"/>
      <c r="B37" s="389" t="inlineStr">
        <is>
          <t>LABA RUGI SEBELUM PAJAK</t>
        </is>
      </c>
      <c r="C37" s="390" t="n"/>
      <c r="D37" s="391" t="inlineStr">
        <is>
          <t>Rp</t>
        </is>
      </c>
      <c r="E37" s="392">
        <f>E12-E32</f>
        <v/>
      </c>
      <c r="F37" s="359" t="n"/>
      <c r="G37" s="382" t="n"/>
      <c r="H37" s="383" t="n"/>
      <c r="I37" s="384" t="n"/>
      <c r="J37" s="385" t="n"/>
    </row>
    <row r="38" ht="15" customHeight="1">
      <c r="A38" s="374" t="n"/>
      <c r="B38" s="382" t="n"/>
      <c r="C38" s="383" t="n"/>
      <c r="D38" s="384" t="n"/>
      <c r="E38" s="385" t="n"/>
      <c r="F38" s="359" t="n"/>
      <c r="G38" s="394" t="n"/>
      <c r="H38" s="395" t="inlineStr">
        <is>
          <t>TOTAL HUTANG LANCAR</t>
        </is>
      </c>
      <c r="I38" s="396" t="inlineStr">
        <is>
          <t>Rp</t>
        </is>
      </c>
      <c r="J38" s="392">
        <f>SUM(J33:J36)</f>
        <v/>
      </c>
    </row>
    <row r="39" ht="15" customHeight="1">
      <c r="A39" s="374" t="n"/>
      <c r="B39" s="389" t="inlineStr">
        <is>
          <t>CORPORATE TAX (PPh 29)</t>
        </is>
      </c>
      <c r="C39" s="390" t="n"/>
      <c r="D39" s="391" t="inlineStr">
        <is>
          <t>Rp</t>
        </is>
      </c>
      <c r="E39" s="392" t="n">
        <v>0</v>
      </c>
      <c r="F39" s="359" t="n"/>
      <c r="G39" s="386" t="n"/>
      <c r="H39" s="387" t="n"/>
      <c r="I39" s="388" t="n"/>
      <c r="J39" s="385" t="n"/>
    </row>
    <row r="40" ht="15" customHeight="1">
      <c r="A40" s="374" t="n"/>
      <c r="B40" s="382" t="n"/>
      <c r="C40" s="383" t="n"/>
      <c r="D40" s="384" t="n"/>
      <c r="E40" s="385" t="n"/>
      <c r="F40" s="359" t="n"/>
      <c r="G40" s="379" t="inlineStr">
        <is>
          <t>MODAL</t>
        </is>
      </c>
      <c r="H40" s="380" t="inlineStr">
        <is>
          <t>MODAL</t>
        </is>
      </c>
      <c r="I40" s="381" t="n"/>
      <c r="J40" s="378" t="n"/>
    </row>
    <row r="41" ht="15" customHeight="1">
      <c r="A41" s="374" t="n"/>
      <c r="B41" s="398" t="inlineStr">
        <is>
          <t>LABA / RUGI BERSIH</t>
        </is>
      </c>
      <c r="C41" s="399" t="n"/>
      <c r="D41" s="400" t="inlineStr">
        <is>
          <t>Rp</t>
        </is>
      </c>
      <c r="E41" s="401">
        <f>E37-E39</f>
        <v/>
      </c>
      <c r="F41" s="359" t="n"/>
      <c r="G41" s="386" t="n"/>
      <c r="H41" s="387" t="inlineStr">
        <is>
          <t xml:space="preserve">  MODAL SAHAM</t>
        </is>
      </c>
      <c r="I41" s="384" t="inlineStr">
        <is>
          <t>Rp</t>
        </is>
      </c>
      <c r="J41" s="385" t="n">
        <v>0</v>
      </c>
    </row>
    <row r="42" ht="14.25" customHeight="1">
      <c r="A42" s="374" t="n"/>
      <c r="B42" s="374" t="n"/>
      <c r="C42" s="374" t="n"/>
      <c r="D42" s="374" t="n"/>
      <c r="E42" s="374" t="n"/>
      <c r="F42" s="374" t="n"/>
      <c r="G42" s="382" t="n"/>
      <c r="H42" s="383" t="inlineStr">
        <is>
          <t xml:space="preserve">  LABA DI TAHAN</t>
        </is>
      </c>
      <c r="I42" s="384" t="inlineStr">
        <is>
          <t>Rp</t>
        </is>
      </c>
      <c r="J42" s="385" t="n">
        <v>0</v>
      </c>
    </row>
    <row r="43" ht="14.25" customHeight="1">
      <c r="A43" s="374" t="n"/>
      <c r="B43" s="374" t="n"/>
      <c r="C43" s="374" t="n"/>
      <c r="D43" s="374" t="n"/>
      <c r="E43" s="374" t="n"/>
      <c r="F43" s="374" t="n"/>
      <c r="G43" s="382" t="n"/>
      <c r="H43" s="383" t="inlineStr">
        <is>
          <t xml:space="preserve">  TOTAL LABA (RUGI) DITAHAN</t>
        </is>
      </c>
      <c r="I43" s="384" t="inlineStr">
        <is>
          <t>Rp</t>
        </is>
      </c>
      <c r="J43" s="385">
        <f>J28-J38-J41-J42</f>
        <v/>
      </c>
    </row>
    <row r="44" ht="14.25" customHeight="1">
      <c r="A44" s="374" t="n"/>
      <c r="B44" s="374" t="n"/>
      <c r="C44" s="374" t="n"/>
      <c r="D44" s="374" t="n"/>
      <c r="E44" s="374" t="n"/>
      <c r="F44" s="374" t="n"/>
      <c r="G44" s="389" t="n"/>
      <c r="H44" s="390" t="inlineStr">
        <is>
          <t>TOTAL MODAL</t>
        </is>
      </c>
      <c r="I44" s="391" t="inlineStr">
        <is>
          <t>Rp</t>
        </is>
      </c>
      <c r="J44" s="392">
        <f>SUM(J41:J43)</f>
        <v/>
      </c>
    </row>
    <row r="45" ht="14.25" customHeight="1">
      <c r="A45" s="374" t="n"/>
      <c r="B45" s="374" t="n"/>
      <c r="C45" s="374" t="n"/>
      <c r="D45" s="374" t="n"/>
      <c r="E45" s="374" t="n"/>
      <c r="F45" s="374" t="n"/>
      <c r="G45" s="382" t="n"/>
      <c r="H45" s="383" t="n"/>
      <c r="I45" s="384" t="n"/>
      <c r="J45" s="385" t="n"/>
    </row>
    <row r="46" ht="14.65" customHeight="1">
      <c r="A46" s="374" t="n"/>
      <c r="B46" s="374" t="n"/>
      <c r="C46" s="374" t="n"/>
      <c r="D46" s="374" t="n"/>
      <c r="E46" s="374" t="n"/>
      <c r="F46" s="374" t="n"/>
      <c r="G46" s="398" t="n"/>
      <c r="H46" s="399" t="inlineStr">
        <is>
          <t>TOTAL HUTANG DAN MODAL</t>
        </is>
      </c>
      <c r="I46" s="400" t="inlineStr">
        <is>
          <t>Rp</t>
        </is>
      </c>
      <c r="J46" s="401">
        <f>J44+J38</f>
        <v/>
      </c>
    </row>
    <row r="47" ht="4.5" customHeight="1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</row>
    <row r="48" ht="50.65" customHeight="1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</row>
    <row r="49" ht="16.8" customHeight="1">
      <c r="A49" s="374" t="n"/>
      <c r="B49" s="402" t="inlineStr">
        <is>
          <t>Nama Lengkap</t>
        </is>
      </c>
      <c r="F49" s="374" t="n"/>
      <c r="G49" s="402" t="inlineStr">
        <is>
          <t>Nama Lengkap</t>
        </is>
      </c>
    </row>
    <row r="50" ht="15.6" customHeight="1">
      <c r="A50" s="374" t="n"/>
      <c r="B50" s="403" t="inlineStr">
        <is>
          <t>Direktur</t>
        </is>
      </c>
      <c r="F50" s="374" t="n"/>
      <c r="G50" s="403" t="inlineStr">
        <is>
          <t>Direktur</t>
        </is>
      </c>
    </row>
    <row r="51" ht="14.25" customHeight="1">
      <c r="A51" s="374" t="n"/>
      <c r="B51" s="374" t="n"/>
      <c r="C51" s="374" t="n"/>
      <c r="D51" s="374" t="n"/>
      <c r="E51" s="374" t="n"/>
      <c r="F51" s="374" t="n"/>
      <c r="G51" s="374" t="n"/>
      <c r="H51" s="374" t="n"/>
    </row>
    <row r="52" ht="14.25" customHeight="1">
      <c r="A52" s="374" t="n"/>
      <c r="B52" s="374" t="n"/>
      <c r="C52" s="374" t="n"/>
      <c r="D52" s="374" t="n"/>
      <c r="E52" s="374" t="n"/>
      <c r="F52" s="374" t="n"/>
      <c r="G52" s="374" t="n"/>
      <c r="H52" s="374" t="n"/>
      <c r="J52" s="40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</row>
    <row r="61">
      <c r="A61" s="374" t="n"/>
      <c r="B61" s="374" t="n"/>
      <c r="C61" s="374" t="n"/>
      <c r="D61" s="374" t="n"/>
      <c r="E61" s="374" t="n"/>
      <c r="F61" s="374" t="n"/>
      <c r="G61" s="374" t="n"/>
      <c r="H61" s="374" t="n"/>
    </row>
    <row r="62">
      <c r="A62" s="374" t="n"/>
      <c r="B62" s="374" t="n"/>
      <c r="C62" s="374" t="n"/>
      <c r="D62" s="374" t="n"/>
      <c r="E62" s="374" t="n"/>
      <c r="F62" s="374" t="n"/>
      <c r="G62" s="374" t="n"/>
      <c r="H62" s="374" t="n"/>
    </row>
    <row r="63">
      <c r="A63" s="374" t="n"/>
      <c r="B63" s="374" t="n"/>
      <c r="C63" s="374" t="n"/>
      <c r="D63" s="374" t="n"/>
      <c r="E63" s="374" t="n"/>
      <c r="F63" s="374" t="n"/>
      <c r="G63" s="374" t="n"/>
      <c r="H63" s="374" t="n"/>
    </row>
    <row r="64">
      <c r="A64" s="374" t="n"/>
      <c r="B64" s="374" t="n"/>
      <c r="C64" s="374" t="n"/>
      <c r="D64" s="374" t="n"/>
      <c r="E64" s="374" t="n"/>
      <c r="F64" s="374" t="n"/>
      <c r="G64" s="374" t="n"/>
      <c r="H64" s="374" t="n"/>
    </row>
    <row r="65">
      <c r="A65" s="374" t="n"/>
      <c r="B65" s="374" t="n"/>
      <c r="C65" s="374" t="n"/>
      <c r="D65" s="374" t="n"/>
      <c r="E65" s="374" t="n"/>
      <c r="F65" s="374" t="n"/>
      <c r="G65" s="374" t="n"/>
      <c r="H65" s="374" t="n"/>
    </row>
    <row r="66">
      <c r="A66" s="374" t="n"/>
      <c r="B66" s="374" t="n"/>
      <c r="C66" s="374" t="n"/>
      <c r="D66" s="374" t="n"/>
      <c r="E66" s="374" t="n"/>
      <c r="F66" s="374" t="n"/>
      <c r="G66" s="374" t="n"/>
      <c r="H66" s="374" t="n"/>
    </row>
    <row r="67">
      <c r="A67" s="374" t="n"/>
      <c r="B67" s="374" t="n"/>
      <c r="C67" s="374" t="n"/>
      <c r="D67" s="374" t="n"/>
      <c r="E67" s="374" t="n"/>
      <c r="F67" s="374" t="n"/>
      <c r="G67" s="374" t="n"/>
      <c r="H67" s="374" t="n"/>
    </row>
    <row r="68">
      <c r="A68" s="374" t="n"/>
      <c r="B68" s="374" t="n"/>
      <c r="C68" s="374" t="n"/>
      <c r="D68" s="374" t="n"/>
      <c r="E68" s="374" t="n"/>
      <c r="F68" s="374" t="n"/>
      <c r="G68" s="374" t="n"/>
      <c r="H68" s="374" t="n"/>
    </row>
    <row r="69">
      <c r="A69" s="374" t="n"/>
      <c r="B69" s="374" t="n"/>
      <c r="C69" s="374" t="n"/>
      <c r="D69" s="374" t="n"/>
      <c r="E69" s="374" t="n"/>
      <c r="F69" s="374" t="n"/>
      <c r="G69" s="374" t="n"/>
      <c r="H69" s="374" t="n"/>
    </row>
    <row r="70">
      <c r="A70" s="374" t="n"/>
      <c r="B70" s="374" t="n"/>
      <c r="C70" s="374" t="n"/>
      <c r="D70" s="374" t="n"/>
      <c r="E70" s="374" t="n"/>
      <c r="F70" s="374" t="n"/>
      <c r="G70" s="374" t="n"/>
      <c r="H70" s="374" t="n"/>
    </row>
    <row r="71">
      <c r="A71" s="374" t="n"/>
      <c r="B71" s="374" t="n"/>
      <c r="C71" s="374" t="n"/>
      <c r="D71" s="374" t="n"/>
      <c r="E71" s="374" t="n"/>
      <c r="F71" s="374" t="n"/>
      <c r="G71" s="374" t="n"/>
      <c r="H71" s="374" t="n"/>
    </row>
    <row r="72">
      <c r="A72" s="374" t="n"/>
      <c r="B72" s="374" t="n"/>
      <c r="C72" s="374" t="n"/>
      <c r="D72" s="374" t="n"/>
      <c r="E72" s="374" t="n"/>
      <c r="F72" s="374" t="n"/>
      <c r="G72" s="374" t="n"/>
      <c r="H72" s="374" t="n"/>
    </row>
    <row r="73">
      <c r="A73" s="374" t="n"/>
      <c r="B73" s="374" t="n"/>
      <c r="C73" s="374" t="n"/>
      <c r="D73" s="374" t="n"/>
      <c r="E73" s="374" t="n"/>
      <c r="F73" s="374" t="n"/>
      <c r="G73" s="374" t="n"/>
      <c r="H73" s="374" t="n"/>
    </row>
    <row r="74">
      <c r="A74" s="374" t="n"/>
      <c r="B74" s="374" t="n"/>
      <c r="C74" s="374" t="n"/>
      <c r="D74" s="374" t="n"/>
      <c r="E74" s="374" t="n"/>
      <c r="F74" s="374" t="n"/>
      <c r="G74" s="374" t="n"/>
      <c r="H74" s="374" t="n"/>
    </row>
    <row r="75">
      <c r="A75" s="374" t="n"/>
      <c r="B75" s="374" t="n"/>
      <c r="C75" s="374" t="n"/>
      <c r="D75" s="374" t="n"/>
      <c r="E75" s="374" t="n"/>
      <c r="F75" s="374" t="n"/>
      <c r="G75" s="374" t="n"/>
      <c r="H75" s="374" t="n"/>
    </row>
    <row r="76">
      <c r="A76" s="374" t="n"/>
      <c r="B76" s="374" t="n"/>
      <c r="C76" s="374" t="n"/>
      <c r="D76" s="374" t="n"/>
      <c r="E76" s="374" t="n"/>
      <c r="F76" s="374" t="n"/>
      <c r="G76" s="374" t="n"/>
      <c r="H76" s="374" t="n"/>
    </row>
    <row r="77">
      <c r="A77" s="374" t="n"/>
      <c r="B77" s="374" t="n"/>
      <c r="C77" s="374" t="n"/>
      <c r="D77" s="374" t="n"/>
      <c r="E77" s="374" t="n"/>
      <c r="F77" s="374" t="n"/>
      <c r="G77" s="374" t="n"/>
      <c r="H77" s="374" t="n"/>
    </row>
    <row r="78">
      <c r="A78" s="374" t="n"/>
      <c r="B78" s="374" t="n"/>
      <c r="C78" s="374" t="n"/>
      <c r="D78" s="374" t="n"/>
      <c r="E78" s="374" t="n"/>
      <c r="F78" s="374" t="n"/>
      <c r="G78" s="374" t="n"/>
      <c r="H78" s="374" t="n"/>
    </row>
    <row r="79">
      <c r="A79" s="374" t="n"/>
      <c r="B79" s="374" t="n"/>
      <c r="C79" s="374" t="n"/>
      <c r="D79" s="374" t="n"/>
      <c r="E79" s="374" t="n"/>
      <c r="F79" s="374" t="n"/>
      <c r="G79" s="374" t="n"/>
      <c r="H79" s="374" t="n"/>
    </row>
    <row r="80">
      <c r="A80" s="374" t="n"/>
      <c r="B80" s="374" t="n"/>
      <c r="C80" s="374" t="n"/>
      <c r="D80" s="374" t="n"/>
      <c r="E80" s="374" t="n"/>
      <c r="F80" s="374" t="n"/>
      <c r="G80" s="374" t="n"/>
      <c r="H80" s="374" t="n"/>
    </row>
    <row r="81">
      <c r="A81" s="374" t="n"/>
      <c r="B81" s="374" t="n"/>
      <c r="C81" s="374" t="n"/>
      <c r="D81" s="374" t="n"/>
      <c r="E81" s="374" t="n"/>
      <c r="F81" s="374" t="n"/>
      <c r="G81" s="374" t="n"/>
      <c r="H81" s="374" t="n"/>
    </row>
    <row r="82">
      <c r="A82" s="374" t="n"/>
      <c r="B82" s="374" t="n"/>
      <c r="C82" s="374" t="n"/>
      <c r="D82" s="374" t="n"/>
      <c r="E82" s="374" t="n"/>
      <c r="F82" s="374" t="n"/>
      <c r="G82" s="374" t="n"/>
      <c r="H82" s="374" t="n"/>
    </row>
    <row r="83">
      <c r="A83" s="374" t="n"/>
      <c r="B83" s="374" t="n"/>
      <c r="C83" s="374" t="n"/>
      <c r="D83" s="374" t="n"/>
      <c r="E83" s="374" t="n"/>
      <c r="F83" s="374" t="n"/>
      <c r="G83" s="374" t="n"/>
      <c r="H83" s="374" t="n"/>
    </row>
    <row r="84">
      <c r="A84" s="374" t="n"/>
      <c r="B84" s="374" t="n"/>
      <c r="C84" s="374" t="n"/>
      <c r="D84" s="374" t="n"/>
      <c r="E84" s="374" t="n"/>
      <c r="F84" s="374" t="n"/>
      <c r="G84" s="374" t="n"/>
      <c r="H84" s="374" t="n"/>
    </row>
    <row r="85">
      <c r="A85" s="374" t="n"/>
      <c r="B85" s="374" t="n"/>
      <c r="C85" s="374" t="n"/>
      <c r="D85" s="374" t="n"/>
      <c r="E85" s="374" t="n"/>
      <c r="F85" s="374" t="n"/>
      <c r="G85" s="374" t="n"/>
      <c r="H85" s="374" t="n"/>
    </row>
    <row r="86">
      <c r="A86" s="374" t="n"/>
      <c r="B86" s="374" t="n"/>
      <c r="C86" s="374" t="n"/>
      <c r="D86" s="374" t="n"/>
      <c r="E86" s="374" t="n"/>
      <c r="F86" s="374" t="n"/>
      <c r="G86" s="374" t="n"/>
      <c r="H86" s="374" t="n"/>
    </row>
    <row r="87">
      <c r="A87" s="374" t="n"/>
      <c r="B87" s="374" t="n"/>
      <c r="C87" s="374" t="n"/>
      <c r="D87" s="374" t="n"/>
      <c r="E87" s="374" t="n"/>
      <c r="F87" s="374" t="n"/>
      <c r="G87" s="374" t="n"/>
      <c r="H87" s="374" t="n"/>
    </row>
    <row r="88">
      <c r="A88" s="374" t="n"/>
      <c r="B88" s="374" t="n"/>
      <c r="C88" s="374" t="n"/>
      <c r="D88" s="374" t="n"/>
      <c r="E88" s="374" t="n"/>
      <c r="F88" s="374" t="n"/>
      <c r="G88" s="374" t="n"/>
      <c r="H88" s="374" t="n"/>
    </row>
    <row r="89">
      <c r="A89" s="374" t="n"/>
      <c r="B89" s="374" t="n"/>
      <c r="C89" s="374" t="n"/>
      <c r="D89" s="374" t="n"/>
      <c r="E89" s="374" t="n"/>
      <c r="F89" s="374" t="n"/>
      <c r="G89" s="374" t="n"/>
      <c r="H89" s="374" t="n"/>
    </row>
    <row r="90">
      <c r="A90" s="374" t="n"/>
      <c r="B90" s="374" t="n"/>
      <c r="C90" s="374" t="n"/>
      <c r="D90" s="374" t="n"/>
      <c r="E90" s="374" t="n"/>
      <c r="F90" s="374" t="n"/>
      <c r="G90" s="374" t="n"/>
      <c r="H90" s="374" t="n"/>
    </row>
    <row r="91">
      <c r="A91" s="374" t="n"/>
      <c r="B91" s="374" t="n"/>
      <c r="C91" s="374" t="n"/>
      <c r="D91" s="374" t="n"/>
      <c r="E91" s="374" t="n"/>
      <c r="F91" s="374" t="n"/>
      <c r="G91" s="374" t="n"/>
      <c r="H91" s="374" t="n"/>
    </row>
    <row r="92">
      <c r="A92" s="374" t="n"/>
      <c r="B92" s="374" t="n"/>
      <c r="C92" s="374" t="n"/>
      <c r="D92" s="374" t="n"/>
      <c r="E92" s="374" t="n"/>
      <c r="F92" s="374" t="n"/>
      <c r="G92" s="374" t="n"/>
      <c r="H92" s="374" t="n"/>
    </row>
    <row r="93">
      <c r="A93" s="374" t="n"/>
      <c r="B93" s="374" t="n"/>
      <c r="C93" s="374" t="n"/>
      <c r="D93" s="374" t="n"/>
      <c r="E93" s="374" t="n"/>
      <c r="F93" s="374" t="n"/>
      <c r="G93" s="374" t="n"/>
      <c r="H93" s="374" t="n"/>
    </row>
    <row r="94">
      <c r="A94" s="374" t="n"/>
      <c r="B94" s="374" t="n"/>
      <c r="C94" s="374" t="n"/>
      <c r="D94" s="374" t="n"/>
      <c r="E94" s="374" t="n"/>
      <c r="F94" s="374" t="n"/>
      <c r="G94" s="374" t="n"/>
      <c r="H94" s="374" t="n"/>
    </row>
    <row r="95">
      <c r="A95" s="374" t="n"/>
      <c r="B95" s="374" t="n"/>
      <c r="C95" s="374" t="n"/>
      <c r="D95" s="374" t="n"/>
      <c r="E95" s="374" t="n"/>
      <c r="F95" s="374" t="n"/>
      <c r="G95" s="374" t="n"/>
      <c r="H95" s="374" t="n"/>
    </row>
    <row r="96" ht="64.5" customHeight="1">
      <c r="A96" s="374" t="n"/>
      <c r="B96" s="374" t="n"/>
      <c r="C96" s="374" t="n"/>
      <c r="D96" s="374" t="n"/>
      <c r="E96" s="374" t="n"/>
      <c r="F96" s="374" t="n"/>
      <c r="G96" s="374" t="n"/>
      <c r="H96" s="374" t="n"/>
    </row>
    <row r="97">
      <c r="A97" s="374" t="n"/>
      <c r="B97" s="374" t="n"/>
      <c r="C97" s="374" t="n"/>
      <c r="D97" s="374" t="n"/>
      <c r="E97" s="374" t="n"/>
      <c r="F97" s="374" t="n"/>
      <c r="G97" s="374" t="n"/>
      <c r="H97" s="374" t="n"/>
    </row>
    <row r="98">
      <c r="A98" s="374" t="n"/>
      <c r="B98" s="374" t="n"/>
      <c r="C98" s="374" t="n"/>
      <c r="D98" s="374" t="n"/>
      <c r="E98" s="374" t="n"/>
      <c r="F98" s="374" t="n"/>
      <c r="G98" s="374" t="n"/>
      <c r="H98" s="374" t="n"/>
    </row>
    <row r="99">
      <c r="A99" s="374" t="n"/>
      <c r="B99" s="374" t="n"/>
      <c r="C99" s="374" t="n"/>
      <c r="D99" s="374" t="n"/>
      <c r="E99" s="374" t="n"/>
      <c r="F99" s="374" t="n"/>
      <c r="G99" s="374" t="n"/>
      <c r="H99" s="374" t="n"/>
    </row>
    <row r="100">
      <c r="A100" s="374" t="n"/>
      <c r="B100" s="374" t="n"/>
      <c r="C100" s="374" t="n"/>
      <c r="D100" s="374" t="n"/>
      <c r="E100" s="374" t="n"/>
      <c r="F100" s="374" t="n"/>
      <c r="G100" s="374" t="n"/>
      <c r="H100" s="374" t="n"/>
    </row>
    <row r="101">
      <c r="A101" s="374" t="n"/>
      <c r="B101" s="374" t="n"/>
      <c r="C101" s="374" t="n"/>
      <c r="D101" s="374" t="n"/>
      <c r="E101" s="374" t="n"/>
      <c r="F101" s="374" t="n"/>
      <c r="G101" s="374" t="n"/>
      <c r="H101" s="374" t="n"/>
    </row>
    <row r="102">
      <c r="A102" s="374" t="n"/>
      <c r="B102" s="374" t="n"/>
      <c r="C102" s="374" t="n"/>
      <c r="D102" s="374" t="n"/>
      <c r="E102" s="374" t="n"/>
      <c r="F102" s="374" t="n"/>
      <c r="G102" s="374" t="n"/>
      <c r="H102" s="374" t="n"/>
    </row>
    <row r="103">
      <c r="A103" s="374" t="n"/>
      <c r="B103" s="374" t="n"/>
      <c r="C103" s="374" t="n"/>
      <c r="D103" s="374" t="n"/>
      <c r="E103" s="374" t="n"/>
      <c r="F103" s="374" t="n"/>
      <c r="G103" s="374" t="n"/>
      <c r="H103" s="374" t="n"/>
    </row>
    <row r="104">
      <c r="A104" s="374" t="n"/>
      <c r="B104" s="374" t="n"/>
      <c r="C104" s="374" t="n"/>
      <c r="D104" s="374" t="n"/>
      <c r="E104" s="374" t="n"/>
      <c r="F104" s="374" t="n"/>
      <c r="G104" s="374" t="n"/>
      <c r="H104" s="374" t="n"/>
    </row>
    <row r="105">
      <c r="A105" s="374" t="n"/>
      <c r="B105" s="374" t="n"/>
      <c r="C105" s="374" t="n"/>
      <c r="D105" s="374" t="n"/>
      <c r="E105" s="374" t="n"/>
      <c r="F105" s="374" t="n"/>
      <c r="G105" s="374" t="n"/>
      <c r="H105" s="374" t="n"/>
    </row>
    <row r="106">
      <c r="A106" s="374" t="n"/>
      <c r="B106" s="374" t="n"/>
      <c r="C106" s="374" t="n"/>
      <c r="D106" s="374" t="n"/>
      <c r="E106" s="374" t="n"/>
      <c r="F106" s="374" t="n"/>
      <c r="G106" s="374" t="n"/>
      <c r="H106" s="374" t="n"/>
    </row>
    <row r="107">
      <c r="A107" s="374" t="n"/>
      <c r="B107" s="374" t="n"/>
      <c r="C107" s="374" t="n"/>
      <c r="D107" s="374" t="n"/>
      <c r="E107" s="374" t="n"/>
      <c r="F107" s="374" t="n"/>
      <c r="G107" s="374" t="n"/>
      <c r="H107" s="374" t="n"/>
    </row>
    <row r="108">
      <c r="A108" s="374" t="n"/>
      <c r="B108" s="374" t="n"/>
      <c r="C108" s="374" t="n"/>
      <c r="D108" s="374" t="n"/>
      <c r="E108" s="374" t="n"/>
      <c r="F108" s="374" t="n"/>
      <c r="G108" s="374" t="n"/>
      <c r="H108" s="374" t="n"/>
    </row>
    <row r="109">
      <c r="A109" s="374" t="n"/>
      <c r="B109" s="374" t="n"/>
      <c r="C109" s="374" t="n"/>
      <c r="D109" s="374" t="n"/>
      <c r="E109" s="374" t="n"/>
      <c r="F109" s="374" t="n"/>
      <c r="G109" s="374" t="n"/>
      <c r="H109" s="374" t="n"/>
    </row>
    <row r="110">
      <c r="A110" s="374" t="n"/>
      <c r="B110" s="374" t="n"/>
      <c r="C110" s="374" t="n"/>
      <c r="D110" s="374" t="n"/>
      <c r="E110" s="374" t="n"/>
      <c r="F110" s="374" t="n"/>
      <c r="G110" s="374" t="n"/>
      <c r="H110" s="374" t="n"/>
    </row>
    <row r="111">
      <c r="A111" s="374" t="n"/>
      <c r="B111" s="374" t="n"/>
      <c r="C111" s="374" t="n"/>
      <c r="D111" s="374" t="n"/>
      <c r="E111" s="374" t="n"/>
      <c r="F111" s="374" t="n"/>
      <c r="G111" s="374" t="n"/>
      <c r="H111" s="374" t="n"/>
    </row>
    <row r="112">
      <c r="A112" s="374" t="n"/>
      <c r="B112" s="374" t="n"/>
      <c r="C112" s="374" t="n"/>
      <c r="D112" s="374" t="n"/>
      <c r="E112" s="374" t="n"/>
      <c r="F112" s="374" t="n"/>
      <c r="G112" s="374" t="n"/>
      <c r="H112" s="374" t="n"/>
    </row>
    <row r="113">
      <c r="A113" s="374" t="n"/>
      <c r="B113" s="374" t="n"/>
      <c r="C113" s="374" t="n"/>
      <c r="D113" s="374" t="n"/>
      <c r="E113" s="374" t="n"/>
      <c r="F113" s="374" t="n"/>
      <c r="G113" s="374" t="n"/>
      <c r="H113" s="374" t="n"/>
    </row>
    <row r="114">
      <c r="A114" s="374" t="n"/>
      <c r="B114" s="374" t="n"/>
      <c r="C114" s="374" t="n"/>
      <c r="D114" s="374" t="n"/>
      <c r="E114" s="374" t="n"/>
      <c r="F114" s="374" t="n"/>
      <c r="G114" s="374" t="n"/>
      <c r="H114" s="374" t="n"/>
    </row>
    <row r="115">
      <c r="A115" s="374" t="n"/>
      <c r="B115" s="374" t="n"/>
      <c r="C115" s="374" t="n"/>
      <c r="D115" s="374" t="n"/>
      <c r="E115" s="374" t="n"/>
      <c r="F115" s="374" t="n"/>
      <c r="G115" s="374" t="n"/>
      <c r="H115" s="374" t="n"/>
    </row>
    <row r="116">
      <c r="A116" s="374" t="n"/>
      <c r="B116" s="374" t="n"/>
      <c r="C116" s="374" t="n"/>
      <c r="D116" s="374" t="n"/>
      <c r="E116" s="374" t="n"/>
      <c r="F116" s="374" t="n"/>
      <c r="G116" s="374" t="n"/>
      <c r="H116" s="374" t="n"/>
    </row>
    <row r="117">
      <c r="A117" s="374" t="n"/>
      <c r="B117" s="374" t="n"/>
      <c r="C117" s="374" t="n"/>
      <c r="D117" s="374" t="n"/>
      <c r="E117" s="374" t="n"/>
      <c r="F117" s="374" t="n"/>
      <c r="G117" s="374" t="n"/>
      <c r="H117" s="374" t="n"/>
    </row>
    <row r="118">
      <c r="A118" s="374" t="n"/>
      <c r="B118" s="374" t="n"/>
      <c r="C118" s="374" t="n"/>
      <c r="D118" s="374" t="n"/>
      <c r="E118" s="374" t="n"/>
      <c r="F118" s="374" t="n"/>
      <c r="G118" s="374" t="n"/>
      <c r="H118" s="374" t="n"/>
    </row>
    <row r="119">
      <c r="A119" s="374" t="n"/>
      <c r="B119" s="374" t="n"/>
      <c r="C119" s="374" t="n"/>
      <c r="D119" s="374" t="n"/>
      <c r="E119" s="374" t="n"/>
      <c r="F119" s="374" t="n"/>
      <c r="G119" s="374" t="n"/>
      <c r="H119" s="374" t="n"/>
    </row>
    <row r="120">
      <c r="A120" s="374" t="n"/>
      <c r="B120" s="374" t="n"/>
      <c r="C120" s="374" t="n"/>
      <c r="D120" s="374" t="n"/>
      <c r="E120" s="374" t="n"/>
      <c r="F120" s="374" t="n"/>
      <c r="G120" s="374" t="n"/>
      <c r="H120" s="374" t="n"/>
    </row>
    <row r="121">
      <c r="A121" s="374" t="n"/>
      <c r="B121" s="374" t="n"/>
      <c r="C121" s="374" t="n"/>
      <c r="D121" s="374" t="n"/>
      <c r="E121" s="374" t="n"/>
      <c r="F121" s="374" t="n"/>
      <c r="G121" s="374" t="n"/>
      <c r="H121" s="374" t="n"/>
    </row>
    <row r="122">
      <c r="A122" s="374" t="n"/>
      <c r="B122" s="374" t="n"/>
      <c r="C122" s="374" t="n"/>
      <c r="D122" s="374" t="n"/>
      <c r="E122" s="374" t="n"/>
      <c r="F122" s="374" t="n"/>
      <c r="G122" s="374" t="n"/>
      <c r="H122" s="374" t="n"/>
    </row>
    <row r="123">
      <c r="A123" s="374" t="n"/>
      <c r="B123" s="374" t="n"/>
      <c r="C123" s="374" t="n"/>
      <c r="D123" s="374" t="n"/>
      <c r="E123" s="374" t="n"/>
      <c r="F123" s="374" t="n"/>
      <c r="G123" s="374" t="n"/>
      <c r="H123" s="374" t="n"/>
    </row>
    <row r="124">
      <c r="A124" s="374" t="n"/>
      <c r="B124" s="374" t="n"/>
      <c r="C124" s="374" t="n"/>
      <c r="D124" s="374" t="n"/>
      <c r="E124" s="374" t="n"/>
      <c r="F124" s="374" t="n"/>
      <c r="G124" s="374" t="n"/>
      <c r="H124" s="374" t="n"/>
    </row>
    <row r="125">
      <c r="A125" s="374" t="n"/>
      <c r="B125" s="374" t="n"/>
      <c r="C125" s="374" t="n"/>
      <c r="D125" s="374" t="n"/>
      <c r="E125" s="374" t="n"/>
      <c r="F125" s="374" t="n"/>
      <c r="G125" s="374" t="n"/>
      <c r="H125" s="374" t="n"/>
    </row>
    <row r="126">
      <c r="A126" s="374" t="n"/>
      <c r="B126" s="374" t="n"/>
      <c r="C126" s="374" t="n"/>
      <c r="D126" s="374" t="n"/>
      <c r="E126" s="374" t="n"/>
      <c r="F126" s="374" t="n"/>
      <c r="G126" s="374" t="n"/>
      <c r="H126" s="374" t="n"/>
    </row>
    <row r="127">
      <c r="A127" s="374" t="n"/>
      <c r="B127" s="374" t="n"/>
      <c r="C127" s="374" t="n"/>
      <c r="D127" s="374" t="n"/>
      <c r="E127" s="374" t="n"/>
      <c r="F127" s="374" t="n"/>
      <c r="G127" s="374" t="n"/>
      <c r="H127" s="374" t="n"/>
    </row>
    <row r="128">
      <c r="A128" s="374" t="n"/>
      <c r="B128" s="374" t="n"/>
      <c r="C128" s="374" t="n"/>
      <c r="D128" s="374" t="n"/>
      <c r="E128" s="374" t="n"/>
      <c r="F128" s="374" t="n"/>
      <c r="G128" s="374" t="n"/>
      <c r="H128" s="374" t="n"/>
    </row>
    <row r="129">
      <c r="A129" s="374" t="n"/>
      <c r="B129" s="374" t="n"/>
      <c r="C129" s="374" t="n"/>
      <c r="D129" s="374" t="n"/>
      <c r="E129" s="374" t="n"/>
      <c r="F129" s="374" t="n"/>
      <c r="G129" s="374" t="n"/>
      <c r="H129" s="374" t="n"/>
    </row>
    <row r="130">
      <c r="A130" s="374" t="n"/>
      <c r="B130" s="374" t="n"/>
      <c r="C130" s="374" t="n"/>
      <c r="D130" s="374" t="n"/>
      <c r="E130" s="374" t="n"/>
      <c r="F130" s="374" t="n"/>
      <c r="G130" s="374" t="n"/>
      <c r="H130" s="374" t="n"/>
    </row>
    <row r="131">
      <c r="A131" s="374" t="n"/>
      <c r="B131" s="374" t="n"/>
      <c r="C131" s="374" t="n"/>
      <c r="D131" s="374" t="n"/>
      <c r="E131" s="374" t="n"/>
      <c r="F131" s="374" t="n"/>
      <c r="G131" s="374" t="n"/>
      <c r="H131" s="374" t="n"/>
    </row>
    <row r="132">
      <c r="A132" s="374" t="n"/>
      <c r="B132" s="374" t="n"/>
      <c r="C132" s="374" t="n"/>
      <c r="D132" s="374" t="n"/>
      <c r="E132" s="374" t="n"/>
      <c r="F132" s="374" t="n"/>
      <c r="G132" s="374" t="n"/>
      <c r="H132" s="374" t="n"/>
    </row>
    <row r="133">
      <c r="A133" s="374" t="n"/>
      <c r="B133" s="374" t="n"/>
      <c r="C133" s="374" t="n"/>
      <c r="D133" s="374" t="n"/>
      <c r="E133" s="374" t="n"/>
      <c r="F133" s="374" t="n"/>
      <c r="G133" s="374" t="n"/>
      <c r="H133" s="374" t="n"/>
    </row>
    <row r="134">
      <c r="A134" s="374" t="n"/>
      <c r="B134" s="374" t="n"/>
      <c r="C134" s="374" t="n"/>
      <c r="D134" s="374" t="n"/>
      <c r="E134" s="374" t="n"/>
      <c r="F134" s="374" t="n"/>
      <c r="G134" s="374" t="n"/>
      <c r="H134" s="374" t="n"/>
    </row>
    <row r="135">
      <c r="A135" s="374" t="n"/>
      <c r="B135" s="374" t="n"/>
      <c r="C135" s="374" t="n"/>
      <c r="D135" s="374" t="n"/>
      <c r="E135" s="374" t="n"/>
      <c r="F135" s="374" t="n"/>
      <c r="G135" s="374" t="n"/>
      <c r="H135" s="374" t="n"/>
    </row>
    <row r="136">
      <c r="A136" s="374" t="n"/>
      <c r="B136" s="374" t="n"/>
      <c r="C136" s="374" t="n"/>
      <c r="D136" s="374" t="n"/>
      <c r="E136" s="374" t="n"/>
      <c r="F136" s="374" t="n"/>
      <c r="G136" s="374" t="n"/>
      <c r="H136" s="374" t="n"/>
    </row>
    <row r="137">
      <c r="A137" s="374" t="n"/>
      <c r="B137" s="374" t="n"/>
      <c r="C137" s="374" t="n"/>
      <c r="D137" s="374" t="n"/>
      <c r="E137" s="374" t="n"/>
      <c r="F137" s="374" t="n"/>
      <c r="G137" s="374" t="n"/>
      <c r="H137" s="374" t="n"/>
    </row>
    <row r="138">
      <c r="A138" s="374" t="n"/>
      <c r="B138" s="374" t="n"/>
      <c r="C138" s="374" t="n"/>
      <c r="D138" s="374" t="n"/>
      <c r="E138" s="374" t="n"/>
      <c r="F138" s="374" t="n"/>
      <c r="G138" s="374" t="n"/>
      <c r="H138" s="374" t="n"/>
    </row>
    <row r="139">
      <c r="A139" s="374" t="n"/>
      <c r="B139" s="374" t="n"/>
      <c r="C139" s="374" t="n"/>
      <c r="D139" s="374" t="n"/>
      <c r="E139" s="374" t="n"/>
      <c r="F139" s="374" t="n"/>
      <c r="G139" s="374" t="n"/>
      <c r="H139" s="374" t="n"/>
    </row>
    <row r="140">
      <c r="A140" s="374" t="n"/>
      <c r="B140" s="374" t="n"/>
      <c r="C140" s="374" t="n"/>
      <c r="D140" s="374" t="n"/>
      <c r="E140" s="374" t="n"/>
      <c r="F140" s="374" t="n"/>
      <c r="G140" s="374" t="n"/>
      <c r="H140" s="374" t="n"/>
    </row>
    <row r="141">
      <c r="A141" s="374" t="n"/>
      <c r="B141" s="374" t="n"/>
      <c r="C141" s="374" t="n"/>
      <c r="D141" s="374" t="n"/>
      <c r="E141" s="374" t="n"/>
      <c r="F141" s="374" t="n"/>
      <c r="G141" s="374" t="n"/>
      <c r="H141" s="374" t="n"/>
    </row>
    <row r="142">
      <c r="A142" s="374" t="n"/>
      <c r="B142" s="374" t="n"/>
      <c r="C142" s="374" t="n"/>
      <c r="D142" s="374" t="n"/>
      <c r="E142" s="374" t="n"/>
      <c r="F142" s="374" t="n"/>
      <c r="G142" s="374" t="n"/>
      <c r="H142" s="374" t="n"/>
    </row>
    <row r="143">
      <c r="A143" s="374" t="n"/>
      <c r="B143" s="374" t="n"/>
      <c r="C143" s="374" t="n"/>
      <c r="D143" s="374" t="n"/>
      <c r="E143" s="374" t="n"/>
      <c r="F143" s="374" t="n"/>
      <c r="G143" s="374" t="n"/>
      <c r="H143" s="374" t="n"/>
    </row>
    <row r="144">
      <c r="A144" s="374" t="n"/>
      <c r="B144" s="374" t="n"/>
      <c r="C144" s="374" t="n"/>
      <c r="D144" s="374" t="n"/>
      <c r="E144" s="374" t="n"/>
      <c r="F144" s="374" t="n"/>
      <c r="G144" s="374" t="n"/>
      <c r="H144" s="374" t="n"/>
    </row>
    <row r="145">
      <c r="A145" s="374" t="n"/>
      <c r="B145" s="374" t="n"/>
      <c r="C145" s="374" t="n"/>
      <c r="D145" s="374" t="n"/>
      <c r="E145" s="374" t="n"/>
      <c r="F145" s="374" t="n"/>
      <c r="G145" s="374" t="n"/>
      <c r="H145" s="374" t="n"/>
    </row>
    <row r="146">
      <c r="A146" s="374" t="n"/>
      <c r="B146" s="374" t="n"/>
      <c r="C146" s="374" t="n"/>
      <c r="D146" s="374" t="n"/>
      <c r="E146" s="374" t="n"/>
      <c r="F146" s="374" t="n"/>
      <c r="G146" s="374" t="n"/>
      <c r="H146" s="374" t="n"/>
    </row>
    <row r="147">
      <c r="A147" s="374" t="n"/>
      <c r="B147" s="374" t="n"/>
      <c r="C147" s="374" t="n"/>
      <c r="D147" s="374" t="n"/>
      <c r="E147" s="374" t="n"/>
      <c r="F147" s="374" t="n"/>
      <c r="G147" s="374" t="n"/>
      <c r="H147" s="374" t="n"/>
    </row>
    <row r="148">
      <c r="A148" s="374" t="n"/>
      <c r="B148" s="374" t="n"/>
      <c r="C148" s="374" t="n"/>
      <c r="D148" s="374" t="n"/>
      <c r="E148" s="374" t="n"/>
      <c r="F148" s="374" t="n"/>
      <c r="G148" s="374" t="n"/>
      <c r="H148" s="374" t="n"/>
    </row>
    <row r="149">
      <c r="A149" s="374" t="n"/>
      <c r="B149" s="374" t="n"/>
      <c r="C149" s="374" t="n"/>
      <c r="D149" s="374" t="n"/>
      <c r="E149" s="374" t="n"/>
      <c r="F149" s="374" t="n"/>
      <c r="G149" s="374" t="n"/>
      <c r="H149" s="374" t="n"/>
    </row>
    <row r="150">
      <c r="A150" s="374" t="n"/>
      <c r="B150" s="374" t="n"/>
      <c r="C150" s="374" t="n"/>
      <c r="D150" s="374" t="n"/>
      <c r="E150" s="374" t="n"/>
      <c r="F150" s="374" t="n"/>
      <c r="G150" s="374" t="n"/>
      <c r="H150" s="37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6" t="n"/>
      <c r="B1" s="356" t="n"/>
      <c r="C1" s="356" t="n"/>
      <c r="D1" s="356" t="n"/>
      <c r="E1" s="357" t="n"/>
    </row>
    <row r="2" ht="37.25" customHeight="1">
      <c r="A2" s="356" t="n"/>
      <c r="B2" s="356" t="n"/>
      <c r="C2" s="356" t="n"/>
      <c r="D2" s="356" t="n"/>
      <c r="E2" s="357" t="n"/>
    </row>
    <row r="3" ht="33.6" customHeight="1">
      <c r="A3" s="356" t="n"/>
      <c r="B3" s="358" t="inlineStr">
        <is>
          <t>PT. EXSPAN WIRELINE INDONESIA</t>
        </is>
      </c>
      <c r="F3" s="359" t="n"/>
    </row>
    <row r="4" ht="20.45" customHeight="1">
      <c r="A4" s="356" t="n"/>
      <c r="B4" s="361" t="inlineStr">
        <is>
          <t>BUSINESS SUMMARY | TAHUN 2024</t>
        </is>
      </c>
      <c r="F4" s="359" t="n"/>
    </row>
    <row r="5" ht="6" customHeight="1">
      <c r="A5" s="356" t="n"/>
      <c r="B5" s="356" t="n"/>
      <c r="C5" s="356" t="n"/>
      <c r="D5" s="356" t="n"/>
      <c r="E5" s="357" t="n"/>
      <c r="F5" s="359" t="n"/>
    </row>
    <row r="6" ht="20" customHeight="1">
      <c r="A6" s="356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9" t="n"/>
    </row>
    <row r="7" ht="20" customHeight="1">
      <c r="A7" s="356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SUM('Revenue-Cost_2024'!F8:F301)</f>
        <v/>
      </c>
      <c r="F7" s="359" t="n"/>
    </row>
    <row r="8" ht="20" customHeight="1">
      <c r="A8" s="356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E7-SUM('Revenue-Cost_2024'!N8:N301)</f>
        <v/>
      </c>
      <c r="F8" s="359" t="n"/>
    </row>
    <row r="9" ht="20" customHeight="1">
      <c r="A9" s="356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SUM('Revenue-Cost_2024'!I1015:Q1015)</f>
        <v/>
      </c>
      <c r="F9" s="359" t="n"/>
    </row>
    <row r="10" ht="20" customHeight="1">
      <c r="A10" s="356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9" t="n"/>
    </row>
    <row r="11" ht="20" customHeight="1">
      <c r="A11" s="356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9" t="n"/>
    </row>
    <row r="12" ht="20" customHeight="1">
      <c r="A12" s="356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SUM('Revenue-Cost_2024'!N8:N301)</f>
        <v/>
      </c>
      <c r="F12" s="359" t="n"/>
    </row>
    <row r="13" ht="20" customHeight="1">
      <c r="A13" s="356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9" t="n"/>
    </row>
    <row r="14" ht="20" customHeight="1">
      <c r="A14" s="356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9" t="n"/>
    </row>
    <row r="15" ht="20" customHeight="1">
      <c r="A15" s="356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9" t="n"/>
    </row>
    <row r="16" ht="20" customHeight="1">
      <c r="A16" s="356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53207545</v>
      </c>
      <c r="F16" s="359" t="n"/>
    </row>
    <row r="17" ht="13.9" customHeight="1">
      <c r="A17" s="356" t="n"/>
      <c r="B17" s="356" t="n"/>
      <c r="C17" s="356" t="n"/>
      <c r="D17" s="356" t="n"/>
      <c r="E17" s="357" t="n"/>
      <c r="F17" s="359" t="n"/>
    </row>
    <row r="18" ht="17.65" customHeight="1">
      <c r="A18" s="356" t="n"/>
      <c r="B18" s="412" t="inlineStr">
        <is>
          <t>DEVIDEN</t>
        </is>
      </c>
      <c r="F18" s="359" t="n"/>
    </row>
    <row r="19" ht="20" customHeight="1">
      <c r="A19" s="356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9" t="n"/>
      <c r="G19" s="416" t="inlineStr"/>
    </row>
    <row r="20" ht="20" customHeight="1">
      <c r="A20" s="356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2026-04-27T22:15:00Z</dcterms:modified>
  <cp:lastModifiedBy>Diofavian - Student</cp:lastModifiedBy>
</cp:coreProperties>
</file>