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97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60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PENGELUARAN DAN KANTOR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>
        <f>SUM(I41:I788)</f>
        <v/>
      </c>
      <c r="J789" s="334">
        <f>SUM(J41:J788)</f>
        <v/>
      </c>
      <c r="K789" s="334">
        <f>SUM(K41:K788)</f>
        <v/>
      </c>
      <c r="L789" s="334">
        <f>SUM(L41:L788)</f>
        <v/>
      </c>
      <c r="M789" s="334">
        <f>SUM(M41:M788)</f>
        <v/>
      </c>
      <c r="N789" s="334">
        <f>SUM(N41:N788)</f>
        <v/>
      </c>
      <c r="O789" s="334">
        <f>SUM(O41:O788)</f>
        <v/>
      </c>
      <c r="P789" s="334">
        <f>SUM(P41:P788)</f>
        <v/>
      </c>
      <c r="Q789" s="334">
        <f>SUM(Q41:Q788)</f>
        <v/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  <row r="791" ht="25" customHeight="1">
      <c r="B791" s="8" t="inlineStr">
        <is>
          <t>BANK STATUS (MUTASI BANK)</t>
        </is>
      </c>
      <c r="C791" s="259" t="n"/>
      <c r="D791" s="259" t="n"/>
      <c r="E791" s="259" t="n"/>
      <c r="F791" s="259" t="n"/>
      <c r="G791" s="259" t="n"/>
      <c r="H791" s="259" t="n"/>
      <c r="I791" s="259" t="n"/>
      <c r="J791" s="259" t="n"/>
      <c r="K791" s="259" t="n"/>
      <c r="L791" s="259" t="n"/>
      <c r="M791" s="259" t="n"/>
      <c r="N791" s="259" t="n"/>
      <c r="O791" s="259" t="n"/>
      <c r="P791" s="259" t="n"/>
      <c r="Q791" s="259" t="n"/>
    </row>
    <row r="792" ht="93" customHeight="1">
      <c r="B792" s="335" t="inlineStr">
        <is>
          <t>No</t>
        </is>
      </c>
      <c r="C792" s="336" t="inlineStr">
        <is>
          <t>Tanggal</t>
        </is>
      </c>
      <c r="D792" s="336" t="inlineStr">
        <is>
          <t>Deskripsi / Keterangan</t>
        </is>
      </c>
      <c r="E792" s="52" t="inlineStr">
        <is>
          <t>Source</t>
        </is>
      </c>
      <c r="F792" s="337" t="inlineStr">
        <is>
          <t>Nominal (IDR)</t>
        </is>
      </c>
      <c r="G792" s="336" t="inlineStr">
        <is>
          <t>Tipe</t>
        </is>
      </c>
      <c r="H792" s="336" t="inlineStr">
        <is>
          <t>Grup</t>
        </is>
      </c>
      <c r="I792" s="231" t="inlineStr">
        <is>
          <t>Biaya Operasi (Gaji, Tunjangan Lapangan, Training, THR, Transport, Meal, Hotel, loundry)</t>
        </is>
      </c>
      <c r="J792" s="57" t="inlineStr">
        <is>
          <t>Biaya research
(R &amp; D)</t>
        </is>
      </c>
      <c r="K792" s="58" t="inlineStr">
        <is>
          <t>BIAYA SEWA PERALATAN</t>
        </is>
      </c>
      <c r="L792" s="58" t="inlineStr">
        <is>
          <t>BIAYA INTEPRETASI LOG DATA</t>
        </is>
      </c>
      <c r="M792" s="59" t="inlineStr">
        <is>
          <t>ADMINISTRASI</t>
        </is>
      </c>
      <c r="N792" s="59" t="inlineStr">
        <is>
          <t xml:space="preserve"> PEMBELIAN Barang</t>
        </is>
      </c>
      <c r="O792" s="59" t="inlineStr">
        <is>
          <t xml:space="preserve"> SEWA KANTOR</t>
        </is>
      </c>
      <c r="P792" s="59" t="inlineStr">
        <is>
          <t xml:space="preserve"> KESEHATAN</t>
        </is>
      </c>
      <c r="Q792" s="59" t="inlineStr">
        <is>
          <t>BISNIS DEV</t>
        </is>
      </c>
    </row>
    <row r="795" ht="25" customHeight="1">
      <c r="B795" s="8" t="inlineStr">
        <is>
          <t>ASSET REGISTER (DEPRESIASI)</t>
        </is>
      </c>
      <c r="C795" s="259" t="n"/>
      <c r="D795" s="259" t="n"/>
      <c r="E795" s="259" t="n"/>
      <c r="F795" s="259" t="n"/>
      <c r="G795" s="259" t="n"/>
      <c r="H795" s="259" t="n"/>
      <c r="I795" s="259" t="n"/>
      <c r="J795" s="259" t="n"/>
      <c r="K795" s="259" t="n"/>
      <c r="L795" s="259" t="n"/>
      <c r="M795" s="259" t="n"/>
      <c r="N795" s="259" t="n"/>
      <c r="O795" s="259" t="n"/>
      <c r="P795" s="259" t="n"/>
      <c r="Q795" s="259" t="n"/>
    </row>
    <row r="796" ht="93" customHeight="1">
      <c r="B796" s="335" t="inlineStr">
        <is>
          <t>No</t>
        </is>
      </c>
      <c r="C796" s="336" t="inlineStr">
        <is>
          <t>Tgl Beli</t>
        </is>
      </c>
      <c r="D796" s="336" t="inlineStr">
        <is>
          <t>Nama Aset</t>
        </is>
      </c>
      <c r="E796" s="52" t="inlineStr">
        <is>
          <t>Source</t>
        </is>
      </c>
      <c r="F796" s="337" t="inlineStr">
        <is>
          <t>Harga Perolehan</t>
        </is>
      </c>
      <c r="G796" s="336" t="inlineStr">
        <is>
          <t>Masa Manfaat</t>
        </is>
      </c>
      <c r="H796" s="336" t="inlineStr">
        <is>
          <t>Nilai Buku</t>
        </is>
      </c>
      <c r="I796" s="231" t="inlineStr">
        <is>
          <t>Biaya Operasi (Gaji, Tunjangan Lapangan, Training, THR, Transport, Meal, Hotel, loundry)</t>
        </is>
      </c>
      <c r="J796" s="57" t="inlineStr">
        <is>
          <t>Biaya research
(R &amp; D)</t>
        </is>
      </c>
      <c r="K796" s="58" t="inlineStr">
        <is>
          <t>BIAYA SEWA PERALATAN</t>
        </is>
      </c>
      <c r="L796" s="58" t="inlineStr">
        <is>
          <t>BIAYA INTEPRETASI LOG DATA</t>
        </is>
      </c>
      <c r="M796" s="59" t="inlineStr">
        <is>
          <t>ADMINISTRASI</t>
        </is>
      </c>
      <c r="N796" s="59" t="inlineStr">
        <is>
          <t xml:space="preserve"> PEMBELIAN Barang</t>
        </is>
      </c>
      <c r="O796" s="59" t="inlineStr">
        <is>
          <t xml:space="preserve"> SEWA KANTOR</t>
        </is>
      </c>
      <c r="P796" s="59" t="inlineStr">
        <is>
          <t xml:space="preserve"> KESEHATAN</t>
        </is>
      </c>
      <c r="Q796" s="59" t="inlineStr">
        <is>
          <t>BISNIS DEV</t>
        </is>
      </c>
    </row>
    <row r="797">
      <c r="I797" t="n">
        <v>356012003</v>
      </c>
      <c r="J797" t="n">
        <v>991500000</v>
      </c>
      <c r="K797" t="n">
        <v>367745000</v>
      </c>
      <c r="L797" t="n">
        <v>1165473146.932</v>
      </c>
      <c r="M797" t="n">
        <v>12904641</v>
      </c>
      <c r="N797" t="n">
        <v>200517570</v>
      </c>
      <c r="O797" t="n">
        <v>4995000</v>
      </c>
      <c r="P797" t="n">
        <v>38548717.5</v>
      </c>
      <c r="Q797" t="n">
        <v>202920000</v>
      </c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  <c r="G3" s="342" t="inlineStr">
        <is>
          <t>PT. EXSPAN WIRELINE INDONESIA</t>
        </is>
      </c>
      <c r="H3" s="342" t="n"/>
      <c r="I3" s="342" t="n"/>
      <c r="J3" s="342" t="n"/>
    </row>
    <row r="4" ht="20.45" customHeight="1">
      <c r="A4" s="338" t="n"/>
      <c r="B4" s="343" t="inlineStr">
        <is>
          <t>LABA RUGI | TAHUN 2024</t>
        </is>
      </c>
      <c r="F4" s="341" t="n"/>
      <c r="G4" s="344" t="inlineStr">
        <is>
          <t>NERACA |TAHUN YANG BERAKHIR, 31 DESEMBER 2024</t>
        </is>
      </c>
      <c r="H4" s="344" t="n"/>
      <c r="I4" s="344" t="n"/>
      <c r="J4" s="344" t="n"/>
    </row>
    <row r="5" ht="6" customHeight="1">
      <c r="A5" s="338" t="n"/>
      <c r="B5" s="338" t="n"/>
      <c r="C5" s="338" t="n"/>
      <c r="D5" s="338" t="n"/>
      <c r="E5" s="339" t="n"/>
      <c r="F5" s="341" t="n"/>
      <c r="G5" s="341" t="n"/>
      <c r="H5" s="345" t="n"/>
      <c r="I5" s="345" t="n"/>
      <c r="J5" s="345" t="n"/>
    </row>
    <row r="6" ht="15.4" customHeight="1">
      <c r="A6" s="338" t="n"/>
      <c r="B6" s="346" t="n"/>
      <c r="C6" s="347" t="n"/>
      <c r="D6" s="348" t="inlineStr">
        <is>
          <t>PT. Exspan Wireline Indonesia</t>
        </is>
      </c>
      <c r="E6" s="221" t="n"/>
      <c r="F6" s="341" t="n"/>
      <c r="G6" s="349" t="n"/>
      <c r="H6" s="350" t="n"/>
      <c r="I6" s="348" t="inlineStr">
        <is>
          <t>PT. Exspan Wireline Indonesia</t>
        </is>
      </c>
      <c r="J6" s="221" t="n"/>
    </row>
    <row r="7" ht="15.4" customHeight="1">
      <c r="A7" s="338" t="n"/>
      <c r="B7" s="351" t="n"/>
      <c r="C7" s="352" t="n"/>
      <c r="D7" s="353" t="inlineStr">
        <is>
          <t>(Rp)</t>
        </is>
      </c>
      <c r="E7" s="226" t="n"/>
      <c r="F7" s="341" t="n"/>
      <c r="G7" s="354" t="n"/>
      <c r="H7" s="355" t="n"/>
      <c r="I7" s="353" t="inlineStr">
        <is>
          <t>(Rp)</t>
        </is>
      </c>
      <c r="J7" s="226" t="n"/>
    </row>
    <row r="8" ht="15" customHeight="1">
      <c r="A8" s="284" t="n"/>
      <c r="B8" s="356" t="inlineStr">
        <is>
          <t>PENDAPATAN</t>
        </is>
      </c>
      <c r="C8" s="357" t="n"/>
      <c r="D8" s="358" t="n"/>
      <c r="E8" s="359" t="n"/>
      <c r="F8" s="341" t="n"/>
      <c r="G8" s="360" t="inlineStr">
        <is>
          <t>AKTIVA</t>
        </is>
      </c>
      <c r="H8" s="361" t="inlineStr">
        <is>
          <t>AKTIVA</t>
        </is>
      </c>
      <c r="I8" s="362" t="n"/>
      <c r="J8" s="359" t="n"/>
    </row>
    <row r="9" ht="15" customHeight="1">
      <c r="A9" s="284" t="n"/>
      <c r="B9" s="363" t="n"/>
      <c r="C9" s="364" t="inlineStr">
        <is>
          <t>PENDAPATAN LANGSUNG</t>
        </is>
      </c>
      <c r="D9" s="365" t="inlineStr">
        <is>
          <t>Rp</t>
        </is>
      </c>
      <c r="E9" s="366">
        <f>SUM('Revenue-Cost_2024'!F8:F20)</f>
        <v/>
      </c>
      <c r="F9" s="341" t="n"/>
      <c r="G9" s="367" t="inlineStr">
        <is>
          <t>AKTIVA LANCAR</t>
        </is>
      </c>
      <c r="H9" s="368" t="inlineStr">
        <is>
          <t>AKTIVA LANCAR</t>
        </is>
      </c>
      <c r="I9" s="369" t="n"/>
      <c r="J9" s="366" t="n"/>
    </row>
    <row r="10" ht="15" customHeight="1">
      <c r="A10" s="284" t="n"/>
      <c r="B10" s="363" t="n"/>
      <c r="C10" s="364" t="inlineStr">
        <is>
          <t>PENDAPATAN LAIN LAIN</t>
        </is>
      </c>
      <c r="D10" s="365" t="inlineStr">
        <is>
          <t>Rp</t>
        </is>
      </c>
      <c r="E10" s="366">
        <f>SUM('Revenue-Cost_2024'!F21:F21)</f>
        <v/>
      </c>
      <c r="F10" s="341" t="n"/>
      <c r="G10" s="367" t="n"/>
      <c r="H10" s="368" t="inlineStr">
        <is>
          <t xml:space="preserve">  KAS DAN SETARA KAS TAHUN SEBELUMNYA</t>
        </is>
      </c>
      <c r="I10" s="365" t="inlineStr">
        <is>
          <t>Rp</t>
        </is>
      </c>
      <c r="J10" s="366" t="n">
        <v>161401093</v>
      </c>
    </row>
    <row r="11" ht="15" customHeight="1">
      <c r="A11" s="284" t="n"/>
      <c r="B11" s="363" t="n"/>
      <c r="C11" s="364" t="n"/>
      <c r="D11" s="365" t="n"/>
      <c r="E11" s="366" t="n"/>
      <c r="F11" s="341" t="n"/>
      <c r="G11" s="367" t="n"/>
      <c r="H11" s="368" t="inlineStr">
        <is>
          <t xml:space="preserve">  KAS DAN SETARA KAS TAHUN LAPORAN</t>
        </is>
      </c>
      <c r="I11" s="365" t="inlineStr">
        <is>
          <t>Rp</t>
        </is>
      </c>
      <c r="J11" s="366">
        <f>ROUND(E41-'Business Summary'!E13, 0)</f>
        <v/>
      </c>
    </row>
    <row r="12" ht="15" customHeight="1">
      <c r="A12" s="284" t="n"/>
      <c r="B12" s="370" t="inlineStr">
        <is>
          <t>TOTAL PENDAPATAN</t>
        </is>
      </c>
      <c r="C12" s="371" t="n"/>
      <c r="D12" s="372" t="inlineStr">
        <is>
          <t>Rp</t>
        </is>
      </c>
      <c r="E12" s="373">
        <f>SUM(E9:E11)</f>
        <v/>
      </c>
      <c r="F12" s="341" t="n"/>
      <c r="G12" s="367" t="n"/>
      <c r="H12" s="368" t="inlineStr">
        <is>
          <t xml:space="preserve">  PIUTANG USAHA</t>
        </is>
      </c>
      <c r="I12" s="365" t="inlineStr">
        <is>
          <t>Rp</t>
        </is>
      </c>
      <c r="J12" s="366" t="n">
        <v>0</v>
      </c>
    </row>
    <row r="13" ht="15" customHeight="1">
      <c r="A13" s="284" t="n"/>
      <c r="B13" s="363" t="n"/>
      <c r="C13" s="364" t="n"/>
      <c r="D13" s="365" t="n"/>
      <c r="E13" s="366" t="n"/>
      <c r="F13" s="341" t="n"/>
      <c r="G13" s="367" t="n"/>
      <c r="H13" s="368" t="inlineStr">
        <is>
          <t xml:space="preserve">  PAJAK BAYAR DI MUKA (pph23)</t>
        </is>
      </c>
      <c r="I13" s="365" t="inlineStr">
        <is>
          <t>Rp</t>
        </is>
      </c>
      <c r="J13" s="366" t="n">
        <v>0</v>
      </c>
    </row>
    <row r="14" ht="15" customHeight="1">
      <c r="A14" s="284" t="n"/>
      <c r="B14" s="356" t="inlineStr">
        <is>
          <t>BEBAN LANGSUNG</t>
        </is>
      </c>
      <c r="C14" s="357" t="n"/>
      <c r="D14" s="358" t="n"/>
      <c r="E14" s="359" t="n"/>
      <c r="F14" s="341" t="n"/>
      <c r="G14" s="367" t="n"/>
      <c r="H14" s="368" t="inlineStr">
        <is>
          <t xml:space="preserve">  BIAYA BAYAR DI MUKA</t>
        </is>
      </c>
      <c r="I14" s="365" t="inlineStr">
        <is>
          <t>Rp</t>
        </is>
      </c>
      <c r="J14" s="366" t="n">
        <v>0</v>
      </c>
    </row>
    <row r="15" ht="15" customHeight="1">
      <c r="A15" s="284" t="n"/>
      <c r="B15" s="363" t="n"/>
      <c r="C15" s="364" t="inlineStr">
        <is>
          <t>BIAYA SEWA PERALATAN</t>
        </is>
      </c>
      <c r="D15" s="365" t="inlineStr">
        <is>
          <t>Rp</t>
        </is>
      </c>
      <c r="E15" s="366">
        <f>'Revenue-Cost_2024'!I797</f>
        <v/>
      </c>
      <c r="F15" s="341" t="n"/>
      <c r="G15" s="374" t="n"/>
      <c r="H15" s="368" t="inlineStr">
        <is>
          <t xml:space="preserve">  PIUTANG LAIN LAIN</t>
        </is>
      </c>
      <c r="I15" s="365" t="inlineStr">
        <is>
          <t>Rp</t>
        </is>
      </c>
      <c r="J15" s="366" t="n">
        <v>0</v>
      </c>
    </row>
    <row r="16" ht="15" customHeight="1">
      <c r="A16" s="284" t="n"/>
      <c r="B16" s="363" t="n"/>
      <c r="C16" s="364" t="inlineStr">
        <is>
          <t>BIAYA RESEARCH (R&amp;D)</t>
        </is>
      </c>
      <c r="D16" s="365" t="inlineStr">
        <is>
          <t>Rp</t>
        </is>
      </c>
      <c r="E16" s="366">
        <f>'Revenue-Cost_2024'!J797</f>
        <v/>
      </c>
      <c r="F16" s="341" t="n"/>
      <c r="G16" s="375" t="n"/>
      <c r="H16" s="376" t="inlineStr">
        <is>
          <t>TOTAL AKTIVA LANCAR</t>
        </is>
      </c>
      <c r="I16" s="372" t="inlineStr">
        <is>
          <t>Rp</t>
        </is>
      </c>
      <c r="J16" s="373">
        <f>SUM(J10:J15)</f>
        <v/>
      </c>
    </row>
    <row r="17" ht="15" customHeight="1">
      <c r="A17" s="284" t="n"/>
      <c r="B17" s="363" t="n"/>
      <c r="C17" s="364" t="inlineStr">
        <is>
          <t>BIAYA INTERPRETASI LOG DATA</t>
        </is>
      </c>
      <c r="D17" s="365" t="inlineStr">
        <is>
          <t>Rp</t>
        </is>
      </c>
      <c r="E17" s="366">
        <f>'Revenue-Cost_2024'!K797</f>
        <v/>
      </c>
      <c r="F17" s="341" t="n"/>
      <c r="G17" s="360" t="n"/>
      <c r="H17" s="361" t="inlineStr">
        <is>
          <t>ACTIVA TETAP</t>
        </is>
      </c>
      <c r="I17" s="362" t="n"/>
      <c r="J17" s="359" t="n"/>
    </row>
    <row r="18" ht="15" customHeight="1">
      <c r="A18" s="284" t="n"/>
      <c r="B18" s="363" t="n"/>
      <c r="C18" s="364" t="inlineStr">
        <is>
          <t>BIAYA OPERASI</t>
        </is>
      </c>
      <c r="D18" s="365" t="inlineStr">
        <is>
          <t>Rp</t>
        </is>
      </c>
      <c r="E18" s="366">
        <f>'Revenue-Cost_2024'!L797</f>
        <v/>
      </c>
      <c r="F18" s="341" t="n"/>
      <c r="G18" s="367" t="inlineStr">
        <is>
          <t>ACTIVA TETAP</t>
        </is>
      </c>
      <c r="H18" s="368" t="n"/>
      <c r="I18" s="369" t="n"/>
      <c r="J18" s="366" t="n"/>
    </row>
    <row r="19" ht="15" customHeight="1">
      <c r="A19" s="284" t="n"/>
      <c r="B19" s="370" t="inlineStr">
        <is>
          <t>TOTAL BIAYA LANGSUNG</t>
        </is>
      </c>
      <c r="C19" s="371" t="n"/>
      <c r="D19" s="372" t="inlineStr">
        <is>
          <t>Rp</t>
        </is>
      </c>
      <c r="E19" s="373">
        <f>SUM(E15:E18)</f>
        <v/>
      </c>
      <c r="F19" s="341" t="n"/>
      <c r="G19" s="367" t="n"/>
      <c r="H19" s="368" t="n"/>
      <c r="I19" s="369" t="n"/>
      <c r="J19" s="366" t="n"/>
    </row>
    <row r="20" ht="15" customHeight="1">
      <c r="A20" s="284" t="n"/>
      <c r="B20" s="363" t="n"/>
      <c r="C20" s="364" t="n"/>
      <c r="D20" s="365" t="n"/>
      <c r="E20" s="366" t="n"/>
      <c r="F20" s="341" t="n"/>
      <c r="G20" s="367" t="n"/>
      <c r="H20" s="368" t="inlineStr">
        <is>
          <t xml:space="preserve">  INVENTARIS KANTOR</t>
        </is>
      </c>
      <c r="I20" s="365" t="inlineStr">
        <is>
          <t>Rp</t>
        </is>
      </c>
      <c r="J20" s="366" t="n">
        <v>0</v>
      </c>
    </row>
    <row r="21" ht="15" customHeight="1">
      <c r="A21" s="284" t="n"/>
      <c r="B21" s="356" t="inlineStr">
        <is>
          <t>BEBAN TIDAK LANGSUNG</t>
        </is>
      </c>
      <c r="C21" s="357" t="n"/>
      <c r="D21" s="358" t="n"/>
      <c r="E21" s="359" t="n"/>
      <c r="F21" s="341" t="n"/>
      <c r="G21" s="367" t="n"/>
      <c r="H21" s="368" t="n"/>
      <c r="I21" s="369" t="n"/>
      <c r="J21" s="366" t="n"/>
    </row>
    <row r="22" ht="15" customHeight="1">
      <c r="A22" s="284" t="n"/>
      <c r="B22" s="363" t="n"/>
      <c r="C22" s="364" t="inlineStr">
        <is>
          <t>BISNIS DEV</t>
        </is>
      </c>
      <c r="D22" s="365" t="inlineStr">
        <is>
          <t>Rp</t>
        </is>
      </c>
      <c r="E22" s="366">
        <f>'Revenue-Cost_2024'!Q797</f>
        <v/>
      </c>
      <c r="F22" s="341" t="n"/>
      <c r="G22" s="375" t="n"/>
      <c r="H22" s="376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284" t="n"/>
      <c r="B23" s="370" t="inlineStr">
        <is>
          <t>TOTAL BIAYA TIDAK LANGSUNG</t>
        </is>
      </c>
      <c r="C23" s="371" t="n"/>
      <c r="D23" s="372" t="inlineStr">
        <is>
          <t>Rp</t>
        </is>
      </c>
      <c r="E23" s="373">
        <f>SUM(E22:E22)</f>
        <v/>
      </c>
      <c r="F23" s="341" t="n"/>
      <c r="G23" s="367" t="n"/>
      <c r="H23" s="368" t="n"/>
      <c r="I23" s="369" t="n"/>
      <c r="J23" s="366" t="n"/>
    </row>
    <row r="24" ht="15" customHeight="1">
      <c r="A24" s="284" t="n"/>
      <c r="B24" s="363" t="n"/>
      <c r="C24" s="364" t="n"/>
      <c r="D24" s="365" t="n"/>
      <c r="E24" s="366" t="n"/>
      <c r="F24" s="341" t="n"/>
      <c r="G24" s="360" t="inlineStr">
        <is>
          <t>ACTIVA LAIN LAIN</t>
        </is>
      </c>
      <c r="H24" s="361" t="inlineStr">
        <is>
          <t>ACTIVA LAIN LAIN</t>
        </is>
      </c>
      <c r="I24" s="362" t="n"/>
      <c r="J24" s="359" t="n">
        <v>0</v>
      </c>
    </row>
    <row r="25" ht="15" customHeight="1">
      <c r="A25" s="284" t="n"/>
      <c r="B25" s="356" t="inlineStr">
        <is>
          <t>BIAYA ADMINISTRASI DAN UMUM</t>
        </is>
      </c>
      <c r="C25" s="357" t="n"/>
      <c r="D25" s="358" t="n"/>
      <c r="E25" s="359" t="n"/>
      <c r="F25" s="341" t="n"/>
      <c r="G25" s="375" t="n"/>
      <c r="H25" s="376" t="inlineStr">
        <is>
          <t xml:space="preserve">  TOTAL AKTIVA LAIN LAIN</t>
        </is>
      </c>
      <c r="I25" s="377" t="inlineStr">
        <is>
          <t>Rp</t>
        </is>
      </c>
      <c r="J25" s="373" t="n">
        <v>0</v>
      </c>
    </row>
    <row r="26" ht="15" customHeight="1">
      <c r="A26" s="284" t="n"/>
      <c r="B26" s="363" t="n"/>
      <c r="C26" s="364" t="inlineStr">
        <is>
          <t>ADMINISTRASI</t>
        </is>
      </c>
      <c r="D26" s="365" t="inlineStr">
        <is>
          <t>Rp</t>
        </is>
      </c>
      <c r="E26" s="366">
        <f>'Revenue-Cost_2024'!M797</f>
        <v/>
      </c>
      <c r="F26" s="341" t="n"/>
      <c r="G26" s="367" t="n"/>
      <c r="H26" s="368" t="inlineStr">
        <is>
          <t>TOTAL AKTIVA LAIN LAIN</t>
        </is>
      </c>
      <c r="I26" s="365" t="inlineStr">
        <is>
          <t>Rp</t>
        </is>
      </c>
      <c r="J26" s="366">
        <f>SUM(J25:J25)</f>
        <v/>
      </c>
    </row>
    <row r="27" ht="15" customHeight="1">
      <c r="A27" s="284" t="n"/>
      <c r="B27" s="363" t="n"/>
      <c r="C27" s="364" t="inlineStr">
        <is>
          <t>PEMBELIAN BARANG</t>
        </is>
      </c>
      <c r="D27" s="365" t="inlineStr">
        <is>
          <t>Rp</t>
        </is>
      </c>
      <c r="E27" s="366">
        <f>'Revenue-Cost_2024'!N797</f>
        <v/>
      </c>
      <c r="F27" s="341" t="n"/>
      <c r="G27" s="367" t="n"/>
      <c r="H27" s="368" t="n"/>
      <c r="I27" s="369" t="n"/>
      <c r="J27" s="366" t="n"/>
    </row>
    <row r="28" ht="15" customHeight="1">
      <c r="A28" s="284" t="n"/>
      <c r="B28" s="363" t="n"/>
      <c r="C28" s="364" t="inlineStr">
        <is>
          <t>SEWA KANTOR</t>
        </is>
      </c>
      <c r="D28" s="365" t="inlineStr">
        <is>
          <t>Rp</t>
        </is>
      </c>
      <c r="E28" s="366">
        <f>'Revenue-Cost_2024'!O797</f>
        <v/>
      </c>
      <c r="F28" s="341" t="n"/>
      <c r="G28" s="378" t="inlineStr">
        <is>
          <t>TOTAL AKTIVA</t>
        </is>
      </c>
      <c r="H28" s="371" t="inlineStr">
        <is>
          <t>TOTAL AKTIVA</t>
        </is>
      </c>
      <c r="I28" s="372" t="inlineStr">
        <is>
          <t>Rp</t>
        </is>
      </c>
      <c r="J28" s="373">
        <f>J26+J22+J16</f>
        <v/>
      </c>
    </row>
    <row r="29" ht="15" customHeight="1">
      <c r="A29" s="284" t="n"/>
      <c r="B29" s="363" t="n"/>
      <c r="C29" s="364" t="inlineStr">
        <is>
          <t>KESEHATAN</t>
        </is>
      </c>
      <c r="D29" s="365" t="inlineStr">
        <is>
          <t>Rp</t>
        </is>
      </c>
      <c r="E29" s="366">
        <f>'Revenue-Cost_2024'!P797</f>
        <v/>
      </c>
      <c r="F29" s="341" t="n"/>
      <c r="G29" s="367" t="n"/>
      <c r="H29" s="368" t="n"/>
      <c r="I29" s="369" t="n"/>
      <c r="J29" s="366" t="n"/>
    </row>
    <row r="30" ht="15" customHeight="1">
      <c r="A30" s="284" t="n"/>
      <c r="B30" s="370" t="inlineStr">
        <is>
          <t>TOTAL BIAYA ADMINISTRASI DAN UMUM</t>
        </is>
      </c>
      <c r="C30" s="371" t="n"/>
      <c r="D30" s="372" t="inlineStr">
        <is>
          <t>Rp</t>
        </is>
      </c>
      <c r="E30" s="373">
        <f>SUM(E26:E29)</f>
        <v/>
      </c>
      <c r="F30" s="341" t="n"/>
      <c r="G30" s="360" t="inlineStr">
        <is>
          <t>HUTANG DAN MODAL</t>
        </is>
      </c>
      <c r="H30" s="361" t="inlineStr">
        <is>
          <t>HUTANG DAN MODAL</t>
        </is>
      </c>
      <c r="I30" s="362" t="n"/>
      <c r="J30" s="359" t="n"/>
    </row>
    <row r="31" ht="15" customHeight="1">
      <c r="A31" s="284" t="n"/>
      <c r="B31" s="363" t="n"/>
      <c r="C31" s="364" t="n"/>
      <c r="D31" s="365" t="n"/>
      <c r="E31" s="366" t="n"/>
      <c r="F31" s="341" t="n"/>
      <c r="G31" s="367" t="n"/>
      <c r="H31" s="368" t="n"/>
      <c r="I31" s="369" t="n"/>
      <c r="J31" s="366" t="n"/>
    </row>
    <row r="32" ht="15" customHeight="1">
      <c r="A32" s="284" t="n"/>
      <c r="B32" s="370" t="inlineStr">
        <is>
          <t>TOTAL BIAYA</t>
        </is>
      </c>
      <c r="C32" s="371" t="n"/>
      <c r="D32" s="372" t="inlineStr">
        <is>
          <t>Rp</t>
        </is>
      </c>
      <c r="E32" s="373">
        <f>E19+E23+E30</f>
        <v/>
      </c>
      <c r="F32" s="341" t="n"/>
      <c r="G32" s="360" t="inlineStr">
        <is>
          <t>HUTANG LANCAR</t>
        </is>
      </c>
      <c r="H32" s="361" t="inlineStr">
        <is>
          <t>HUTANG LANCAR</t>
        </is>
      </c>
      <c r="I32" s="362" t="n"/>
      <c r="J32" s="359" t="n"/>
    </row>
    <row r="33" ht="15" customHeight="1">
      <c r="A33" s="284" t="n"/>
      <c r="B33" s="363" t="n"/>
      <c r="C33" s="364" t="n"/>
      <c r="D33" s="365" t="n"/>
      <c r="E33" s="366" t="n"/>
      <c r="F33" s="341" t="n"/>
      <c r="G33" s="367" t="n"/>
      <c r="H33" s="368" t="inlineStr">
        <is>
          <t xml:space="preserve">  HUTANG USAHA</t>
        </is>
      </c>
      <c r="I33" s="365" t="inlineStr">
        <is>
          <t>Rp</t>
        </is>
      </c>
      <c r="J33" s="366" t="n">
        <v>0</v>
      </c>
    </row>
    <row r="34" ht="15" customHeight="1">
      <c r="A34" s="284" t="n"/>
      <c r="B34" s="356" t="inlineStr">
        <is>
          <t>PENDAPATAN/BEBAN LAIN LAIN</t>
        </is>
      </c>
      <c r="C34" s="357" t="n"/>
      <c r="D34" s="358" t="n"/>
      <c r="E34" s="359" t="n"/>
      <c r="F34" s="341" t="n"/>
      <c r="G34" s="367" t="n"/>
      <c r="H34" s="364" t="inlineStr">
        <is>
          <t xml:space="preserve">  HUTANG GAJI</t>
        </is>
      </c>
      <c r="I34" s="365" t="inlineStr">
        <is>
          <t>Rp</t>
        </is>
      </c>
      <c r="J34" s="366" t="n">
        <v>0</v>
      </c>
    </row>
    <row r="35" ht="15" customHeight="1">
      <c r="A35" s="284" t="n"/>
      <c r="B35" s="363" t="n"/>
      <c r="C35" s="364" t="inlineStr">
        <is>
          <t>PENDAPATAN LAIN LAIN</t>
        </is>
      </c>
      <c r="D35" s="365" t="inlineStr">
        <is>
          <t>Rp</t>
        </is>
      </c>
      <c r="E35" s="366" t="n">
        <v>0</v>
      </c>
      <c r="F35" s="341" t="n"/>
      <c r="G35" s="367" t="n"/>
      <c r="H35" s="368" t="inlineStr">
        <is>
          <t xml:space="preserve">  HUTANG PEMEGANG SAHAM</t>
        </is>
      </c>
      <c r="I35" s="365" t="inlineStr">
        <is>
          <t>Rp</t>
        </is>
      </c>
      <c r="J35" s="366" t="n">
        <v>0</v>
      </c>
    </row>
    <row r="36" ht="15" customHeight="1">
      <c r="A36" s="284" t="n"/>
      <c r="B36" s="363" t="n"/>
      <c r="C36" s="364" t="n"/>
      <c r="D36" s="365" t="n"/>
      <c r="E36" s="366" t="n"/>
      <c r="F36" s="341" t="n"/>
      <c r="G36" s="367" t="n"/>
      <c r="H36" s="368" t="inlineStr">
        <is>
          <t xml:space="preserve">  BIAYA YANG MASIH HARUS DI BAYAR</t>
        </is>
      </c>
      <c r="I36" s="365" t="inlineStr">
        <is>
          <t>Rp</t>
        </is>
      </c>
      <c r="J36" s="366" t="n">
        <v>0</v>
      </c>
    </row>
    <row r="37" ht="15" customHeight="1">
      <c r="A37" s="284" t="n"/>
      <c r="B37" s="370" t="inlineStr">
        <is>
          <t>LABA RUGI SEBELUM PAJAK</t>
        </is>
      </c>
      <c r="C37" s="371" t="n"/>
      <c r="D37" s="372" t="inlineStr">
        <is>
          <t>Rp</t>
        </is>
      </c>
      <c r="E37" s="373">
        <f>E12-E32</f>
        <v/>
      </c>
      <c r="F37" s="341" t="n"/>
      <c r="G37" s="363" t="n"/>
      <c r="H37" s="364" t="n"/>
      <c r="I37" s="365" t="n"/>
      <c r="J37" s="366" t="n"/>
    </row>
    <row r="38" ht="15" customHeight="1">
      <c r="A38" s="284" t="n"/>
      <c r="B38" s="363" t="n"/>
      <c r="C38" s="364" t="n"/>
      <c r="D38" s="365" t="n"/>
      <c r="E38" s="366" t="n"/>
      <c r="F38" s="341" t="n"/>
      <c r="G38" s="375" t="n"/>
      <c r="H38" s="376" t="inlineStr">
        <is>
          <t>TOTAL HUTANG LANCAR</t>
        </is>
      </c>
      <c r="I38" s="377" t="inlineStr">
        <is>
          <t>Rp</t>
        </is>
      </c>
      <c r="J38" s="373">
        <f>SUM(J33:J36)</f>
        <v/>
      </c>
    </row>
    <row r="39" ht="15" customHeight="1">
      <c r="A39" s="284" t="n"/>
      <c r="B39" s="370" t="inlineStr">
        <is>
          <t>CORPORATE TAX (PPh 29)</t>
        </is>
      </c>
      <c r="C39" s="371" t="n"/>
      <c r="D39" s="372" t="inlineStr">
        <is>
          <t>Rp</t>
        </is>
      </c>
      <c r="E39" s="373" t="n">
        <v>0</v>
      </c>
      <c r="F39" s="341" t="n"/>
      <c r="G39" s="367" t="n"/>
      <c r="H39" s="368" t="n"/>
      <c r="I39" s="369" t="n"/>
      <c r="J39" s="366" t="n"/>
    </row>
    <row r="40" ht="15" customHeight="1">
      <c r="A40" s="284" t="n"/>
      <c r="B40" s="363" t="n"/>
      <c r="C40" s="364" t="n"/>
      <c r="D40" s="365" t="n"/>
      <c r="E40" s="366" t="n"/>
      <c r="F40" s="341" t="n"/>
      <c r="G40" s="360" t="inlineStr">
        <is>
          <t>MODAL</t>
        </is>
      </c>
      <c r="H40" s="361" t="inlineStr">
        <is>
          <t>MODAL</t>
        </is>
      </c>
      <c r="I40" s="362" t="n"/>
      <c r="J40" s="359" t="n"/>
    </row>
    <row r="41" ht="15" customHeight="1">
      <c r="A41" s="284" t="n"/>
      <c r="B41" s="379" t="inlineStr">
        <is>
          <t>LABA / RUGI BERSIH</t>
        </is>
      </c>
      <c r="C41" s="380" t="n"/>
      <c r="D41" s="381" t="inlineStr">
        <is>
          <t>Rp</t>
        </is>
      </c>
      <c r="E41" s="382">
        <f>E37-E39</f>
        <v/>
      </c>
      <c r="F41" s="341" t="n"/>
      <c r="G41" s="367" t="n"/>
      <c r="H41" s="368" t="inlineStr">
        <is>
          <t xml:space="preserve">  MODAL SAHAM</t>
        </is>
      </c>
      <c r="I41" s="365" t="inlineStr">
        <is>
          <t>Rp</t>
        </is>
      </c>
      <c r="J41" s="366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63" t="n"/>
      <c r="H42" s="364" t="inlineStr">
        <is>
          <t xml:space="preserve">  LABA DI TAHAN</t>
        </is>
      </c>
      <c r="I42" s="365" t="inlineStr">
        <is>
          <t>Rp</t>
        </is>
      </c>
      <c r="J42" s="366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3" t="n"/>
      <c r="H43" s="364" t="inlineStr">
        <is>
          <t xml:space="preserve">  TOTAL LABA (RUGI) DITAHAN</t>
        </is>
      </c>
      <c r="I43" s="365" t="inlineStr">
        <is>
          <t>Rp</t>
        </is>
      </c>
      <c r="J43" s="366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70" t="n"/>
      <c r="H44" s="371" t="inlineStr">
        <is>
          <t>TOTAL MODAL</t>
        </is>
      </c>
      <c r="I44" s="372" t="inlineStr">
        <is>
          <t>Rp</t>
        </is>
      </c>
      <c r="J44" s="373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3" t="n"/>
      <c r="H45" s="364" t="n"/>
      <c r="I45" s="365" t="n"/>
      <c r="J45" s="366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9" t="n"/>
      <c r="H46" s="380" t="inlineStr">
        <is>
          <t>TOTAL HUTANG DAN MODAL</t>
        </is>
      </c>
      <c r="I46" s="381" t="inlineStr">
        <is>
          <t>Rp</t>
        </is>
      </c>
      <c r="J46" s="382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3" t="inlineStr">
        <is>
          <t>Nama Lengkap</t>
        </is>
      </c>
      <c r="F49" s="284" t="n"/>
      <c r="G49" s="383" t="inlineStr">
        <is>
          <t>Nama Lengkap</t>
        </is>
      </c>
    </row>
    <row r="50" ht="15.6" customHeight="1">
      <c r="A50" s="284" t="n"/>
      <c r="B50" s="384" t="inlineStr">
        <is>
          <t>Direktur</t>
        </is>
      </c>
      <c r="F50" s="284" t="n"/>
      <c r="G50" s="384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5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</row>
    <row r="4" ht="20.45" customHeight="1">
      <c r="A4" s="338" t="n"/>
      <c r="B4" s="343" t="inlineStr">
        <is>
          <t>BUSINESS SUMMARY | TAHUN 2024</t>
        </is>
      </c>
      <c r="F4" s="341" t="n"/>
    </row>
    <row r="5" ht="6" customHeight="1">
      <c r="A5" s="338" t="n"/>
      <c r="B5" s="338" t="n"/>
      <c r="C5" s="338" t="n"/>
      <c r="D5" s="338" t="n"/>
      <c r="E5" s="339" t="n"/>
      <c r="F5" s="341" t="n"/>
    </row>
    <row r="6" ht="20" customHeight="1">
      <c r="A6" s="338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41" t="n"/>
    </row>
    <row r="7" ht="20" customHeight="1">
      <c r="A7" s="338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SUM('Revenue-Cost_2024'!F8:F21)</f>
        <v/>
      </c>
      <c r="F7" s="341" t="n"/>
    </row>
    <row r="8" ht="20" customHeight="1">
      <c r="A8" s="338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41" t="n"/>
    </row>
    <row r="9" ht="20" customHeight="1">
      <c r="A9" s="338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SUM('Revenue-Cost_2024'!I797:Q797)</f>
        <v/>
      </c>
      <c r="F9" s="341" t="n"/>
    </row>
    <row r="10" ht="20" customHeight="1">
      <c r="A10" s="338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41" t="n"/>
    </row>
    <row r="11" ht="20" customHeight="1">
      <c r="A11" s="338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41" t="n"/>
    </row>
    <row r="12" ht="20" customHeight="1">
      <c r="A12" s="338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41" t="n"/>
    </row>
    <row r="13" ht="20" customHeight="1">
      <c r="A13" s="338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41" t="n"/>
    </row>
    <row r="14" ht="20" customHeight="1">
      <c r="A14" s="338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41" t="n"/>
    </row>
    <row r="15" ht="20" customHeight="1">
      <c r="A15" s="338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41" t="n"/>
    </row>
    <row r="16" ht="20" customHeight="1">
      <c r="A16" s="338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53207545</v>
      </c>
      <c r="F16" s="341" t="n"/>
    </row>
    <row r="17" ht="13.9" customHeight="1">
      <c r="A17" s="338" t="n"/>
      <c r="B17" s="338" t="n"/>
      <c r="C17" s="338" t="n"/>
      <c r="D17" s="338" t="n"/>
      <c r="E17" s="339" t="n"/>
      <c r="F17" s="341" t="n"/>
    </row>
    <row r="18" ht="17.65" customHeight="1">
      <c r="A18" s="338" t="n"/>
      <c r="B18" s="393" t="inlineStr">
        <is>
          <t>DEVIDEN</t>
        </is>
      </c>
      <c r="F18" s="341" t="n"/>
    </row>
    <row r="19" ht="20" customHeight="1">
      <c r="A19" s="338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41" t="n"/>
      <c r="G19" s="397" t="inlineStr"/>
    </row>
    <row r="20" ht="20" customHeight="1">
      <c r="A20" s="338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2026-05-03T20:28:14Z</dcterms:modified>
  <cp:lastModifiedBy>Diofavian - Student</cp:lastModifiedBy>
</cp:coreProperties>
</file>