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167" fontId="8" fillId="0" borderId="15" applyAlignment="1" pivotButton="0" quotePrefix="0" xfId="1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7" pivotButton="0" quotePrefix="0" xfId="0"/>
    <xf numFmtId="0" fontId="39" fillId="0" borderId="15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2" applyAlignment="1" pivotButton="0" quotePrefix="0" xfId="0">
      <alignment horizontal="righ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2" applyAlignment="1" pivotButton="0" quotePrefix="0" xfId="0">
      <alignment horizontal="right" vertical="center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41" fillId="0" borderId="24" applyAlignment="1" pivotButton="0" quotePrefix="0" xfId="0">
      <alignment horizontal="right" vertical="center"/>
    </xf>
    <xf numFmtId="3" fontId="41" fillId="0" borderId="25" applyAlignment="1" pivotButton="0" quotePrefix="0" xfId="0">
      <alignment horizontal="right" vertical="center"/>
    </xf>
    <xf numFmtId="2" fontId="41" fillId="0" borderId="24" applyAlignment="1" pivotButton="0" quotePrefix="0" xfId="0">
      <alignment horizontal="left" vertical="center"/>
    </xf>
    <xf numFmtId="2" fontId="41" fillId="0" borderId="25" applyAlignment="1" pivotButton="0" quotePrefix="0" xfId="0">
      <alignment horizontal="left" vertical="center"/>
    </xf>
    <xf numFmtId="2" fontId="41" fillId="0" borderId="24" applyAlignment="1" pivotButton="0" quotePrefix="0" xfId="0">
      <alignment horizontal="righ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0" fontId="40" fillId="0" borderId="26" applyAlignment="1" pivotButton="0" quotePrefix="0" xfId="0">
      <alignment horizontal="right" vertical="center"/>
    </xf>
    <xf numFmtId="3" fontId="40" fillId="0" borderId="27" applyAlignment="1" pivotButton="0" quotePrefix="0" xfId="0">
      <alignment horizontal="right" vertical="center"/>
    </xf>
    <xf numFmtId="173" fontId="41" fillId="0" borderId="24" applyAlignment="1" pivotButton="0" quotePrefix="0" xfId="0">
      <alignment horizontal="left" vertical="center"/>
    </xf>
    <xf numFmtId="2" fontId="40" fillId="0" borderId="26" applyAlignment="1" pivotButton="0" quotePrefix="0" xfId="0">
      <alignment horizontal="left" vertical="center"/>
    </xf>
    <xf numFmtId="2" fontId="40" fillId="0" borderId="27" applyAlignment="1" pivotButton="0" quotePrefix="0" xfId="0">
      <alignment horizontal="left" vertical="center"/>
    </xf>
    <xf numFmtId="2" fontId="40" fillId="0" borderId="26" applyAlignment="1" pivotButton="0" quotePrefix="0" xfId="0">
      <alignment horizontal="right" vertical="center"/>
    </xf>
    <xf numFmtId="41" fontId="40" fillId="0" borderId="26" applyAlignment="1" pivotButton="0" quotePrefix="0" xfId="0">
      <alignment horizontal="left" vertical="center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0" fontId="40" fillId="0" borderId="28" applyAlignment="1" pivotButton="0" quotePrefix="0" xfId="0">
      <alignment horizontal="right" vertical="center"/>
    </xf>
    <xf numFmtId="3" fontId="40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16" applyAlignment="1" pivotButton="0" quotePrefix="0" xfId="0">
      <alignment horizontal="center"/>
    </xf>
    <xf numFmtId="0" fontId="37" fillId="6" borderId="16" pivotButton="0" quotePrefix="0" xfId="0"/>
    <xf numFmtId="0" fontId="37" fillId="6" borderId="30" applyAlignment="1" pivotButton="0" quotePrefix="0" xfId="0">
      <alignment horizontal="left"/>
    </xf>
    <xf numFmtId="3" fontId="37" fillId="6" borderId="31" applyAlignment="1" pivotButton="0" quotePrefix="0" xfId="0">
      <alignment horizontal="right"/>
    </xf>
    <xf numFmtId="3" fontId="37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8" fillId="6" borderId="32" applyAlignment="1" pivotButton="0" quotePrefix="0" xfId="0">
      <alignment horizontal="center"/>
    </xf>
    <xf numFmtId="0" fontId="38" fillId="6" borderId="32" pivotButton="0" quotePrefix="0" xfId="0"/>
    <xf numFmtId="0" fontId="37" fillId="6" borderId="32" pivotButton="0" quotePrefix="0" xfId="0"/>
    <xf numFmtId="165" fontId="37" fillId="6" borderId="32" pivotButton="0" quotePrefix="0" xfId="0"/>
    <xf numFmtId="0" fontId="28" fillId="11" borderId="32" pivotButton="0" quotePrefix="0" xfId="0"/>
    <xf numFmtId="0" fontId="12" fillId="6" borderId="32" pivotButton="0" quotePrefix="0" xfId="0"/>
    <xf numFmtId="0" fontId="34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inlineStr">
        <is>
          <t>-</t>
        </is>
      </c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1" t="n"/>
      <c r="D41" s="282" t="inlineStr">
        <is>
          <t>Belum ada data single pengeluaran</t>
        </is>
      </c>
      <c r="E41" s="283" t="n"/>
      <c r="F41" s="284" t="n"/>
      <c r="G41" s="285" t="n"/>
      <c r="H41" s="285" t="n"/>
      <c r="I41" s="286" t="n"/>
      <c r="J41" s="287" t="n"/>
      <c r="K41" s="288" t="n"/>
      <c r="L41" s="289" t="n"/>
      <c r="M41" s="289" t="n"/>
      <c r="N41" s="289" t="n"/>
      <c r="O41" s="289" t="n"/>
      <c r="P41" s="289" t="n"/>
      <c r="Q41" s="289" t="n"/>
      <c r="R41" s="279" t="n"/>
      <c r="S41" s="279" t="n"/>
      <c r="T41" s="279" t="n"/>
      <c r="U41" s="279" t="n"/>
      <c r="V41" s="279" t="n"/>
      <c r="W41" s="279" t="n"/>
      <c r="X41" s="279" t="n"/>
      <c r="Y41" s="279" t="n"/>
      <c r="Z41" s="279" t="n"/>
      <c r="AA41" s="279" t="n"/>
      <c r="AB41" s="279" t="n"/>
      <c r="AC41" s="279" t="n"/>
      <c r="AD41" s="279" t="n"/>
      <c r="AE41" s="279" t="n"/>
      <c r="AF41" s="279" t="n"/>
      <c r="AG41" s="279" t="n"/>
      <c r="AH41" s="279" t="n"/>
      <c r="AI41" s="279" t="n"/>
      <c r="AJ41" s="279" t="n"/>
      <c r="AK41" s="279" t="n"/>
      <c r="AL41" s="279" t="n"/>
      <c r="AM41" s="279" t="n"/>
      <c r="AN41" s="279" t="n"/>
      <c r="AO41" s="279" t="n"/>
      <c r="AP41" s="279" t="n"/>
      <c r="AQ41" s="279" t="n"/>
      <c r="AR41" s="279" t="n"/>
      <c r="AS41" s="279" t="n"/>
      <c r="AT41" s="279" t="n"/>
      <c r="AU41" s="279" t="n"/>
      <c r="AV41" s="279" t="n"/>
      <c r="AW41" s="279" t="n"/>
      <c r="AX41" s="279" t="n"/>
      <c r="AY41" s="279" t="n"/>
      <c r="AZ41" s="279" t="n"/>
      <c r="BA41" s="279" t="n"/>
      <c r="BB41" s="279" t="n"/>
      <c r="BC41" s="279" t="n"/>
      <c r="BD41" s="279" t="n"/>
      <c r="BE41" s="279" t="n"/>
      <c r="BF41" s="279" t="n"/>
      <c r="BG41" s="279" t="n"/>
      <c r="BH41" s="279" t="n"/>
    </row>
    <row r="42" ht="15.5" customHeight="1">
      <c r="B42" s="290" t="n"/>
      <c r="C42" s="291" t="n"/>
      <c r="D42" s="292" t="inlineStr">
        <is>
          <t>OPERATION COST AND OFFICE - Expenses Report</t>
        </is>
      </c>
      <c r="E42" s="293" t="n"/>
      <c r="F42" s="294" t="n"/>
      <c r="G42" s="295" t="n"/>
      <c r="H42" s="295" t="n"/>
      <c r="I42" s="296" t="n"/>
      <c r="J42" s="287" t="n"/>
      <c r="K42" s="288" t="n"/>
      <c r="L42" s="289" t="n"/>
      <c r="M42" s="289" t="n"/>
      <c r="N42" s="289" t="n"/>
      <c r="O42" s="289" t="n"/>
      <c r="P42" s="289" t="n"/>
      <c r="Q42" s="289" t="n"/>
      <c r="R42" s="279" t="n"/>
      <c r="S42" s="279" t="n"/>
      <c r="T42" s="279" t="n"/>
      <c r="U42" s="279" t="n"/>
      <c r="V42" s="279" t="n"/>
      <c r="W42" s="279" t="n"/>
      <c r="X42" s="279" t="n"/>
      <c r="Y42" s="279" t="n"/>
      <c r="Z42" s="279" t="n"/>
      <c r="AA42" s="279" t="n"/>
      <c r="AB42" s="279" t="n"/>
      <c r="AC42" s="279" t="n"/>
      <c r="AD42" s="279" t="n"/>
      <c r="AE42" s="279" t="n"/>
      <c r="AF42" s="279" t="n"/>
      <c r="AG42" s="279" t="n"/>
      <c r="AH42" s="279" t="n"/>
      <c r="AI42" s="279" t="n"/>
      <c r="AJ42" s="279" t="n"/>
      <c r="AK42" s="279" t="n"/>
      <c r="AL42" s="279" t="n"/>
      <c r="AM42" s="279" t="n"/>
      <c r="AN42" s="279" t="n"/>
      <c r="AO42" s="279" t="n"/>
      <c r="AP42" s="279" t="n"/>
      <c r="AQ42" s="279" t="n"/>
      <c r="AR42" s="279" t="n"/>
      <c r="AS42" s="279" t="n"/>
      <c r="AT42" s="279" t="n"/>
      <c r="AU42" s="279" t="n"/>
      <c r="AV42" s="279" t="n"/>
      <c r="AW42" s="279" t="n"/>
      <c r="AX42" s="279" t="n"/>
      <c r="AY42" s="279" t="n"/>
      <c r="AZ42" s="279" t="n"/>
      <c r="BA42" s="279" t="n"/>
      <c r="BB42" s="279" t="n"/>
      <c r="BC42" s="279" t="n"/>
      <c r="BD42" s="279" t="n"/>
      <c r="BE42" s="279" t="n"/>
      <c r="BF42" s="279" t="n"/>
      <c r="BG42" s="279" t="n"/>
      <c r="BH42" s="279" t="n"/>
    </row>
    <row r="43" ht="15.5" customHeight="1">
      <c r="B43" s="280" t="n"/>
      <c r="C43" s="281" t="n"/>
      <c r="D43" s="282" t="inlineStr">
        <is>
          <t>Belum ada data batch pengeluaran</t>
        </is>
      </c>
      <c r="E43" s="283" t="n"/>
      <c r="F43" s="284" t="n"/>
      <c r="G43" s="285" t="n"/>
      <c r="H43" s="285" t="n"/>
      <c r="I43" s="286" t="n"/>
      <c r="J43" s="287" t="n"/>
      <c r="K43" s="288" t="n"/>
      <c r="L43" s="289" t="n"/>
      <c r="M43" s="289" t="n"/>
      <c r="N43" s="289" t="n"/>
      <c r="O43" s="289" t="n"/>
      <c r="P43" s="289" t="n"/>
      <c r="Q43" s="289" t="n"/>
      <c r="R43" s="279" t="n"/>
      <c r="S43" s="279" t="n"/>
      <c r="T43" s="279" t="n"/>
      <c r="U43" s="279" t="n"/>
      <c r="V43" s="279" t="n"/>
      <c r="W43" s="279" t="n"/>
      <c r="X43" s="279" t="n"/>
      <c r="Y43" s="279" t="n"/>
      <c r="Z43" s="279" t="n"/>
      <c r="AA43" s="279" t="n"/>
      <c r="AB43" s="279" t="n"/>
      <c r="AC43" s="279" t="n"/>
      <c r="AD43" s="279" t="n"/>
      <c r="AE43" s="279" t="n"/>
      <c r="AF43" s="279" t="n"/>
      <c r="AG43" s="279" t="n"/>
      <c r="AH43" s="279" t="n"/>
      <c r="AI43" s="279" t="n"/>
      <c r="AJ43" s="279" t="n"/>
      <c r="AK43" s="279" t="n"/>
      <c r="AL43" s="279" t="n"/>
      <c r="AM43" s="279" t="n"/>
      <c r="AN43" s="279" t="n"/>
      <c r="AO43" s="279" t="n"/>
      <c r="AP43" s="279" t="n"/>
      <c r="AQ43" s="279" t="n"/>
      <c r="AR43" s="279" t="n"/>
      <c r="AS43" s="279" t="n"/>
      <c r="AT43" s="279" t="n"/>
      <c r="AU43" s="279" t="n"/>
      <c r="AV43" s="279" t="n"/>
      <c r="AW43" s="279" t="n"/>
      <c r="AX43" s="279" t="n"/>
      <c r="AY43" s="279" t="n"/>
      <c r="AZ43" s="279" t="n"/>
      <c r="BA43" s="279" t="n"/>
      <c r="BB43" s="279" t="n"/>
      <c r="BC43" s="279" t="n"/>
      <c r="BD43" s="279" t="n"/>
      <c r="BE43" s="279" t="n"/>
      <c r="BF43" s="279" t="n"/>
      <c r="BG43" s="279" t="n"/>
      <c r="BH43" s="279" t="n"/>
    </row>
    <row r="44" ht="15.5" customHeight="1">
      <c r="B44" s="297" t="inlineStr">
        <is>
          <t>TOTAL</t>
        </is>
      </c>
      <c r="C44" s="298" t="n"/>
      <c r="D44" s="298" t="n"/>
      <c r="E44" s="298" t="n"/>
      <c r="F44" s="298" t="n"/>
      <c r="G44" s="298" t="n"/>
      <c r="H44" s="298" t="n"/>
      <c r="I44" s="299" t="n">
        <v>0</v>
      </c>
      <c r="J44" s="289" t="n"/>
      <c r="K44" s="300" t="n"/>
      <c r="L44" s="289" t="n"/>
      <c r="M44" s="289" t="n"/>
      <c r="N44" s="289" t="n"/>
      <c r="O44" s="289" t="n"/>
      <c r="P44" s="289" t="n"/>
      <c r="Q44" s="289" t="n"/>
      <c r="R44" s="279" t="n"/>
      <c r="S44" s="279" t="n"/>
      <c r="T44" s="279" t="n"/>
      <c r="U44" s="279" t="n"/>
      <c r="V44" s="279" t="n"/>
      <c r="W44" s="279" t="n"/>
      <c r="X44" s="279" t="n"/>
      <c r="Y44" s="279" t="n"/>
      <c r="Z44" s="279" t="n"/>
      <c r="AA44" s="279" t="n"/>
      <c r="AB44" s="279" t="n"/>
      <c r="AC44" s="279" t="n"/>
      <c r="AD44" s="279" t="n"/>
      <c r="AE44" s="279" t="n"/>
      <c r="AF44" s="279" t="n"/>
      <c r="AG44" s="279" t="n"/>
      <c r="AH44" s="279" t="n"/>
      <c r="AI44" s="279" t="n"/>
      <c r="AJ44" s="279" t="n"/>
      <c r="AK44" s="279" t="n"/>
      <c r="AL44" s="279" t="n"/>
      <c r="AM44" s="279" t="n"/>
      <c r="AN44" s="279" t="n"/>
      <c r="AO44" s="279" t="n"/>
      <c r="AP44" s="279" t="n"/>
      <c r="AQ44" s="279" t="n"/>
      <c r="AR44" s="279" t="n"/>
      <c r="AS44" s="279" t="n"/>
      <c r="AT44" s="279" t="n"/>
      <c r="AU44" s="279" t="n"/>
      <c r="AV44" s="279" t="n"/>
      <c r="AW44" s="279" t="n"/>
      <c r="AX44" s="279" t="n"/>
      <c r="AY44" s="279" t="n"/>
      <c r="AZ44" s="279" t="n"/>
      <c r="BA44" s="279" t="n"/>
      <c r="BB44" s="279" t="n"/>
      <c r="BC44" s="279" t="n"/>
      <c r="BD44" s="279" t="n"/>
      <c r="BE44" s="279" t="n"/>
      <c r="BF44" s="279" t="n"/>
      <c r="BG44" s="279" t="n"/>
      <c r="BH44" s="279" t="n"/>
    </row>
    <row r="45" hidden="1" ht="15.5" customHeight="1">
      <c r="B45" s="14" t="n"/>
      <c r="C45" s="15" t="n"/>
      <c r="D45" s="63" t="n"/>
      <c r="E45" s="63" t="n"/>
      <c r="F45" s="233" t="n"/>
      <c r="G45" s="60" t="n"/>
      <c r="H45" s="60" t="n"/>
      <c r="I45" s="61" t="n"/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/>
      <c r="C46" s="15" t="n"/>
      <c r="D46" s="63" t="n"/>
      <c r="E46" s="63" t="n"/>
      <c r="F46" s="233" t="n"/>
      <c r="G46" s="60" t="n"/>
      <c r="H46" s="60" t="n"/>
      <c r="I46" s="61" t="n"/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/>
      <c r="C47" s="15" t="n"/>
      <c r="D47" s="63" t="n"/>
      <c r="E47" s="63" t="n"/>
      <c r="F47" s="234" t="n"/>
      <c r="G47" s="60" t="n"/>
      <c r="H47" s="60" t="n"/>
      <c r="I47" s="61" t="n"/>
      <c r="J47" s="62" t="n"/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/>
      <c r="C48" s="15" t="n"/>
      <c r="D48" s="63" t="n"/>
      <c r="E48" s="63" t="n"/>
      <c r="F48" s="210" t="n"/>
      <c r="G48" s="60" t="n"/>
      <c r="H48" s="60" t="n"/>
      <c r="I48" s="61" t="n"/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/>
      <c r="C49" s="15" t="n"/>
      <c r="D49" s="63" t="n"/>
      <c r="E49" s="63" t="n"/>
      <c r="F49" s="210" t="n"/>
      <c r="G49" s="60" t="n"/>
      <c r="H49" s="60" t="n"/>
      <c r="I49" s="61" t="n"/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/>
      <c r="C50" s="15" t="n"/>
      <c r="D50" s="63" t="n"/>
      <c r="E50" s="63" t="n"/>
      <c r="F50" s="235" t="n"/>
      <c r="G50" s="60" t="n"/>
      <c r="H50" s="60" t="n"/>
      <c r="I50" s="61" t="n"/>
      <c r="J50" s="61" t="n"/>
      <c r="K50" s="44" t="n"/>
      <c r="L50" s="68" t="n"/>
      <c r="M50" s="44" t="n"/>
      <c r="N50" s="44" t="n"/>
      <c r="O50" s="44" t="n"/>
      <c r="P50" s="44" t="n"/>
      <c r="Q50" s="44" t="n"/>
    </row>
    <row r="51" hidden="1" ht="15.5" customHeight="1">
      <c r="B51" s="14" t="n"/>
      <c r="C51" s="15" t="n"/>
      <c r="D51" s="63" t="n"/>
      <c r="E51" s="63" t="n"/>
      <c r="F51" s="234" t="n"/>
      <c r="G51" s="60" t="n"/>
      <c r="H51" s="60" t="n"/>
      <c r="I51" s="61" t="n"/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/>
      <c r="C52" s="15" t="n"/>
      <c r="D52" s="63" t="n"/>
      <c r="E52" s="63" t="n"/>
      <c r="F52" s="212" t="n"/>
      <c r="G52" s="60" t="n"/>
      <c r="H52" s="60" t="n"/>
      <c r="I52" s="61" t="n"/>
      <c r="J52" s="62" t="n"/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/>
      <c r="C53" s="15" t="n"/>
      <c r="D53" s="63" t="n"/>
      <c r="E53" s="63" t="n"/>
      <c r="F53" s="234" t="n"/>
      <c r="G53" s="60" t="n"/>
      <c r="H53" s="60" t="n"/>
      <c r="I53" s="62" t="n"/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/>
      <c r="C54" s="15" t="n"/>
      <c r="D54" s="18" t="n"/>
      <c r="E54" s="18" t="n"/>
      <c r="F54" s="212" t="n"/>
      <c r="G54" s="60" t="n"/>
      <c r="H54" s="60" t="n"/>
      <c r="I54" s="61" t="n"/>
      <c r="J54" s="61" t="n"/>
      <c r="K54" s="62" t="n"/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/>
      <c r="C55" s="15" t="n"/>
      <c r="D55" s="63" t="n"/>
      <c r="E55" s="63" t="n"/>
      <c r="F55" s="236" t="n"/>
      <c r="G55" s="60" t="n"/>
      <c r="H55" s="60" t="n"/>
      <c r="I55" s="62" t="n"/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/>
      <c r="C56" s="15" t="n"/>
      <c r="D56" s="63" t="n"/>
      <c r="E56" s="63" t="n"/>
      <c r="F56" s="236" t="n"/>
      <c r="G56" s="60" t="n"/>
      <c r="H56" s="60" t="n"/>
      <c r="I56" s="61" t="n"/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/>
      <c r="C57" s="15" t="n"/>
      <c r="D57" s="18" t="n"/>
      <c r="E57" s="18" t="n"/>
      <c r="F57" s="21" t="n"/>
      <c r="G57" s="60" t="n"/>
      <c r="H57" s="60" t="n"/>
      <c r="I57" s="61" t="n"/>
      <c r="J57" s="61" t="n"/>
      <c r="K57" s="62" t="n"/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/>
      <c r="C58" s="15" t="n"/>
      <c r="D58" s="63" t="n"/>
      <c r="E58" s="63" t="n"/>
      <c r="F58" s="236" t="n"/>
      <c r="G58" s="60" t="n"/>
      <c r="H58" s="60" t="n"/>
      <c r="I58" s="61" t="n"/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/>
      <c r="C59" s="15" t="n"/>
      <c r="D59" s="63" t="n"/>
      <c r="E59" s="63" t="n"/>
      <c r="F59" s="236" t="n"/>
      <c r="G59" s="60" t="n"/>
      <c r="H59" s="60" t="n"/>
      <c r="I59" s="61" t="n"/>
      <c r="J59" s="61" t="n"/>
      <c r="K59" s="44" t="n"/>
      <c r="L59" s="44" t="n"/>
      <c r="M59" s="44" t="n"/>
      <c r="N59" s="68" t="n"/>
      <c r="O59" s="44" t="n"/>
      <c r="P59" s="44" t="n"/>
      <c r="Q59" s="44" t="n"/>
    </row>
    <row r="60" hidden="1" ht="15.5" customFormat="1" customHeight="1" s="66">
      <c r="B60" s="14" t="n"/>
      <c r="C60" s="15" t="n"/>
      <c r="D60" s="63" t="n"/>
      <c r="E60" s="63" t="n"/>
      <c r="F60" s="2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2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2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2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2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2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/>
      <c r="C67" s="15" t="n"/>
      <c r="D67" s="63" t="n"/>
      <c r="E67" s="63" t="n"/>
      <c r="F67" s="2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/>
      <c r="C69" s="15" t="n"/>
      <c r="D69" s="63" t="n"/>
      <c r="E69" s="63" t="n"/>
      <c r="F69" s="2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>
      <c r="B70" s="14" t="n"/>
      <c r="C70" s="15" t="n"/>
      <c r="D70" s="63" t="n"/>
      <c r="E70" s="63" t="n"/>
      <c r="F70" s="236" t="n"/>
      <c r="G70" s="60" t="n"/>
      <c r="H70" s="60" t="n"/>
      <c r="I70" s="61" t="n"/>
      <c r="J70" s="61" t="n"/>
      <c r="K70" s="44" t="n"/>
      <c r="L70" s="44" t="n"/>
      <c r="M70" s="44" t="n"/>
      <c r="N70" s="237" t="n"/>
      <c r="O70" s="44" t="n"/>
      <c r="P70" s="44" t="n"/>
      <c r="Q70" s="44" t="n"/>
    </row>
    <row r="71" hidden="1" ht="15.5" customHeight="1">
      <c r="B71" s="14" t="n"/>
      <c r="C71" s="15" t="n"/>
      <c r="D71" s="63" t="n"/>
      <c r="E71" s="63" t="n"/>
      <c r="F71" s="236" t="n"/>
      <c r="G71" s="60" t="n"/>
      <c r="H71" s="60" t="n"/>
      <c r="I71" s="61" t="n"/>
      <c r="J71" s="61" t="n"/>
      <c r="K71" s="44" t="n"/>
      <c r="L71" s="237" t="n"/>
      <c r="M71" s="44" t="n"/>
      <c r="N71" s="44" t="n"/>
      <c r="O71" s="44" t="n"/>
      <c r="P71" s="44" t="n"/>
      <c r="Q71" s="44" t="n"/>
    </row>
    <row r="72" hidden="1" ht="15.5" customHeight="1">
      <c r="B72" s="14" t="n"/>
      <c r="C72" s="15" t="n"/>
      <c r="D72" s="63" t="n"/>
      <c r="E72" s="63" t="n"/>
      <c r="F72" s="2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/>
      <c r="C76" s="15" t="n"/>
      <c r="D76" s="63" t="n"/>
      <c r="E76" s="63" t="n"/>
      <c r="F76" s="236" t="n"/>
      <c r="G76" s="60" t="n"/>
      <c r="H76" s="60" t="n"/>
      <c r="I76" s="61" t="n"/>
      <c r="J76" s="61" t="n"/>
      <c r="K76" s="44" t="n"/>
      <c r="L76" s="44" t="n"/>
      <c r="M76" s="44" t="n"/>
      <c r="N76" s="237" t="n"/>
      <c r="O76" s="44" t="n"/>
      <c r="P76" s="44" t="n"/>
      <c r="Q76" s="44" t="n"/>
    </row>
    <row r="77" hidden="1" ht="15.5" customHeight="1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/>
      <c r="C81" s="15" t="n"/>
      <c r="D81" s="18" t="n"/>
      <c r="E81" s="18" t="n"/>
      <c r="F81" s="213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232" t="n"/>
      <c r="L85" s="62" t="n"/>
      <c r="M85" s="44" t="n"/>
      <c r="N85" s="44" t="n"/>
      <c r="O85" s="44" t="n"/>
      <c r="P85" s="44" t="n"/>
      <c r="Q85" s="44" t="n"/>
    </row>
    <row r="86" hidden="1" ht="15.5" customHeight="1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232" t="n"/>
      <c r="L89" s="44" t="n"/>
      <c r="M89" s="44" t="n"/>
      <c r="N89" s="62" t="n"/>
      <c r="O89" s="44" t="n"/>
      <c r="P89" s="44" t="n"/>
      <c r="Q89" s="44" t="n"/>
    </row>
    <row r="90" hidden="1" ht="15.5" customHeight="1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/>
      <c r="C91" s="15" t="n"/>
      <c r="D91" s="63" t="n"/>
      <c r="E91" s="63" t="n"/>
      <c r="F91" s="2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237" t="n"/>
      <c r="P91" s="44" t="n"/>
      <c r="Q91" s="44" t="n"/>
    </row>
    <row r="92" hidden="1" ht="15.5" customHeight="1">
      <c r="B92" s="14" t="n"/>
      <c r="C92" s="15" t="n"/>
      <c r="D92" s="63" t="n"/>
      <c r="E92" s="63" t="n"/>
      <c r="F92" s="2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/>
      <c r="C93" s="15" t="n"/>
      <c r="D93" s="63" t="n"/>
      <c r="E93" s="63" t="n"/>
      <c r="F93" s="2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/>
      <c r="C94" s="15" t="n"/>
      <c r="D94" s="63" t="n"/>
      <c r="E94" s="63" t="n"/>
      <c r="F94" s="2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/>
      <c r="C96" s="64" t="n"/>
      <c r="D96" s="63" t="n"/>
      <c r="E96" s="63" t="n"/>
      <c r="F96" s="2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n"/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n"/>
      <c r="C98" s="85" t="n"/>
      <c r="D98" s="86" t="n"/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n"/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>
      <c r="B116" s="67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>
      <c r="B117" s="67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>
      <c r="B118" s="67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>
      <c r="B119" s="67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>
      <c r="B120" s="67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>
      <c r="B121" s="67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D27:E27"/>
    <mergeCell ref="C25:C26"/>
    <mergeCell ref="I25:J25"/>
    <mergeCell ref="G6:G7"/>
    <mergeCell ref="B6:B7"/>
    <mergeCell ref="M25:N25"/>
    <mergeCell ref="O25:P25"/>
    <mergeCell ref="D6:E7"/>
    <mergeCell ref="G25:G26"/>
    <mergeCell ref="D8:E8"/>
    <mergeCell ref="B44:H44"/>
    <mergeCell ref="I6:I7"/>
    <mergeCell ref="K6:K7"/>
    <mergeCell ref="B25:B26"/>
    <mergeCell ref="C6:C7"/>
    <mergeCell ref="O6:O7"/>
    <mergeCell ref="H25:H26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  <c r="G3" s="305" t="inlineStr">
        <is>
          <t>PT. EXSPAN WIRELINE INDONESIA</t>
        </is>
      </c>
      <c r="H3" s="305" t="n"/>
      <c r="I3" s="305" t="n"/>
      <c r="J3" s="305" t="n"/>
    </row>
    <row r="4" ht="20.45" customHeight="1">
      <c r="A4" s="301" t="n"/>
      <c r="B4" s="306" t="inlineStr">
        <is>
          <t>LABA RUGI | TAHUN 2020</t>
        </is>
      </c>
      <c r="F4" s="304" t="n"/>
      <c r="G4" s="307" t="inlineStr">
        <is>
          <t>NERACA |TAHUN YANG BERAKHIR, 31 DESEMBER 2020</t>
        </is>
      </c>
      <c r="H4" s="307" t="n"/>
      <c r="I4" s="307" t="n"/>
      <c r="J4" s="307" t="n"/>
    </row>
    <row r="5" ht="6" customHeight="1">
      <c r="A5" s="301" t="n"/>
      <c r="B5" s="301" t="n"/>
      <c r="C5" s="301" t="n"/>
      <c r="D5" s="301" t="n"/>
      <c r="E5" s="302" t="n"/>
      <c r="F5" s="304" t="n"/>
      <c r="G5" s="304" t="n"/>
      <c r="H5" s="308" t="n"/>
      <c r="I5" s="308" t="n"/>
      <c r="J5" s="308" t="n"/>
    </row>
    <row r="6" ht="15.4" customHeight="1">
      <c r="A6" s="301" t="n"/>
      <c r="B6" s="309" t="n"/>
      <c r="C6" s="310" t="n"/>
      <c r="D6" s="311" t="inlineStr">
        <is>
          <t>PT. Exspan Wireline Indonesia</t>
        </is>
      </c>
      <c r="E6" s="221" t="n"/>
      <c r="F6" s="304" t="n"/>
      <c r="G6" s="312" t="n"/>
      <c r="H6" s="313" t="n"/>
      <c r="I6" s="311" t="inlineStr">
        <is>
          <t>PT. Exspan Wireline Indonesia</t>
        </is>
      </c>
      <c r="J6" s="221" t="n"/>
    </row>
    <row r="7" ht="15.4" customHeight="1">
      <c r="A7" s="301" t="n"/>
      <c r="B7" s="314" t="n"/>
      <c r="C7" s="315" t="n"/>
      <c r="D7" s="316" t="inlineStr">
        <is>
          <t>(Rp)</t>
        </is>
      </c>
      <c r="E7" s="226" t="n"/>
      <c r="F7" s="304" t="n"/>
      <c r="G7" s="317" t="n"/>
      <c r="H7" s="318" t="n"/>
      <c r="I7" s="316" t="inlineStr">
        <is>
          <t>(Rp)</t>
        </is>
      </c>
      <c r="J7" s="226" t="n"/>
    </row>
    <row r="8" ht="15" customHeight="1">
      <c r="A8" s="319" t="n"/>
      <c r="B8" s="320" t="inlineStr">
        <is>
          <t>PENDAPATAN</t>
        </is>
      </c>
      <c r="C8" s="321" t="n"/>
      <c r="D8" s="322" t="n"/>
      <c r="E8" s="323" t="n"/>
      <c r="F8" s="304" t="n"/>
      <c r="G8" s="324" t="inlineStr">
        <is>
          <t>AKTIVA</t>
        </is>
      </c>
      <c r="H8" s="325" t="inlineStr">
        <is>
          <t>AKTIVA</t>
        </is>
      </c>
      <c r="I8" s="326" t="n"/>
      <c r="J8" s="323" t="n"/>
    </row>
    <row r="9" ht="15" customHeight="1">
      <c r="A9" s="319" t="n"/>
      <c r="B9" s="327" t="n"/>
      <c r="C9" s="328" t="inlineStr">
        <is>
          <t>PENDAPATAN LANGSUNG</t>
        </is>
      </c>
      <c r="D9" s="329" t="inlineStr">
        <is>
          <t>Rp</t>
        </is>
      </c>
      <c r="E9" s="330" t="n">
        <v>0</v>
      </c>
      <c r="F9" s="304" t="n"/>
      <c r="G9" s="331" t="inlineStr">
        <is>
          <t>AKTIVA LANCAR</t>
        </is>
      </c>
      <c r="H9" s="332" t="inlineStr">
        <is>
          <t>AKTIVA LANCAR</t>
        </is>
      </c>
      <c r="I9" s="333" t="n"/>
      <c r="J9" s="330" t="n"/>
    </row>
    <row r="10" ht="15" customHeight="1">
      <c r="A10" s="319" t="n"/>
      <c r="B10" s="327" t="n"/>
      <c r="C10" s="328" t="inlineStr">
        <is>
          <t>PENDAPATAN LAIN LAIN</t>
        </is>
      </c>
      <c r="D10" s="329" t="inlineStr">
        <is>
          <t>Rp</t>
        </is>
      </c>
      <c r="E10" s="330" t="n">
        <v>0</v>
      </c>
      <c r="F10" s="304" t="n"/>
      <c r="G10" s="331" t="n"/>
      <c r="H10" s="332" t="inlineStr">
        <is>
          <t xml:space="preserve">  KAS DAN SETARA KAS TAHUN SEBELUMNYA</t>
        </is>
      </c>
      <c r="I10" s="329" t="inlineStr">
        <is>
          <t>Rp</t>
        </is>
      </c>
      <c r="J10" s="330" t="n">
        <v>0</v>
      </c>
    </row>
    <row r="11" ht="15" customHeight="1">
      <c r="A11" s="319" t="n"/>
      <c r="B11" s="327" t="n"/>
      <c r="C11" s="328" t="n"/>
      <c r="D11" s="329" t="n"/>
      <c r="E11" s="330" t="n"/>
      <c r="F11" s="304" t="n"/>
      <c r="G11" s="331" t="n"/>
      <c r="H11" s="332" t="inlineStr">
        <is>
          <t xml:space="preserve">  KAS DAN SETARA KAS TAHUN LAPORAN</t>
        </is>
      </c>
      <c r="I11" s="329" t="inlineStr">
        <is>
          <t>Rp</t>
        </is>
      </c>
      <c r="J11" s="330">
        <f>ROUND(E34-'Business Summary'!E13, 0)</f>
        <v/>
      </c>
    </row>
    <row r="12" ht="15" customHeight="1">
      <c r="A12" s="319" t="n"/>
      <c r="B12" s="334" t="inlineStr">
        <is>
          <t>TOTAL PENDAPATAN</t>
        </is>
      </c>
      <c r="C12" s="335" t="n"/>
      <c r="D12" s="336" t="inlineStr">
        <is>
          <t>Rp</t>
        </is>
      </c>
      <c r="E12" s="337">
        <f>SUM(E9:E11)</f>
        <v/>
      </c>
      <c r="F12" s="304" t="n"/>
      <c r="G12" s="331" t="n"/>
      <c r="H12" s="332" t="inlineStr">
        <is>
          <t xml:space="preserve">  PIUTANG USAHA</t>
        </is>
      </c>
      <c r="I12" s="329" t="inlineStr">
        <is>
          <t>Rp</t>
        </is>
      </c>
      <c r="J12" s="330" t="n">
        <v>0</v>
      </c>
    </row>
    <row r="13" ht="15" customHeight="1">
      <c r="A13" s="319" t="n"/>
      <c r="B13" s="327" t="n"/>
      <c r="C13" s="328" t="n"/>
      <c r="D13" s="329" t="n"/>
      <c r="E13" s="330" t="n"/>
      <c r="F13" s="304" t="n"/>
      <c r="G13" s="331" t="n"/>
      <c r="H13" s="332" t="inlineStr">
        <is>
          <t xml:space="preserve">  PAJAK BAYAR DI MUKA (pph23)</t>
        </is>
      </c>
      <c r="I13" s="329" t="inlineStr">
        <is>
          <t>Rp</t>
        </is>
      </c>
      <c r="J13" s="330" t="n">
        <v>0</v>
      </c>
    </row>
    <row r="14" ht="15" customHeight="1">
      <c r="A14" s="319" t="n"/>
      <c r="B14" s="320" t="inlineStr">
        <is>
          <t>BEBAN LANGSUNG</t>
        </is>
      </c>
      <c r="C14" s="321" t="n"/>
      <c r="D14" s="322" t="n"/>
      <c r="E14" s="323" t="n"/>
      <c r="F14" s="304" t="n"/>
      <c r="G14" s="331" t="n"/>
      <c r="H14" s="332" t="inlineStr">
        <is>
          <t xml:space="preserve">  BIAYA BAYAR DI MUKA</t>
        </is>
      </c>
      <c r="I14" s="329" t="inlineStr">
        <is>
          <t>Rp</t>
        </is>
      </c>
      <c r="J14" s="330" t="n">
        <v>0</v>
      </c>
    </row>
    <row r="15" ht="15" customHeight="1">
      <c r="A15" s="319" t="n"/>
      <c r="B15" s="327" t="n"/>
      <c r="C15" s="328" t="inlineStr">
        <is>
          <t>BIAYA SEWA PERALATAN</t>
        </is>
      </c>
      <c r="D15" s="329" t="inlineStr">
        <is>
          <t>Rp</t>
        </is>
      </c>
      <c r="E15" s="330">
        <f>'Revenue-Cost_2020'!I44</f>
        <v/>
      </c>
      <c r="F15" s="304" t="n"/>
      <c r="G15" s="338" t="n"/>
      <c r="H15" s="332" t="inlineStr">
        <is>
          <t xml:space="preserve">  PIUTANG LAIN LAIN</t>
        </is>
      </c>
      <c r="I15" s="329" t="inlineStr">
        <is>
          <t>Rp</t>
        </is>
      </c>
      <c r="J15" s="330" t="n">
        <v>0</v>
      </c>
    </row>
    <row r="16" ht="15" customHeight="1">
      <c r="A16" s="319" t="n"/>
      <c r="B16" s="334" t="inlineStr">
        <is>
          <t>TOTAL BIAYA LANGSUNG</t>
        </is>
      </c>
      <c r="C16" s="335" t="n"/>
      <c r="D16" s="336" t="inlineStr">
        <is>
          <t>Rp</t>
        </is>
      </c>
      <c r="E16" s="337">
        <f>SUM(E15:E15)</f>
        <v/>
      </c>
      <c r="F16" s="304" t="n"/>
      <c r="G16" s="339" t="n"/>
      <c r="H16" s="340" t="inlineStr">
        <is>
          <t>TOTAL AKTIVA LANCAR</t>
        </is>
      </c>
      <c r="I16" s="336" t="inlineStr">
        <is>
          <t>Rp</t>
        </is>
      </c>
      <c r="J16" s="337">
        <f>SUM(J10:J15)</f>
        <v/>
      </c>
    </row>
    <row r="17" ht="15" customHeight="1">
      <c r="A17" s="319" t="n"/>
      <c r="B17" s="327" t="n"/>
      <c r="C17" s="328" t="n"/>
      <c r="D17" s="329" t="n"/>
      <c r="E17" s="330" t="n"/>
      <c r="F17" s="304" t="n"/>
      <c r="G17" s="324" t="n"/>
      <c r="H17" s="325" t="inlineStr">
        <is>
          <t>ACTIVA TETAP</t>
        </is>
      </c>
      <c r="I17" s="326" t="n"/>
      <c r="J17" s="323" t="n"/>
    </row>
    <row r="18" ht="15" customHeight="1">
      <c r="A18" s="319" t="n"/>
      <c r="B18" s="320" t="inlineStr">
        <is>
          <t>BEBAN TIDAK LANGSUNG</t>
        </is>
      </c>
      <c r="C18" s="321" t="n"/>
      <c r="D18" s="322" t="n"/>
      <c r="E18" s="323" t="n"/>
      <c r="F18" s="304" t="n"/>
      <c r="G18" s="331" t="inlineStr">
        <is>
          <t>ACTIVA TETAP</t>
        </is>
      </c>
      <c r="H18" s="332" t="n"/>
      <c r="I18" s="333" t="n"/>
      <c r="J18" s="330" t="n"/>
    </row>
    <row r="19" ht="15" customHeight="1">
      <c r="A19" s="319" t="n"/>
      <c r="B19" s="327" t="n"/>
      <c r="C19" s="328" t="n"/>
      <c r="D19" s="329" t="inlineStr">
        <is>
          <t>Rp</t>
        </is>
      </c>
      <c r="E19" s="330" t="n">
        <v>0</v>
      </c>
      <c r="F19" s="304" t="n"/>
      <c r="G19" s="331" t="n"/>
      <c r="H19" s="332" t="n"/>
      <c r="I19" s="333" t="n"/>
      <c r="J19" s="330" t="n"/>
    </row>
    <row r="20" ht="15" customHeight="1">
      <c r="A20" s="319" t="n"/>
      <c r="B20" s="334" t="inlineStr">
        <is>
          <t>TOTAL BIAYA TIDAK LANGSUNG</t>
        </is>
      </c>
      <c r="C20" s="335" t="n"/>
      <c r="D20" s="336" t="inlineStr">
        <is>
          <t>Rp</t>
        </is>
      </c>
      <c r="E20" s="337">
        <f>SUM(E19:E19)</f>
        <v/>
      </c>
      <c r="F20" s="304" t="n"/>
      <c r="G20" s="331" t="n"/>
      <c r="H20" s="332" t="inlineStr">
        <is>
          <t xml:space="preserve">  INVENTARIS KANTOR</t>
        </is>
      </c>
      <c r="I20" s="329" t="inlineStr">
        <is>
          <t>Rp</t>
        </is>
      </c>
      <c r="J20" s="330" t="n">
        <v>0</v>
      </c>
    </row>
    <row r="21" ht="15" customHeight="1">
      <c r="A21" s="319" t="n"/>
      <c r="B21" s="327" t="n"/>
      <c r="C21" s="328" t="n"/>
      <c r="D21" s="329" t="n"/>
      <c r="E21" s="330" t="n"/>
      <c r="F21" s="304" t="n"/>
      <c r="G21" s="331" t="n"/>
      <c r="H21" s="332" t="n"/>
      <c r="I21" s="333" t="n"/>
      <c r="J21" s="330" t="n"/>
    </row>
    <row r="22" ht="15" customHeight="1">
      <c r="A22" s="319" t="n"/>
      <c r="B22" s="320" t="inlineStr">
        <is>
          <t>BIAYA ADMINISTRASI DAN UMUM</t>
        </is>
      </c>
      <c r="C22" s="321" t="n"/>
      <c r="D22" s="322" t="n"/>
      <c r="E22" s="323" t="n"/>
      <c r="F22" s="304" t="n"/>
      <c r="G22" s="339" t="n"/>
      <c r="H22" s="340" t="inlineStr">
        <is>
          <t>TOTAL AKTIVA TETAP</t>
        </is>
      </c>
      <c r="I22" s="336" t="inlineStr">
        <is>
          <t>Rp</t>
        </is>
      </c>
      <c r="J22" s="337">
        <f>J20</f>
        <v/>
      </c>
    </row>
    <row r="23" ht="15" customHeight="1">
      <c r="A23" s="319" t="n"/>
      <c r="B23" s="334" t="inlineStr">
        <is>
          <t>TOTAL BIAYA ADMINISTRASI DAN UMUM</t>
        </is>
      </c>
      <c r="C23" s="335" t="n"/>
      <c r="D23" s="336" t="inlineStr">
        <is>
          <t>Rp</t>
        </is>
      </c>
      <c r="E23" s="337">
        <f>SUM(E23:E23)</f>
        <v/>
      </c>
      <c r="F23" s="304" t="n"/>
      <c r="G23" s="331" t="n"/>
      <c r="H23" s="332" t="n"/>
      <c r="I23" s="333" t="n"/>
      <c r="J23" s="330" t="n"/>
    </row>
    <row r="24" ht="15" customHeight="1">
      <c r="A24" s="319" t="n"/>
      <c r="B24" s="327" t="n"/>
      <c r="C24" s="328" t="n"/>
      <c r="D24" s="329" t="n"/>
      <c r="E24" s="330" t="n"/>
      <c r="F24" s="304" t="n"/>
      <c r="G24" s="324" t="inlineStr">
        <is>
          <t>ACTIVA LAIN LAIN</t>
        </is>
      </c>
      <c r="H24" s="325" t="inlineStr">
        <is>
          <t>ACTIVA LAIN LAIN</t>
        </is>
      </c>
      <c r="I24" s="326" t="n"/>
      <c r="J24" s="323" t="n">
        <v>0</v>
      </c>
    </row>
    <row r="25" ht="15" customHeight="1">
      <c r="A25" s="319" t="n"/>
      <c r="B25" s="334" t="inlineStr">
        <is>
          <t>TOTAL BIAYA</t>
        </is>
      </c>
      <c r="C25" s="335" t="n"/>
      <c r="D25" s="336" t="inlineStr">
        <is>
          <t>Rp</t>
        </is>
      </c>
      <c r="E25" s="337">
        <f>E16+E20+E23</f>
        <v/>
      </c>
      <c r="F25" s="304" t="n"/>
      <c r="G25" s="339" t="n"/>
      <c r="H25" s="340" t="inlineStr">
        <is>
          <t xml:space="preserve">  TOTAL AKTIVA LAIN LAIN</t>
        </is>
      </c>
      <c r="I25" s="341" t="inlineStr">
        <is>
          <t>Rp</t>
        </is>
      </c>
      <c r="J25" s="337" t="n">
        <v>0</v>
      </c>
    </row>
    <row r="26" ht="15" customHeight="1">
      <c r="A26" s="319" t="n"/>
      <c r="B26" s="327" t="n"/>
      <c r="C26" s="328" t="n"/>
      <c r="D26" s="329" t="n"/>
      <c r="E26" s="330" t="n"/>
      <c r="F26" s="304" t="n"/>
      <c r="G26" s="331" t="n"/>
      <c r="H26" s="332" t="inlineStr">
        <is>
          <t>TOTAL AKTIVA LAIN LAIN</t>
        </is>
      </c>
      <c r="I26" s="329" t="inlineStr">
        <is>
          <t>Rp</t>
        </is>
      </c>
      <c r="J26" s="330">
        <f>SUM(J25:J25)</f>
        <v/>
      </c>
    </row>
    <row r="27" ht="15" customHeight="1">
      <c r="A27" s="319" t="n"/>
      <c r="B27" s="320" t="inlineStr">
        <is>
          <t>PENDAPATAN/BEBAN LAIN LAIN</t>
        </is>
      </c>
      <c r="C27" s="321" t="n"/>
      <c r="D27" s="322" t="n"/>
      <c r="E27" s="323" t="n"/>
      <c r="F27" s="304" t="n"/>
      <c r="G27" s="331" t="n"/>
      <c r="H27" s="332" t="n"/>
      <c r="I27" s="333" t="n"/>
      <c r="J27" s="330" t="n"/>
    </row>
    <row r="28" ht="15" customHeight="1">
      <c r="A28" s="319" t="n"/>
      <c r="B28" s="327" t="n"/>
      <c r="C28" s="328" t="inlineStr">
        <is>
          <t>PENDAPATAN LAIN LAIN</t>
        </is>
      </c>
      <c r="D28" s="329" t="inlineStr">
        <is>
          <t>Rp</t>
        </is>
      </c>
      <c r="E28" s="330" t="n">
        <v>0</v>
      </c>
      <c r="F28" s="304" t="n"/>
      <c r="G28" s="342" t="inlineStr">
        <is>
          <t>TOTAL AKTIVA</t>
        </is>
      </c>
      <c r="H28" s="335" t="inlineStr">
        <is>
          <t>TOTAL AKTIVA</t>
        </is>
      </c>
      <c r="I28" s="336" t="inlineStr">
        <is>
          <t>Rp</t>
        </is>
      </c>
      <c r="J28" s="337">
        <f>J26+J22+J16</f>
        <v/>
      </c>
    </row>
    <row r="29" ht="15" customHeight="1">
      <c r="A29" s="319" t="n"/>
      <c r="B29" s="327" t="n"/>
      <c r="C29" s="328" t="n"/>
      <c r="D29" s="329" t="n"/>
      <c r="E29" s="330" t="n"/>
      <c r="F29" s="304" t="n"/>
      <c r="G29" s="331" t="n"/>
      <c r="H29" s="332" t="n"/>
      <c r="I29" s="333" t="n"/>
      <c r="J29" s="330" t="n"/>
    </row>
    <row r="30" ht="15" customHeight="1">
      <c r="A30" s="319" t="n"/>
      <c r="B30" s="334" t="inlineStr">
        <is>
          <t>LABA RUGI SEBELUM PAJAK</t>
        </is>
      </c>
      <c r="C30" s="335" t="n"/>
      <c r="D30" s="336" t="inlineStr">
        <is>
          <t>Rp</t>
        </is>
      </c>
      <c r="E30" s="337">
        <f>E12-E25</f>
        <v/>
      </c>
      <c r="F30" s="304" t="n"/>
      <c r="G30" s="324" t="inlineStr">
        <is>
          <t>HUTANG DAN MODAL</t>
        </is>
      </c>
      <c r="H30" s="325" t="inlineStr">
        <is>
          <t>HUTANG DAN MODAL</t>
        </is>
      </c>
      <c r="I30" s="326" t="n"/>
      <c r="J30" s="323" t="n"/>
    </row>
    <row r="31" ht="15" customHeight="1">
      <c r="A31" s="319" t="n"/>
      <c r="B31" s="327" t="n"/>
      <c r="C31" s="328" t="n"/>
      <c r="D31" s="329" t="n"/>
      <c r="E31" s="330" t="n"/>
      <c r="F31" s="304" t="n"/>
      <c r="G31" s="331" t="n"/>
      <c r="H31" s="332" t="n"/>
      <c r="I31" s="333" t="n"/>
      <c r="J31" s="330" t="n"/>
    </row>
    <row r="32" ht="15" customHeight="1">
      <c r="A32" s="319" t="n"/>
      <c r="B32" s="334" t="inlineStr">
        <is>
          <t>CORPORATE TAX (PPh 29)</t>
        </is>
      </c>
      <c r="C32" s="335" t="n"/>
      <c r="D32" s="336" t="inlineStr">
        <is>
          <t>Rp</t>
        </is>
      </c>
      <c r="E32" s="337" t="n">
        <v>0</v>
      </c>
      <c r="F32" s="304" t="n"/>
      <c r="G32" s="324" t="inlineStr">
        <is>
          <t>HUTANG LANCAR</t>
        </is>
      </c>
      <c r="H32" s="325" t="inlineStr">
        <is>
          <t>HUTANG LANCAR</t>
        </is>
      </c>
      <c r="I32" s="326" t="n"/>
      <c r="J32" s="323" t="n"/>
    </row>
    <row r="33" ht="15" customHeight="1">
      <c r="A33" s="319" t="n"/>
      <c r="B33" s="327" t="n"/>
      <c r="C33" s="328" t="n"/>
      <c r="D33" s="329" t="n"/>
      <c r="E33" s="330" t="n"/>
      <c r="F33" s="304" t="n"/>
      <c r="G33" s="331" t="n"/>
      <c r="H33" s="332" t="inlineStr">
        <is>
          <t xml:space="preserve">  HUTANG USAHA</t>
        </is>
      </c>
      <c r="I33" s="329" t="inlineStr">
        <is>
          <t>Rp</t>
        </is>
      </c>
      <c r="J33" s="330" t="n">
        <v>0</v>
      </c>
    </row>
    <row r="34" ht="15" customHeight="1">
      <c r="A34" s="319" t="n"/>
      <c r="B34" s="343" t="inlineStr">
        <is>
          <t>LABA / RUGI BERSIH</t>
        </is>
      </c>
      <c r="C34" s="344" t="n"/>
      <c r="D34" s="345" t="inlineStr">
        <is>
          <t>Rp</t>
        </is>
      </c>
      <c r="E34" s="346">
        <f>E30-E32</f>
        <v/>
      </c>
      <c r="F34" s="304" t="n"/>
      <c r="G34" s="331" t="n"/>
      <c r="H34" s="328" t="inlineStr">
        <is>
          <t xml:space="preserve">  HUTANG GAJI</t>
        </is>
      </c>
      <c r="I34" s="329" t="inlineStr">
        <is>
          <t>Rp</t>
        </is>
      </c>
      <c r="J34" s="330" t="n">
        <v>0</v>
      </c>
    </row>
    <row r="35" ht="14.25" customHeight="1">
      <c r="A35" s="319" t="n"/>
      <c r="B35" s="319" t="n"/>
      <c r="C35" s="319" t="n"/>
      <c r="D35" s="319" t="n"/>
      <c r="E35" s="319" t="n"/>
      <c r="F35" s="319" t="n"/>
      <c r="G35" s="327" t="n"/>
      <c r="H35" s="328" t="inlineStr">
        <is>
          <t xml:space="preserve">  HUTANG PEMEGANG SAHAM</t>
        </is>
      </c>
      <c r="I35" s="329" t="inlineStr">
        <is>
          <t>Rp</t>
        </is>
      </c>
      <c r="J35" s="330" t="n">
        <v>0</v>
      </c>
    </row>
    <row r="36" ht="14.25" customHeight="1">
      <c r="A36" s="319" t="n"/>
      <c r="B36" s="319" t="n"/>
      <c r="C36" s="319" t="n"/>
      <c r="D36" s="319" t="n"/>
      <c r="E36" s="319" t="n"/>
      <c r="F36" s="319" t="n"/>
      <c r="G36" s="327" t="n"/>
      <c r="H36" s="328" t="inlineStr">
        <is>
          <t xml:space="preserve">  BIAYA YANG MASIH HARUS DI BAYAR</t>
        </is>
      </c>
      <c r="I36" s="329" t="inlineStr">
        <is>
          <t>Rp</t>
        </is>
      </c>
      <c r="J36" s="330" t="n">
        <v>0</v>
      </c>
    </row>
    <row r="37" ht="14.25" customHeight="1">
      <c r="A37" s="319" t="n"/>
      <c r="B37" s="319" t="n"/>
      <c r="C37" s="319" t="n"/>
      <c r="D37" s="319" t="n"/>
      <c r="E37" s="319" t="n"/>
      <c r="F37" s="319" t="n"/>
      <c r="G37" s="327" t="n"/>
      <c r="H37" s="328" t="n"/>
      <c r="I37" s="329" t="n"/>
      <c r="J37" s="330" t="n"/>
    </row>
    <row r="38" ht="14.25" customHeight="1">
      <c r="A38" s="319" t="n"/>
      <c r="B38" s="319" t="n"/>
      <c r="C38" s="319" t="n"/>
      <c r="D38" s="319" t="n"/>
      <c r="E38" s="319" t="n"/>
      <c r="F38" s="319" t="n"/>
      <c r="G38" s="334" t="n"/>
      <c r="H38" s="335" t="inlineStr">
        <is>
          <t>TOTAL HUTANG LANCAR</t>
        </is>
      </c>
      <c r="I38" s="336" t="inlineStr">
        <is>
          <t>Rp</t>
        </is>
      </c>
      <c r="J38" s="337">
        <f>SUM(J33:J36)</f>
        <v/>
      </c>
    </row>
    <row r="39" ht="14.25" customHeight="1">
      <c r="A39" s="319" t="n"/>
      <c r="B39" s="319" t="n"/>
      <c r="C39" s="319" t="n"/>
      <c r="D39" s="319" t="n"/>
      <c r="E39" s="319" t="n"/>
      <c r="F39" s="319" t="n"/>
      <c r="G39" s="327" t="n"/>
      <c r="H39" s="328" t="n"/>
      <c r="I39" s="329" t="n"/>
      <c r="J39" s="330" t="n"/>
    </row>
    <row r="40" ht="14.25" customHeight="1">
      <c r="A40" s="319" t="n"/>
      <c r="B40" s="319" t="n"/>
      <c r="C40" s="319" t="n"/>
      <c r="D40" s="319" t="n"/>
      <c r="E40" s="319" t="n"/>
      <c r="F40" s="319" t="n"/>
      <c r="G40" s="320" t="n"/>
      <c r="H40" s="321" t="inlineStr">
        <is>
          <t>MODAL</t>
        </is>
      </c>
      <c r="I40" s="322" t="n"/>
      <c r="J40" s="323" t="n"/>
    </row>
    <row r="41" ht="14.25" customHeight="1">
      <c r="A41" s="319" t="n"/>
      <c r="B41" s="319" t="n"/>
      <c r="C41" s="319" t="n"/>
      <c r="D41" s="319" t="n"/>
      <c r="E41" s="319" t="n"/>
      <c r="F41" s="319" t="n"/>
      <c r="G41" s="327" t="n"/>
      <c r="H41" s="328" t="inlineStr">
        <is>
          <t xml:space="preserve">  MODAL SAHAM</t>
        </is>
      </c>
      <c r="I41" s="329" t="inlineStr">
        <is>
          <t>Rp</t>
        </is>
      </c>
      <c r="J41" s="330" t="n">
        <v>0</v>
      </c>
    </row>
    <row r="42" ht="14.25" customHeight="1">
      <c r="A42" s="319" t="n"/>
      <c r="B42" s="319" t="n"/>
      <c r="C42" s="319" t="n"/>
      <c r="D42" s="319" t="n"/>
      <c r="E42" s="319" t="n"/>
      <c r="F42" s="319" t="n"/>
      <c r="G42" s="327" t="n"/>
      <c r="H42" s="328" t="inlineStr">
        <is>
          <t xml:space="preserve">  LABA DI TAHAN</t>
        </is>
      </c>
      <c r="I42" s="329" t="inlineStr">
        <is>
          <t>Rp</t>
        </is>
      </c>
      <c r="J42" s="330" t="n">
        <v>0</v>
      </c>
    </row>
    <row r="43" ht="14.25" customHeight="1">
      <c r="A43" s="319" t="n"/>
      <c r="B43" s="319" t="n"/>
      <c r="C43" s="319" t="n"/>
      <c r="D43" s="319" t="n"/>
      <c r="E43" s="319" t="n"/>
      <c r="F43" s="319" t="n"/>
      <c r="G43" s="327" t="n"/>
      <c r="H43" s="328" t="inlineStr">
        <is>
          <t xml:space="preserve">  TOTAL LABA (RUGI) DITAHAN</t>
        </is>
      </c>
      <c r="I43" s="329" t="inlineStr">
        <is>
          <t>Rp</t>
        </is>
      </c>
      <c r="J43" s="330">
        <f>J28-J38-J41-J42</f>
        <v/>
      </c>
    </row>
    <row r="44" ht="14.25" customHeight="1">
      <c r="A44" s="319" t="n"/>
      <c r="B44" s="319" t="n"/>
      <c r="C44" s="319" t="n"/>
      <c r="D44" s="319" t="n"/>
      <c r="E44" s="319" t="n"/>
      <c r="F44" s="319" t="n"/>
      <c r="G44" s="334" t="n"/>
      <c r="H44" s="335" t="inlineStr">
        <is>
          <t>TOTAL MODAL</t>
        </is>
      </c>
      <c r="I44" s="336" t="inlineStr">
        <is>
          <t>Rp</t>
        </is>
      </c>
      <c r="J44" s="337">
        <f>SUM(J41:J43)</f>
        <v/>
      </c>
    </row>
    <row r="45" ht="14.25" customHeight="1">
      <c r="A45" s="319" t="n"/>
      <c r="B45" s="319" t="n"/>
      <c r="C45" s="319" t="n"/>
      <c r="D45" s="319" t="n"/>
      <c r="E45" s="319" t="n"/>
      <c r="F45" s="319" t="n"/>
      <c r="G45" s="327" t="n"/>
      <c r="H45" s="328" t="n"/>
      <c r="I45" s="329" t="n"/>
      <c r="J45" s="330" t="n"/>
    </row>
    <row r="46" ht="14.65" customHeight="1">
      <c r="A46" s="319" t="n"/>
      <c r="B46" s="319" t="n"/>
      <c r="C46" s="319" t="n"/>
      <c r="D46" s="319" t="n"/>
      <c r="E46" s="319" t="n"/>
      <c r="F46" s="319" t="n"/>
      <c r="G46" s="343" t="n"/>
      <c r="H46" s="344" t="inlineStr">
        <is>
          <t>TOTAL HUTANG DAN MODAL</t>
        </is>
      </c>
      <c r="I46" s="345" t="inlineStr">
        <is>
          <t>Rp</t>
        </is>
      </c>
      <c r="J46" s="346">
        <f>J44+J38</f>
        <v/>
      </c>
    </row>
    <row r="47" ht="4.5" customHeight="1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</row>
    <row r="48" ht="50.65" customHeight="1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</row>
    <row r="49" ht="16.8" customHeight="1">
      <c r="A49" s="319" t="n"/>
      <c r="B49" s="347" t="inlineStr">
        <is>
          <t>Nama Lengkap</t>
        </is>
      </c>
      <c r="F49" s="319" t="n"/>
      <c r="G49" s="347" t="inlineStr">
        <is>
          <t>Nama Lengkap</t>
        </is>
      </c>
    </row>
    <row r="50" ht="15.6" customHeight="1">
      <c r="A50" s="319" t="n"/>
      <c r="B50" s="348" t="inlineStr">
        <is>
          <t>Direktur</t>
        </is>
      </c>
      <c r="F50" s="319" t="n"/>
      <c r="G50" s="348" t="inlineStr">
        <is>
          <t>Direktur</t>
        </is>
      </c>
    </row>
    <row r="51" ht="14.25" customHeight="1">
      <c r="A51" s="319" t="n"/>
      <c r="B51" s="319" t="n"/>
      <c r="C51" s="319" t="n"/>
      <c r="D51" s="319" t="n"/>
      <c r="E51" s="319" t="n"/>
      <c r="F51" s="319" t="n"/>
      <c r="G51" s="319" t="n"/>
      <c r="H51" s="319" t="n"/>
    </row>
    <row r="52" ht="14.25" customHeight="1">
      <c r="A52" s="319" t="n"/>
      <c r="B52" s="319" t="n"/>
      <c r="C52" s="319" t="n"/>
      <c r="D52" s="319" t="n"/>
      <c r="E52" s="319" t="n"/>
      <c r="F52" s="319" t="n"/>
      <c r="G52" s="319" t="n"/>
      <c r="H52" s="319" t="n"/>
      <c r="J52" s="34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</row>
    <row r="96" ht="64.5" customHeight="1">
      <c r="A96" s="319" t="n"/>
      <c r="B96" s="319" t="n"/>
      <c r="C96" s="319" t="n"/>
      <c r="D96" s="319" t="n"/>
      <c r="E96" s="319" t="n"/>
      <c r="F96" s="319" t="n"/>
      <c r="G96" s="319" t="n"/>
      <c r="H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1" t="n"/>
      <c r="B1" s="301" t="n"/>
      <c r="C1" s="301" t="n"/>
      <c r="D1" s="301" t="n"/>
      <c r="E1" s="302" t="n"/>
    </row>
    <row r="2" ht="37.25" customHeight="1">
      <c r="A2" s="301" t="n"/>
      <c r="B2" s="301" t="n"/>
      <c r="C2" s="301" t="n"/>
      <c r="D2" s="301" t="n"/>
      <c r="E2" s="302" t="n"/>
    </row>
    <row r="3" ht="33.6" customHeight="1">
      <c r="A3" s="301" t="n"/>
      <c r="B3" s="303" t="inlineStr">
        <is>
          <t>PT. EXSPAN WIRELINE INDONESIA</t>
        </is>
      </c>
      <c r="F3" s="304" t="n"/>
    </row>
    <row r="4" ht="20.45" customHeight="1">
      <c r="A4" s="301" t="n"/>
      <c r="B4" s="306" t="inlineStr">
        <is>
          <t>BUSINESS SUMMARY | TAHUN 2020</t>
        </is>
      </c>
      <c r="F4" s="304" t="n"/>
    </row>
    <row r="5" ht="6" customHeight="1">
      <c r="A5" s="301" t="n"/>
      <c r="B5" s="301" t="n"/>
      <c r="C5" s="301" t="n"/>
      <c r="D5" s="301" t="n"/>
      <c r="E5" s="302" t="n"/>
      <c r="F5" s="304" t="n"/>
    </row>
    <row r="6" ht="20" customHeight="1">
      <c r="A6" s="301" t="n"/>
      <c r="B6" s="350" t="inlineStr">
        <is>
          <t>#</t>
        </is>
      </c>
      <c r="C6" s="350" t="inlineStr">
        <is>
          <t>Items</t>
        </is>
      </c>
      <c r="D6" s="351" t="inlineStr">
        <is>
          <t>Amount</t>
        </is>
      </c>
      <c r="E6" s="227" t="n"/>
      <c r="F6" s="304" t="n"/>
    </row>
    <row r="7" ht="20" customHeight="1">
      <c r="A7" s="301" t="n"/>
      <c r="B7" s="352" t="n">
        <v>1</v>
      </c>
      <c r="C7" s="353" t="inlineStr">
        <is>
          <t>Revenue</t>
        </is>
      </c>
      <c r="D7" s="354" t="inlineStr">
        <is>
          <t>Rp</t>
        </is>
      </c>
      <c r="E7" s="355">
        <f>SUM('Revenue-Cost_2020'!F8:F8)</f>
        <v/>
      </c>
      <c r="F7" s="304" t="n"/>
    </row>
    <row r="8" ht="20" customHeight="1">
      <c r="A8" s="301" t="n"/>
      <c r="B8" s="352" t="n">
        <v>2</v>
      </c>
      <c r="C8" s="353" t="inlineStr">
        <is>
          <t>Revenue Diterima (Setelah Pajak)</t>
        </is>
      </c>
      <c r="D8" s="354" t="inlineStr">
        <is>
          <t>Rp</t>
        </is>
      </c>
      <c r="E8" s="355">
        <f>E7-SUM('Revenue-Cost_2020'!N8:N8)</f>
        <v/>
      </c>
      <c r="F8" s="304" t="n"/>
    </row>
    <row r="9" ht="20" customHeight="1">
      <c r="A9" s="301" t="n"/>
      <c r="B9" s="352" t="n">
        <v>3</v>
      </c>
      <c r="C9" s="353" t="inlineStr">
        <is>
          <t>Biaya</t>
        </is>
      </c>
      <c r="D9" s="354" t="inlineStr">
        <is>
          <t>Rp</t>
        </is>
      </c>
      <c r="E9" s="355">
        <f>SUM('Revenue-Cost_2020'!I44:I44)</f>
        <v/>
      </c>
      <c r="F9" s="304" t="n"/>
    </row>
    <row r="10" ht="20" customHeight="1">
      <c r="A10" s="301" t="n"/>
      <c r="B10" s="352" t="n">
        <v>4</v>
      </c>
      <c r="C10" s="353" t="inlineStr">
        <is>
          <t>Profit SebelumTax</t>
        </is>
      </c>
      <c r="D10" s="354" t="inlineStr">
        <is>
          <t>Rp</t>
        </is>
      </c>
      <c r="E10" s="355">
        <f>E7-E9</f>
        <v/>
      </c>
      <c r="F10" s="304" t="n"/>
    </row>
    <row r="11" ht="20" customHeight="1">
      <c r="A11" s="301" t="n"/>
      <c r="B11" s="352" t="n">
        <v>5</v>
      </c>
      <c r="C11" s="353" t="inlineStr">
        <is>
          <t>PPh Badan (22%*50%)</t>
        </is>
      </c>
      <c r="D11" s="354" t="inlineStr">
        <is>
          <t>Rp</t>
        </is>
      </c>
      <c r="E11" s="355">
        <f>E10*22%*50%</f>
        <v/>
      </c>
      <c r="F11" s="304" t="n"/>
    </row>
    <row r="12" ht="20" customHeight="1">
      <c r="A12" s="301" t="n"/>
      <c r="B12" s="352" t="n">
        <v>6</v>
      </c>
      <c r="C12" s="353" t="inlineStr">
        <is>
          <t>PPh 23 Dipotong oleh client</t>
        </is>
      </c>
      <c r="D12" s="354" t="inlineStr">
        <is>
          <t>Rp</t>
        </is>
      </c>
      <c r="E12" s="355">
        <f>SUM('Revenue-Cost_2020'!N8:N8)</f>
        <v/>
      </c>
      <c r="F12" s="304" t="n"/>
    </row>
    <row r="13" ht="20" customHeight="1">
      <c r="A13" s="301" t="n"/>
      <c r="B13" s="352" t="n">
        <v>7</v>
      </c>
      <c r="C13" s="353" t="inlineStr">
        <is>
          <t>Kekurangan Bayar PPh Badan</t>
        </is>
      </c>
      <c r="D13" s="354" t="inlineStr">
        <is>
          <t>Rp</t>
        </is>
      </c>
      <c r="E13" s="356">
        <f>E11-E12</f>
        <v/>
      </c>
      <c r="F13" s="304" t="n"/>
    </row>
    <row r="14" ht="20" customHeight="1">
      <c r="A14" s="301" t="n"/>
      <c r="B14" s="352" t="n">
        <v>8</v>
      </c>
      <c r="C14" s="353" t="inlineStr">
        <is>
          <t>Profit After Tax</t>
        </is>
      </c>
      <c r="D14" s="354" t="inlineStr">
        <is>
          <t>Rp</t>
        </is>
      </c>
      <c r="E14" s="355">
        <f>E10-E13</f>
        <v/>
      </c>
      <c r="F14" s="304" t="n"/>
    </row>
    <row r="15" ht="20" customHeight="1">
      <c r="A15" s="301" t="n"/>
      <c r="B15" s="352" t="n">
        <v>9</v>
      </c>
      <c r="C15" s="353" t="inlineStr">
        <is>
          <t>Deviden Dibagi</t>
        </is>
      </c>
      <c r="D15" s="354" t="inlineStr">
        <is>
          <t>Rp</t>
        </is>
      </c>
      <c r="E15" s="355">
        <f>E14-E16</f>
        <v/>
      </c>
      <c r="F15" s="304" t="n"/>
    </row>
    <row r="16" ht="20" customHeight="1">
      <c r="A16" s="301" t="n"/>
      <c r="B16" s="352" t="n">
        <v>10</v>
      </c>
      <c r="C16" s="353" t="inlineStr">
        <is>
          <t>Profit Ditahan</t>
        </is>
      </c>
      <c r="D16" s="354" t="inlineStr">
        <is>
          <t>Rp</t>
        </is>
      </c>
      <c r="E16" s="355" t="n">
        <v>0</v>
      </c>
      <c r="F16" s="304" t="n"/>
    </row>
    <row r="17" ht="13.9" customHeight="1">
      <c r="A17" s="301" t="n"/>
      <c r="B17" s="301" t="n"/>
      <c r="C17" s="301" t="n"/>
      <c r="D17" s="301" t="n"/>
      <c r="E17" s="302" t="n"/>
      <c r="F17" s="304" t="n"/>
    </row>
    <row r="18" ht="17.65" customHeight="1">
      <c r="A18" s="301" t="n"/>
      <c r="B18" s="357" t="inlineStr">
        <is>
          <t>DEVIDEN</t>
        </is>
      </c>
      <c r="F18" s="304" t="n"/>
    </row>
    <row r="19" ht="20" customHeight="1">
      <c r="A19" s="301" t="n"/>
      <c r="B19" s="358" t="inlineStr">
        <is>
          <t>#</t>
        </is>
      </c>
      <c r="C19" s="358" t="inlineStr">
        <is>
          <t>Nama Lengkap</t>
        </is>
      </c>
      <c r="D19" s="359" t="inlineStr">
        <is>
          <t>Rp</t>
        </is>
      </c>
      <c r="E19" s="360" t="inlineStr">
        <is>
          <t>Amount</t>
        </is>
      </c>
      <c r="F19" s="304" t="n"/>
      <c r="G19" s="361" t="inlineStr"/>
    </row>
    <row r="20" ht="18" customHeight="1">
      <c r="A20" s="301" t="n"/>
      <c r="B20" s="362" t="n"/>
      <c r="C20" s="363" t="n"/>
      <c r="D20" s="364" t="n"/>
      <c r="E20" s="365" t="n"/>
      <c r="F20" s="366" t="n"/>
      <c r="G20" s="367" t="n"/>
    </row>
    <row r="21" ht="48.75" customHeight="1">
      <c r="A21" s="368" t="n"/>
      <c r="B21" s="369" t="n"/>
      <c r="C21" s="369" t="n"/>
      <c r="D21" s="369" t="n"/>
      <c r="E21" s="369" t="n"/>
      <c r="F21" s="366" t="n"/>
      <c r="G21" s="369" t="n"/>
    </row>
    <row r="22" ht="14.25" customHeight="1">
      <c r="A22" s="368" t="n"/>
      <c r="B22" s="369" t="n"/>
      <c r="C22" s="369" t="n"/>
      <c r="D22" s="369" t="n"/>
      <c r="E22" s="369" t="n"/>
      <c r="F22" s="366" t="n"/>
      <c r="G22" s="369" t="n"/>
    </row>
    <row r="23">
      <c r="B23" s="369" t="n"/>
      <c r="C23" s="369" t="n"/>
      <c r="D23" s="369" t="n"/>
      <c r="E23" s="369" t="n"/>
      <c r="F23" s="369" t="n"/>
      <c r="G23" s="369" t="n"/>
    </row>
    <row r="24">
      <c r="B24" s="369" t="n"/>
      <c r="C24" s="369" t="n"/>
      <c r="D24" s="369" t="n"/>
      <c r="E24" s="369" t="n"/>
      <c r="F24" s="369" t="n"/>
      <c r="G24" s="369" t="n"/>
    </row>
    <row r="25">
      <c r="B25" s="369" t="n"/>
      <c r="C25" s="369" t="n"/>
      <c r="D25" s="369" t="n"/>
      <c r="E25" s="369" t="n"/>
      <c r="F25" s="369" t="n"/>
      <c r="G25" s="369" t="n"/>
    </row>
    <row r="26">
      <c r="B26" s="369" t="n"/>
      <c r="C26" s="369" t="n"/>
      <c r="D26" s="369" t="n"/>
      <c r="E26" s="369" t="n"/>
      <c r="F26" s="369" t="n"/>
      <c r="G26" s="369" t="n"/>
    </row>
    <row r="27">
      <c r="B27" s="369" t="n"/>
      <c r="C27" s="369" t="n"/>
      <c r="D27" s="369" t="n"/>
      <c r="E27" s="369" t="n"/>
      <c r="F27" s="369" t="n"/>
      <c r="G27" s="369" t="n"/>
    </row>
    <row r="28">
      <c r="B28" s="369" t="n"/>
      <c r="C28" s="369" t="n"/>
      <c r="D28" s="369" t="n"/>
      <c r="E28" s="369" t="n"/>
      <c r="F28" s="369" t="n"/>
      <c r="G28" s="369" t="n"/>
    </row>
    <row r="29">
      <c r="B29" s="369" t="n"/>
      <c r="C29" s="369" t="n"/>
      <c r="D29" s="369" t="n"/>
      <c r="E29" s="369" t="n"/>
      <c r="F29" s="369" t="n"/>
      <c r="G29" s="369" t="n"/>
    </row>
    <row r="30">
      <c r="B30" s="369" t="n"/>
      <c r="C30" s="369" t="n"/>
      <c r="D30" s="369" t="n"/>
      <c r="E30" s="369" t="n"/>
      <c r="F30" s="369" t="n"/>
      <c r="G30" s="369" t="n"/>
    </row>
    <row r="31">
      <c r="B31" s="369" t="n"/>
      <c r="C31" s="369" t="n"/>
      <c r="D31" s="369" t="n"/>
      <c r="E31" s="369" t="n"/>
      <c r="F31" s="369" t="n"/>
      <c r="G31" s="369" t="n"/>
    </row>
    <row r="32">
      <c r="B32" s="369" t="n"/>
      <c r="C32" s="369" t="n"/>
      <c r="D32" s="369" t="n"/>
      <c r="E32" s="369" t="n"/>
      <c r="F32" s="369" t="n"/>
      <c r="G32" s="369" t="n"/>
    </row>
    <row r="33">
      <c r="B33" s="369" t="n"/>
      <c r="C33" s="369" t="n"/>
      <c r="D33" s="369" t="n"/>
      <c r="E33" s="369" t="n"/>
      <c r="F33" s="369" t="n"/>
      <c r="G33" s="369" t="n"/>
    </row>
    <row r="34">
      <c r="B34" s="369" t="n"/>
      <c r="C34" s="369" t="n"/>
      <c r="D34" s="369" t="n"/>
      <c r="E34" s="369" t="n"/>
      <c r="F34" s="369" t="n"/>
      <c r="G34" s="369" t="n"/>
    </row>
    <row r="35">
      <c r="B35" s="369" t="n"/>
      <c r="C35" s="369" t="n"/>
      <c r="D35" s="369" t="n"/>
      <c r="E35" s="369" t="n"/>
      <c r="F35" s="369" t="n"/>
      <c r="G35" s="369" t="n"/>
    </row>
    <row r="36">
      <c r="B36" s="369" t="n"/>
      <c r="C36" s="369" t="n"/>
      <c r="D36" s="369" t="n"/>
      <c r="E36" s="369" t="n"/>
      <c r="F36" s="369" t="n"/>
      <c r="G36" s="369" t="n"/>
    </row>
    <row r="37">
      <c r="B37" s="369" t="n"/>
      <c r="C37" s="369" t="n"/>
      <c r="D37" s="369" t="n"/>
      <c r="E37" s="369" t="n"/>
      <c r="F37" s="369" t="n"/>
      <c r="G37" s="369" t="n"/>
    </row>
    <row r="38">
      <c r="B38" s="369" t="n"/>
      <c r="C38" s="369" t="n"/>
      <c r="D38" s="369" t="n"/>
      <c r="E38" s="369" t="n"/>
      <c r="F38" s="369" t="n"/>
      <c r="G38" s="369" t="n"/>
    </row>
    <row r="39">
      <c r="B39" s="369" t="n"/>
      <c r="C39" s="369" t="n"/>
      <c r="D39" s="369" t="n"/>
      <c r="E39" s="369" t="n"/>
      <c r="F39" s="369" t="n"/>
      <c r="G39" s="369" t="n"/>
    </row>
    <row r="40">
      <c r="B40" s="369" t="n"/>
      <c r="C40" s="369" t="n"/>
      <c r="D40" s="369" t="n"/>
      <c r="E40" s="369" t="n"/>
      <c r="F40" s="369" t="n"/>
      <c r="G40" s="369" t="n"/>
    </row>
    <row r="41">
      <c r="B41" s="369" t="n"/>
      <c r="C41" s="369" t="n"/>
      <c r="D41" s="369" t="n"/>
      <c r="E41" s="369" t="n"/>
      <c r="F41" s="369" t="n"/>
      <c r="G41" s="369" t="n"/>
    </row>
    <row r="42">
      <c r="B42" s="369" t="n"/>
      <c r="C42" s="369" t="n"/>
      <c r="D42" s="369" t="n"/>
      <c r="E42" s="369" t="n"/>
      <c r="F42" s="369" t="n"/>
      <c r="G42" s="369" t="n"/>
    </row>
    <row r="43">
      <c r="B43" s="369" t="n"/>
      <c r="C43" s="369" t="n"/>
      <c r="D43" s="369" t="n"/>
      <c r="E43" s="369" t="n"/>
      <c r="F43" s="369" t="n"/>
      <c r="G43" s="369" t="n"/>
    </row>
    <row r="44">
      <c r="B44" s="369" t="n"/>
      <c r="C44" s="369" t="n"/>
      <c r="D44" s="369" t="n"/>
      <c r="E44" s="369" t="n"/>
      <c r="F44" s="369" t="n"/>
      <c r="G44" s="369" t="n"/>
    </row>
    <row r="45">
      <c r="B45" s="369" t="n"/>
      <c r="C45" s="369" t="n"/>
      <c r="D45" s="369" t="n"/>
      <c r="E45" s="369" t="n"/>
      <c r="F45" s="369" t="n"/>
      <c r="G45" s="369" t="n"/>
    </row>
    <row r="46">
      <c r="B46" s="369" t="n"/>
      <c r="C46" s="369" t="n"/>
      <c r="D46" s="369" t="n"/>
      <c r="E46" s="369" t="n"/>
      <c r="F46" s="369" t="n"/>
      <c r="G46" s="369" t="n"/>
    </row>
    <row r="47">
      <c r="B47" s="369" t="n"/>
      <c r="C47" s="369" t="n"/>
      <c r="D47" s="369" t="n"/>
      <c r="E47" s="369" t="n"/>
      <c r="F47" s="369" t="n"/>
      <c r="G47" s="369" t="n"/>
    </row>
    <row r="48">
      <c r="B48" s="369" t="n"/>
      <c r="C48" s="369" t="n"/>
      <c r="D48" s="369" t="n"/>
      <c r="E48" s="369" t="n"/>
      <c r="F48" s="369" t="n"/>
      <c r="G48" s="369" t="n"/>
    </row>
    <row r="49">
      <c r="B49" s="369" t="n"/>
      <c r="C49" s="369" t="n"/>
      <c r="D49" s="369" t="n"/>
      <c r="E49" s="369" t="n"/>
      <c r="F49" s="369" t="n"/>
      <c r="G49" s="369" t="n"/>
    </row>
    <row r="50">
      <c r="B50" s="369" t="n"/>
      <c r="C50" s="369" t="n"/>
      <c r="D50" s="369" t="n"/>
      <c r="E50" s="369" t="n"/>
      <c r="F50" s="369" t="n"/>
      <c r="G50" s="369" t="n"/>
    </row>
    <row r="51">
      <c r="B51" s="369" t="n"/>
      <c r="C51" s="369" t="n"/>
      <c r="D51" s="369" t="n"/>
      <c r="E51" s="369" t="n"/>
      <c r="F51" s="369" t="n"/>
      <c r="G51" s="369" t="n"/>
    </row>
    <row r="52">
      <c r="B52" s="369" t="n"/>
      <c r="C52" s="369" t="n"/>
      <c r="D52" s="369" t="n"/>
      <c r="E52" s="369" t="n"/>
      <c r="F52" s="369" t="n"/>
      <c r="G52" s="369" t="n"/>
    </row>
    <row r="53">
      <c r="B53" s="369" t="n"/>
      <c r="C53" s="369" t="n"/>
      <c r="D53" s="369" t="n"/>
      <c r="E53" s="369" t="n"/>
      <c r="F53" s="369" t="n"/>
      <c r="G53" s="369" t="n"/>
    </row>
    <row r="54">
      <c r="B54" s="369" t="n"/>
      <c r="C54" s="369" t="n"/>
      <c r="D54" s="369" t="n"/>
      <c r="E54" s="369" t="n"/>
      <c r="F54" s="369" t="n"/>
      <c r="G54" s="369" t="n"/>
    </row>
    <row r="55">
      <c r="B55" s="369" t="n"/>
      <c r="C55" s="369" t="n"/>
      <c r="D55" s="369" t="n"/>
      <c r="E55" s="369" t="n"/>
      <c r="F55" s="369" t="n"/>
      <c r="G55" s="369" t="n"/>
    </row>
    <row r="56">
      <c r="B56" s="369" t="n"/>
      <c r="C56" s="369" t="n"/>
      <c r="D56" s="369" t="n"/>
      <c r="E56" s="369" t="n"/>
      <c r="F56" s="369" t="n"/>
      <c r="G56" s="369" t="n"/>
    </row>
    <row r="57">
      <c r="B57" s="369" t="n"/>
      <c r="C57" s="369" t="n"/>
      <c r="D57" s="369" t="n"/>
      <c r="E57" s="369" t="n"/>
      <c r="F57" s="369" t="n"/>
      <c r="G57" s="369" t="n"/>
    </row>
    <row r="58">
      <c r="B58" s="369" t="n"/>
      <c r="C58" s="369" t="n"/>
      <c r="D58" s="369" t="n"/>
      <c r="E58" s="369" t="n"/>
      <c r="F58" s="369" t="n"/>
      <c r="G58" s="369" t="n"/>
    </row>
    <row r="59">
      <c r="B59" s="369" t="n"/>
      <c r="C59" s="369" t="n"/>
      <c r="D59" s="369" t="n"/>
      <c r="E59" s="369" t="n"/>
      <c r="F59" s="369" t="n"/>
      <c r="G59" s="369" t="n"/>
    </row>
    <row r="60">
      <c r="B60" s="369" t="n"/>
      <c r="C60" s="369" t="n"/>
      <c r="D60" s="369" t="n"/>
      <c r="E60" s="369" t="n"/>
      <c r="F60" s="369" t="n"/>
      <c r="G60" s="369" t="n"/>
    </row>
    <row r="61">
      <c r="B61" s="369" t="n"/>
      <c r="C61" s="369" t="n"/>
      <c r="D61" s="369" t="n"/>
      <c r="E61" s="369" t="n"/>
      <c r="F61" s="369" t="n"/>
      <c r="G61" s="369" t="n"/>
    </row>
    <row r="62">
      <c r="B62" s="369" t="n"/>
      <c r="C62" s="369" t="n"/>
      <c r="D62" s="369" t="n"/>
      <c r="E62" s="369" t="n"/>
      <c r="F62" s="369" t="n"/>
      <c r="G62" s="369" t="n"/>
    </row>
    <row r="63" ht="64.5" customHeight="1">
      <c r="B63" s="369" t="n"/>
      <c r="C63" s="369" t="n"/>
      <c r="D63" s="369" t="n"/>
      <c r="E63" s="369" t="n"/>
      <c r="F63" s="369" t="n"/>
      <c r="G63" s="369" t="n"/>
    </row>
    <row r="64">
      <c r="B64" s="369" t="n"/>
      <c r="C64" s="369" t="n"/>
      <c r="D64" s="369" t="n"/>
      <c r="E64" s="369" t="n"/>
      <c r="F64" s="369" t="n"/>
      <c r="G64" s="369" t="n"/>
    </row>
    <row r="65">
      <c r="B65" s="369" t="n"/>
      <c r="C65" s="369" t="n"/>
      <c r="D65" s="369" t="n"/>
      <c r="E65" s="369" t="n"/>
      <c r="F65" s="369" t="n"/>
      <c r="G65" s="369" t="n"/>
    </row>
    <row r="66">
      <c r="B66" s="369" t="n"/>
      <c r="C66" s="369" t="n"/>
      <c r="D66" s="369" t="n"/>
      <c r="E66" s="369" t="n"/>
      <c r="F66" s="369" t="n"/>
      <c r="G66" s="369" t="n"/>
    </row>
    <row r="67">
      <c r="B67" s="369" t="n"/>
      <c r="C67" s="369" t="n"/>
      <c r="D67" s="369" t="n"/>
      <c r="E67" s="369" t="n"/>
      <c r="F67" s="369" t="n"/>
      <c r="G67" s="369" t="n"/>
    </row>
    <row r="68">
      <c r="B68" s="369" t="n"/>
      <c r="C68" s="369" t="n"/>
      <c r="D68" s="369" t="n"/>
      <c r="E68" s="369" t="n"/>
      <c r="F68" s="369" t="n"/>
      <c r="G68" s="369" t="n"/>
    </row>
    <row r="69">
      <c r="B69" s="369" t="n"/>
      <c r="C69" s="369" t="n"/>
      <c r="D69" s="369" t="n"/>
      <c r="E69" s="369" t="n"/>
      <c r="F69" s="369" t="n"/>
      <c r="G69" s="369" t="n"/>
    </row>
    <row r="70">
      <c r="B70" s="369" t="n"/>
      <c r="C70" s="369" t="n"/>
      <c r="D70" s="369" t="n"/>
      <c r="E70" s="369" t="n"/>
      <c r="F70" s="369" t="n"/>
      <c r="G70" s="369" t="n"/>
    </row>
    <row r="71">
      <c r="B71" s="369" t="n"/>
      <c r="C71" s="369" t="n"/>
      <c r="D71" s="369" t="n"/>
      <c r="E71" s="369" t="n"/>
      <c r="F71" s="369" t="n"/>
      <c r="G71" s="369" t="n"/>
    </row>
    <row r="72">
      <c r="B72" s="369" t="n"/>
      <c r="C72" s="369" t="n"/>
      <c r="D72" s="369" t="n"/>
      <c r="E72" s="369" t="n"/>
      <c r="F72" s="369" t="n"/>
      <c r="G72" s="369" t="n"/>
    </row>
    <row r="73">
      <c r="B73" s="369" t="n"/>
      <c r="C73" s="369" t="n"/>
      <c r="D73" s="369" t="n"/>
      <c r="E73" s="369" t="n"/>
      <c r="F73" s="369" t="n"/>
      <c r="G73" s="369" t="n"/>
    </row>
    <row r="74">
      <c r="B74" s="369" t="n"/>
      <c r="C74" s="369" t="n"/>
      <c r="D74" s="369" t="n"/>
      <c r="E74" s="369" t="n"/>
      <c r="F74" s="369" t="n"/>
      <c r="G74" s="369" t="n"/>
    </row>
    <row r="75">
      <c r="B75" s="369" t="n"/>
      <c r="C75" s="369" t="n"/>
      <c r="D75" s="369" t="n"/>
      <c r="E75" s="369" t="n"/>
      <c r="F75" s="369" t="n"/>
      <c r="G75" s="369" t="n"/>
    </row>
    <row r="76">
      <c r="B76" s="369" t="n"/>
      <c r="C76" s="369" t="n"/>
      <c r="D76" s="369" t="n"/>
      <c r="E76" s="369" t="n"/>
      <c r="F76" s="369" t="n"/>
      <c r="G76" s="369" t="n"/>
    </row>
    <row r="77">
      <c r="B77" s="369" t="n"/>
      <c r="C77" s="369" t="n"/>
      <c r="D77" s="369" t="n"/>
      <c r="E77" s="369" t="n"/>
      <c r="F77" s="369" t="n"/>
      <c r="G77" s="369" t="n"/>
    </row>
    <row r="78">
      <c r="B78" s="369" t="n"/>
      <c r="C78" s="369" t="n"/>
      <c r="D78" s="369" t="n"/>
      <c r="E78" s="369" t="n"/>
      <c r="F78" s="369" t="n"/>
      <c r="G78" s="369" t="n"/>
    </row>
    <row r="79">
      <c r="B79" s="369" t="n"/>
      <c r="C79" s="369" t="n"/>
      <c r="D79" s="369" t="n"/>
      <c r="E79" s="369" t="n"/>
      <c r="F79" s="369" t="n"/>
      <c r="G79" s="369" t="n"/>
    </row>
    <row r="80">
      <c r="B80" s="369" t="n"/>
      <c r="C80" s="369" t="n"/>
      <c r="D80" s="369" t="n"/>
      <c r="E80" s="369" t="n"/>
      <c r="F80" s="369" t="n"/>
      <c r="G80" s="36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2026-04-27T23:20:08Z</dcterms:modified>
  <cp:lastModifiedBy>Diofavian - Student</cp:lastModifiedBy>
</cp:coreProperties>
</file>