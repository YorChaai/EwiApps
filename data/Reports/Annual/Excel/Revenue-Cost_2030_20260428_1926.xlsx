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3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3" fontId="10" fillId="11" borderId="16" pivotButton="0" quotePrefix="0" xfId="0"/>
    <xf numFmtId="165" fontId="10" fillId="11" borderId="16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/>
    </xf>
    <xf numFmtId="0" fontId="0" fillId="10" borderId="16" pivotButton="0" quotePrefix="0" xfId="0"/>
    <xf numFmtId="165" fontId="10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5" fontId="10" fillId="0" borderId="15" pivotButton="0" quotePrefix="0" xfId="0"/>
    <xf numFmtId="165" fontId="10" fillId="0" borderId="15" pivotButton="0" quotePrefix="0" xfId="1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5" fontId="29" fillId="12" borderId="16" applyAlignment="1" pivotButton="0" quotePrefix="0" xfId="0">
      <alignment vertical="center"/>
    </xf>
    <xf numFmtId="165" fontId="29" fillId="12" borderId="16" applyAlignment="1" pivotButton="0" quotePrefix="0" xfId="1">
      <alignment vertical="center"/>
    </xf>
    <xf numFmtId="1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0" fontId="0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3" fontId="10" fillId="11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8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Jumlah</t>
        </is>
      </c>
      <c r="G40" s="273" t="inlineStr">
        <is>
          <t>Currency</t>
        </is>
      </c>
      <c r="H40" s="273" t="inlineStr">
        <is>
          <t>urrency Exchange</t>
        </is>
      </c>
      <c r="I40" s="275" t="inlineStr">
        <is>
          <t>Biaya Sewa Peralatan</t>
        </is>
      </c>
      <c r="J40" s="276" t="inlineStr">
        <is>
          <t>Biaya Research (R&amp;D)</t>
        </is>
      </c>
      <c r="K40" s="277" t="inlineStr">
        <is>
          <t>Biaya Operasi</t>
        </is>
      </c>
      <c r="L40" s="277" t="inlineStr">
        <is>
          <t>diofavian</t>
        </is>
      </c>
      <c r="M40" s="278" t="inlineStr">
        <is>
          <t>asdasd</t>
        </is>
      </c>
      <c r="N40" s="278" t="inlineStr">
        <is>
          <t>12312</t>
        </is>
      </c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Accommodation , Transportation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89" t="n"/>
      <c r="O41" s="290" t="n"/>
      <c r="P41" s="290" t="n"/>
      <c r="Q41" s="29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I41" s="280" t="n"/>
      <c r="AJ41" s="280" t="n"/>
      <c r="AK41" s="280" t="n"/>
      <c r="AL41" s="280" t="n"/>
      <c r="AM41" s="280" t="n"/>
      <c r="AN41" s="280" t="n"/>
      <c r="AO41" s="280" t="n"/>
      <c r="AP41" s="280" t="n"/>
      <c r="AQ41" s="280" t="n"/>
      <c r="AR41" s="280" t="n"/>
      <c r="AS41" s="280" t="n"/>
      <c r="AT41" s="280" t="n"/>
      <c r="AU41" s="280" t="n"/>
      <c r="AV41" s="280" t="n"/>
      <c r="AW41" s="280" t="n"/>
      <c r="AX41" s="280" t="n"/>
      <c r="AY41" s="280" t="n"/>
      <c r="AZ41" s="280" t="n"/>
      <c r="BA41" s="280" t="n"/>
      <c r="BB41" s="280" t="n"/>
      <c r="BC41" s="280" t="n"/>
      <c r="BD41" s="280" t="n"/>
      <c r="BE41" s="280" t="n"/>
      <c r="BF41" s="280" t="n"/>
      <c r="BG41" s="280" t="n"/>
      <c r="BH41" s="280" t="n"/>
    </row>
    <row r="42" ht="15.5" customHeight="1">
      <c r="B42" s="291" t="n">
        <v>47848</v>
      </c>
      <c r="C42" s="292" t="n">
        <v>1</v>
      </c>
      <c r="D42" s="293" t="inlineStr">
        <is>
          <t>23432</t>
        </is>
      </c>
      <c r="E42" s="284" t="inlineStr">
        <is>
          <t>BRI</t>
        </is>
      </c>
      <c r="F42" s="294" t="n">
        <v>123123</v>
      </c>
      <c r="G42" s="286" t="inlineStr">
        <is>
          <t>IDR</t>
        </is>
      </c>
      <c r="H42" s="295" t="n">
        <v>1</v>
      </c>
      <c r="I42" s="296" t="n"/>
      <c r="J42" s="296" t="n"/>
      <c r="K42" s="297">
        <f>$F42*$H42</f>
        <v/>
      </c>
      <c r="L42" s="284" t="n"/>
      <c r="M42" s="284" t="n"/>
      <c r="N42" s="284" t="n"/>
      <c r="O42" s="290" t="n"/>
      <c r="P42" s="290" t="n"/>
      <c r="Q42" s="29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I42" s="280" t="n"/>
      <c r="AJ42" s="280" t="n"/>
      <c r="AK42" s="280" t="n"/>
      <c r="AL42" s="280" t="n"/>
      <c r="AM42" s="280" t="n"/>
      <c r="AN42" s="280" t="n"/>
      <c r="AO42" s="280" t="n"/>
      <c r="AP42" s="280" t="n"/>
      <c r="AQ42" s="280" t="n"/>
      <c r="AR42" s="280" t="n"/>
      <c r="AS42" s="280" t="n"/>
      <c r="AT42" s="280" t="n"/>
      <c r="AU42" s="280" t="n"/>
      <c r="AV42" s="280" t="n"/>
      <c r="AW42" s="280" t="n"/>
      <c r="AX42" s="280" t="n"/>
      <c r="AY42" s="280" t="n"/>
      <c r="AZ42" s="280" t="n"/>
      <c r="BA42" s="280" t="n"/>
      <c r="BB42" s="280" t="n"/>
      <c r="BC42" s="280" t="n"/>
      <c r="BD42" s="280" t="n"/>
      <c r="BE42" s="280" t="n"/>
      <c r="BF42" s="280" t="n"/>
      <c r="BG42" s="280" t="n"/>
      <c r="BH42" s="280" t="n"/>
    </row>
    <row r="43" ht="15.5" customHeight="1">
      <c r="B43" s="281" t="n"/>
      <c r="C43" s="282" t="n"/>
      <c r="D43" s="283" t="inlineStr">
        <is>
          <t>-</t>
        </is>
      </c>
      <c r="E43" s="284" t="n"/>
      <c r="F43" s="285" t="n"/>
      <c r="G43" s="286" t="n"/>
      <c r="H43" s="286" t="n"/>
      <c r="I43" s="287" t="n"/>
      <c r="J43" s="287" t="n"/>
      <c r="K43" s="288" t="n"/>
      <c r="L43" s="289" t="n"/>
      <c r="M43" s="289" t="n"/>
      <c r="N43" s="289" t="n"/>
      <c r="O43" s="290" t="n"/>
      <c r="P43" s="290" t="n"/>
      <c r="Q43" s="29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I43" s="280" t="n"/>
      <c r="AJ43" s="280" t="n"/>
      <c r="AK43" s="280" t="n"/>
      <c r="AL43" s="280" t="n"/>
      <c r="AM43" s="280" t="n"/>
      <c r="AN43" s="280" t="n"/>
      <c r="AO43" s="280" t="n"/>
      <c r="AP43" s="280" t="n"/>
      <c r="AQ43" s="280" t="n"/>
      <c r="AR43" s="280" t="n"/>
      <c r="AS43" s="280" t="n"/>
      <c r="AT43" s="280" t="n"/>
      <c r="AU43" s="280" t="n"/>
      <c r="AV43" s="280" t="n"/>
      <c r="AW43" s="280" t="n"/>
      <c r="AX43" s="280" t="n"/>
      <c r="AY43" s="280" t="n"/>
      <c r="AZ43" s="280" t="n"/>
      <c r="BA43" s="280" t="n"/>
      <c r="BB43" s="280" t="n"/>
      <c r="BC43" s="280" t="n"/>
      <c r="BD43" s="280" t="n"/>
      <c r="BE43" s="280" t="n"/>
      <c r="BF43" s="280" t="n"/>
      <c r="BG43" s="280" t="n"/>
      <c r="BH43" s="280" t="n"/>
    </row>
    <row r="44" ht="15.5" customHeight="1">
      <c r="B44" s="291" t="n">
        <v>47848</v>
      </c>
      <c r="C44" s="292" t="n">
        <v>2</v>
      </c>
      <c r="D44" s="293" t="inlineStr">
        <is>
          <t>asdasd</t>
        </is>
      </c>
      <c r="E44" s="284" t="inlineStr">
        <is>
          <t>Advance</t>
        </is>
      </c>
      <c r="F44" s="294" t="n">
        <v>234234</v>
      </c>
      <c r="G44" s="286" t="inlineStr">
        <is>
          <t>IDR</t>
        </is>
      </c>
      <c r="H44" s="295" t="n">
        <v>1</v>
      </c>
      <c r="I44" s="296" t="n"/>
      <c r="J44" s="296" t="n"/>
      <c r="K44" s="298" t="n"/>
      <c r="L44" s="284" t="n"/>
      <c r="M44" s="297">
        <f>$F44*$H44</f>
        <v/>
      </c>
      <c r="N44" s="284" t="n"/>
      <c r="O44" s="290" t="n"/>
      <c r="P44" s="290" t="n"/>
      <c r="Q44" s="29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I44" s="280" t="n"/>
      <c r="AJ44" s="280" t="n"/>
      <c r="AK44" s="280" t="n"/>
      <c r="AL44" s="280" t="n"/>
      <c r="AM44" s="280" t="n"/>
      <c r="AN44" s="280" t="n"/>
      <c r="AO44" s="280" t="n"/>
      <c r="AP44" s="280" t="n"/>
      <c r="AQ44" s="280" t="n"/>
      <c r="AR44" s="280" t="n"/>
      <c r="AS44" s="280" t="n"/>
      <c r="AT44" s="280" t="n"/>
      <c r="AU44" s="280" t="n"/>
      <c r="AV44" s="280" t="n"/>
      <c r="AW44" s="280" t="n"/>
      <c r="AX44" s="280" t="n"/>
      <c r="AY44" s="280" t="n"/>
      <c r="AZ44" s="280" t="n"/>
      <c r="BA44" s="280" t="n"/>
      <c r="BB44" s="280" t="n"/>
      <c r="BC44" s="280" t="n"/>
      <c r="BD44" s="280" t="n"/>
      <c r="BE44" s="280" t="n"/>
      <c r="BF44" s="280" t="n"/>
      <c r="BG44" s="280" t="n"/>
      <c r="BH44" s="280" t="n"/>
    </row>
    <row r="45" ht="15.5" customHeight="1">
      <c r="B45" s="281" t="n"/>
      <c r="C45" s="282" t="n"/>
      <c r="D45" s="283" t="inlineStr">
        <is>
          <t>123123</t>
        </is>
      </c>
      <c r="E45" s="284" t="n"/>
      <c r="F45" s="285" t="n"/>
      <c r="G45" s="286" t="n"/>
      <c r="H45" s="286" t="n"/>
      <c r="I45" s="287" t="n"/>
      <c r="J45" s="287" t="n"/>
      <c r="K45" s="288" t="n"/>
      <c r="L45" s="289" t="n"/>
      <c r="M45" s="289" t="n"/>
      <c r="N45" s="289" t="n"/>
      <c r="O45" s="290" t="n"/>
      <c r="P45" s="290" t="n"/>
      <c r="Q45" s="290" t="n"/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I45" s="280" t="n"/>
      <c r="AJ45" s="280" t="n"/>
      <c r="AK45" s="280" t="n"/>
      <c r="AL45" s="280" t="n"/>
      <c r="AM45" s="280" t="n"/>
      <c r="AN45" s="280" t="n"/>
      <c r="AO45" s="280" t="n"/>
      <c r="AP45" s="280" t="n"/>
      <c r="AQ45" s="280" t="n"/>
      <c r="AR45" s="280" t="n"/>
      <c r="AS45" s="280" t="n"/>
      <c r="AT45" s="280" t="n"/>
      <c r="AU45" s="280" t="n"/>
      <c r="AV45" s="280" t="n"/>
      <c r="AW45" s="280" t="n"/>
      <c r="AX45" s="280" t="n"/>
      <c r="AY45" s="280" t="n"/>
      <c r="AZ45" s="280" t="n"/>
      <c r="BA45" s="280" t="n"/>
      <c r="BB45" s="280" t="n"/>
      <c r="BC45" s="280" t="n"/>
      <c r="BD45" s="280" t="n"/>
      <c r="BE45" s="280" t="n"/>
      <c r="BF45" s="280" t="n"/>
      <c r="BG45" s="280" t="n"/>
      <c r="BH45" s="280" t="n"/>
    </row>
    <row r="46" ht="15.5" customHeight="1">
      <c r="B46" s="291" t="n">
        <v>47848</v>
      </c>
      <c r="C46" s="292" t="n">
        <v>3</v>
      </c>
      <c r="D46" s="293" t="inlineStr">
        <is>
          <t>123123</t>
        </is>
      </c>
      <c r="E46" s="284" t="inlineStr">
        <is>
          <t>BCA</t>
        </is>
      </c>
      <c r="F46" s="294" t="n">
        <v>10</v>
      </c>
      <c r="G46" s="286" t="inlineStr">
        <is>
          <t>USD</t>
        </is>
      </c>
      <c r="H46" s="295" t="n">
        <v>10000</v>
      </c>
      <c r="I46" s="296" t="n"/>
      <c r="J46" s="296" t="n"/>
      <c r="K46" s="298" t="n"/>
      <c r="L46" s="284" t="n"/>
      <c r="M46" s="284" t="n"/>
      <c r="N46" s="297">
        <f>$F46*$H46</f>
        <v/>
      </c>
      <c r="O46" s="290" t="n"/>
      <c r="P46" s="290" t="n"/>
      <c r="Q46" s="290" t="n"/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I46" s="280" t="n"/>
      <c r="AJ46" s="280" t="n"/>
      <c r="AK46" s="280" t="n"/>
      <c r="AL46" s="280" t="n"/>
      <c r="AM46" s="280" t="n"/>
      <c r="AN46" s="280" t="n"/>
      <c r="AO46" s="280" t="n"/>
      <c r="AP46" s="280" t="n"/>
      <c r="AQ46" s="280" t="n"/>
      <c r="AR46" s="280" t="n"/>
      <c r="AS46" s="280" t="n"/>
      <c r="AT46" s="280" t="n"/>
      <c r="AU46" s="280" t="n"/>
      <c r="AV46" s="280" t="n"/>
      <c r="AW46" s="280" t="n"/>
      <c r="AX46" s="280" t="n"/>
      <c r="AY46" s="280" t="n"/>
      <c r="AZ46" s="280" t="n"/>
      <c r="BA46" s="280" t="n"/>
      <c r="BB46" s="280" t="n"/>
      <c r="BC46" s="280" t="n"/>
      <c r="BD46" s="280" t="n"/>
      <c r="BE46" s="280" t="n"/>
      <c r="BF46" s="280" t="n"/>
      <c r="BG46" s="280" t="n"/>
      <c r="BH46" s="280" t="n"/>
    </row>
    <row r="47" ht="15.5" customHeight="1">
      <c r="A47" s="66" t="n"/>
      <c r="B47" s="281" t="n"/>
      <c r="C47" s="282" t="n"/>
      <c r="D47" s="283" t="inlineStr">
        <is>
          <t>Accommodation</t>
        </is>
      </c>
      <c r="E47" s="284" t="n"/>
      <c r="F47" s="285" t="n"/>
      <c r="G47" s="286" t="n"/>
      <c r="H47" s="286" t="n"/>
      <c r="I47" s="287" t="n"/>
      <c r="J47" s="287" t="n"/>
      <c r="K47" s="288" t="n"/>
      <c r="L47" s="289" t="n"/>
      <c r="M47" s="289" t="n"/>
      <c r="N47" s="289" t="n"/>
      <c r="O47" s="290" t="n"/>
      <c r="P47" s="290" t="n"/>
      <c r="Q47" s="290" t="n"/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I47" s="280" t="n"/>
      <c r="AJ47" s="280" t="n"/>
      <c r="AK47" s="280" t="n"/>
      <c r="AL47" s="280" t="n"/>
      <c r="AM47" s="280" t="n"/>
      <c r="AN47" s="280" t="n"/>
      <c r="AO47" s="280" t="n"/>
      <c r="AP47" s="280" t="n"/>
      <c r="AQ47" s="280" t="n"/>
      <c r="AR47" s="280" t="n"/>
      <c r="AS47" s="280" t="n"/>
      <c r="AT47" s="280" t="n"/>
      <c r="AU47" s="280" t="n"/>
      <c r="AV47" s="280" t="n"/>
      <c r="AW47" s="280" t="n"/>
      <c r="AX47" s="280" t="n"/>
      <c r="AY47" s="280" t="n"/>
      <c r="AZ47" s="280" t="n"/>
      <c r="BA47" s="280" t="n"/>
      <c r="BB47" s="280" t="n"/>
      <c r="BC47" s="280" t="n"/>
      <c r="BD47" s="280" t="n"/>
      <c r="BE47" s="280" t="n"/>
      <c r="BF47" s="280" t="n"/>
      <c r="BG47" s="280" t="n"/>
      <c r="BH47" s="280" t="n"/>
    </row>
    <row r="48" ht="15.5" customHeight="1">
      <c r="B48" s="291" t="n">
        <v>47848</v>
      </c>
      <c r="C48" s="292" t="n">
        <v>4</v>
      </c>
      <c r="D48" s="293" t="inlineStr">
        <is>
          <t>qweqw</t>
        </is>
      </c>
      <c r="E48" s="284" t="inlineStr">
        <is>
          <t>BRI</t>
        </is>
      </c>
      <c r="F48" s="294" t="n">
        <v>123123</v>
      </c>
      <c r="G48" s="286" t="inlineStr">
        <is>
          <t>GBP</t>
        </is>
      </c>
      <c r="H48" s="295" t="n">
        <v>1123123</v>
      </c>
      <c r="I48" s="296" t="n"/>
      <c r="J48" s="296" t="n"/>
      <c r="K48" s="297">
        <f>$F48*$H48</f>
        <v/>
      </c>
      <c r="L48" s="284" t="n"/>
      <c r="M48" s="284" t="n"/>
      <c r="N48" s="284" t="n"/>
      <c r="O48" s="290" t="n"/>
      <c r="P48" s="290" t="n"/>
      <c r="Q48" s="290" t="n"/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80" t="n"/>
      <c r="AJ48" s="280" t="n"/>
      <c r="AK48" s="280" t="n"/>
      <c r="AL48" s="280" t="n"/>
      <c r="AM48" s="280" t="n"/>
      <c r="AN48" s="280" t="n"/>
      <c r="AO48" s="280" t="n"/>
      <c r="AP48" s="280" t="n"/>
      <c r="AQ48" s="280" t="n"/>
      <c r="AR48" s="280" t="n"/>
      <c r="AS48" s="280" t="n"/>
      <c r="AT48" s="280" t="n"/>
      <c r="AU48" s="280" t="n"/>
      <c r="AV48" s="280" t="n"/>
      <c r="AW48" s="280" t="n"/>
      <c r="AX48" s="280" t="n"/>
      <c r="AY48" s="280" t="n"/>
      <c r="AZ48" s="280" t="n"/>
      <c r="BA48" s="280" t="n"/>
      <c r="BB48" s="280" t="n"/>
      <c r="BC48" s="280" t="n"/>
      <c r="BD48" s="280" t="n"/>
      <c r="BE48" s="280" t="n"/>
      <c r="BF48" s="280" t="n"/>
      <c r="BG48" s="280" t="n"/>
      <c r="BH48" s="280" t="n"/>
    </row>
    <row r="49" ht="15.5" customHeight="1">
      <c r="B49" s="281" t="n"/>
      <c r="C49" s="282" t="n"/>
      <c r="D49" s="283" t="inlineStr">
        <is>
          <t>Allowance</t>
        </is>
      </c>
      <c r="E49" s="284" t="n"/>
      <c r="F49" s="285" t="n"/>
      <c r="G49" s="286" t="n"/>
      <c r="H49" s="286" t="n"/>
      <c r="I49" s="287" t="n"/>
      <c r="J49" s="287" t="n"/>
      <c r="K49" s="288" t="n"/>
      <c r="L49" s="289" t="n"/>
      <c r="M49" s="289" t="n"/>
      <c r="N49" s="289" t="n"/>
      <c r="O49" s="290" t="n"/>
      <c r="P49" s="290" t="n"/>
      <c r="Q49" s="29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80" t="n"/>
      <c r="AJ49" s="280" t="n"/>
      <c r="AK49" s="280" t="n"/>
      <c r="AL49" s="280" t="n"/>
      <c r="AM49" s="280" t="n"/>
      <c r="AN49" s="280" t="n"/>
      <c r="AO49" s="280" t="n"/>
      <c r="AP49" s="280" t="n"/>
      <c r="AQ49" s="280" t="n"/>
      <c r="AR49" s="280" t="n"/>
      <c r="AS49" s="280" t="n"/>
      <c r="AT49" s="280" t="n"/>
      <c r="AU49" s="280" t="n"/>
      <c r="AV49" s="280" t="n"/>
      <c r="AW49" s="280" t="n"/>
      <c r="AX49" s="280" t="n"/>
      <c r="AY49" s="280" t="n"/>
      <c r="AZ49" s="280" t="n"/>
      <c r="BA49" s="280" t="n"/>
      <c r="BB49" s="280" t="n"/>
      <c r="BC49" s="280" t="n"/>
      <c r="BD49" s="280" t="n"/>
      <c r="BE49" s="280" t="n"/>
      <c r="BF49" s="280" t="n"/>
      <c r="BG49" s="280" t="n"/>
      <c r="BH49" s="280" t="n"/>
    </row>
    <row r="50" ht="15.5" customHeight="1">
      <c r="B50" s="291" t="n">
        <v>47848</v>
      </c>
      <c r="C50" s="292" t="n">
        <v>5</v>
      </c>
      <c r="D50" s="293" t="inlineStr">
        <is>
          <t>87987000</t>
        </is>
      </c>
      <c r="E50" s="284" t="inlineStr">
        <is>
          <t>BNI</t>
        </is>
      </c>
      <c r="F50" s="294" t="n">
        <v>98098000</v>
      </c>
      <c r="G50" s="286" t="inlineStr">
        <is>
          <t>IDR</t>
        </is>
      </c>
      <c r="H50" s="295" t="n">
        <v>1</v>
      </c>
      <c r="I50" s="296" t="n"/>
      <c r="J50" s="296" t="n"/>
      <c r="K50" s="297">
        <f>$F50*$H50</f>
        <v/>
      </c>
      <c r="L50" s="284" t="n"/>
      <c r="M50" s="284" t="n"/>
      <c r="N50" s="284" t="n"/>
      <c r="O50" s="290" t="n"/>
      <c r="P50" s="290" t="n"/>
      <c r="Q50" s="290" t="n"/>
      <c r="R50" s="280" t="n"/>
      <c r="S50" s="280" t="n"/>
      <c r="T50" s="280" t="n"/>
      <c r="U50" s="280" t="n"/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I50" s="280" t="n"/>
      <c r="AJ50" s="280" t="n"/>
      <c r="AK50" s="280" t="n"/>
      <c r="AL50" s="280" t="n"/>
      <c r="AM50" s="280" t="n"/>
      <c r="AN50" s="280" t="n"/>
      <c r="AO50" s="280" t="n"/>
      <c r="AP50" s="280" t="n"/>
      <c r="AQ50" s="280" t="n"/>
      <c r="AR50" s="280" t="n"/>
      <c r="AS50" s="280" t="n"/>
      <c r="AT50" s="280" t="n"/>
      <c r="AU50" s="280" t="n"/>
      <c r="AV50" s="280" t="n"/>
      <c r="AW50" s="280" t="n"/>
      <c r="AX50" s="280" t="n"/>
      <c r="AY50" s="280" t="n"/>
      <c r="AZ50" s="280" t="n"/>
      <c r="BA50" s="280" t="n"/>
      <c r="BB50" s="280" t="n"/>
      <c r="BC50" s="280" t="n"/>
      <c r="BD50" s="280" t="n"/>
      <c r="BE50" s="280" t="n"/>
      <c r="BF50" s="280" t="n"/>
      <c r="BG50" s="280" t="n"/>
      <c r="BH50" s="280" t="n"/>
    </row>
    <row r="51" ht="15.5" customHeight="1">
      <c r="B51" s="281" t="n"/>
      <c r="C51" s="282" t="n"/>
      <c r="D51" s="283" t="inlineStr">
        <is>
          <t>keysha</t>
        </is>
      </c>
      <c r="E51" s="284" t="n"/>
      <c r="F51" s="285" t="n"/>
      <c r="G51" s="286" t="n"/>
      <c r="H51" s="286" t="n"/>
      <c r="I51" s="287" t="n"/>
      <c r="J51" s="287" t="n"/>
      <c r="K51" s="288" t="n"/>
      <c r="L51" s="289" t="n"/>
      <c r="M51" s="289" t="n"/>
      <c r="N51" s="289" t="n"/>
      <c r="O51" s="290" t="n"/>
      <c r="P51" s="290" t="n"/>
      <c r="Q51" s="290" t="n"/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80" t="n"/>
      <c r="AJ51" s="280" t="n"/>
      <c r="AK51" s="280" t="n"/>
      <c r="AL51" s="280" t="n"/>
      <c r="AM51" s="280" t="n"/>
      <c r="AN51" s="280" t="n"/>
      <c r="AO51" s="280" t="n"/>
      <c r="AP51" s="280" t="n"/>
      <c r="AQ51" s="280" t="n"/>
      <c r="AR51" s="280" t="n"/>
      <c r="AS51" s="280" t="n"/>
      <c r="AT51" s="280" t="n"/>
      <c r="AU51" s="280" t="n"/>
      <c r="AV51" s="280" t="n"/>
      <c r="AW51" s="280" t="n"/>
      <c r="AX51" s="280" t="n"/>
      <c r="AY51" s="280" t="n"/>
      <c r="AZ51" s="280" t="n"/>
      <c r="BA51" s="280" t="n"/>
      <c r="BB51" s="280" t="n"/>
      <c r="BC51" s="280" t="n"/>
      <c r="BD51" s="280" t="n"/>
      <c r="BE51" s="280" t="n"/>
      <c r="BF51" s="280" t="n"/>
      <c r="BG51" s="280" t="n"/>
      <c r="BH51" s="280" t="n"/>
    </row>
    <row r="52" ht="15.5" customFormat="1" customHeight="1" s="66">
      <c r="B52" s="291" t="n">
        <v>47830</v>
      </c>
      <c r="C52" s="292" t="n">
        <v>6</v>
      </c>
      <c r="D52" s="293" t="inlineStr">
        <is>
          <t>23434</t>
        </is>
      </c>
      <c r="E52" s="284" t="inlineStr">
        <is>
          <t>BRI</t>
        </is>
      </c>
      <c r="F52" s="294" t="n">
        <v>22</v>
      </c>
      <c r="G52" s="286" t="inlineStr">
        <is>
          <t>USD</t>
        </is>
      </c>
      <c r="H52" s="295" t="n">
        <v>10000</v>
      </c>
      <c r="I52" s="296" t="n"/>
      <c r="J52" s="296" t="n"/>
      <c r="K52" s="298" t="n"/>
      <c r="L52" s="297">
        <f>$F52*$H52</f>
        <v/>
      </c>
      <c r="M52" s="284" t="n"/>
      <c r="N52" s="284" t="n"/>
      <c r="O52" s="290" t="n"/>
      <c r="P52" s="290" t="n"/>
      <c r="Q52" s="290" t="n"/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80" t="n"/>
      <c r="AJ52" s="280" t="n"/>
      <c r="AK52" s="280" t="n"/>
      <c r="AL52" s="280" t="n"/>
      <c r="AM52" s="280" t="n"/>
      <c r="AN52" s="280" t="n"/>
      <c r="AO52" s="280" t="n"/>
      <c r="AP52" s="280" t="n"/>
      <c r="AQ52" s="280" t="n"/>
      <c r="AR52" s="280" t="n"/>
      <c r="AS52" s="280" t="n"/>
      <c r="AT52" s="280" t="n"/>
      <c r="AU52" s="280" t="n"/>
      <c r="AV52" s="280" t="n"/>
      <c r="AW52" s="280" t="n"/>
      <c r="AX52" s="280" t="n"/>
      <c r="AY52" s="280" t="n"/>
      <c r="AZ52" s="280" t="n"/>
      <c r="BA52" s="280" t="n"/>
      <c r="BB52" s="280" t="n"/>
      <c r="BC52" s="280" t="n"/>
      <c r="BD52" s="280" t="n"/>
      <c r="BE52" s="280" t="n"/>
      <c r="BF52" s="280" t="n"/>
      <c r="BG52" s="280" t="n"/>
      <c r="BH52" s="280" t="n"/>
    </row>
    <row r="53" ht="15.5" customFormat="1" customHeight="1" s="66">
      <c r="B53" s="291" t="n">
        <v>47757</v>
      </c>
      <c r="C53" s="292" t="n">
        <v>7</v>
      </c>
      <c r="D53" s="293" t="inlineStr">
        <is>
          <t>sdasd</t>
        </is>
      </c>
      <c r="E53" s="284" t="inlineStr">
        <is>
          <t>Mandiri</t>
        </is>
      </c>
      <c r="F53" s="294" t="n">
        <v>12</v>
      </c>
      <c r="G53" s="286" t="inlineStr">
        <is>
          <t>USD</t>
        </is>
      </c>
      <c r="H53" s="295" t="n">
        <v>1222</v>
      </c>
      <c r="I53" s="296" t="n"/>
      <c r="J53" s="296" t="n"/>
      <c r="K53" s="298" t="n"/>
      <c r="L53" s="297">
        <f>$F53*$H53</f>
        <v/>
      </c>
      <c r="M53" s="284" t="n"/>
      <c r="N53" s="284" t="n"/>
      <c r="O53" s="290" t="n"/>
      <c r="P53" s="290" t="n"/>
      <c r="Q53" s="290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80" t="n"/>
      <c r="AO53" s="280" t="n"/>
      <c r="AP53" s="280" t="n"/>
      <c r="AQ53" s="280" t="n"/>
      <c r="AR53" s="280" t="n"/>
      <c r="AS53" s="280" t="n"/>
      <c r="AT53" s="280" t="n"/>
      <c r="AU53" s="280" t="n"/>
      <c r="AV53" s="280" t="n"/>
      <c r="AW53" s="280" t="n"/>
      <c r="AX53" s="280" t="n"/>
      <c r="AY53" s="280" t="n"/>
      <c r="AZ53" s="280" t="n"/>
      <c r="BA53" s="280" t="n"/>
      <c r="BB53" s="280" t="n"/>
      <c r="BC53" s="280" t="n"/>
      <c r="BD53" s="280" t="n"/>
      <c r="BE53" s="280" t="n"/>
      <c r="BF53" s="280" t="n"/>
      <c r="BG53" s="280" t="n"/>
      <c r="BH53" s="280" t="n"/>
    </row>
    <row r="54" ht="15.5" customFormat="1" customHeight="1" s="66">
      <c r="B54" s="291" t="n">
        <v>47848</v>
      </c>
      <c r="C54" s="292" t="n">
        <v>8</v>
      </c>
      <c r="D54" s="293" t="inlineStr">
        <is>
          <t>3234234</t>
        </is>
      </c>
      <c r="E54" s="284" t="inlineStr">
        <is>
          <t>Mandiri</t>
        </is>
      </c>
      <c r="F54" s="294" t="n">
        <v>234234</v>
      </c>
      <c r="G54" s="286" t="inlineStr">
        <is>
          <t>IDR</t>
        </is>
      </c>
      <c r="H54" s="295" t="n">
        <v>1</v>
      </c>
      <c r="I54" s="296" t="n"/>
      <c r="J54" s="296" t="n"/>
      <c r="K54" s="298" t="n"/>
      <c r="L54" s="297">
        <f>$F54*$H54</f>
        <v/>
      </c>
      <c r="M54" s="284" t="n"/>
      <c r="N54" s="284" t="n"/>
      <c r="O54" s="290" t="n"/>
      <c r="P54" s="290" t="n"/>
      <c r="Q54" s="290" t="n"/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80" t="n"/>
      <c r="AJ54" s="280" t="n"/>
      <c r="AK54" s="280" t="n"/>
      <c r="AL54" s="280" t="n"/>
      <c r="AM54" s="280" t="n"/>
      <c r="AN54" s="280" t="n"/>
      <c r="AO54" s="280" t="n"/>
      <c r="AP54" s="280" t="n"/>
      <c r="AQ54" s="280" t="n"/>
      <c r="AR54" s="280" t="n"/>
      <c r="AS54" s="280" t="n"/>
      <c r="AT54" s="280" t="n"/>
      <c r="AU54" s="280" t="n"/>
      <c r="AV54" s="280" t="n"/>
      <c r="AW54" s="280" t="n"/>
      <c r="AX54" s="280" t="n"/>
      <c r="AY54" s="280" t="n"/>
      <c r="AZ54" s="280" t="n"/>
      <c r="BA54" s="280" t="n"/>
      <c r="BB54" s="280" t="n"/>
      <c r="BC54" s="280" t="n"/>
      <c r="BD54" s="280" t="n"/>
      <c r="BE54" s="280" t="n"/>
      <c r="BF54" s="280" t="n"/>
      <c r="BG54" s="280" t="n"/>
      <c r="BH54" s="280" t="n"/>
    </row>
    <row r="55" ht="15.5" customFormat="1" customHeight="1" s="66">
      <c r="B55" s="291" t="n">
        <v>47848</v>
      </c>
      <c r="C55" s="292" t="n">
        <v>9</v>
      </c>
      <c r="D55" s="293" t="inlineStr">
        <is>
          <t>23</t>
        </is>
      </c>
      <c r="E55" s="284" t="inlineStr">
        <is>
          <t>Mandiri</t>
        </is>
      </c>
      <c r="F55" s="294" t="n">
        <v>12323</v>
      </c>
      <c r="G55" s="286" t="inlineStr">
        <is>
          <t>EUR</t>
        </is>
      </c>
      <c r="H55" s="295" t="n">
        <v>1123</v>
      </c>
      <c r="I55" s="296" t="n"/>
      <c r="J55" s="296" t="n"/>
      <c r="K55" s="298" t="n"/>
      <c r="L55" s="297">
        <f>$F55*$H55</f>
        <v/>
      </c>
      <c r="M55" s="284" t="n"/>
      <c r="N55" s="284" t="n"/>
      <c r="O55" s="290" t="n"/>
      <c r="P55" s="290" t="n"/>
      <c r="Q55" s="290" t="n"/>
      <c r="R55" s="280" t="n"/>
      <c r="S55" s="280" t="n"/>
      <c r="T55" s="280" t="n"/>
      <c r="U55" s="280" t="n"/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80" t="n"/>
      <c r="AJ55" s="280" t="n"/>
      <c r="AK55" s="280" t="n"/>
      <c r="AL55" s="280" t="n"/>
      <c r="AM55" s="280" t="n"/>
      <c r="AN55" s="280" t="n"/>
      <c r="AO55" s="280" t="n"/>
      <c r="AP55" s="280" t="n"/>
      <c r="AQ55" s="280" t="n"/>
      <c r="AR55" s="280" t="n"/>
      <c r="AS55" s="280" t="n"/>
      <c r="AT55" s="280" t="n"/>
      <c r="AU55" s="280" t="n"/>
      <c r="AV55" s="280" t="n"/>
      <c r="AW55" s="280" t="n"/>
      <c r="AX55" s="280" t="n"/>
      <c r="AY55" s="280" t="n"/>
      <c r="AZ55" s="280" t="n"/>
      <c r="BA55" s="280" t="n"/>
      <c r="BB55" s="280" t="n"/>
      <c r="BC55" s="280" t="n"/>
      <c r="BD55" s="280" t="n"/>
      <c r="BE55" s="280" t="n"/>
      <c r="BF55" s="280" t="n"/>
      <c r="BG55" s="280" t="n"/>
      <c r="BH55" s="280" t="n"/>
    </row>
    <row r="56" ht="15.5" customFormat="1" customHeight="1" s="66">
      <c r="B56" s="299" t="n"/>
      <c r="C56" s="300" t="n"/>
      <c r="D56" s="301" t="inlineStr">
        <is>
          <t>OPERATION COST AND OFFICE - Expenses Report</t>
        </is>
      </c>
      <c r="E56" s="302" t="n"/>
      <c r="F56" s="303" t="n"/>
      <c r="G56" s="300" t="n"/>
      <c r="H56" s="300" t="n"/>
      <c r="I56" s="304" t="n"/>
      <c r="J56" s="305" t="n"/>
      <c r="K56" s="299" t="n"/>
      <c r="L56" s="305" t="n"/>
      <c r="M56" s="299" t="n"/>
      <c r="N56" s="305" t="n"/>
      <c r="O56" s="306" t="n"/>
      <c r="P56" s="307" t="n"/>
      <c r="Q56" s="307" t="n"/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80" t="n"/>
      <c r="AJ56" s="280" t="n"/>
      <c r="AK56" s="280" t="n"/>
      <c r="AL56" s="280" t="n"/>
      <c r="AM56" s="280" t="n"/>
      <c r="AN56" s="280" t="n"/>
      <c r="AO56" s="280" t="n"/>
      <c r="AP56" s="280" t="n"/>
      <c r="AQ56" s="280" t="n"/>
      <c r="AR56" s="280" t="n"/>
      <c r="AS56" s="280" t="n"/>
      <c r="AT56" s="280" t="n"/>
      <c r="AU56" s="280" t="n"/>
      <c r="AV56" s="280" t="n"/>
      <c r="AW56" s="280" t="n"/>
      <c r="AX56" s="280" t="n"/>
      <c r="AY56" s="280" t="n"/>
      <c r="AZ56" s="280" t="n"/>
      <c r="BA56" s="280" t="n"/>
      <c r="BB56" s="280" t="n"/>
      <c r="BC56" s="280" t="n"/>
      <c r="BD56" s="280" t="n"/>
      <c r="BE56" s="280" t="n"/>
      <c r="BF56" s="280" t="n"/>
      <c r="BG56" s="280" t="n"/>
      <c r="BH56" s="280" t="n"/>
    </row>
    <row r="57" ht="15.5" customFormat="1" customHeight="1" s="66">
      <c r="B57" s="308" t="inlineStr">
        <is>
          <t>Expense#1</t>
        </is>
      </c>
      <c r="C57" s="309" t="inlineStr">
        <is>
          <t>:</t>
        </is>
      </c>
      <c r="D57" s="310" t="inlineStr">
        <is>
          <t>Gudang</t>
        </is>
      </c>
      <c r="E57" s="311" t="n"/>
      <c r="F57" s="312" t="n"/>
      <c r="G57" s="311" t="n"/>
      <c r="H57" s="311" t="n"/>
      <c r="I57" s="311" t="n"/>
      <c r="J57" s="313" t="n"/>
      <c r="K57" s="314" t="n"/>
      <c r="L57" s="313" t="n"/>
      <c r="M57" s="314" t="n"/>
      <c r="N57" s="313" t="n"/>
      <c r="O57" s="306" t="n"/>
      <c r="P57" s="307" t="n"/>
      <c r="Q57" s="307" t="n"/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80" t="n"/>
      <c r="AJ57" s="280" t="n"/>
      <c r="AK57" s="280" t="n"/>
      <c r="AL57" s="280" t="n"/>
      <c r="AM57" s="280" t="n"/>
      <c r="AN57" s="280" t="n"/>
      <c r="AO57" s="280" t="n"/>
      <c r="AP57" s="280" t="n"/>
      <c r="AQ57" s="280" t="n"/>
      <c r="AR57" s="280" t="n"/>
      <c r="AS57" s="280" t="n"/>
      <c r="AT57" s="280" t="n"/>
      <c r="AU57" s="280" t="n"/>
      <c r="AV57" s="280" t="n"/>
      <c r="AW57" s="280" t="n"/>
      <c r="AX57" s="280" t="n"/>
      <c r="AY57" s="280" t="n"/>
      <c r="AZ57" s="280" t="n"/>
      <c r="BA57" s="280" t="n"/>
      <c r="BB57" s="280" t="n"/>
      <c r="BC57" s="280" t="n"/>
      <c r="BD57" s="280" t="n"/>
      <c r="BE57" s="280" t="n"/>
      <c r="BF57" s="280" t="n"/>
      <c r="BG57" s="280" t="n"/>
      <c r="BH57" s="280" t="n"/>
    </row>
    <row r="58" ht="15.5" customFormat="1" customHeight="1" s="66">
      <c r="B58" s="315" t="n"/>
      <c r="C58" s="316" t="n"/>
      <c r="D58" s="317" t="inlineStr">
        <is>
          <t>123123</t>
        </is>
      </c>
      <c r="E58" s="318" t="n"/>
      <c r="F58" s="319" t="n"/>
      <c r="G58" s="316" t="n"/>
      <c r="H58" s="316" t="n"/>
      <c r="I58" s="316" t="n"/>
      <c r="J58" s="320" t="n"/>
      <c r="K58" s="315" t="n"/>
      <c r="L58" s="320" t="n"/>
      <c r="M58" s="315" t="n"/>
      <c r="N58" s="320" t="n"/>
      <c r="O58" s="306" t="n"/>
      <c r="P58" s="307" t="n"/>
      <c r="Q58" s="307" t="n"/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80" t="n"/>
      <c r="AJ58" s="280" t="n"/>
      <c r="AK58" s="280" t="n"/>
      <c r="AL58" s="280" t="n"/>
      <c r="AM58" s="280" t="n"/>
      <c r="AN58" s="280" t="n"/>
      <c r="AO58" s="280" t="n"/>
      <c r="AP58" s="280" t="n"/>
      <c r="AQ58" s="280" t="n"/>
      <c r="AR58" s="280" t="n"/>
      <c r="AS58" s="280" t="n"/>
      <c r="AT58" s="280" t="n"/>
      <c r="AU58" s="280" t="n"/>
      <c r="AV58" s="280" t="n"/>
      <c r="AW58" s="280" t="n"/>
      <c r="AX58" s="280" t="n"/>
      <c r="AY58" s="280" t="n"/>
      <c r="AZ58" s="280" t="n"/>
      <c r="BA58" s="280" t="n"/>
      <c r="BB58" s="280" t="n"/>
      <c r="BC58" s="280" t="n"/>
      <c r="BD58" s="280" t="n"/>
      <c r="BE58" s="280" t="n"/>
      <c r="BF58" s="280" t="n"/>
      <c r="BG58" s="280" t="n"/>
      <c r="BH58" s="280" t="n"/>
    </row>
    <row r="59" ht="15.5" customFormat="1" customHeight="1" s="66">
      <c r="B59" s="291" t="n">
        <v>47848</v>
      </c>
      <c r="C59" s="292" t="n">
        <v>10</v>
      </c>
      <c r="D59" s="293" t="inlineStr">
        <is>
          <t>123123</t>
        </is>
      </c>
      <c r="E59" s="284" t="inlineStr">
        <is>
          <t>BCA</t>
        </is>
      </c>
      <c r="F59" s="294" t="n">
        <v>123123</v>
      </c>
      <c r="G59" s="286" t="inlineStr">
        <is>
          <t>IDR</t>
        </is>
      </c>
      <c r="H59" s="295" t="n">
        <v>1</v>
      </c>
      <c r="I59" s="296" t="n"/>
      <c r="J59" s="296" t="n"/>
      <c r="K59" s="298" t="n"/>
      <c r="L59" s="284" t="n"/>
      <c r="M59" s="284" t="n"/>
      <c r="N59" s="297">
        <f>$F59*$H59</f>
        <v/>
      </c>
      <c r="O59" s="290" t="n"/>
      <c r="P59" s="290" t="n"/>
      <c r="Q59" s="290" t="n"/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80" t="n"/>
      <c r="AJ59" s="280" t="n"/>
      <c r="AK59" s="280" t="n"/>
      <c r="AL59" s="280" t="n"/>
      <c r="AM59" s="280" t="n"/>
      <c r="AN59" s="280" t="n"/>
      <c r="AO59" s="280" t="n"/>
      <c r="AP59" s="280" t="n"/>
      <c r="AQ59" s="280" t="n"/>
      <c r="AR59" s="280" t="n"/>
      <c r="AS59" s="280" t="n"/>
      <c r="AT59" s="280" t="n"/>
      <c r="AU59" s="280" t="n"/>
      <c r="AV59" s="280" t="n"/>
      <c r="AW59" s="280" t="n"/>
      <c r="AX59" s="280" t="n"/>
      <c r="AY59" s="280" t="n"/>
      <c r="AZ59" s="280" t="n"/>
      <c r="BA59" s="280" t="n"/>
      <c r="BB59" s="280" t="n"/>
      <c r="BC59" s="280" t="n"/>
      <c r="BD59" s="280" t="n"/>
      <c r="BE59" s="280" t="n"/>
      <c r="BF59" s="280" t="n"/>
      <c r="BG59" s="280" t="n"/>
      <c r="BH59" s="280" t="n"/>
    </row>
    <row r="60" ht="15.5" customFormat="1" customHeight="1" s="66">
      <c r="B60" s="315" t="n"/>
      <c r="C60" s="316" t="n"/>
      <c r="D60" s="317" t="inlineStr">
        <is>
          <t>Meal</t>
        </is>
      </c>
      <c r="E60" s="318" t="n"/>
      <c r="F60" s="319" t="n"/>
      <c r="G60" s="316" t="n"/>
      <c r="H60" s="316" t="n"/>
      <c r="I60" s="316" t="n"/>
      <c r="J60" s="320" t="n"/>
      <c r="K60" s="315" t="n"/>
      <c r="L60" s="320" t="n"/>
      <c r="M60" s="315" t="n"/>
      <c r="N60" s="320" t="n"/>
      <c r="O60" s="306" t="n"/>
      <c r="P60" s="307" t="n"/>
      <c r="Q60" s="307" t="n"/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I60" s="280" t="n"/>
      <c r="AJ60" s="280" t="n"/>
      <c r="AK60" s="280" t="n"/>
      <c r="AL60" s="280" t="n"/>
      <c r="AM60" s="280" t="n"/>
      <c r="AN60" s="280" t="n"/>
      <c r="AO60" s="280" t="n"/>
      <c r="AP60" s="280" t="n"/>
      <c r="AQ60" s="280" t="n"/>
      <c r="AR60" s="280" t="n"/>
      <c r="AS60" s="280" t="n"/>
      <c r="AT60" s="280" t="n"/>
      <c r="AU60" s="280" t="n"/>
      <c r="AV60" s="280" t="n"/>
      <c r="AW60" s="280" t="n"/>
      <c r="AX60" s="280" t="n"/>
      <c r="AY60" s="280" t="n"/>
      <c r="AZ60" s="280" t="n"/>
      <c r="BA60" s="280" t="n"/>
      <c r="BB60" s="280" t="n"/>
      <c r="BC60" s="280" t="n"/>
      <c r="BD60" s="280" t="n"/>
      <c r="BE60" s="280" t="n"/>
      <c r="BF60" s="280" t="n"/>
      <c r="BG60" s="280" t="n"/>
      <c r="BH60" s="280" t="n"/>
    </row>
    <row r="61" ht="15.5" customFormat="1" customHeight="1" s="66">
      <c r="B61" s="291" t="n">
        <v>47848</v>
      </c>
      <c r="C61" s="292" t="n">
        <v>11</v>
      </c>
      <c r="D61" s="293" t="inlineStr">
        <is>
          <t>werw</t>
        </is>
      </c>
      <c r="E61" s="284" t="inlineStr">
        <is>
          <t>BRI</t>
        </is>
      </c>
      <c r="F61" s="294" t="n">
        <v>123123</v>
      </c>
      <c r="G61" s="286" t="inlineStr">
        <is>
          <t>IDR</t>
        </is>
      </c>
      <c r="H61" s="295" t="n">
        <v>1</v>
      </c>
      <c r="I61" s="296" t="n"/>
      <c r="J61" s="296" t="n"/>
      <c r="K61" s="297">
        <f>$F61*$H61</f>
        <v/>
      </c>
      <c r="L61" s="284" t="n"/>
      <c r="M61" s="284" t="n"/>
      <c r="N61" s="284" t="n"/>
      <c r="O61" s="290" t="n"/>
      <c r="P61" s="290" t="n"/>
      <c r="Q61" s="290" t="n"/>
      <c r="R61" s="280" t="n"/>
      <c r="S61" s="280" t="n"/>
      <c r="T61" s="280" t="n"/>
      <c r="U61" s="280" t="n"/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I61" s="280" t="n"/>
      <c r="AJ61" s="280" t="n"/>
      <c r="AK61" s="280" t="n"/>
      <c r="AL61" s="280" t="n"/>
      <c r="AM61" s="280" t="n"/>
      <c r="AN61" s="280" t="n"/>
      <c r="AO61" s="280" t="n"/>
      <c r="AP61" s="280" t="n"/>
      <c r="AQ61" s="280" t="n"/>
      <c r="AR61" s="280" t="n"/>
      <c r="AS61" s="280" t="n"/>
      <c r="AT61" s="280" t="n"/>
      <c r="AU61" s="280" t="n"/>
      <c r="AV61" s="280" t="n"/>
      <c r="AW61" s="280" t="n"/>
      <c r="AX61" s="280" t="n"/>
      <c r="AY61" s="280" t="n"/>
      <c r="AZ61" s="280" t="n"/>
      <c r="BA61" s="280" t="n"/>
      <c r="BB61" s="280" t="n"/>
      <c r="BC61" s="280" t="n"/>
      <c r="BD61" s="280" t="n"/>
      <c r="BE61" s="280" t="n"/>
      <c r="BF61" s="280" t="n"/>
      <c r="BG61" s="280" t="n"/>
      <c r="BH61" s="280" t="n"/>
    </row>
    <row r="62" ht="15.5" customFormat="1" customHeight="1" s="66">
      <c r="B62" s="315" t="n"/>
      <c r="C62" s="316" t="n"/>
      <c r="D62" s="317" t="inlineStr">
        <is>
          <t>nabil</t>
        </is>
      </c>
      <c r="E62" s="318" t="n"/>
      <c r="F62" s="319" t="n"/>
      <c r="G62" s="316" t="n"/>
      <c r="H62" s="316" t="n"/>
      <c r="I62" s="316" t="n"/>
      <c r="J62" s="320" t="n"/>
      <c r="K62" s="315" t="n"/>
      <c r="L62" s="320" t="n"/>
      <c r="M62" s="315" t="n"/>
      <c r="N62" s="320" t="n"/>
      <c r="O62" s="306" t="n"/>
      <c r="P62" s="307" t="n"/>
      <c r="Q62" s="307" t="n"/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80" t="n"/>
      <c r="AJ62" s="280" t="n"/>
      <c r="AK62" s="280" t="n"/>
      <c r="AL62" s="280" t="n"/>
      <c r="AM62" s="280" t="n"/>
      <c r="AN62" s="280" t="n"/>
      <c r="AO62" s="280" t="n"/>
      <c r="AP62" s="280" t="n"/>
      <c r="AQ62" s="280" t="n"/>
      <c r="AR62" s="280" t="n"/>
      <c r="AS62" s="280" t="n"/>
      <c r="AT62" s="280" t="n"/>
      <c r="AU62" s="280" t="n"/>
      <c r="AV62" s="280" t="n"/>
      <c r="AW62" s="280" t="n"/>
      <c r="AX62" s="280" t="n"/>
      <c r="AY62" s="280" t="n"/>
      <c r="AZ62" s="280" t="n"/>
      <c r="BA62" s="280" t="n"/>
      <c r="BB62" s="280" t="n"/>
      <c r="BC62" s="280" t="n"/>
      <c r="BD62" s="280" t="n"/>
      <c r="BE62" s="280" t="n"/>
      <c r="BF62" s="280" t="n"/>
      <c r="BG62" s="280" t="n"/>
      <c r="BH62" s="280" t="n"/>
    </row>
    <row r="63" ht="15.5" customFormat="1" customHeight="1" s="66">
      <c r="B63" s="291" t="n">
        <v>47848</v>
      </c>
      <c r="C63" s="292" t="n">
        <v>12</v>
      </c>
      <c r="D63" s="293" t="inlineStr">
        <is>
          <t>reza</t>
        </is>
      </c>
      <c r="E63" s="284" t="inlineStr">
        <is>
          <t>BCA</t>
        </is>
      </c>
      <c r="F63" s="294" t="n">
        <v>30000</v>
      </c>
      <c r="G63" s="286" t="inlineStr">
        <is>
          <t>IDR</t>
        </is>
      </c>
      <c r="H63" s="295" t="n">
        <v>1</v>
      </c>
      <c r="I63" s="296" t="n"/>
      <c r="J63" s="296" t="n"/>
      <c r="K63" s="298" t="n"/>
      <c r="L63" s="297">
        <f>$F63*$H63</f>
        <v/>
      </c>
      <c r="M63" s="284" t="n"/>
      <c r="N63" s="284" t="n"/>
      <c r="O63" s="290" t="n"/>
      <c r="P63" s="290" t="n"/>
      <c r="Q63" s="290" t="n"/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80" t="n"/>
      <c r="AJ63" s="280" t="n"/>
      <c r="AK63" s="280" t="n"/>
      <c r="AL63" s="280" t="n"/>
      <c r="AM63" s="280" t="n"/>
      <c r="AN63" s="280" t="n"/>
      <c r="AO63" s="280" t="n"/>
      <c r="AP63" s="280" t="n"/>
      <c r="AQ63" s="280" t="n"/>
      <c r="AR63" s="280" t="n"/>
      <c r="AS63" s="280" t="n"/>
      <c r="AT63" s="280" t="n"/>
      <c r="AU63" s="280" t="n"/>
      <c r="AV63" s="280" t="n"/>
      <c r="AW63" s="280" t="n"/>
      <c r="AX63" s="280" t="n"/>
      <c r="AY63" s="280" t="n"/>
      <c r="AZ63" s="280" t="n"/>
      <c r="BA63" s="280" t="n"/>
      <c r="BB63" s="280" t="n"/>
      <c r="BC63" s="280" t="n"/>
      <c r="BD63" s="280" t="n"/>
      <c r="BE63" s="280" t="n"/>
      <c r="BF63" s="280" t="n"/>
      <c r="BG63" s="280" t="n"/>
      <c r="BH63" s="280" t="n"/>
    </row>
    <row r="64" ht="15.5" customFormat="1" customHeight="1" s="66">
      <c r="B64" s="308" t="inlineStr">
        <is>
          <t>Expense#2</t>
        </is>
      </c>
      <c r="C64" s="309" t="inlineStr">
        <is>
          <t>:</t>
        </is>
      </c>
      <c r="D64" s="310" t="inlineStr">
        <is>
          <t>sasdas</t>
        </is>
      </c>
      <c r="E64" s="311" t="n"/>
      <c r="F64" s="312" t="n"/>
      <c r="G64" s="311" t="n"/>
      <c r="H64" s="311" t="n"/>
      <c r="I64" s="311" t="n"/>
      <c r="J64" s="313" t="n"/>
      <c r="K64" s="314" t="n"/>
      <c r="L64" s="313" t="n"/>
      <c r="M64" s="314" t="n"/>
      <c r="N64" s="313" t="n"/>
      <c r="O64" s="306" t="n"/>
      <c r="P64" s="307" t="n"/>
      <c r="Q64" s="307" t="n"/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80" t="n"/>
      <c r="AJ64" s="280" t="n"/>
      <c r="AK64" s="280" t="n"/>
      <c r="AL64" s="280" t="n"/>
      <c r="AM64" s="280" t="n"/>
      <c r="AN64" s="280" t="n"/>
      <c r="AO64" s="280" t="n"/>
      <c r="AP64" s="280" t="n"/>
      <c r="AQ64" s="280" t="n"/>
      <c r="AR64" s="280" t="n"/>
      <c r="AS64" s="280" t="n"/>
      <c r="AT64" s="280" t="n"/>
      <c r="AU64" s="280" t="n"/>
      <c r="AV64" s="280" t="n"/>
      <c r="AW64" s="280" t="n"/>
      <c r="AX64" s="280" t="n"/>
      <c r="AY64" s="280" t="n"/>
      <c r="AZ64" s="280" t="n"/>
      <c r="BA64" s="280" t="n"/>
      <c r="BB64" s="280" t="n"/>
      <c r="BC64" s="280" t="n"/>
      <c r="BD64" s="280" t="n"/>
      <c r="BE64" s="280" t="n"/>
      <c r="BF64" s="280" t="n"/>
      <c r="BG64" s="280" t="n"/>
      <c r="BH64" s="280" t="n"/>
    </row>
    <row r="65" ht="15.5" customFormat="1" customHeight="1" s="66">
      <c r="B65" s="315" t="n"/>
      <c r="C65" s="316" t="n"/>
      <c r="D65" s="317" t="inlineStr">
        <is>
          <t>123123</t>
        </is>
      </c>
      <c r="E65" s="318" t="n"/>
      <c r="F65" s="319" t="n"/>
      <c r="G65" s="316" t="n"/>
      <c r="H65" s="316" t="n"/>
      <c r="I65" s="316" t="n"/>
      <c r="J65" s="320" t="n"/>
      <c r="K65" s="315" t="n"/>
      <c r="L65" s="320" t="n"/>
      <c r="M65" s="315" t="n"/>
      <c r="N65" s="320" t="n"/>
      <c r="O65" s="306" t="n"/>
      <c r="P65" s="307" t="n"/>
      <c r="Q65" s="307" t="n"/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80" t="n"/>
      <c r="AJ65" s="280" t="n"/>
      <c r="AK65" s="280" t="n"/>
      <c r="AL65" s="280" t="n"/>
      <c r="AM65" s="280" t="n"/>
      <c r="AN65" s="280" t="n"/>
      <c r="AO65" s="280" t="n"/>
      <c r="AP65" s="280" t="n"/>
      <c r="AQ65" s="280" t="n"/>
      <c r="AR65" s="280" t="n"/>
      <c r="AS65" s="280" t="n"/>
      <c r="AT65" s="280" t="n"/>
      <c r="AU65" s="280" t="n"/>
      <c r="AV65" s="280" t="n"/>
      <c r="AW65" s="280" t="n"/>
      <c r="AX65" s="280" t="n"/>
      <c r="AY65" s="280" t="n"/>
      <c r="AZ65" s="280" t="n"/>
      <c r="BA65" s="280" t="n"/>
      <c r="BB65" s="280" t="n"/>
      <c r="BC65" s="280" t="n"/>
      <c r="BD65" s="280" t="n"/>
      <c r="BE65" s="280" t="n"/>
      <c r="BF65" s="280" t="n"/>
      <c r="BG65" s="280" t="n"/>
      <c r="BH65" s="280" t="n"/>
    </row>
    <row r="66" ht="15.5" customFormat="1" customHeight="1" s="66">
      <c r="B66" s="291" t="n">
        <v>47848</v>
      </c>
      <c r="C66" s="292" t="n">
        <v>13</v>
      </c>
      <c r="D66" s="293" t="inlineStr">
        <is>
          <t>123123</t>
        </is>
      </c>
      <c r="E66" s="284" t="inlineStr">
        <is>
          <t>Advance</t>
        </is>
      </c>
      <c r="F66" s="294" t="n">
        <v>1</v>
      </c>
      <c r="G66" s="286" t="inlineStr">
        <is>
          <t>USD</t>
        </is>
      </c>
      <c r="H66" s="295" t="n">
        <v>101</v>
      </c>
      <c r="I66" s="296" t="n"/>
      <c r="J66" s="296" t="n"/>
      <c r="K66" s="298" t="n"/>
      <c r="L66" s="284" t="n"/>
      <c r="M66" s="284" t="n"/>
      <c r="N66" s="297">
        <f>$F66*$H66</f>
        <v/>
      </c>
      <c r="O66" s="290" t="n"/>
      <c r="P66" s="290" t="n"/>
      <c r="Q66" s="290" t="n"/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80" t="n"/>
      <c r="AJ66" s="280" t="n"/>
      <c r="AK66" s="280" t="n"/>
      <c r="AL66" s="280" t="n"/>
      <c r="AM66" s="280" t="n"/>
      <c r="AN66" s="280" t="n"/>
      <c r="AO66" s="280" t="n"/>
      <c r="AP66" s="280" t="n"/>
      <c r="AQ66" s="280" t="n"/>
      <c r="AR66" s="280" t="n"/>
      <c r="AS66" s="280" t="n"/>
      <c r="AT66" s="280" t="n"/>
      <c r="AU66" s="280" t="n"/>
      <c r="AV66" s="280" t="n"/>
      <c r="AW66" s="280" t="n"/>
      <c r="AX66" s="280" t="n"/>
      <c r="AY66" s="280" t="n"/>
      <c r="AZ66" s="280" t="n"/>
      <c r="BA66" s="280" t="n"/>
      <c r="BB66" s="280" t="n"/>
      <c r="BC66" s="280" t="n"/>
      <c r="BD66" s="280" t="n"/>
      <c r="BE66" s="280" t="n"/>
      <c r="BF66" s="280" t="n"/>
      <c r="BG66" s="280" t="n"/>
      <c r="BH66" s="280" t="n"/>
    </row>
    <row r="67" ht="15.5" customHeight="1">
      <c r="B67" s="315" t="n"/>
      <c r="C67" s="316" t="n"/>
      <c r="D67" s="317" t="inlineStr">
        <is>
          <t>Allowance</t>
        </is>
      </c>
      <c r="E67" s="318" t="n"/>
      <c r="F67" s="319" t="n"/>
      <c r="G67" s="316" t="n"/>
      <c r="H67" s="316" t="n"/>
      <c r="I67" s="316" t="n"/>
      <c r="J67" s="320" t="n"/>
      <c r="K67" s="315" t="n"/>
      <c r="L67" s="320" t="n"/>
      <c r="M67" s="315" t="n"/>
      <c r="N67" s="320" t="n"/>
      <c r="O67" s="306" t="n"/>
      <c r="P67" s="307" t="n"/>
      <c r="Q67" s="307" t="n"/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80" t="n"/>
      <c r="AJ67" s="280" t="n"/>
      <c r="AK67" s="280" t="n"/>
      <c r="AL67" s="280" t="n"/>
      <c r="AM67" s="280" t="n"/>
      <c r="AN67" s="280" t="n"/>
      <c r="AO67" s="280" t="n"/>
      <c r="AP67" s="280" t="n"/>
      <c r="AQ67" s="280" t="n"/>
      <c r="AR67" s="280" t="n"/>
      <c r="AS67" s="280" t="n"/>
      <c r="AT67" s="280" t="n"/>
      <c r="AU67" s="280" t="n"/>
      <c r="AV67" s="280" t="n"/>
      <c r="AW67" s="280" t="n"/>
      <c r="AX67" s="280" t="n"/>
      <c r="AY67" s="280" t="n"/>
      <c r="AZ67" s="280" t="n"/>
      <c r="BA67" s="280" t="n"/>
      <c r="BB67" s="280" t="n"/>
      <c r="BC67" s="280" t="n"/>
      <c r="BD67" s="280" t="n"/>
      <c r="BE67" s="280" t="n"/>
      <c r="BF67" s="280" t="n"/>
      <c r="BG67" s="280" t="n"/>
      <c r="BH67" s="280" t="n"/>
    </row>
    <row r="68" ht="15.5" customHeight="1">
      <c r="A68" s="66" t="n"/>
      <c r="B68" s="291" t="n">
        <v>47848</v>
      </c>
      <c r="C68" s="292" t="n">
        <v>14</v>
      </c>
      <c r="D68" s="293" t="inlineStr">
        <is>
          <t>234234</t>
        </is>
      </c>
      <c r="E68" s="284" t="inlineStr">
        <is>
          <t>Advance</t>
        </is>
      </c>
      <c r="F68" s="294" t="n">
        <v>234324324</v>
      </c>
      <c r="G68" s="286" t="inlineStr">
        <is>
          <t>IDR</t>
        </is>
      </c>
      <c r="H68" s="295" t="n">
        <v>1</v>
      </c>
      <c r="I68" s="296" t="n"/>
      <c r="J68" s="296" t="n"/>
      <c r="K68" s="297">
        <f>$F68*$H68</f>
        <v/>
      </c>
      <c r="L68" s="284" t="n"/>
      <c r="M68" s="284" t="n"/>
      <c r="N68" s="284" t="n"/>
      <c r="O68" s="290" t="n"/>
      <c r="P68" s="290" t="n"/>
      <c r="Q68" s="290" t="n"/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80" t="n"/>
      <c r="AJ68" s="280" t="n"/>
      <c r="AK68" s="280" t="n"/>
      <c r="AL68" s="280" t="n"/>
      <c r="AM68" s="280" t="n"/>
      <c r="AN68" s="280" t="n"/>
      <c r="AO68" s="280" t="n"/>
      <c r="AP68" s="280" t="n"/>
      <c r="AQ68" s="280" t="n"/>
      <c r="AR68" s="280" t="n"/>
      <c r="AS68" s="280" t="n"/>
      <c r="AT68" s="280" t="n"/>
      <c r="AU68" s="280" t="n"/>
      <c r="AV68" s="280" t="n"/>
      <c r="AW68" s="280" t="n"/>
      <c r="AX68" s="280" t="n"/>
      <c r="AY68" s="280" t="n"/>
      <c r="AZ68" s="280" t="n"/>
      <c r="BA68" s="280" t="n"/>
      <c r="BB68" s="280" t="n"/>
      <c r="BC68" s="280" t="n"/>
      <c r="BD68" s="280" t="n"/>
      <c r="BE68" s="280" t="n"/>
      <c r="BF68" s="280" t="n"/>
      <c r="BG68" s="280" t="n"/>
      <c r="BH68" s="280" t="n"/>
    </row>
    <row r="69" ht="15.5" customHeight="1">
      <c r="A69" s="66" t="n"/>
      <c r="B69" s="315" t="n"/>
      <c r="C69" s="316" t="n"/>
      <c r="D69" s="317" t="inlineStr">
        <is>
          <t>Rental Tool</t>
        </is>
      </c>
      <c r="E69" s="318" t="n"/>
      <c r="F69" s="319" t="n"/>
      <c r="G69" s="316" t="n"/>
      <c r="H69" s="316" t="n"/>
      <c r="I69" s="316" t="n"/>
      <c r="J69" s="320" t="n"/>
      <c r="K69" s="315" t="n"/>
      <c r="L69" s="320" t="n"/>
      <c r="M69" s="315" t="n"/>
      <c r="N69" s="320" t="n"/>
      <c r="O69" s="306" t="n"/>
      <c r="P69" s="307" t="n"/>
      <c r="Q69" s="307" t="n"/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80" t="n"/>
      <c r="AJ69" s="280" t="n"/>
      <c r="AK69" s="280" t="n"/>
      <c r="AL69" s="280" t="n"/>
      <c r="AM69" s="280" t="n"/>
      <c r="AN69" s="280" t="n"/>
      <c r="AO69" s="280" t="n"/>
      <c r="AP69" s="280" t="n"/>
      <c r="AQ69" s="280" t="n"/>
      <c r="AR69" s="280" t="n"/>
      <c r="AS69" s="280" t="n"/>
      <c r="AT69" s="280" t="n"/>
      <c r="AU69" s="280" t="n"/>
      <c r="AV69" s="280" t="n"/>
      <c r="AW69" s="280" t="n"/>
      <c r="AX69" s="280" t="n"/>
      <c r="AY69" s="280" t="n"/>
      <c r="AZ69" s="280" t="n"/>
      <c r="BA69" s="280" t="n"/>
      <c r="BB69" s="280" t="n"/>
      <c r="BC69" s="280" t="n"/>
      <c r="BD69" s="280" t="n"/>
      <c r="BE69" s="280" t="n"/>
      <c r="BF69" s="280" t="n"/>
      <c r="BG69" s="280" t="n"/>
      <c r="BH69" s="280" t="n"/>
    </row>
    <row r="70" ht="15.5" customHeight="1">
      <c r="B70" s="291" t="n">
        <v>47848</v>
      </c>
      <c r="C70" s="292" t="n">
        <v>15</v>
      </c>
      <c r="D70" s="293" t="inlineStr">
        <is>
          <t>234</t>
        </is>
      </c>
      <c r="E70" s="284" t="inlineStr">
        <is>
          <t>Advance</t>
        </is>
      </c>
      <c r="F70" s="294" t="n">
        <v>4</v>
      </c>
      <c r="G70" s="286" t="inlineStr">
        <is>
          <t>USD</t>
        </is>
      </c>
      <c r="H70" s="295" t="n">
        <v>14444</v>
      </c>
      <c r="I70" s="321">
        <f>$F70*$H70</f>
        <v/>
      </c>
      <c r="J70" s="296" t="n"/>
      <c r="K70" s="298" t="n"/>
      <c r="L70" s="284" t="n"/>
      <c r="M70" s="284" t="n"/>
      <c r="N70" s="284" t="n"/>
      <c r="O70" s="290" t="n"/>
      <c r="P70" s="290" t="n"/>
      <c r="Q70" s="29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80" t="n"/>
      <c r="AJ70" s="280" t="n"/>
      <c r="AK70" s="280" t="n"/>
      <c r="AL70" s="280" t="n"/>
      <c r="AM70" s="280" t="n"/>
      <c r="AN70" s="280" t="n"/>
      <c r="AO70" s="280" t="n"/>
      <c r="AP70" s="280" t="n"/>
      <c r="AQ70" s="280" t="n"/>
      <c r="AR70" s="280" t="n"/>
      <c r="AS70" s="280" t="n"/>
      <c r="AT70" s="280" t="n"/>
      <c r="AU70" s="280" t="n"/>
      <c r="AV70" s="280" t="n"/>
      <c r="AW70" s="280" t="n"/>
      <c r="AX70" s="280" t="n"/>
      <c r="AY70" s="280" t="n"/>
      <c r="AZ70" s="280" t="n"/>
      <c r="BA70" s="280" t="n"/>
      <c r="BB70" s="280" t="n"/>
      <c r="BC70" s="280" t="n"/>
      <c r="BD70" s="280" t="n"/>
      <c r="BE70" s="280" t="n"/>
      <c r="BF70" s="280" t="n"/>
      <c r="BG70" s="280" t="n"/>
      <c r="BH70" s="280" t="n"/>
    </row>
    <row r="71" ht="15.5" customHeight="1">
      <c r="B71" s="308" t="inlineStr">
        <is>
          <t>Expense#3</t>
        </is>
      </c>
      <c r="C71" s="309" t="inlineStr">
        <is>
          <t>:</t>
        </is>
      </c>
      <c r="D71" s="310" t="inlineStr">
        <is>
          <t>werwerewr</t>
        </is>
      </c>
      <c r="E71" s="311" t="n"/>
      <c r="F71" s="312" t="n"/>
      <c r="G71" s="311" t="n"/>
      <c r="H71" s="311" t="n"/>
      <c r="I71" s="311" t="n"/>
      <c r="J71" s="313" t="n"/>
      <c r="K71" s="314" t="n"/>
      <c r="L71" s="313" t="n"/>
      <c r="M71" s="314" t="n"/>
      <c r="N71" s="313" t="n"/>
      <c r="O71" s="306" t="n"/>
      <c r="P71" s="307" t="n"/>
      <c r="Q71" s="307" t="n"/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80" t="n"/>
      <c r="AJ71" s="280" t="n"/>
      <c r="AK71" s="280" t="n"/>
      <c r="AL71" s="280" t="n"/>
      <c r="AM71" s="280" t="n"/>
      <c r="AN71" s="280" t="n"/>
      <c r="AO71" s="280" t="n"/>
      <c r="AP71" s="280" t="n"/>
      <c r="AQ71" s="280" t="n"/>
      <c r="AR71" s="280" t="n"/>
      <c r="AS71" s="280" t="n"/>
      <c r="AT71" s="280" t="n"/>
      <c r="AU71" s="280" t="n"/>
      <c r="AV71" s="280" t="n"/>
      <c r="AW71" s="280" t="n"/>
      <c r="AX71" s="280" t="n"/>
      <c r="AY71" s="280" t="n"/>
      <c r="AZ71" s="280" t="n"/>
      <c r="BA71" s="280" t="n"/>
      <c r="BB71" s="280" t="n"/>
      <c r="BC71" s="280" t="n"/>
      <c r="BD71" s="280" t="n"/>
      <c r="BE71" s="280" t="n"/>
      <c r="BF71" s="280" t="n"/>
      <c r="BG71" s="280" t="n"/>
      <c r="BH71" s="280" t="n"/>
    </row>
    <row r="72" ht="15.5" customHeight="1">
      <c r="B72" s="315" t="n"/>
      <c r="C72" s="316" t="n"/>
      <c r="D72" s="317" t="inlineStr">
        <is>
          <t>Accommodation</t>
        </is>
      </c>
      <c r="E72" s="318" t="n"/>
      <c r="F72" s="319" t="n"/>
      <c r="G72" s="316" t="n"/>
      <c r="H72" s="316" t="n"/>
      <c r="I72" s="316" t="n"/>
      <c r="J72" s="320" t="n"/>
      <c r="K72" s="315" t="n"/>
      <c r="L72" s="320" t="n"/>
      <c r="M72" s="315" t="n"/>
      <c r="N72" s="320" t="n"/>
      <c r="O72" s="306" t="n"/>
      <c r="P72" s="307" t="n"/>
      <c r="Q72" s="307" t="n"/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80" t="n"/>
      <c r="AJ72" s="280" t="n"/>
      <c r="AK72" s="280" t="n"/>
      <c r="AL72" s="280" t="n"/>
      <c r="AM72" s="280" t="n"/>
      <c r="AN72" s="280" t="n"/>
      <c r="AO72" s="280" t="n"/>
      <c r="AP72" s="280" t="n"/>
      <c r="AQ72" s="280" t="n"/>
      <c r="AR72" s="280" t="n"/>
      <c r="AS72" s="280" t="n"/>
      <c r="AT72" s="280" t="n"/>
      <c r="AU72" s="280" t="n"/>
      <c r="AV72" s="280" t="n"/>
      <c r="AW72" s="280" t="n"/>
      <c r="AX72" s="280" t="n"/>
      <c r="AY72" s="280" t="n"/>
      <c r="AZ72" s="280" t="n"/>
      <c r="BA72" s="280" t="n"/>
      <c r="BB72" s="280" t="n"/>
      <c r="BC72" s="280" t="n"/>
      <c r="BD72" s="280" t="n"/>
      <c r="BE72" s="280" t="n"/>
      <c r="BF72" s="280" t="n"/>
      <c r="BG72" s="280" t="n"/>
      <c r="BH72" s="280" t="n"/>
    </row>
    <row r="73" ht="15.5" customHeight="1">
      <c r="B73" s="291" t="n">
        <v>47848</v>
      </c>
      <c r="C73" s="292" t="n">
        <v>16</v>
      </c>
      <c r="D73" s="293" t="inlineStr">
        <is>
          <t>23423423</t>
        </is>
      </c>
      <c r="E73" s="284" t="inlineStr">
        <is>
          <t>BCA</t>
        </is>
      </c>
      <c r="F73" s="294" t="n">
        <v>234</v>
      </c>
      <c r="G73" s="286" t="inlineStr">
        <is>
          <t>USD</t>
        </is>
      </c>
      <c r="H73" s="295" t="n">
        <v>12343</v>
      </c>
      <c r="I73" s="296" t="n"/>
      <c r="J73" s="296" t="n"/>
      <c r="K73" s="297">
        <f>$F73*$H73</f>
        <v/>
      </c>
      <c r="L73" s="284" t="n"/>
      <c r="M73" s="284" t="n"/>
      <c r="N73" s="284" t="n"/>
      <c r="O73" s="290" t="n"/>
      <c r="P73" s="290" t="n"/>
      <c r="Q73" s="290" t="n"/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80" t="n"/>
      <c r="AJ73" s="280" t="n"/>
      <c r="AK73" s="280" t="n"/>
      <c r="AL73" s="280" t="n"/>
      <c r="AM73" s="280" t="n"/>
      <c r="AN73" s="280" t="n"/>
      <c r="AO73" s="280" t="n"/>
      <c r="AP73" s="280" t="n"/>
      <c r="AQ73" s="280" t="n"/>
      <c r="AR73" s="280" t="n"/>
      <c r="AS73" s="280" t="n"/>
      <c r="AT73" s="280" t="n"/>
      <c r="AU73" s="280" t="n"/>
      <c r="AV73" s="280" t="n"/>
      <c r="AW73" s="280" t="n"/>
      <c r="AX73" s="280" t="n"/>
      <c r="AY73" s="280" t="n"/>
      <c r="AZ73" s="280" t="n"/>
      <c r="BA73" s="280" t="n"/>
      <c r="BB73" s="280" t="n"/>
      <c r="BC73" s="280" t="n"/>
      <c r="BD73" s="280" t="n"/>
      <c r="BE73" s="280" t="n"/>
      <c r="BF73" s="280" t="n"/>
      <c r="BG73" s="280" t="n"/>
      <c r="BH73" s="280" t="n"/>
    </row>
    <row r="74" ht="15.5" customHeight="1">
      <c r="A74" s="66" t="n"/>
      <c r="B74" s="315" t="n"/>
      <c r="C74" s="316" t="n"/>
      <c r="D74" s="317" t="inlineStr">
        <is>
          <t>Meal</t>
        </is>
      </c>
      <c r="E74" s="318" t="n"/>
      <c r="F74" s="319" t="n"/>
      <c r="G74" s="316" t="n"/>
      <c r="H74" s="316" t="n"/>
      <c r="I74" s="316" t="n"/>
      <c r="J74" s="320" t="n"/>
      <c r="K74" s="315" t="n"/>
      <c r="L74" s="320" t="n"/>
      <c r="M74" s="315" t="n"/>
      <c r="N74" s="320" t="n"/>
      <c r="O74" s="306" t="n"/>
      <c r="P74" s="307" t="n"/>
      <c r="Q74" s="307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80" t="n"/>
      <c r="AJ74" s="280" t="n"/>
      <c r="AK74" s="280" t="n"/>
      <c r="AL74" s="280" t="n"/>
      <c r="AM74" s="280" t="n"/>
      <c r="AN74" s="280" t="n"/>
      <c r="AO74" s="280" t="n"/>
      <c r="AP74" s="280" t="n"/>
      <c r="AQ74" s="280" t="n"/>
      <c r="AR74" s="280" t="n"/>
      <c r="AS74" s="280" t="n"/>
      <c r="AT74" s="280" t="n"/>
      <c r="AU74" s="280" t="n"/>
      <c r="AV74" s="280" t="n"/>
      <c r="AW74" s="280" t="n"/>
      <c r="AX74" s="280" t="n"/>
      <c r="AY74" s="280" t="n"/>
      <c r="AZ74" s="280" t="n"/>
      <c r="BA74" s="280" t="n"/>
      <c r="BB74" s="280" t="n"/>
      <c r="BC74" s="280" t="n"/>
      <c r="BD74" s="280" t="n"/>
      <c r="BE74" s="280" t="n"/>
      <c r="BF74" s="280" t="n"/>
      <c r="BG74" s="280" t="n"/>
      <c r="BH74" s="280" t="n"/>
    </row>
    <row r="75" ht="15.5" customHeight="1">
      <c r="A75" s="66" t="n"/>
      <c r="B75" s="291" t="n">
        <v>47848</v>
      </c>
      <c r="C75" s="292" t="n">
        <v>17</v>
      </c>
      <c r="D75" s="293" t="inlineStr">
        <is>
          <t>we</t>
        </is>
      </c>
      <c r="E75" s="284" t="inlineStr">
        <is>
          <t>BRI</t>
        </is>
      </c>
      <c r="F75" s="294" t="n">
        <v>12</v>
      </c>
      <c r="G75" s="286" t="inlineStr">
        <is>
          <t>EUR</t>
        </is>
      </c>
      <c r="H75" s="295" t="n">
        <v>12222</v>
      </c>
      <c r="I75" s="296" t="n"/>
      <c r="J75" s="296" t="n"/>
      <c r="K75" s="297">
        <f>$F75*$H75</f>
        <v/>
      </c>
      <c r="L75" s="284" t="n"/>
      <c r="M75" s="284" t="n"/>
      <c r="N75" s="284" t="n"/>
      <c r="O75" s="290" t="n"/>
      <c r="P75" s="290" t="n"/>
      <c r="Q75" s="290" t="n"/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80" t="n"/>
      <c r="AJ75" s="280" t="n"/>
      <c r="AK75" s="280" t="n"/>
      <c r="AL75" s="280" t="n"/>
      <c r="AM75" s="280" t="n"/>
      <c r="AN75" s="280" t="n"/>
      <c r="AO75" s="280" t="n"/>
      <c r="AP75" s="280" t="n"/>
      <c r="AQ75" s="280" t="n"/>
      <c r="AR75" s="280" t="n"/>
      <c r="AS75" s="280" t="n"/>
      <c r="AT75" s="280" t="n"/>
      <c r="AU75" s="280" t="n"/>
      <c r="AV75" s="280" t="n"/>
      <c r="AW75" s="280" t="n"/>
      <c r="AX75" s="280" t="n"/>
      <c r="AY75" s="280" t="n"/>
      <c r="AZ75" s="280" t="n"/>
      <c r="BA75" s="280" t="n"/>
      <c r="BB75" s="280" t="n"/>
      <c r="BC75" s="280" t="n"/>
      <c r="BD75" s="280" t="n"/>
      <c r="BE75" s="280" t="n"/>
      <c r="BF75" s="280" t="n"/>
      <c r="BG75" s="280" t="n"/>
      <c r="BH75" s="280" t="n"/>
    </row>
    <row r="76" ht="15.5" customHeight="1">
      <c r="B76" s="315" t="n"/>
      <c r="C76" s="316" t="n"/>
      <c r="D76" s="317" t="inlineStr">
        <is>
          <t>Shipping</t>
        </is>
      </c>
      <c r="E76" s="318" t="n"/>
      <c r="F76" s="319" t="n"/>
      <c r="G76" s="316" t="n"/>
      <c r="H76" s="316" t="n"/>
      <c r="I76" s="316" t="n"/>
      <c r="J76" s="320" t="n"/>
      <c r="K76" s="315" t="n"/>
      <c r="L76" s="320" t="n"/>
      <c r="M76" s="315" t="n"/>
      <c r="N76" s="320" t="n"/>
      <c r="O76" s="306" t="n"/>
      <c r="P76" s="307" t="n"/>
      <c r="Q76" s="307" t="n"/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80" t="n"/>
      <c r="AJ76" s="280" t="n"/>
      <c r="AK76" s="280" t="n"/>
      <c r="AL76" s="280" t="n"/>
      <c r="AM76" s="280" t="n"/>
      <c r="AN76" s="280" t="n"/>
      <c r="AO76" s="280" t="n"/>
      <c r="AP76" s="280" t="n"/>
      <c r="AQ76" s="280" t="n"/>
      <c r="AR76" s="280" t="n"/>
      <c r="AS76" s="280" t="n"/>
      <c r="AT76" s="280" t="n"/>
      <c r="AU76" s="280" t="n"/>
      <c r="AV76" s="280" t="n"/>
      <c r="AW76" s="280" t="n"/>
      <c r="AX76" s="280" t="n"/>
      <c r="AY76" s="280" t="n"/>
      <c r="AZ76" s="280" t="n"/>
      <c r="BA76" s="280" t="n"/>
      <c r="BB76" s="280" t="n"/>
      <c r="BC76" s="280" t="n"/>
      <c r="BD76" s="280" t="n"/>
      <c r="BE76" s="280" t="n"/>
      <c r="BF76" s="280" t="n"/>
      <c r="BG76" s="280" t="n"/>
      <c r="BH76" s="280" t="n"/>
    </row>
    <row r="77" ht="15.5" customHeight="1">
      <c r="B77" s="291" t="n">
        <v>47848</v>
      </c>
      <c r="C77" s="292" t="n">
        <v>18</v>
      </c>
      <c r="D77" s="293" t="inlineStr">
        <is>
          <t>23434</t>
        </is>
      </c>
      <c r="E77" s="284" t="inlineStr">
        <is>
          <t>BRI</t>
        </is>
      </c>
      <c r="F77" s="294" t="n">
        <v>2342</v>
      </c>
      <c r="G77" s="286" t="inlineStr">
        <is>
          <t>EUR</t>
        </is>
      </c>
      <c r="H77" s="295" t="n">
        <v>12</v>
      </c>
      <c r="I77" s="296" t="n"/>
      <c r="J77" s="296" t="n"/>
      <c r="K77" s="297">
        <f>$F77*$H77</f>
        <v/>
      </c>
      <c r="L77" s="284" t="n"/>
      <c r="M77" s="284" t="n"/>
      <c r="N77" s="284" t="n"/>
      <c r="O77" s="290" t="n"/>
      <c r="P77" s="290" t="n"/>
      <c r="Q77" s="29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80" t="n"/>
      <c r="AJ77" s="280" t="n"/>
      <c r="AK77" s="280" t="n"/>
      <c r="AL77" s="280" t="n"/>
      <c r="AM77" s="280" t="n"/>
      <c r="AN77" s="280" t="n"/>
      <c r="AO77" s="280" t="n"/>
      <c r="AP77" s="280" t="n"/>
      <c r="AQ77" s="280" t="n"/>
      <c r="AR77" s="280" t="n"/>
      <c r="AS77" s="280" t="n"/>
      <c r="AT77" s="280" t="n"/>
      <c r="AU77" s="280" t="n"/>
      <c r="AV77" s="280" t="n"/>
      <c r="AW77" s="280" t="n"/>
      <c r="AX77" s="280" t="n"/>
      <c r="AY77" s="280" t="n"/>
      <c r="AZ77" s="280" t="n"/>
      <c r="BA77" s="280" t="n"/>
      <c r="BB77" s="280" t="n"/>
      <c r="BC77" s="280" t="n"/>
      <c r="BD77" s="280" t="n"/>
      <c r="BE77" s="280" t="n"/>
      <c r="BF77" s="280" t="n"/>
      <c r="BG77" s="280" t="n"/>
      <c r="BH77" s="280" t="n"/>
    </row>
    <row r="78" ht="15.5" customHeight="1">
      <c r="B78" s="315" t="n"/>
      <c r="C78" s="316" t="n"/>
      <c r="D78" s="317" t="inlineStr">
        <is>
          <t>Transportation</t>
        </is>
      </c>
      <c r="E78" s="318" t="n"/>
      <c r="F78" s="319" t="n"/>
      <c r="G78" s="316" t="n"/>
      <c r="H78" s="316" t="n"/>
      <c r="I78" s="316" t="n"/>
      <c r="J78" s="320" t="n"/>
      <c r="K78" s="315" t="n"/>
      <c r="L78" s="320" t="n"/>
      <c r="M78" s="315" t="n"/>
      <c r="N78" s="320" t="n"/>
      <c r="O78" s="306" t="n"/>
      <c r="P78" s="307" t="n"/>
      <c r="Q78" s="307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80" t="n"/>
      <c r="AJ78" s="280" t="n"/>
      <c r="AK78" s="280" t="n"/>
      <c r="AL78" s="280" t="n"/>
      <c r="AM78" s="280" t="n"/>
      <c r="AN78" s="280" t="n"/>
      <c r="AO78" s="280" t="n"/>
      <c r="AP78" s="280" t="n"/>
      <c r="AQ78" s="280" t="n"/>
      <c r="AR78" s="280" t="n"/>
      <c r="AS78" s="280" t="n"/>
      <c r="AT78" s="280" t="n"/>
      <c r="AU78" s="280" t="n"/>
      <c r="AV78" s="280" t="n"/>
      <c r="AW78" s="280" t="n"/>
      <c r="AX78" s="280" t="n"/>
      <c r="AY78" s="280" t="n"/>
      <c r="AZ78" s="280" t="n"/>
      <c r="BA78" s="280" t="n"/>
      <c r="BB78" s="280" t="n"/>
      <c r="BC78" s="280" t="n"/>
      <c r="BD78" s="280" t="n"/>
      <c r="BE78" s="280" t="n"/>
      <c r="BF78" s="280" t="n"/>
      <c r="BG78" s="280" t="n"/>
      <c r="BH78" s="280" t="n"/>
    </row>
    <row r="79" ht="15.5" customHeight="1">
      <c r="B79" s="291" t="n">
        <v>47848</v>
      </c>
      <c r="C79" s="292" t="n">
        <v>19</v>
      </c>
      <c r="D79" s="293" t="inlineStr">
        <is>
          <t>werwerwer</t>
        </is>
      </c>
      <c r="E79" s="284" t="inlineStr">
        <is>
          <t>Mandiri</t>
        </is>
      </c>
      <c r="F79" s="294" t="n">
        <v>23</v>
      </c>
      <c r="G79" s="286" t="inlineStr">
        <is>
          <t>EUR</t>
        </is>
      </c>
      <c r="H79" s="295" t="n">
        <v>12222</v>
      </c>
      <c r="I79" s="296" t="n"/>
      <c r="J79" s="296" t="n"/>
      <c r="K79" s="297">
        <f>$F79*$H79</f>
        <v/>
      </c>
      <c r="L79" s="284" t="n"/>
      <c r="M79" s="284" t="n"/>
      <c r="N79" s="284" t="n"/>
      <c r="O79" s="290" t="n"/>
      <c r="P79" s="290" t="n"/>
      <c r="Q79" s="29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80" t="n"/>
      <c r="AJ79" s="280" t="n"/>
      <c r="AK79" s="280" t="n"/>
      <c r="AL79" s="280" t="n"/>
      <c r="AM79" s="280" t="n"/>
      <c r="AN79" s="280" t="n"/>
      <c r="AO79" s="280" t="n"/>
      <c r="AP79" s="280" t="n"/>
      <c r="AQ79" s="280" t="n"/>
      <c r="AR79" s="280" t="n"/>
      <c r="AS79" s="280" t="n"/>
      <c r="AT79" s="280" t="n"/>
      <c r="AU79" s="280" t="n"/>
      <c r="AV79" s="280" t="n"/>
      <c r="AW79" s="280" t="n"/>
      <c r="AX79" s="280" t="n"/>
      <c r="AY79" s="280" t="n"/>
      <c r="AZ79" s="280" t="n"/>
      <c r="BA79" s="280" t="n"/>
      <c r="BB79" s="280" t="n"/>
      <c r="BC79" s="280" t="n"/>
      <c r="BD79" s="280" t="n"/>
      <c r="BE79" s="280" t="n"/>
      <c r="BF79" s="280" t="n"/>
      <c r="BG79" s="280" t="n"/>
      <c r="BH79" s="280" t="n"/>
    </row>
    <row r="80" ht="15.5" customHeight="1">
      <c r="B80" s="308" t="inlineStr">
        <is>
          <t>Expense#4</t>
        </is>
      </c>
      <c r="C80" s="309" t="inlineStr">
        <is>
          <t>:</t>
        </is>
      </c>
      <c r="D80" s="310" t="inlineStr">
        <is>
          <t>1234567890</t>
        </is>
      </c>
      <c r="E80" s="311" t="n"/>
      <c r="F80" s="312" t="n"/>
      <c r="G80" s="311" t="n"/>
      <c r="H80" s="311" t="n"/>
      <c r="I80" s="311" t="n"/>
      <c r="J80" s="313" t="n"/>
      <c r="K80" s="314" t="n"/>
      <c r="L80" s="313" t="n"/>
      <c r="M80" s="314" t="n"/>
      <c r="N80" s="313" t="n"/>
      <c r="O80" s="306" t="n"/>
      <c r="P80" s="307" t="n"/>
      <c r="Q80" s="307" t="n"/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80" t="n"/>
      <c r="AJ80" s="280" t="n"/>
      <c r="AK80" s="280" t="n"/>
      <c r="AL80" s="280" t="n"/>
      <c r="AM80" s="280" t="n"/>
      <c r="AN80" s="280" t="n"/>
      <c r="AO80" s="280" t="n"/>
      <c r="AP80" s="280" t="n"/>
      <c r="AQ80" s="280" t="n"/>
      <c r="AR80" s="280" t="n"/>
      <c r="AS80" s="280" t="n"/>
      <c r="AT80" s="280" t="n"/>
      <c r="AU80" s="280" t="n"/>
      <c r="AV80" s="280" t="n"/>
      <c r="AW80" s="280" t="n"/>
      <c r="AX80" s="280" t="n"/>
      <c r="AY80" s="280" t="n"/>
      <c r="AZ80" s="280" t="n"/>
      <c r="BA80" s="280" t="n"/>
      <c r="BB80" s="280" t="n"/>
      <c r="BC80" s="280" t="n"/>
      <c r="BD80" s="280" t="n"/>
      <c r="BE80" s="280" t="n"/>
      <c r="BF80" s="280" t="n"/>
      <c r="BG80" s="280" t="n"/>
      <c r="BH80" s="280" t="n"/>
    </row>
    <row r="81" ht="15.5" customHeight="1">
      <c r="B81" s="315" t="n"/>
      <c r="C81" s="316" t="n"/>
      <c r="D81" s="317" t="inlineStr">
        <is>
          <t>Accommodation</t>
        </is>
      </c>
      <c r="E81" s="318" t="n"/>
      <c r="F81" s="319" t="n"/>
      <c r="G81" s="316" t="n"/>
      <c r="H81" s="316" t="n"/>
      <c r="I81" s="316" t="n"/>
      <c r="J81" s="320" t="n"/>
      <c r="K81" s="315" t="n"/>
      <c r="L81" s="320" t="n"/>
      <c r="M81" s="315" t="n"/>
      <c r="N81" s="320" t="n"/>
      <c r="O81" s="306" t="n"/>
      <c r="P81" s="307" t="n"/>
      <c r="Q81" s="307" t="n"/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80" t="n"/>
      <c r="AJ81" s="280" t="n"/>
      <c r="AK81" s="280" t="n"/>
      <c r="AL81" s="280" t="n"/>
      <c r="AM81" s="280" t="n"/>
      <c r="AN81" s="280" t="n"/>
      <c r="AO81" s="280" t="n"/>
      <c r="AP81" s="280" t="n"/>
      <c r="AQ81" s="280" t="n"/>
      <c r="AR81" s="280" t="n"/>
      <c r="AS81" s="280" t="n"/>
      <c r="AT81" s="280" t="n"/>
      <c r="AU81" s="280" t="n"/>
      <c r="AV81" s="280" t="n"/>
      <c r="AW81" s="280" t="n"/>
      <c r="AX81" s="280" t="n"/>
      <c r="AY81" s="280" t="n"/>
      <c r="AZ81" s="280" t="n"/>
      <c r="BA81" s="280" t="n"/>
      <c r="BB81" s="280" t="n"/>
      <c r="BC81" s="280" t="n"/>
      <c r="BD81" s="280" t="n"/>
      <c r="BE81" s="280" t="n"/>
      <c r="BF81" s="280" t="n"/>
      <c r="BG81" s="280" t="n"/>
      <c r="BH81" s="280" t="n"/>
    </row>
    <row r="82" ht="15.5" customHeight="1">
      <c r="B82" s="291" t="n">
        <v>47848</v>
      </c>
      <c r="C82" s="292" t="n">
        <v>20</v>
      </c>
      <c r="D82" s="293" t="inlineStr">
        <is>
          <t>123123</t>
        </is>
      </c>
      <c r="E82" s="284" t="inlineStr">
        <is>
          <t>Advance</t>
        </is>
      </c>
      <c r="F82" s="294" t="n">
        <v>123123</v>
      </c>
      <c r="G82" s="286" t="inlineStr">
        <is>
          <t>IDR</t>
        </is>
      </c>
      <c r="H82" s="295" t="n">
        <v>1</v>
      </c>
      <c r="I82" s="296" t="n"/>
      <c r="J82" s="296" t="n"/>
      <c r="K82" s="297">
        <f>$F82*$H82</f>
        <v/>
      </c>
      <c r="L82" s="284" t="n"/>
      <c r="M82" s="284" t="n"/>
      <c r="N82" s="284" t="n"/>
      <c r="O82" s="290" t="n"/>
      <c r="P82" s="290" t="n"/>
      <c r="Q82" s="290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80" t="n"/>
      <c r="AJ82" s="280" t="n"/>
      <c r="AK82" s="280" t="n"/>
      <c r="AL82" s="280" t="n"/>
      <c r="AM82" s="280" t="n"/>
      <c r="AN82" s="280" t="n"/>
      <c r="AO82" s="280" t="n"/>
      <c r="AP82" s="280" t="n"/>
      <c r="AQ82" s="280" t="n"/>
      <c r="AR82" s="280" t="n"/>
      <c r="AS82" s="280" t="n"/>
      <c r="AT82" s="280" t="n"/>
      <c r="AU82" s="280" t="n"/>
      <c r="AV82" s="280" t="n"/>
      <c r="AW82" s="280" t="n"/>
      <c r="AX82" s="280" t="n"/>
      <c r="AY82" s="280" t="n"/>
      <c r="AZ82" s="280" t="n"/>
      <c r="BA82" s="280" t="n"/>
      <c r="BB82" s="280" t="n"/>
      <c r="BC82" s="280" t="n"/>
      <c r="BD82" s="280" t="n"/>
      <c r="BE82" s="280" t="n"/>
      <c r="BF82" s="280" t="n"/>
      <c r="BG82" s="280" t="n"/>
      <c r="BH82" s="280" t="n"/>
    </row>
    <row r="83" ht="15.5" customHeight="1">
      <c r="B83" s="291" t="n">
        <v>47848</v>
      </c>
      <c r="C83" s="292" t="n">
        <v>21</v>
      </c>
      <c r="D83" s="293" t="inlineStr">
        <is>
          <t>324234</t>
        </is>
      </c>
      <c r="E83" s="284" t="inlineStr">
        <is>
          <t>Advance</t>
        </is>
      </c>
      <c r="F83" s="294" t="n">
        <v>234324</v>
      </c>
      <c r="G83" s="286" t="inlineStr">
        <is>
          <t>IDR</t>
        </is>
      </c>
      <c r="H83" s="295" t="n">
        <v>1</v>
      </c>
      <c r="I83" s="296" t="n"/>
      <c r="J83" s="296" t="n"/>
      <c r="K83" s="297">
        <f>$F83*$H83</f>
        <v/>
      </c>
      <c r="L83" s="284" t="n"/>
      <c r="M83" s="284" t="n"/>
      <c r="N83" s="284" t="n"/>
      <c r="O83" s="290" t="n"/>
      <c r="P83" s="290" t="n"/>
      <c r="Q83" s="290" t="n"/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80" t="n"/>
      <c r="AJ83" s="280" t="n"/>
      <c r="AK83" s="280" t="n"/>
      <c r="AL83" s="280" t="n"/>
      <c r="AM83" s="280" t="n"/>
      <c r="AN83" s="280" t="n"/>
      <c r="AO83" s="280" t="n"/>
      <c r="AP83" s="280" t="n"/>
      <c r="AQ83" s="280" t="n"/>
      <c r="AR83" s="280" t="n"/>
      <c r="AS83" s="280" t="n"/>
      <c r="AT83" s="280" t="n"/>
      <c r="AU83" s="280" t="n"/>
      <c r="AV83" s="280" t="n"/>
      <c r="AW83" s="280" t="n"/>
      <c r="AX83" s="280" t="n"/>
      <c r="AY83" s="280" t="n"/>
      <c r="AZ83" s="280" t="n"/>
      <c r="BA83" s="280" t="n"/>
      <c r="BB83" s="280" t="n"/>
      <c r="BC83" s="280" t="n"/>
      <c r="BD83" s="280" t="n"/>
      <c r="BE83" s="280" t="n"/>
      <c r="BF83" s="280" t="n"/>
      <c r="BG83" s="280" t="n"/>
      <c r="BH83" s="280" t="n"/>
    </row>
    <row r="84" ht="15.5" customHeight="1">
      <c r="A84" s="66" t="n"/>
      <c r="B84" s="315" t="n"/>
      <c r="C84" s="316" t="n"/>
      <c r="D84" s="317" t="inlineStr">
        <is>
          <t>Transportation</t>
        </is>
      </c>
      <c r="E84" s="318" t="n"/>
      <c r="F84" s="319" t="n"/>
      <c r="G84" s="316" t="n"/>
      <c r="H84" s="316" t="n"/>
      <c r="I84" s="316" t="n"/>
      <c r="J84" s="320" t="n"/>
      <c r="K84" s="315" t="n"/>
      <c r="L84" s="320" t="n"/>
      <c r="M84" s="315" t="n"/>
      <c r="N84" s="320" t="n"/>
      <c r="O84" s="306" t="n"/>
      <c r="P84" s="307" t="n"/>
      <c r="Q84" s="307" t="n"/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80" t="n"/>
      <c r="AJ84" s="280" t="n"/>
      <c r="AK84" s="280" t="n"/>
      <c r="AL84" s="280" t="n"/>
      <c r="AM84" s="280" t="n"/>
      <c r="AN84" s="280" t="n"/>
      <c r="AO84" s="280" t="n"/>
      <c r="AP84" s="280" t="n"/>
      <c r="AQ84" s="280" t="n"/>
      <c r="AR84" s="280" t="n"/>
      <c r="AS84" s="280" t="n"/>
      <c r="AT84" s="280" t="n"/>
      <c r="AU84" s="280" t="n"/>
      <c r="AV84" s="280" t="n"/>
      <c r="AW84" s="280" t="n"/>
      <c r="AX84" s="280" t="n"/>
      <c r="AY84" s="280" t="n"/>
      <c r="AZ84" s="280" t="n"/>
      <c r="BA84" s="280" t="n"/>
      <c r="BB84" s="280" t="n"/>
      <c r="BC84" s="280" t="n"/>
      <c r="BD84" s="280" t="n"/>
      <c r="BE84" s="280" t="n"/>
      <c r="BF84" s="280" t="n"/>
      <c r="BG84" s="280" t="n"/>
      <c r="BH84" s="280" t="n"/>
    </row>
    <row r="85" ht="15.5" customHeight="1">
      <c r="B85" s="291" t="n">
        <v>47704</v>
      </c>
      <c r="C85" s="292" t="n">
        <v>22</v>
      </c>
      <c r="D85" s="293" t="inlineStr">
        <is>
          <t>234324</t>
        </is>
      </c>
      <c r="E85" s="284" t="inlineStr">
        <is>
          <t>BCA</t>
        </is>
      </c>
      <c r="F85" s="294" t="n">
        <v>12</v>
      </c>
      <c r="G85" s="286" t="inlineStr">
        <is>
          <t>USD</t>
        </is>
      </c>
      <c r="H85" s="295" t="n">
        <v>11231</v>
      </c>
      <c r="I85" s="296" t="n"/>
      <c r="J85" s="296" t="n"/>
      <c r="K85" s="297">
        <f>$F85*$H85</f>
        <v/>
      </c>
      <c r="L85" s="284" t="n"/>
      <c r="M85" s="284" t="n"/>
      <c r="N85" s="284" t="n"/>
      <c r="O85" s="290" t="n"/>
      <c r="P85" s="290" t="n"/>
      <c r="Q85" s="290" t="n"/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80" t="n"/>
      <c r="AJ85" s="280" t="n"/>
      <c r="AK85" s="280" t="n"/>
      <c r="AL85" s="280" t="n"/>
      <c r="AM85" s="280" t="n"/>
      <c r="AN85" s="280" t="n"/>
      <c r="AO85" s="280" t="n"/>
      <c r="AP85" s="280" t="n"/>
      <c r="AQ85" s="280" t="n"/>
      <c r="AR85" s="280" t="n"/>
      <c r="AS85" s="280" t="n"/>
      <c r="AT85" s="280" t="n"/>
      <c r="AU85" s="280" t="n"/>
      <c r="AV85" s="280" t="n"/>
      <c r="AW85" s="280" t="n"/>
      <c r="AX85" s="280" t="n"/>
      <c r="AY85" s="280" t="n"/>
      <c r="AZ85" s="280" t="n"/>
      <c r="BA85" s="280" t="n"/>
      <c r="BB85" s="280" t="n"/>
      <c r="BC85" s="280" t="n"/>
      <c r="BD85" s="280" t="n"/>
      <c r="BE85" s="280" t="n"/>
      <c r="BF85" s="280" t="n"/>
      <c r="BG85" s="280" t="n"/>
      <c r="BH85" s="280" t="n"/>
    </row>
    <row r="86" ht="15.5" customHeight="1">
      <c r="B86" s="308" t="inlineStr">
        <is>
          <t>Expense#5</t>
        </is>
      </c>
      <c r="C86" s="309" t="inlineStr">
        <is>
          <t>:</t>
        </is>
      </c>
      <c r="D86" s="310" t="inlineStr">
        <is>
          <t>werwer</t>
        </is>
      </c>
      <c r="E86" s="311" t="n"/>
      <c r="F86" s="312" t="n"/>
      <c r="G86" s="311" t="n"/>
      <c r="H86" s="311" t="n"/>
      <c r="I86" s="311" t="n"/>
      <c r="J86" s="313" t="n"/>
      <c r="K86" s="314" t="n"/>
      <c r="L86" s="313" t="n"/>
      <c r="M86" s="314" t="n"/>
      <c r="N86" s="313" t="n"/>
      <c r="O86" s="306" t="n"/>
      <c r="P86" s="307" t="n"/>
      <c r="Q86" s="307" t="n"/>
      <c r="R86" s="280" t="n"/>
      <c r="S86" s="280" t="n"/>
      <c r="T86" s="280" t="n"/>
      <c r="U86" s="280" t="n"/>
      <c r="V86" s="280" t="n"/>
      <c r="W86" s="280" t="n"/>
      <c r="X86" s="280" t="n"/>
      <c r="Y86" s="280" t="n"/>
      <c r="Z86" s="280" t="n"/>
      <c r="AA86" s="280" t="n"/>
      <c r="AB86" s="280" t="n"/>
      <c r="AC86" s="280" t="n"/>
      <c r="AD86" s="280" t="n"/>
      <c r="AE86" s="280" t="n"/>
      <c r="AF86" s="280" t="n"/>
      <c r="AG86" s="280" t="n"/>
      <c r="AH86" s="280" t="n"/>
      <c r="AI86" s="280" t="n"/>
      <c r="AJ86" s="280" t="n"/>
      <c r="AK86" s="280" t="n"/>
      <c r="AL86" s="280" t="n"/>
      <c r="AM86" s="280" t="n"/>
      <c r="AN86" s="280" t="n"/>
      <c r="AO86" s="280" t="n"/>
      <c r="AP86" s="280" t="n"/>
      <c r="AQ86" s="280" t="n"/>
      <c r="AR86" s="280" t="n"/>
      <c r="AS86" s="280" t="n"/>
      <c r="AT86" s="280" t="n"/>
      <c r="AU86" s="280" t="n"/>
      <c r="AV86" s="280" t="n"/>
      <c r="AW86" s="280" t="n"/>
      <c r="AX86" s="280" t="n"/>
      <c r="AY86" s="280" t="n"/>
      <c r="AZ86" s="280" t="n"/>
      <c r="BA86" s="280" t="n"/>
      <c r="BB86" s="280" t="n"/>
      <c r="BC86" s="280" t="n"/>
      <c r="BD86" s="280" t="n"/>
      <c r="BE86" s="280" t="n"/>
      <c r="BF86" s="280" t="n"/>
      <c r="BG86" s="280" t="n"/>
      <c r="BH86" s="280" t="n"/>
    </row>
    <row r="87" ht="15.5" customHeight="1">
      <c r="A87" s="66" t="n"/>
      <c r="B87" s="315" t="n"/>
      <c r="C87" s="316" t="n"/>
      <c r="D87" s="317" t="inlineStr">
        <is>
          <t>Transportation</t>
        </is>
      </c>
      <c r="E87" s="318" t="n"/>
      <c r="F87" s="319" t="n"/>
      <c r="G87" s="316" t="n"/>
      <c r="H87" s="316" t="n"/>
      <c r="I87" s="316" t="n"/>
      <c r="J87" s="320" t="n"/>
      <c r="K87" s="315" t="n"/>
      <c r="L87" s="320" t="n"/>
      <c r="M87" s="315" t="n"/>
      <c r="N87" s="320" t="n"/>
      <c r="O87" s="306" t="n"/>
      <c r="P87" s="307" t="n"/>
      <c r="Q87" s="307" t="n"/>
      <c r="R87" s="280" t="n"/>
      <c r="S87" s="280" t="n"/>
      <c r="T87" s="280" t="n"/>
      <c r="U87" s="280" t="n"/>
      <c r="V87" s="280" t="n"/>
      <c r="W87" s="280" t="n"/>
      <c r="X87" s="280" t="n"/>
      <c r="Y87" s="280" t="n"/>
      <c r="Z87" s="280" t="n"/>
      <c r="AA87" s="280" t="n"/>
      <c r="AB87" s="280" t="n"/>
      <c r="AC87" s="280" t="n"/>
      <c r="AD87" s="280" t="n"/>
      <c r="AE87" s="280" t="n"/>
      <c r="AF87" s="280" t="n"/>
      <c r="AG87" s="280" t="n"/>
      <c r="AH87" s="280" t="n"/>
      <c r="AI87" s="280" t="n"/>
      <c r="AJ87" s="280" t="n"/>
      <c r="AK87" s="280" t="n"/>
      <c r="AL87" s="280" t="n"/>
      <c r="AM87" s="280" t="n"/>
      <c r="AN87" s="280" t="n"/>
      <c r="AO87" s="280" t="n"/>
      <c r="AP87" s="280" t="n"/>
      <c r="AQ87" s="280" t="n"/>
      <c r="AR87" s="280" t="n"/>
      <c r="AS87" s="280" t="n"/>
      <c r="AT87" s="280" t="n"/>
      <c r="AU87" s="280" t="n"/>
      <c r="AV87" s="280" t="n"/>
      <c r="AW87" s="280" t="n"/>
      <c r="AX87" s="280" t="n"/>
      <c r="AY87" s="280" t="n"/>
      <c r="AZ87" s="280" t="n"/>
      <c r="BA87" s="280" t="n"/>
      <c r="BB87" s="280" t="n"/>
      <c r="BC87" s="280" t="n"/>
      <c r="BD87" s="280" t="n"/>
      <c r="BE87" s="280" t="n"/>
      <c r="BF87" s="280" t="n"/>
      <c r="BG87" s="280" t="n"/>
      <c r="BH87" s="280" t="n"/>
    </row>
    <row r="88" ht="15.5" customHeight="1">
      <c r="B88" s="291" t="n">
        <v>47848</v>
      </c>
      <c r="C88" s="292" t="n">
        <v>23</v>
      </c>
      <c r="D88" s="293" t="inlineStr">
        <is>
          <t>wqew</t>
        </is>
      </c>
      <c r="E88" s="284" t="inlineStr">
        <is>
          <t>Advance</t>
        </is>
      </c>
      <c r="F88" s="294" t="n">
        <v>123123</v>
      </c>
      <c r="G88" s="286" t="inlineStr">
        <is>
          <t>IDR</t>
        </is>
      </c>
      <c r="H88" s="295" t="n">
        <v>1</v>
      </c>
      <c r="I88" s="296" t="n"/>
      <c r="J88" s="296" t="n"/>
      <c r="K88" s="297">
        <f>$F88*$H88</f>
        <v/>
      </c>
      <c r="L88" s="284" t="n"/>
      <c r="M88" s="284" t="n"/>
      <c r="N88" s="284" t="n"/>
      <c r="O88" s="290" t="n"/>
      <c r="P88" s="290" t="n"/>
      <c r="Q88" s="29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80" t="n"/>
      <c r="AJ88" s="280" t="n"/>
      <c r="AK88" s="280" t="n"/>
      <c r="AL88" s="280" t="n"/>
      <c r="AM88" s="280" t="n"/>
      <c r="AN88" s="280" t="n"/>
      <c r="AO88" s="280" t="n"/>
      <c r="AP88" s="280" t="n"/>
      <c r="AQ88" s="280" t="n"/>
      <c r="AR88" s="280" t="n"/>
      <c r="AS88" s="280" t="n"/>
      <c r="AT88" s="280" t="n"/>
      <c r="AU88" s="280" t="n"/>
      <c r="AV88" s="280" t="n"/>
      <c r="AW88" s="280" t="n"/>
      <c r="AX88" s="280" t="n"/>
      <c r="AY88" s="280" t="n"/>
      <c r="AZ88" s="280" t="n"/>
      <c r="BA88" s="280" t="n"/>
      <c r="BB88" s="280" t="n"/>
      <c r="BC88" s="280" t="n"/>
      <c r="BD88" s="280" t="n"/>
      <c r="BE88" s="280" t="n"/>
      <c r="BF88" s="280" t="n"/>
      <c r="BG88" s="280" t="n"/>
      <c r="BH88" s="280" t="n"/>
    </row>
    <row r="89" ht="15.5" customHeight="1">
      <c r="B89" s="308" t="inlineStr">
        <is>
          <t>Expense#6</t>
        </is>
      </c>
      <c r="C89" s="309" t="inlineStr">
        <is>
          <t>:</t>
        </is>
      </c>
      <c r="D89" s="310" t="inlineStr">
        <is>
          <t>asdasd</t>
        </is>
      </c>
      <c r="E89" s="311" t="n"/>
      <c r="F89" s="312" t="n"/>
      <c r="G89" s="311" t="n"/>
      <c r="H89" s="311" t="n"/>
      <c r="I89" s="311" t="n"/>
      <c r="J89" s="313" t="n"/>
      <c r="K89" s="314" t="n"/>
      <c r="L89" s="313" t="n"/>
      <c r="M89" s="314" t="n"/>
      <c r="N89" s="313" t="n"/>
      <c r="O89" s="306" t="n"/>
      <c r="P89" s="307" t="n"/>
      <c r="Q89" s="307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80" t="n"/>
      <c r="AJ89" s="280" t="n"/>
      <c r="AK89" s="280" t="n"/>
      <c r="AL89" s="280" t="n"/>
      <c r="AM89" s="280" t="n"/>
      <c r="AN89" s="280" t="n"/>
      <c r="AO89" s="280" t="n"/>
      <c r="AP89" s="280" t="n"/>
      <c r="AQ89" s="280" t="n"/>
      <c r="AR89" s="280" t="n"/>
      <c r="AS89" s="280" t="n"/>
      <c r="AT89" s="280" t="n"/>
      <c r="AU89" s="280" t="n"/>
      <c r="AV89" s="280" t="n"/>
      <c r="AW89" s="280" t="n"/>
      <c r="AX89" s="280" t="n"/>
      <c r="AY89" s="280" t="n"/>
      <c r="AZ89" s="280" t="n"/>
      <c r="BA89" s="280" t="n"/>
      <c r="BB89" s="280" t="n"/>
      <c r="BC89" s="280" t="n"/>
      <c r="BD89" s="280" t="n"/>
      <c r="BE89" s="280" t="n"/>
      <c r="BF89" s="280" t="n"/>
      <c r="BG89" s="280" t="n"/>
      <c r="BH89" s="280" t="n"/>
    </row>
    <row r="90" ht="15.5" customHeight="1">
      <c r="A90" s="66" t="n"/>
      <c r="B90" s="315" t="n"/>
      <c r="C90" s="316" t="n"/>
      <c r="D90" s="317" t="inlineStr">
        <is>
          <t>Rental Tool</t>
        </is>
      </c>
      <c r="E90" s="318" t="n"/>
      <c r="F90" s="319" t="n"/>
      <c r="G90" s="316" t="n"/>
      <c r="H90" s="316" t="n"/>
      <c r="I90" s="316" t="n"/>
      <c r="J90" s="320" t="n"/>
      <c r="K90" s="315" t="n"/>
      <c r="L90" s="320" t="n"/>
      <c r="M90" s="315" t="n"/>
      <c r="N90" s="320" t="n"/>
      <c r="O90" s="306" t="n"/>
      <c r="P90" s="307" t="n"/>
      <c r="Q90" s="307" t="n"/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80" t="n"/>
      <c r="AJ90" s="280" t="n"/>
      <c r="AK90" s="280" t="n"/>
      <c r="AL90" s="280" t="n"/>
      <c r="AM90" s="280" t="n"/>
      <c r="AN90" s="280" t="n"/>
      <c r="AO90" s="280" t="n"/>
      <c r="AP90" s="280" t="n"/>
      <c r="AQ90" s="280" t="n"/>
      <c r="AR90" s="280" t="n"/>
      <c r="AS90" s="280" t="n"/>
      <c r="AT90" s="280" t="n"/>
      <c r="AU90" s="280" t="n"/>
      <c r="AV90" s="280" t="n"/>
      <c r="AW90" s="280" t="n"/>
      <c r="AX90" s="280" t="n"/>
      <c r="AY90" s="280" t="n"/>
      <c r="AZ90" s="280" t="n"/>
      <c r="BA90" s="280" t="n"/>
      <c r="BB90" s="280" t="n"/>
      <c r="BC90" s="280" t="n"/>
      <c r="BD90" s="280" t="n"/>
      <c r="BE90" s="280" t="n"/>
      <c r="BF90" s="280" t="n"/>
      <c r="BG90" s="280" t="n"/>
      <c r="BH90" s="280" t="n"/>
    </row>
    <row r="91" ht="15.5" customHeight="1">
      <c r="B91" s="291" t="n">
        <v>47848</v>
      </c>
      <c r="C91" s="292" t="n">
        <v>24</v>
      </c>
      <c r="D91" s="293" t="inlineStr">
        <is>
          <t>wqeqwe</t>
        </is>
      </c>
      <c r="E91" s="284" t="inlineStr">
        <is>
          <t>Advance</t>
        </is>
      </c>
      <c r="F91" s="294" t="n">
        <v>123123</v>
      </c>
      <c r="G91" s="286" t="inlineStr">
        <is>
          <t>IDR</t>
        </is>
      </c>
      <c r="H91" s="295" t="n">
        <v>1</v>
      </c>
      <c r="I91" s="321">
        <f>$F91*$H91</f>
        <v/>
      </c>
      <c r="J91" s="296" t="n"/>
      <c r="K91" s="298" t="n"/>
      <c r="L91" s="284" t="n"/>
      <c r="M91" s="284" t="n"/>
      <c r="N91" s="284" t="n"/>
      <c r="O91" s="290" t="n"/>
      <c r="P91" s="290" t="n"/>
      <c r="Q91" s="290" t="n"/>
      <c r="R91" s="280" t="n"/>
      <c r="S91" s="280" t="n"/>
      <c r="T91" s="280" t="n"/>
      <c r="U91" s="280" t="n"/>
      <c r="V91" s="280" t="n"/>
      <c r="W91" s="280" t="n"/>
      <c r="X91" s="280" t="n"/>
      <c r="Y91" s="280" t="n"/>
      <c r="Z91" s="280" t="n"/>
      <c r="AA91" s="280" t="n"/>
      <c r="AB91" s="280" t="n"/>
      <c r="AC91" s="280" t="n"/>
      <c r="AD91" s="280" t="n"/>
      <c r="AE91" s="280" t="n"/>
      <c r="AF91" s="280" t="n"/>
      <c r="AG91" s="280" t="n"/>
      <c r="AH91" s="280" t="n"/>
      <c r="AI91" s="280" t="n"/>
      <c r="AJ91" s="280" t="n"/>
      <c r="AK91" s="280" t="n"/>
      <c r="AL91" s="280" t="n"/>
      <c r="AM91" s="280" t="n"/>
      <c r="AN91" s="280" t="n"/>
      <c r="AO91" s="280" t="n"/>
      <c r="AP91" s="280" t="n"/>
      <c r="AQ91" s="280" t="n"/>
      <c r="AR91" s="280" t="n"/>
      <c r="AS91" s="280" t="n"/>
      <c r="AT91" s="280" t="n"/>
      <c r="AU91" s="280" t="n"/>
      <c r="AV91" s="280" t="n"/>
      <c r="AW91" s="280" t="n"/>
      <c r="AX91" s="280" t="n"/>
      <c r="AY91" s="280" t="n"/>
      <c r="AZ91" s="280" t="n"/>
      <c r="BA91" s="280" t="n"/>
      <c r="BB91" s="280" t="n"/>
      <c r="BC91" s="280" t="n"/>
      <c r="BD91" s="280" t="n"/>
      <c r="BE91" s="280" t="n"/>
      <c r="BF91" s="280" t="n"/>
      <c r="BG91" s="280" t="n"/>
      <c r="BH91" s="280" t="n"/>
    </row>
    <row r="92" ht="15.5" customHeight="1">
      <c r="B92" s="291" t="n">
        <v>47848</v>
      </c>
      <c r="C92" s="292" t="n">
        <v>25</v>
      </c>
      <c r="D92" s="293" t="inlineStr">
        <is>
          <t>213123</t>
        </is>
      </c>
      <c r="E92" s="284" t="inlineStr">
        <is>
          <t>Advance</t>
        </is>
      </c>
      <c r="F92" s="294" t="n">
        <v>22</v>
      </c>
      <c r="G92" s="286" t="inlineStr">
        <is>
          <t>USD</t>
        </is>
      </c>
      <c r="H92" s="295" t="n">
        <v>11233</v>
      </c>
      <c r="I92" s="321">
        <f>$F92*$H92</f>
        <v/>
      </c>
      <c r="J92" s="296" t="n"/>
      <c r="K92" s="298" t="n"/>
      <c r="L92" s="284" t="n"/>
      <c r="M92" s="284" t="n"/>
      <c r="N92" s="284" t="n"/>
      <c r="O92" s="290" t="n"/>
      <c r="P92" s="290" t="n"/>
      <c r="Q92" s="29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80" t="n"/>
      <c r="AJ92" s="280" t="n"/>
      <c r="AK92" s="280" t="n"/>
      <c r="AL92" s="280" t="n"/>
      <c r="AM92" s="280" t="n"/>
      <c r="AN92" s="280" t="n"/>
      <c r="AO92" s="280" t="n"/>
      <c r="AP92" s="280" t="n"/>
      <c r="AQ92" s="280" t="n"/>
      <c r="AR92" s="280" t="n"/>
      <c r="AS92" s="280" t="n"/>
      <c r="AT92" s="280" t="n"/>
      <c r="AU92" s="280" t="n"/>
      <c r="AV92" s="280" t="n"/>
      <c r="AW92" s="280" t="n"/>
      <c r="AX92" s="280" t="n"/>
      <c r="AY92" s="280" t="n"/>
      <c r="AZ92" s="280" t="n"/>
      <c r="BA92" s="280" t="n"/>
      <c r="BB92" s="280" t="n"/>
      <c r="BC92" s="280" t="n"/>
      <c r="BD92" s="280" t="n"/>
      <c r="BE92" s="280" t="n"/>
      <c r="BF92" s="280" t="n"/>
      <c r="BG92" s="280" t="n"/>
      <c r="BH92" s="280" t="n"/>
    </row>
    <row r="93" ht="15.5" customHeight="1">
      <c r="B93" s="308" t="inlineStr">
        <is>
          <t>Expense#7</t>
        </is>
      </c>
      <c r="C93" s="309" t="inlineStr">
        <is>
          <t>:</t>
        </is>
      </c>
      <c r="D93" s="310" t="inlineStr">
        <is>
          <t>lala</t>
        </is>
      </c>
      <c r="E93" s="311" t="n"/>
      <c r="F93" s="312" t="n"/>
      <c r="G93" s="311" t="n"/>
      <c r="H93" s="311" t="n"/>
      <c r="I93" s="311" t="n"/>
      <c r="J93" s="313" t="n"/>
      <c r="K93" s="314" t="n"/>
      <c r="L93" s="313" t="n"/>
      <c r="M93" s="314" t="n"/>
      <c r="N93" s="313" t="n"/>
      <c r="O93" s="306" t="n"/>
      <c r="P93" s="307" t="n"/>
      <c r="Q93" s="307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80" t="n"/>
      <c r="AJ93" s="280" t="n"/>
      <c r="AK93" s="280" t="n"/>
      <c r="AL93" s="280" t="n"/>
      <c r="AM93" s="280" t="n"/>
      <c r="AN93" s="280" t="n"/>
      <c r="AO93" s="280" t="n"/>
      <c r="AP93" s="280" t="n"/>
      <c r="AQ93" s="280" t="n"/>
      <c r="AR93" s="280" t="n"/>
      <c r="AS93" s="280" t="n"/>
      <c r="AT93" s="280" t="n"/>
      <c r="AU93" s="280" t="n"/>
      <c r="AV93" s="280" t="n"/>
      <c r="AW93" s="280" t="n"/>
      <c r="AX93" s="280" t="n"/>
      <c r="AY93" s="280" t="n"/>
      <c r="AZ93" s="280" t="n"/>
      <c r="BA93" s="280" t="n"/>
      <c r="BB93" s="280" t="n"/>
      <c r="BC93" s="280" t="n"/>
      <c r="BD93" s="280" t="n"/>
      <c r="BE93" s="280" t="n"/>
      <c r="BF93" s="280" t="n"/>
      <c r="BG93" s="280" t="n"/>
      <c r="BH93" s="280" t="n"/>
    </row>
    <row r="94" ht="15.5" customHeight="1">
      <c r="A94" s="66" t="n"/>
      <c r="B94" s="315" t="n"/>
      <c r="C94" s="316" t="n"/>
      <c r="D94" s="317" t="inlineStr">
        <is>
          <t>Transportation</t>
        </is>
      </c>
      <c r="E94" s="318" t="n"/>
      <c r="F94" s="319" t="n"/>
      <c r="G94" s="316" t="n"/>
      <c r="H94" s="316" t="n"/>
      <c r="I94" s="316" t="n"/>
      <c r="J94" s="320" t="n"/>
      <c r="K94" s="315" t="n"/>
      <c r="L94" s="320" t="n"/>
      <c r="M94" s="315" t="n"/>
      <c r="N94" s="320" t="n"/>
      <c r="O94" s="306" t="n"/>
      <c r="P94" s="307" t="n"/>
      <c r="Q94" s="307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80" t="n"/>
      <c r="AJ94" s="280" t="n"/>
      <c r="AK94" s="280" t="n"/>
      <c r="AL94" s="280" t="n"/>
      <c r="AM94" s="280" t="n"/>
      <c r="AN94" s="280" t="n"/>
      <c r="AO94" s="280" t="n"/>
      <c r="AP94" s="280" t="n"/>
      <c r="AQ94" s="280" t="n"/>
      <c r="AR94" s="280" t="n"/>
      <c r="AS94" s="280" t="n"/>
      <c r="AT94" s="280" t="n"/>
      <c r="AU94" s="280" t="n"/>
      <c r="AV94" s="280" t="n"/>
      <c r="AW94" s="280" t="n"/>
      <c r="AX94" s="280" t="n"/>
      <c r="AY94" s="280" t="n"/>
      <c r="AZ94" s="280" t="n"/>
      <c r="BA94" s="280" t="n"/>
      <c r="BB94" s="280" t="n"/>
      <c r="BC94" s="280" t="n"/>
      <c r="BD94" s="280" t="n"/>
      <c r="BE94" s="280" t="n"/>
      <c r="BF94" s="280" t="n"/>
      <c r="BG94" s="280" t="n"/>
      <c r="BH94" s="280" t="n"/>
    </row>
    <row r="95" ht="15.5" customHeight="1">
      <c r="B95" s="291" t="n">
        <v>47848</v>
      </c>
      <c r="C95" s="292" t="n">
        <v>26</v>
      </c>
      <c r="D95" s="293" t="inlineStr">
        <is>
          <t>jsj</t>
        </is>
      </c>
      <c r="E95" s="284" t="inlineStr">
        <is>
          <t>Advance</t>
        </is>
      </c>
      <c r="F95" s="294" t="n">
        <v>646</v>
      </c>
      <c r="G95" s="286" t="inlineStr">
        <is>
          <t>IDR</t>
        </is>
      </c>
      <c r="H95" s="295" t="n">
        <v>1</v>
      </c>
      <c r="I95" s="296" t="n"/>
      <c r="J95" s="296" t="n"/>
      <c r="K95" s="297">
        <f>$F95*$H95</f>
        <v/>
      </c>
      <c r="L95" s="284" t="n"/>
      <c r="M95" s="284" t="n"/>
      <c r="N95" s="284" t="n"/>
      <c r="O95" s="290" t="n"/>
      <c r="P95" s="290" t="n"/>
      <c r="Q95" s="290" t="n"/>
      <c r="R95" s="280" t="n"/>
      <c r="S95" s="280" t="n"/>
      <c r="T95" s="280" t="n"/>
      <c r="U95" s="280" t="n"/>
      <c r="V95" s="280" t="n"/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80" t="n"/>
      <c r="AJ95" s="280" t="n"/>
      <c r="AK95" s="280" t="n"/>
      <c r="AL95" s="280" t="n"/>
      <c r="AM95" s="280" t="n"/>
      <c r="AN95" s="280" t="n"/>
      <c r="AO95" s="280" t="n"/>
      <c r="AP95" s="280" t="n"/>
      <c r="AQ95" s="280" t="n"/>
      <c r="AR95" s="280" t="n"/>
      <c r="AS95" s="280" t="n"/>
      <c r="AT95" s="280" t="n"/>
      <c r="AU95" s="280" t="n"/>
      <c r="AV95" s="280" t="n"/>
      <c r="AW95" s="280" t="n"/>
      <c r="AX95" s="280" t="n"/>
      <c r="AY95" s="280" t="n"/>
      <c r="AZ95" s="280" t="n"/>
      <c r="BA95" s="280" t="n"/>
      <c r="BB95" s="280" t="n"/>
      <c r="BC95" s="280" t="n"/>
      <c r="BD95" s="280" t="n"/>
      <c r="BE95" s="280" t="n"/>
      <c r="BF95" s="280" t="n"/>
      <c r="BG95" s="280" t="n"/>
      <c r="BH95" s="280" t="n"/>
    </row>
    <row r="96" ht="15.5" customHeight="1">
      <c r="B96" s="308" t="inlineStr">
        <is>
          <t>Expense#8</t>
        </is>
      </c>
      <c r="C96" s="309" t="inlineStr">
        <is>
          <t>:</t>
        </is>
      </c>
      <c r="D96" s="310" t="inlineStr">
        <is>
          <t>234234</t>
        </is>
      </c>
      <c r="E96" s="311" t="n"/>
      <c r="F96" s="312" t="n"/>
      <c r="G96" s="311" t="n"/>
      <c r="H96" s="311" t="n"/>
      <c r="I96" s="311" t="n"/>
      <c r="J96" s="313" t="n"/>
      <c r="K96" s="314" t="n"/>
      <c r="L96" s="313" t="n"/>
      <c r="M96" s="314" t="n"/>
      <c r="N96" s="313" t="n"/>
      <c r="O96" s="306" t="n"/>
      <c r="P96" s="307" t="n"/>
      <c r="Q96" s="307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80" t="n"/>
      <c r="AJ96" s="280" t="n"/>
      <c r="AK96" s="280" t="n"/>
      <c r="AL96" s="280" t="n"/>
      <c r="AM96" s="280" t="n"/>
      <c r="AN96" s="280" t="n"/>
      <c r="AO96" s="280" t="n"/>
      <c r="AP96" s="280" t="n"/>
      <c r="AQ96" s="280" t="n"/>
      <c r="AR96" s="280" t="n"/>
      <c r="AS96" s="280" t="n"/>
      <c r="AT96" s="280" t="n"/>
      <c r="AU96" s="280" t="n"/>
      <c r="AV96" s="280" t="n"/>
      <c r="AW96" s="280" t="n"/>
      <c r="AX96" s="280" t="n"/>
      <c r="AY96" s="280" t="n"/>
      <c r="AZ96" s="280" t="n"/>
      <c r="BA96" s="280" t="n"/>
      <c r="BB96" s="280" t="n"/>
      <c r="BC96" s="280" t="n"/>
      <c r="BD96" s="280" t="n"/>
      <c r="BE96" s="280" t="n"/>
      <c r="BF96" s="280" t="n"/>
      <c r="BG96" s="280" t="n"/>
      <c r="BH96" s="280" t="n"/>
    </row>
    <row r="97" ht="15.5" customHeight="1">
      <c r="B97" s="315" t="n"/>
      <c r="C97" s="316" t="n"/>
      <c r="D97" s="317" t="inlineStr">
        <is>
          <t>- , Pembuatan Alat</t>
        </is>
      </c>
      <c r="E97" s="318" t="n"/>
      <c r="F97" s="319" t="n"/>
      <c r="G97" s="316" t="n"/>
      <c r="H97" s="316" t="n"/>
      <c r="I97" s="316" t="n"/>
      <c r="J97" s="320" t="n"/>
      <c r="K97" s="315" t="n"/>
      <c r="L97" s="320" t="n"/>
      <c r="M97" s="315" t="n"/>
      <c r="N97" s="320" t="n"/>
      <c r="O97" s="306" t="n"/>
      <c r="P97" s="307" t="n"/>
      <c r="Q97" s="307" t="n"/>
      <c r="R97" s="280" t="n"/>
      <c r="S97" s="280" t="n"/>
      <c r="T97" s="280" t="n"/>
      <c r="U97" s="280" t="n"/>
      <c r="V97" s="280" t="n"/>
      <c r="W97" s="280" t="n"/>
      <c r="X97" s="280" t="n"/>
      <c r="Y97" s="280" t="n"/>
      <c r="Z97" s="280" t="n"/>
      <c r="AA97" s="280" t="n"/>
      <c r="AB97" s="280" t="n"/>
      <c r="AC97" s="280" t="n"/>
      <c r="AD97" s="280" t="n"/>
      <c r="AE97" s="280" t="n"/>
      <c r="AF97" s="280" t="n"/>
      <c r="AG97" s="280" t="n"/>
      <c r="AH97" s="280" t="n"/>
      <c r="AI97" s="280" t="n"/>
      <c r="AJ97" s="280" t="n"/>
      <c r="AK97" s="280" t="n"/>
      <c r="AL97" s="280" t="n"/>
      <c r="AM97" s="280" t="n"/>
      <c r="AN97" s="280" t="n"/>
      <c r="AO97" s="280" t="n"/>
      <c r="AP97" s="280" t="n"/>
      <c r="AQ97" s="280" t="n"/>
      <c r="AR97" s="280" t="n"/>
      <c r="AS97" s="280" t="n"/>
      <c r="AT97" s="280" t="n"/>
      <c r="AU97" s="280" t="n"/>
      <c r="AV97" s="280" t="n"/>
      <c r="AW97" s="280" t="n"/>
      <c r="AX97" s="280" t="n"/>
      <c r="AY97" s="280" t="n"/>
      <c r="AZ97" s="280" t="n"/>
      <c r="BA97" s="280" t="n"/>
      <c r="BB97" s="280" t="n"/>
      <c r="BC97" s="280" t="n"/>
      <c r="BD97" s="280" t="n"/>
      <c r="BE97" s="280" t="n"/>
      <c r="BF97" s="280" t="n"/>
      <c r="BG97" s="280" t="n"/>
      <c r="BH97" s="280" t="n"/>
    </row>
    <row r="98" ht="15.5" customHeight="1">
      <c r="B98" s="291" t="n">
        <v>47848</v>
      </c>
      <c r="C98" s="292" t="n">
        <v>27</v>
      </c>
      <c r="D98" s="293" t="inlineStr">
        <is>
          <t>234234</t>
        </is>
      </c>
      <c r="E98" s="284" t="inlineStr">
        <is>
          <t>Mandiri</t>
        </is>
      </c>
      <c r="F98" s="294" t="n">
        <v>234234</v>
      </c>
      <c r="G98" s="286" t="inlineStr">
        <is>
          <t>IDR</t>
        </is>
      </c>
      <c r="H98" s="295" t="n">
        <v>1</v>
      </c>
      <c r="I98" s="296" t="n"/>
      <c r="J98" s="321">
        <f>$F98*$H98</f>
        <v/>
      </c>
      <c r="K98" s="298" t="n"/>
      <c r="L98" s="284" t="n"/>
      <c r="M98" s="284" t="n"/>
      <c r="N98" s="284" t="n"/>
      <c r="O98" s="290" t="n"/>
      <c r="P98" s="290" t="n"/>
      <c r="Q98" s="290" t="n"/>
      <c r="R98" s="280" t="n"/>
      <c r="S98" s="280" t="n"/>
      <c r="T98" s="280" t="n"/>
      <c r="U98" s="280" t="n"/>
      <c r="V98" s="280" t="n"/>
      <c r="W98" s="280" t="n"/>
      <c r="X98" s="280" t="n"/>
      <c r="Y98" s="280" t="n"/>
      <c r="Z98" s="280" t="n"/>
      <c r="AA98" s="280" t="n"/>
      <c r="AB98" s="280" t="n"/>
      <c r="AC98" s="280" t="n"/>
      <c r="AD98" s="280" t="n"/>
      <c r="AE98" s="280" t="n"/>
      <c r="AF98" s="280" t="n"/>
      <c r="AG98" s="280" t="n"/>
      <c r="AH98" s="280" t="n"/>
      <c r="AI98" s="280" t="n"/>
      <c r="AJ98" s="280" t="n"/>
      <c r="AK98" s="280" t="n"/>
      <c r="AL98" s="280" t="n"/>
      <c r="AM98" s="280" t="n"/>
      <c r="AN98" s="280" t="n"/>
      <c r="AO98" s="280" t="n"/>
      <c r="AP98" s="280" t="n"/>
      <c r="AQ98" s="280" t="n"/>
      <c r="AR98" s="280" t="n"/>
      <c r="AS98" s="280" t="n"/>
      <c r="AT98" s="280" t="n"/>
      <c r="AU98" s="280" t="n"/>
      <c r="AV98" s="280" t="n"/>
      <c r="AW98" s="280" t="n"/>
      <c r="AX98" s="280" t="n"/>
      <c r="AY98" s="280" t="n"/>
      <c r="AZ98" s="280" t="n"/>
      <c r="BA98" s="280" t="n"/>
      <c r="BB98" s="280" t="n"/>
      <c r="BC98" s="280" t="n"/>
      <c r="BD98" s="280" t="n"/>
      <c r="BE98" s="280" t="n"/>
      <c r="BF98" s="280" t="n"/>
      <c r="BG98" s="280" t="n"/>
      <c r="BH98" s="280" t="n"/>
    </row>
    <row r="99" ht="15.5" customHeight="1">
      <c r="B99" s="315" t="n"/>
      <c r="C99" s="316" t="n"/>
      <c r="D99" s="317" t="inlineStr">
        <is>
          <t>Accommodation , Meal</t>
        </is>
      </c>
      <c r="E99" s="318" t="n"/>
      <c r="F99" s="319" t="n"/>
      <c r="G99" s="316" t="n"/>
      <c r="H99" s="316" t="n"/>
      <c r="I99" s="316" t="n"/>
      <c r="J99" s="320" t="n"/>
      <c r="K99" s="315" t="n"/>
      <c r="L99" s="320" t="n"/>
      <c r="M99" s="315" t="n"/>
      <c r="N99" s="320" t="n"/>
      <c r="O99" s="306" t="n"/>
      <c r="P99" s="307" t="n"/>
      <c r="Q99" s="307" t="n"/>
      <c r="R99" s="280" t="n"/>
      <c r="S99" s="280" t="n"/>
      <c r="T99" s="280" t="n"/>
      <c r="U99" s="280" t="n"/>
      <c r="V99" s="280" t="n"/>
      <c r="W99" s="280" t="n"/>
      <c r="X99" s="280" t="n"/>
      <c r="Y99" s="280" t="n"/>
      <c r="Z99" s="280" t="n"/>
      <c r="AA99" s="280" t="n"/>
      <c r="AB99" s="280" t="n"/>
      <c r="AC99" s="280" t="n"/>
      <c r="AD99" s="280" t="n"/>
      <c r="AE99" s="280" t="n"/>
      <c r="AF99" s="280" t="n"/>
      <c r="AG99" s="280" t="n"/>
      <c r="AH99" s="280" t="n"/>
      <c r="AI99" s="280" t="n"/>
      <c r="AJ99" s="280" t="n"/>
      <c r="AK99" s="280" t="n"/>
      <c r="AL99" s="280" t="n"/>
      <c r="AM99" s="280" t="n"/>
      <c r="AN99" s="280" t="n"/>
      <c r="AO99" s="280" t="n"/>
      <c r="AP99" s="280" t="n"/>
      <c r="AQ99" s="280" t="n"/>
      <c r="AR99" s="280" t="n"/>
      <c r="AS99" s="280" t="n"/>
      <c r="AT99" s="280" t="n"/>
      <c r="AU99" s="280" t="n"/>
      <c r="AV99" s="280" t="n"/>
      <c r="AW99" s="280" t="n"/>
      <c r="AX99" s="280" t="n"/>
      <c r="AY99" s="280" t="n"/>
      <c r="AZ99" s="280" t="n"/>
      <c r="BA99" s="280" t="n"/>
      <c r="BB99" s="280" t="n"/>
      <c r="BC99" s="280" t="n"/>
      <c r="BD99" s="280" t="n"/>
      <c r="BE99" s="280" t="n"/>
      <c r="BF99" s="280" t="n"/>
      <c r="BG99" s="280" t="n"/>
      <c r="BH99" s="280" t="n"/>
    </row>
    <row r="100" ht="15.5" customHeight="1">
      <c r="B100" s="291" t="n">
        <v>47848</v>
      </c>
      <c r="C100" s="292" t="n">
        <v>28</v>
      </c>
      <c r="D100" s="293" t="inlineStr">
        <is>
          <t>234234</t>
        </is>
      </c>
      <c r="E100" s="284" t="inlineStr">
        <is>
          <t>Mandiri</t>
        </is>
      </c>
      <c r="F100" s="294" t="n">
        <v>234324</v>
      </c>
      <c r="G100" s="286" t="inlineStr">
        <is>
          <t>IDR</t>
        </is>
      </c>
      <c r="H100" s="295" t="n">
        <v>1</v>
      </c>
      <c r="I100" s="296" t="n"/>
      <c r="J100" s="296" t="n"/>
      <c r="K100" s="297">
        <f>$F100*$H100</f>
        <v/>
      </c>
      <c r="L100" s="284" t="n"/>
      <c r="M100" s="284" t="n"/>
      <c r="N100" s="284" t="n"/>
      <c r="O100" s="290" t="n"/>
      <c r="P100" s="290" t="n"/>
      <c r="Q100" s="290" t="n"/>
      <c r="R100" s="280" t="n"/>
      <c r="S100" s="280" t="n"/>
      <c r="T100" s="280" t="n"/>
      <c r="U100" s="280" t="n"/>
      <c r="V100" s="280" t="n"/>
      <c r="W100" s="280" t="n"/>
      <c r="X100" s="280" t="n"/>
      <c r="Y100" s="280" t="n"/>
      <c r="Z100" s="280" t="n"/>
      <c r="AA100" s="280" t="n"/>
      <c r="AB100" s="280" t="n"/>
      <c r="AC100" s="280" t="n"/>
      <c r="AD100" s="280" t="n"/>
      <c r="AE100" s="280" t="n"/>
      <c r="AF100" s="280" t="n"/>
      <c r="AG100" s="280" t="n"/>
      <c r="AH100" s="280" t="n"/>
      <c r="AI100" s="280" t="n"/>
      <c r="AJ100" s="280" t="n"/>
      <c r="AK100" s="280" t="n"/>
      <c r="AL100" s="280" t="n"/>
      <c r="AM100" s="280" t="n"/>
      <c r="AN100" s="280" t="n"/>
      <c r="AO100" s="280" t="n"/>
      <c r="AP100" s="280" t="n"/>
      <c r="AQ100" s="280" t="n"/>
      <c r="AR100" s="280" t="n"/>
      <c r="AS100" s="280" t="n"/>
      <c r="AT100" s="280" t="n"/>
      <c r="AU100" s="280" t="n"/>
      <c r="AV100" s="280" t="n"/>
      <c r="AW100" s="280" t="n"/>
      <c r="AX100" s="280" t="n"/>
      <c r="AY100" s="280" t="n"/>
      <c r="AZ100" s="280" t="n"/>
      <c r="BA100" s="280" t="n"/>
      <c r="BB100" s="280" t="n"/>
      <c r="BC100" s="280" t="n"/>
      <c r="BD100" s="280" t="n"/>
      <c r="BE100" s="280" t="n"/>
      <c r="BF100" s="280" t="n"/>
      <c r="BG100" s="280" t="n"/>
      <c r="BH100" s="280" t="n"/>
    </row>
    <row r="101" ht="15.5" customHeight="1">
      <c r="B101" s="315" t="n"/>
      <c r="C101" s="316" t="n"/>
      <c r="D101" s="317" t="inlineStr">
        <is>
          <t>Accommodation , Transportation</t>
        </is>
      </c>
      <c r="E101" s="318" t="n"/>
      <c r="F101" s="319" t="n"/>
      <c r="G101" s="316" t="n"/>
      <c r="H101" s="316" t="n"/>
      <c r="I101" s="316" t="n"/>
      <c r="J101" s="320" t="n"/>
      <c r="K101" s="315" t="n"/>
      <c r="L101" s="320" t="n"/>
      <c r="M101" s="315" t="n"/>
      <c r="N101" s="320" t="n"/>
      <c r="O101" s="306" t="n"/>
      <c r="P101" s="307" t="n"/>
      <c r="Q101" s="307" t="n"/>
      <c r="R101" s="280" t="n"/>
      <c r="S101" s="280" t="n"/>
      <c r="T101" s="280" t="n"/>
      <c r="U101" s="280" t="n"/>
      <c r="V101" s="280" t="n"/>
      <c r="W101" s="280" t="n"/>
      <c r="X101" s="280" t="n"/>
      <c r="Y101" s="280" t="n"/>
      <c r="Z101" s="280" t="n"/>
      <c r="AA101" s="280" t="n"/>
      <c r="AB101" s="280" t="n"/>
      <c r="AC101" s="280" t="n"/>
      <c r="AD101" s="280" t="n"/>
      <c r="AE101" s="280" t="n"/>
      <c r="AF101" s="280" t="n"/>
      <c r="AG101" s="280" t="n"/>
      <c r="AH101" s="280" t="n"/>
      <c r="AI101" s="280" t="n"/>
      <c r="AJ101" s="280" t="n"/>
      <c r="AK101" s="280" t="n"/>
      <c r="AL101" s="280" t="n"/>
      <c r="AM101" s="280" t="n"/>
      <c r="AN101" s="280" t="n"/>
      <c r="AO101" s="280" t="n"/>
      <c r="AP101" s="280" t="n"/>
      <c r="AQ101" s="280" t="n"/>
      <c r="AR101" s="280" t="n"/>
      <c r="AS101" s="280" t="n"/>
      <c r="AT101" s="280" t="n"/>
      <c r="AU101" s="280" t="n"/>
      <c r="AV101" s="280" t="n"/>
      <c r="AW101" s="280" t="n"/>
      <c r="AX101" s="280" t="n"/>
      <c r="AY101" s="280" t="n"/>
      <c r="AZ101" s="280" t="n"/>
      <c r="BA101" s="280" t="n"/>
      <c r="BB101" s="280" t="n"/>
      <c r="BC101" s="280" t="n"/>
      <c r="BD101" s="280" t="n"/>
      <c r="BE101" s="280" t="n"/>
      <c r="BF101" s="280" t="n"/>
      <c r="BG101" s="280" t="n"/>
      <c r="BH101" s="280" t="n"/>
    </row>
    <row r="102" ht="15.5" customHeight="1">
      <c r="B102" s="291" t="n">
        <v>47848</v>
      </c>
      <c r="C102" s="292" t="n">
        <v>29</v>
      </c>
      <c r="D102" s="293" t="inlineStr">
        <is>
          <t>234234</t>
        </is>
      </c>
      <c r="E102" s="284" t="inlineStr">
        <is>
          <t>BRI</t>
        </is>
      </c>
      <c r="F102" s="294" t="n">
        <v>234324</v>
      </c>
      <c r="G102" s="286" t="inlineStr">
        <is>
          <t>IDR</t>
        </is>
      </c>
      <c r="H102" s="295" t="n">
        <v>1</v>
      </c>
      <c r="I102" s="296" t="n"/>
      <c r="J102" s="296" t="n"/>
      <c r="K102" s="297">
        <f>$F102*$H102</f>
        <v/>
      </c>
      <c r="L102" s="284" t="n"/>
      <c r="M102" s="284" t="n"/>
      <c r="N102" s="284" t="n"/>
      <c r="O102" s="290" t="n"/>
      <c r="P102" s="290" t="n"/>
      <c r="Q102" s="290" t="n"/>
      <c r="R102" s="280" t="n"/>
      <c r="S102" s="280" t="n"/>
      <c r="T102" s="280" t="n"/>
      <c r="U102" s="280" t="n"/>
      <c r="V102" s="280" t="n"/>
      <c r="W102" s="280" t="n"/>
      <c r="X102" s="280" t="n"/>
      <c r="Y102" s="280" t="n"/>
      <c r="Z102" s="280" t="n"/>
      <c r="AA102" s="280" t="n"/>
      <c r="AB102" s="280" t="n"/>
      <c r="AC102" s="280" t="n"/>
      <c r="AD102" s="280" t="n"/>
      <c r="AE102" s="280" t="n"/>
      <c r="AF102" s="280" t="n"/>
      <c r="AG102" s="280" t="n"/>
      <c r="AH102" s="280" t="n"/>
      <c r="AI102" s="280" t="n"/>
      <c r="AJ102" s="280" t="n"/>
      <c r="AK102" s="280" t="n"/>
      <c r="AL102" s="280" t="n"/>
      <c r="AM102" s="280" t="n"/>
      <c r="AN102" s="280" t="n"/>
      <c r="AO102" s="280" t="n"/>
      <c r="AP102" s="280" t="n"/>
      <c r="AQ102" s="280" t="n"/>
      <c r="AR102" s="280" t="n"/>
      <c r="AS102" s="280" t="n"/>
      <c r="AT102" s="280" t="n"/>
      <c r="AU102" s="280" t="n"/>
      <c r="AV102" s="280" t="n"/>
      <c r="AW102" s="280" t="n"/>
      <c r="AX102" s="280" t="n"/>
      <c r="AY102" s="280" t="n"/>
      <c r="AZ102" s="280" t="n"/>
      <c r="BA102" s="280" t="n"/>
      <c r="BB102" s="280" t="n"/>
      <c r="BC102" s="280" t="n"/>
      <c r="BD102" s="280" t="n"/>
      <c r="BE102" s="280" t="n"/>
      <c r="BF102" s="280" t="n"/>
      <c r="BG102" s="280" t="n"/>
      <c r="BH102" s="280" t="n"/>
    </row>
    <row r="103" ht="15.5" customHeight="1">
      <c r="B103" s="315" t="n"/>
      <c r="C103" s="316" t="n"/>
      <c r="D103" s="317" t="inlineStr">
        <is>
          <t>Accommodation</t>
        </is>
      </c>
      <c r="E103" s="318" t="n"/>
      <c r="F103" s="319" t="n"/>
      <c r="G103" s="316" t="n"/>
      <c r="H103" s="316" t="n"/>
      <c r="I103" s="316" t="n"/>
      <c r="J103" s="320" t="n"/>
      <c r="K103" s="315" t="n"/>
      <c r="L103" s="320" t="n"/>
      <c r="M103" s="315" t="n"/>
      <c r="N103" s="320" t="n"/>
      <c r="O103" s="306" t="n"/>
      <c r="P103" s="307" t="n"/>
      <c r="Q103" s="307" t="n"/>
      <c r="R103" s="280" t="n"/>
      <c r="S103" s="280" t="n"/>
      <c r="T103" s="280" t="n"/>
      <c r="U103" s="280" t="n"/>
      <c r="V103" s="280" t="n"/>
      <c r="W103" s="280" t="n"/>
      <c r="X103" s="280" t="n"/>
      <c r="Y103" s="280" t="n"/>
      <c r="Z103" s="280" t="n"/>
      <c r="AA103" s="280" t="n"/>
      <c r="AB103" s="280" t="n"/>
      <c r="AC103" s="280" t="n"/>
      <c r="AD103" s="280" t="n"/>
      <c r="AE103" s="280" t="n"/>
      <c r="AF103" s="280" t="n"/>
      <c r="AG103" s="280" t="n"/>
      <c r="AH103" s="280" t="n"/>
      <c r="AI103" s="280" t="n"/>
      <c r="AJ103" s="280" t="n"/>
      <c r="AK103" s="280" t="n"/>
      <c r="AL103" s="280" t="n"/>
      <c r="AM103" s="280" t="n"/>
      <c r="AN103" s="280" t="n"/>
      <c r="AO103" s="280" t="n"/>
      <c r="AP103" s="280" t="n"/>
      <c r="AQ103" s="280" t="n"/>
      <c r="AR103" s="280" t="n"/>
      <c r="AS103" s="280" t="n"/>
      <c r="AT103" s="280" t="n"/>
      <c r="AU103" s="280" t="n"/>
      <c r="AV103" s="280" t="n"/>
      <c r="AW103" s="280" t="n"/>
      <c r="AX103" s="280" t="n"/>
      <c r="AY103" s="280" t="n"/>
      <c r="AZ103" s="280" t="n"/>
      <c r="BA103" s="280" t="n"/>
      <c r="BB103" s="280" t="n"/>
      <c r="BC103" s="280" t="n"/>
      <c r="BD103" s="280" t="n"/>
      <c r="BE103" s="280" t="n"/>
      <c r="BF103" s="280" t="n"/>
      <c r="BG103" s="280" t="n"/>
      <c r="BH103" s="280" t="n"/>
    </row>
    <row r="104" ht="15.5" customHeight="1">
      <c r="B104" s="291" t="n">
        <v>47848</v>
      </c>
      <c r="C104" s="292" t="n">
        <v>30</v>
      </c>
      <c r="D104" s="293" t="inlineStr">
        <is>
          <t>w3423</t>
        </is>
      </c>
      <c r="E104" s="284" t="inlineStr">
        <is>
          <t>Mandiri</t>
        </is>
      </c>
      <c r="F104" s="294" t="n">
        <v>23432</v>
      </c>
      <c r="G104" s="286" t="inlineStr">
        <is>
          <t>IDR</t>
        </is>
      </c>
      <c r="H104" s="295" t="n">
        <v>1</v>
      </c>
      <c r="I104" s="296" t="n"/>
      <c r="J104" s="296" t="n"/>
      <c r="K104" s="297">
        <f>$F104*$H104</f>
        <v/>
      </c>
      <c r="L104" s="284" t="n"/>
      <c r="M104" s="284" t="n"/>
      <c r="N104" s="284" t="n"/>
      <c r="O104" s="290" t="n"/>
      <c r="P104" s="290" t="n"/>
      <c r="Q104" s="290" t="n"/>
      <c r="R104" s="280" t="n"/>
      <c r="S104" s="280" t="n"/>
      <c r="T104" s="280" t="n"/>
      <c r="U104" s="280" t="n"/>
      <c r="V104" s="280" t="n"/>
      <c r="W104" s="280" t="n"/>
      <c r="X104" s="280" t="n"/>
      <c r="Y104" s="280" t="n"/>
      <c r="Z104" s="280" t="n"/>
      <c r="AA104" s="280" t="n"/>
      <c r="AB104" s="280" t="n"/>
      <c r="AC104" s="280" t="n"/>
      <c r="AD104" s="280" t="n"/>
      <c r="AE104" s="280" t="n"/>
      <c r="AF104" s="280" t="n"/>
      <c r="AG104" s="280" t="n"/>
      <c r="AH104" s="280" t="n"/>
      <c r="AI104" s="280" t="n"/>
      <c r="AJ104" s="280" t="n"/>
      <c r="AK104" s="280" t="n"/>
      <c r="AL104" s="280" t="n"/>
      <c r="AM104" s="280" t="n"/>
      <c r="AN104" s="280" t="n"/>
      <c r="AO104" s="280" t="n"/>
      <c r="AP104" s="280" t="n"/>
      <c r="AQ104" s="280" t="n"/>
      <c r="AR104" s="280" t="n"/>
      <c r="AS104" s="280" t="n"/>
      <c r="AT104" s="280" t="n"/>
      <c r="AU104" s="280" t="n"/>
      <c r="AV104" s="280" t="n"/>
      <c r="AW104" s="280" t="n"/>
      <c r="AX104" s="280" t="n"/>
      <c r="AY104" s="280" t="n"/>
      <c r="AZ104" s="280" t="n"/>
      <c r="BA104" s="280" t="n"/>
      <c r="BB104" s="280" t="n"/>
      <c r="BC104" s="280" t="n"/>
      <c r="BD104" s="280" t="n"/>
      <c r="BE104" s="280" t="n"/>
      <c r="BF104" s="280" t="n"/>
      <c r="BG104" s="280" t="n"/>
      <c r="BH104" s="280" t="n"/>
    </row>
    <row r="105" ht="15.5" customHeight="1">
      <c r="B105" s="315" t="n"/>
      <c r="C105" s="316" t="n"/>
      <c r="D105" s="317" t="inlineStr">
        <is>
          <t>keysha</t>
        </is>
      </c>
      <c r="E105" s="318" t="n"/>
      <c r="F105" s="319" t="n"/>
      <c r="G105" s="316" t="n"/>
      <c r="H105" s="316" t="n"/>
      <c r="I105" s="316" t="n"/>
      <c r="J105" s="320" t="n"/>
      <c r="K105" s="315" t="n"/>
      <c r="L105" s="320" t="n"/>
      <c r="M105" s="315" t="n"/>
      <c r="N105" s="320" t="n"/>
      <c r="O105" s="306" t="n"/>
      <c r="P105" s="307" t="n"/>
      <c r="Q105" s="307" t="n"/>
      <c r="R105" s="280" t="n"/>
      <c r="S105" s="280" t="n"/>
      <c r="T105" s="280" t="n"/>
      <c r="U105" s="280" t="n"/>
      <c r="V105" s="280" t="n"/>
      <c r="W105" s="280" t="n"/>
      <c r="X105" s="280" t="n"/>
      <c r="Y105" s="280" t="n"/>
      <c r="Z105" s="280" t="n"/>
      <c r="AA105" s="280" t="n"/>
      <c r="AB105" s="280" t="n"/>
      <c r="AC105" s="280" t="n"/>
      <c r="AD105" s="280" t="n"/>
      <c r="AE105" s="280" t="n"/>
      <c r="AF105" s="280" t="n"/>
      <c r="AG105" s="280" t="n"/>
      <c r="AH105" s="280" t="n"/>
      <c r="AI105" s="280" t="n"/>
      <c r="AJ105" s="280" t="n"/>
      <c r="AK105" s="280" t="n"/>
      <c r="AL105" s="280" t="n"/>
      <c r="AM105" s="280" t="n"/>
      <c r="AN105" s="280" t="n"/>
      <c r="AO105" s="280" t="n"/>
      <c r="AP105" s="280" t="n"/>
      <c r="AQ105" s="280" t="n"/>
      <c r="AR105" s="280" t="n"/>
      <c r="AS105" s="280" t="n"/>
      <c r="AT105" s="280" t="n"/>
      <c r="AU105" s="280" t="n"/>
      <c r="AV105" s="280" t="n"/>
      <c r="AW105" s="280" t="n"/>
      <c r="AX105" s="280" t="n"/>
      <c r="AY105" s="280" t="n"/>
      <c r="AZ105" s="280" t="n"/>
      <c r="BA105" s="280" t="n"/>
      <c r="BB105" s="280" t="n"/>
      <c r="BC105" s="280" t="n"/>
      <c r="BD105" s="280" t="n"/>
      <c r="BE105" s="280" t="n"/>
      <c r="BF105" s="280" t="n"/>
      <c r="BG105" s="280" t="n"/>
      <c r="BH105" s="280" t="n"/>
    </row>
    <row r="106" ht="15.5" customHeight="1">
      <c r="B106" s="291" t="n">
        <v>47848</v>
      </c>
      <c r="C106" s="292" t="n">
        <v>31</v>
      </c>
      <c r="D106" s="293" t="inlineStr">
        <is>
          <t>234324</t>
        </is>
      </c>
      <c r="E106" s="284" t="inlineStr">
        <is>
          <t>Mandiri</t>
        </is>
      </c>
      <c r="F106" s="294" t="n">
        <v>234324</v>
      </c>
      <c r="G106" s="286" t="inlineStr">
        <is>
          <t>IDR</t>
        </is>
      </c>
      <c r="H106" s="295" t="n">
        <v>1</v>
      </c>
      <c r="I106" s="296" t="n"/>
      <c r="J106" s="296" t="n"/>
      <c r="K106" s="298" t="n"/>
      <c r="L106" s="297">
        <f>$F106*$H106</f>
        <v/>
      </c>
      <c r="M106" s="284" t="n"/>
      <c r="N106" s="284" t="n"/>
      <c r="O106" s="290" t="n"/>
      <c r="P106" s="290" t="n"/>
      <c r="Q106" s="290" t="n"/>
      <c r="R106" s="280" t="n"/>
      <c r="S106" s="280" t="n"/>
      <c r="T106" s="280" t="n"/>
      <c r="U106" s="280" t="n"/>
      <c r="V106" s="280" t="n"/>
      <c r="W106" s="280" t="n"/>
      <c r="X106" s="280" t="n"/>
      <c r="Y106" s="280" t="n"/>
      <c r="Z106" s="280" t="n"/>
      <c r="AA106" s="280" t="n"/>
      <c r="AB106" s="280" t="n"/>
      <c r="AC106" s="280" t="n"/>
      <c r="AD106" s="280" t="n"/>
      <c r="AE106" s="280" t="n"/>
      <c r="AF106" s="280" t="n"/>
      <c r="AG106" s="280" t="n"/>
      <c r="AH106" s="280" t="n"/>
      <c r="AI106" s="280" t="n"/>
      <c r="AJ106" s="280" t="n"/>
      <c r="AK106" s="280" t="n"/>
      <c r="AL106" s="280" t="n"/>
      <c r="AM106" s="280" t="n"/>
      <c r="AN106" s="280" t="n"/>
      <c r="AO106" s="280" t="n"/>
      <c r="AP106" s="280" t="n"/>
      <c r="AQ106" s="280" t="n"/>
      <c r="AR106" s="280" t="n"/>
      <c r="AS106" s="280" t="n"/>
      <c r="AT106" s="280" t="n"/>
      <c r="AU106" s="280" t="n"/>
      <c r="AV106" s="280" t="n"/>
      <c r="AW106" s="280" t="n"/>
      <c r="AX106" s="280" t="n"/>
      <c r="AY106" s="280" t="n"/>
      <c r="AZ106" s="280" t="n"/>
      <c r="BA106" s="280" t="n"/>
      <c r="BB106" s="280" t="n"/>
      <c r="BC106" s="280" t="n"/>
      <c r="BD106" s="280" t="n"/>
      <c r="BE106" s="280" t="n"/>
      <c r="BF106" s="280" t="n"/>
      <c r="BG106" s="280" t="n"/>
      <c r="BH106" s="280" t="n"/>
    </row>
    <row r="107" ht="15.5" customHeight="1">
      <c r="B107" s="322" t="inlineStr">
        <is>
          <t>TOTAL</t>
        </is>
      </c>
      <c r="C107" s="323" t="n"/>
      <c r="D107" s="323" t="n"/>
      <c r="E107" s="323" t="n"/>
      <c r="F107" s="323" t="n"/>
      <c r="G107" s="323" t="n"/>
      <c r="H107" s="323" t="n"/>
      <c r="I107" s="324" t="n">
        <v>428025</v>
      </c>
      <c r="J107" s="325" t="n">
        <v>234234</v>
      </c>
      <c r="K107" s="324" t="n">
        <v>138619393903</v>
      </c>
      <c r="L107" s="325" t="n">
        <v>14571951</v>
      </c>
      <c r="M107" s="324" t="n">
        <v>234234</v>
      </c>
      <c r="N107" s="325" t="n">
        <v>223224</v>
      </c>
      <c r="O107" s="306" t="n"/>
      <c r="P107" s="307" t="n"/>
      <c r="Q107" s="307" t="n"/>
      <c r="R107" s="280" t="n"/>
      <c r="S107" s="280" t="n"/>
      <c r="T107" s="280" t="n"/>
      <c r="U107" s="280" t="n"/>
      <c r="V107" s="280" t="n"/>
      <c r="W107" s="280" t="n"/>
      <c r="X107" s="280" t="n"/>
      <c r="Y107" s="280" t="n"/>
      <c r="Z107" s="280" t="n"/>
      <c r="AA107" s="280" t="n"/>
      <c r="AB107" s="280" t="n"/>
      <c r="AC107" s="280" t="n"/>
      <c r="AD107" s="280" t="n"/>
      <c r="AE107" s="280" t="n"/>
      <c r="AF107" s="280" t="n"/>
      <c r="AG107" s="280" t="n"/>
      <c r="AH107" s="280" t="n"/>
      <c r="AI107" s="280" t="n"/>
      <c r="AJ107" s="280" t="n"/>
      <c r="AK107" s="280" t="n"/>
      <c r="AL107" s="280" t="n"/>
      <c r="AM107" s="280" t="n"/>
      <c r="AN107" s="280" t="n"/>
      <c r="AO107" s="280" t="n"/>
      <c r="AP107" s="280" t="n"/>
      <c r="AQ107" s="280" t="n"/>
      <c r="AR107" s="280" t="n"/>
      <c r="AS107" s="280" t="n"/>
      <c r="AT107" s="280" t="n"/>
      <c r="AU107" s="280" t="n"/>
      <c r="AV107" s="280" t="n"/>
      <c r="AW107" s="280" t="n"/>
      <c r="AX107" s="280" t="n"/>
      <c r="AY107" s="280" t="n"/>
      <c r="AZ107" s="280" t="n"/>
      <c r="BA107" s="280" t="n"/>
      <c r="BB107" s="280" t="n"/>
      <c r="BC107" s="280" t="n"/>
      <c r="BD107" s="280" t="n"/>
      <c r="BE107" s="280" t="n"/>
      <c r="BF107" s="280" t="n"/>
      <c r="BG107" s="280" t="n"/>
      <c r="BH107" s="280" t="n"/>
    </row>
    <row r="108" hidden="1" ht="15.5" customHeight="1">
      <c r="B108" s="14" t="n"/>
      <c r="C108" s="15" t="n"/>
      <c r="D108" s="170" t="n"/>
      <c r="F108" s="19" t="n"/>
      <c r="G108" s="15" t="n"/>
      <c r="H108" s="15" t="n"/>
      <c r="I108" s="18" t="n"/>
      <c r="J108" s="21" t="n"/>
      <c r="K108" s="41" t="n"/>
      <c r="L108" s="21" t="n"/>
      <c r="M108" s="41" t="n"/>
      <c r="N108" s="21" t="n"/>
      <c r="O108" s="41" t="n"/>
      <c r="P108" s="21" t="n"/>
      <c r="Q108" s="42" t="n"/>
    </row>
    <row r="109" hidden="1" ht="15.5" customHeight="1">
      <c r="B109" s="14" t="n"/>
      <c r="C109" s="15" t="n"/>
      <c r="D109" s="170" t="n"/>
      <c r="F109" s="19" t="n"/>
      <c r="G109" s="15" t="n"/>
      <c r="H109" s="15" t="n"/>
      <c r="I109" s="18" t="n"/>
      <c r="J109" s="21" t="n"/>
      <c r="K109" s="41" t="n"/>
      <c r="L109" s="21" t="n"/>
      <c r="M109" s="41" t="n"/>
      <c r="N109" s="21" t="n"/>
      <c r="O109" s="41" t="n"/>
      <c r="P109" s="21" t="n"/>
      <c r="Q109" s="42" t="n"/>
    </row>
    <row r="110" hidden="1" ht="15.5" customHeight="1">
      <c r="B110" s="14" t="n"/>
      <c r="C110" s="15" t="n"/>
      <c r="D110" s="170" t="n"/>
      <c r="F110" s="19" t="n"/>
      <c r="G110" s="15" t="n"/>
      <c r="H110" s="15" t="n"/>
      <c r="I110" s="18" t="n"/>
      <c r="J110" s="21" t="n"/>
      <c r="K110" s="41" t="n"/>
      <c r="L110" s="21" t="n"/>
      <c r="M110" s="41" t="n"/>
      <c r="N110" s="21" t="n"/>
      <c r="O110" s="41" t="n"/>
      <c r="P110" s="21" t="n"/>
      <c r="Q110" s="42" t="n"/>
    </row>
    <row r="111" hidden="1" ht="15.5" customHeight="1">
      <c r="B111" s="14" t="n"/>
      <c r="C111" s="15" t="n"/>
      <c r="D111" s="170" t="n"/>
      <c r="F111" s="19" t="n"/>
      <c r="G111" s="15" t="n"/>
      <c r="H111" s="15" t="n"/>
      <c r="I111" s="18" t="n"/>
      <c r="J111" s="21" t="n"/>
      <c r="K111" s="41" t="n"/>
      <c r="L111" s="21" t="n"/>
      <c r="M111" s="41" t="n"/>
      <c r="N111" s="21" t="n"/>
      <c r="O111" s="41" t="n"/>
      <c r="P111" s="21" t="n"/>
      <c r="Q111" s="42" t="n"/>
    </row>
    <row r="112" hidden="1" ht="15.5" customHeight="1">
      <c r="B112" s="14" t="n"/>
      <c r="C112" s="15" t="n"/>
      <c r="D112" s="170" t="n"/>
      <c r="F112" s="19" t="n"/>
      <c r="G112" s="15" t="n"/>
      <c r="H112" s="15" t="n"/>
      <c r="I112" s="18" t="n"/>
      <c r="J112" s="21" t="n"/>
      <c r="K112" s="41" t="n"/>
      <c r="L112" s="21" t="n"/>
      <c r="M112" s="41" t="n"/>
      <c r="N112" s="21" t="n"/>
      <c r="O112" s="41" t="n"/>
      <c r="P112" s="21" t="n"/>
      <c r="Q112" s="42" t="n"/>
    </row>
    <row r="113" hidden="1" ht="15.5" customHeight="1">
      <c r="B113" s="14" t="n"/>
      <c r="C113" s="15" t="n"/>
      <c r="D113" s="170" t="n"/>
      <c r="F113" s="19" t="n"/>
      <c r="G113" s="15" t="n"/>
      <c r="H113" s="15" t="n"/>
      <c r="I113" s="18" t="n"/>
      <c r="J113" s="21" t="n"/>
      <c r="K113" s="41" t="n"/>
      <c r="L113" s="21" t="n"/>
      <c r="M113" s="41" t="n"/>
      <c r="N113" s="21" t="n"/>
      <c r="O113" s="41" t="n"/>
      <c r="P113" s="21" t="n"/>
      <c r="Q113" s="42" t="n"/>
    </row>
    <row r="114" hidden="1" ht="15.5" customHeight="1">
      <c r="B114" s="14" t="n"/>
      <c r="C114" s="15" t="n"/>
      <c r="D114" s="170" t="n"/>
      <c r="F114" s="19" t="n"/>
      <c r="G114" s="15" t="n"/>
      <c r="H114" s="15" t="n"/>
      <c r="I114" s="18" t="n"/>
      <c r="J114" s="21" t="n"/>
      <c r="K114" s="41" t="n"/>
      <c r="L114" s="21" t="n"/>
      <c r="M114" s="41" t="n"/>
      <c r="N114" s="21" t="n"/>
      <c r="O114" s="41" t="n"/>
      <c r="P114" s="21" t="n"/>
      <c r="Q114" s="42" t="n"/>
    </row>
    <row r="115" hidden="1" ht="15.5" customHeight="1">
      <c r="B115" s="14" t="n"/>
      <c r="C115" s="15" t="n"/>
      <c r="D115" s="170" t="n"/>
      <c r="F115" s="19" t="n"/>
      <c r="G115" s="15" t="n"/>
      <c r="H115" s="15" t="n"/>
      <c r="I115" s="18" t="n"/>
      <c r="J115" s="21" t="n"/>
      <c r="K115" s="41" t="n"/>
      <c r="L115" s="21" t="n"/>
      <c r="M115" s="41" t="n"/>
      <c r="N115" s="21" t="n"/>
      <c r="O115" s="41" t="n"/>
      <c r="P115" s="21" t="n"/>
      <c r="Q115" s="42" t="n"/>
    </row>
    <row r="116" hidden="1" ht="15.5" customHeight="1">
      <c r="B116" s="14" t="n"/>
      <c r="C116" s="15" t="n"/>
      <c r="D116" s="170" t="n"/>
      <c r="F116" s="19" t="n"/>
      <c r="G116" s="15" t="n"/>
      <c r="H116" s="15" t="n"/>
      <c r="I116" s="18" t="n"/>
      <c r="J116" s="21" t="n"/>
      <c r="K116" s="41" t="n"/>
      <c r="L116" s="21" t="n"/>
      <c r="M116" s="41" t="n"/>
      <c r="N116" s="21" t="n"/>
      <c r="O116" s="41" t="n"/>
      <c r="P116" s="21" t="n"/>
      <c r="Q116" s="42" t="n"/>
    </row>
    <row r="117" hidden="1" ht="15.5" customHeight="1">
      <c r="B117" s="14" t="n"/>
      <c r="C117" s="15" t="n"/>
      <c r="D117" s="170" t="n"/>
      <c r="F117" s="19" t="n"/>
      <c r="G117" s="15" t="n"/>
      <c r="H117" s="15" t="n"/>
      <c r="I117" s="18" t="n"/>
      <c r="J117" s="21" t="n"/>
      <c r="K117" s="41" t="n"/>
      <c r="L117" s="21" t="n"/>
      <c r="M117" s="41" t="n"/>
      <c r="N117" s="21" t="n"/>
      <c r="O117" s="41" t="n"/>
      <c r="P117" s="21" t="n"/>
      <c r="Q117" s="42" t="n"/>
    </row>
    <row r="118" hidden="1" ht="15.5" customHeight="1">
      <c r="B118" s="14" t="n"/>
      <c r="C118" s="15" t="n"/>
      <c r="D118" s="170" t="n"/>
      <c r="F118" s="19" t="n"/>
      <c r="G118" s="15" t="n"/>
      <c r="H118" s="15" t="n"/>
      <c r="I118" s="18" t="n"/>
      <c r="J118" s="21" t="n"/>
      <c r="K118" s="41" t="n"/>
      <c r="L118" s="21" t="n"/>
      <c r="M118" s="41" t="n"/>
      <c r="N118" s="21" t="n"/>
      <c r="O118" s="41" t="n"/>
      <c r="P118" s="21" t="n"/>
      <c r="Q118" s="42" t="n"/>
    </row>
    <row r="119" hidden="1" ht="15.5" customHeight="1">
      <c r="B119" s="14" t="n"/>
      <c r="C119" s="15" t="n"/>
      <c r="D119" s="170" t="n"/>
      <c r="F119" s="19" t="n"/>
      <c r="G119" s="15" t="n"/>
      <c r="H119" s="15" t="n"/>
      <c r="I119" s="18" t="n"/>
      <c r="J119" s="21" t="n"/>
      <c r="K119" s="41" t="n"/>
      <c r="L119" s="21" t="n"/>
      <c r="M119" s="41" t="n"/>
      <c r="N119" s="21" t="n"/>
      <c r="O119" s="41" t="n"/>
      <c r="P119" s="21" t="n"/>
      <c r="Q119" s="42" t="n"/>
    </row>
    <row r="120" hidden="1" ht="15.5" customHeight="1">
      <c r="B120" s="14" t="n"/>
      <c r="C120" s="15" t="n"/>
      <c r="D120" s="170" t="n"/>
      <c r="F120" s="19" t="n"/>
      <c r="G120" s="15" t="n"/>
      <c r="H120" s="15" t="n"/>
      <c r="I120" s="18" t="n"/>
      <c r="J120" s="21" t="n"/>
      <c r="K120" s="41" t="n"/>
      <c r="L120" s="21" t="n"/>
      <c r="M120" s="41" t="n"/>
      <c r="N120" s="21" t="n"/>
      <c r="O120" s="41" t="n"/>
      <c r="P120" s="21" t="n"/>
      <c r="Q120" s="42" t="n"/>
    </row>
    <row r="121" hidden="1" ht="15.5" customHeight="1">
      <c r="B121" s="14" t="n"/>
      <c r="C121" s="15" t="n"/>
      <c r="D121" s="170" t="n"/>
      <c r="F121" s="19" t="n"/>
      <c r="G121" s="15" t="n"/>
      <c r="H121" s="15" t="n"/>
      <c r="I121" s="18" t="n"/>
      <c r="J121" s="21" t="n"/>
      <c r="K121" s="41" t="n"/>
      <c r="L121" s="21" t="n"/>
      <c r="M121" s="41" t="n"/>
      <c r="N121" s="21" t="n"/>
      <c r="O121" s="41" t="n"/>
      <c r="P121" s="21" t="n"/>
      <c r="Q121" s="42" t="n"/>
    </row>
    <row r="122" hidden="1" ht="15.5" customHeight="1">
      <c r="B122" s="14" t="n"/>
      <c r="C122" s="15" t="n"/>
      <c r="D122" s="170" t="n"/>
      <c r="F122" s="19" t="n"/>
      <c r="G122" s="15" t="n"/>
      <c r="H122" s="15" t="n"/>
      <c r="I122" s="18" t="n"/>
      <c r="J122" s="21" t="n"/>
      <c r="K122" s="41" t="n"/>
      <c r="L122" s="21" t="n"/>
      <c r="M122" s="41" t="n"/>
      <c r="N122" s="21" t="n"/>
      <c r="O122" s="41" t="n"/>
      <c r="P122" s="21" t="n"/>
      <c r="Q122" s="42" t="n"/>
    </row>
    <row r="123" hidden="1" ht="15.5" customHeight="1">
      <c r="B123" s="14" t="n"/>
      <c r="C123" s="15" t="n"/>
      <c r="D123" s="170" t="n"/>
      <c r="F123" s="19" t="n"/>
      <c r="G123" s="15" t="n"/>
      <c r="H123" s="15" t="n"/>
      <c r="I123" s="18" t="n"/>
      <c r="J123" s="21" t="n"/>
      <c r="K123" s="41" t="n"/>
      <c r="L123" s="21" t="n"/>
      <c r="M123" s="41" t="n"/>
      <c r="N123" s="21" t="n"/>
      <c r="O123" s="41" t="n"/>
      <c r="P123" s="21" t="n"/>
      <c r="Q123" s="42" t="n"/>
    </row>
    <row r="124" hidden="1" ht="15.5" customHeight="1">
      <c r="B124" s="14" t="n"/>
      <c r="C124" s="15" t="n"/>
      <c r="D124" s="170" t="n"/>
      <c r="F124" s="19" t="n"/>
      <c r="G124" s="15" t="n"/>
      <c r="H124" s="15" t="n"/>
      <c r="I124" s="18" t="n"/>
      <c r="J124" s="21" t="n"/>
      <c r="K124" s="41" t="n"/>
      <c r="L124" s="21" t="n"/>
      <c r="M124" s="41" t="n"/>
      <c r="N124" s="21" t="n"/>
      <c r="O124" s="41" t="n"/>
      <c r="P124" s="21" t="n"/>
      <c r="Q124" s="42" t="n"/>
    </row>
    <row r="125" hidden="1" ht="15.5" customHeight="1">
      <c r="B125" s="14" t="n"/>
      <c r="C125" s="15" t="n"/>
      <c r="D125" s="170" t="n"/>
      <c r="F125" s="19" t="n"/>
      <c r="G125" s="15" t="n"/>
      <c r="H125" s="15" t="n"/>
      <c r="I125" s="18" t="n"/>
      <c r="J125" s="21" t="n"/>
      <c r="K125" s="41" t="n"/>
      <c r="L125" s="21" t="n"/>
      <c r="M125" s="41" t="n"/>
      <c r="N125" s="21" t="n"/>
      <c r="O125" s="41" t="n"/>
      <c r="P125" s="21" t="n"/>
      <c r="Q125" s="42" t="n"/>
    </row>
    <row r="126" hidden="1" ht="15.5" customHeight="1">
      <c r="B126" s="14" t="n"/>
      <c r="C126" s="15" t="n"/>
      <c r="D126" s="170" t="n"/>
      <c r="F126" s="19" t="n"/>
      <c r="G126" s="15" t="n"/>
      <c r="H126" s="15" t="n"/>
      <c r="I126" s="18" t="n"/>
      <c r="J126" s="21" t="n"/>
      <c r="K126" s="41" t="n"/>
      <c r="L126" s="21" t="n"/>
      <c r="M126" s="41" t="n"/>
      <c r="N126" s="21" t="n"/>
      <c r="O126" s="41" t="n"/>
      <c r="P126" s="21" t="n"/>
      <c r="Q126" s="42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107:H107"/>
    <mergeCell ref="B28:H28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inlineStr">
        <is>
          <t>AKTIVA</t>
        </is>
      </c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inlineStr">
        <is>
          <t>AKTIVA LANCAR</t>
        </is>
      </c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 xml:space="preserve">  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 xml:space="preserve">  KAS DAN SETARA KAS TAHUN LAPORAN</t>
        </is>
      </c>
      <c r="I11" s="354" t="inlineStr">
        <is>
          <t>Rp</t>
        </is>
      </c>
      <c r="J11" s="355">
        <f>ROUND(E39-'Business Summary'!E13, 0)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56" t="n"/>
      <c r="H12" s="357" t="inlineStr">
        <is>
          <t xml:space="preserve">  PIUTANG USAHA</t>
        </is>
      </c>
      <c r="I12" s="354" t="inlineStr">
        <is>
          <t>Rp</t>
        </is>
      </c>
      <c r="J12" s="355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 xml:space="preserve">  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56" t="n"/>
      <c r="H14" s="357" t="inlineStr">
        <is>
          <t xml:space="preserve">  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'Revenue-Cost_2030'!I107</f>
        <v/>
      </c>
      <c r="F15" s="329" t="n"/>
      <c r="G15" s="363" t="n"/>
      <c r="H15" s="357" t="inlineStr">
        <is>
          <t xml:space="preserve">  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RESEARCH (R&amp;D)</t>
        </is>
      </c>
      <c r="D16" s="354" t="inlineStr">
        <is>
          <t>Rp</t>
        </is>
      </c>
      <c r="E16" s="355">
        <f>'Revenue-Cost_2030'!J107</f>
        <v/>
      </c>
      <c r="F16" s="329" t="n"/>
      <c r="G16" s="364" t="n"/>
      <c r="H16" s="365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44" t="n"/>
      <c r="B17" s="352" t="n"/>
      <c r="C17" s="353" t="inlineStr">
        <is>
          <t>BIAYA OPERASI</t>
        </is>
      </c>
      <c r="D17" s="354" t="inlineStr">
        <is>
          <t>Rp</t>
        </is>
      </c>
      <c r="E17" s="355">
        <f>'Revenue-Cost_2030'!K107</f>
        <v/>
      </c>
      <c r="F17" s="329" t="n"/>
      <c r="G17" s="349" t="n"/>
      <c r="H17" s="350" t="inlineStr">
        <is>
          <t>ACTIVA TETAP</t>
        </is>
      </c>
      <c r="I17" s="351" t="n"/>
      <c r="J17" s="348" t="n"/>
    </row>
    <row r="18" ht="15" customHeight="1">
      <c r="A18" s="344" t="n"/>
      <c r="B18" s="352" t="n"/>
      <c r="C18" s="353" t="inlineStr">
        <is>
          <t>DIOFAVIAN</t>
        </is>
      </c>
      <c r="D18" s="354" t="inlineStr">
        <is>
          <t>Rp</t>
        </is>
      </c>
      <c r="E18" s="355">
        <f>'Revenue-Cost_2030'!L107</f>
        <v/>
      </c>
      <c r="F18" s="329" t="n"/>
      <c r="G18" s="356" t="inlineStr">
        <is>
          <t>ACTIVA TETAP</t>
        </is>
      </c>
      <c r="H18" s="357" t="n"/>
      <c r="I18" s="358" t="n"/>
      <c r="J18" s="355" t="n"/>
    </row>
    <row r="19" ht="15" customHeight="1">
      <c r="A19" s="344" t="n"/>
      <c r="B19" s="359" t="inlineStr">
        <is>
          <t>TOTAL BIAYA LANGSUNG</t>
        </is>
      </c>
      <c r="C19" s="360" t="n"/>
      <c r="D19" s="361" t="inlineStr">
        <is>
          <t>Rp</t>
        </is>
      </c>
      <c r="E19" s="362">
        <f>SUM(E15:E18)</f>
        <v/>
      </c>
      <c r="F19" s="329" t="n"/>
      <c r="G19" s="356" t="n"/>
      <c r="H19" s="357" t="n"/>
      <c r="I19" s="358" t="n"/>
      <c r="J19" s="355" t="n"/>
    </row>
    <row r="20" ht="15" customHeight="1">
      <c r="A20" s="344" t="n"/>
      <c r="B20" s="352" t="n"/>
      <c r="C20" s="353" t="n"/>
      <c r="D20" s="354" t="n"/>
      <c r="E20" s="355" t="n"/>
      <c r="F20" s="329" t="n"/>
      <c r="G20" s="356" t="n"/>
      <c r="H20" s="357" t="inlineStr">
        <is>
          <t xml:space="preserve">  INVENTARIS KANTOR</t>
        </is>
      </c>
      <c r="I20" s="354" t="inlineStr">
        <is>
          <t>Rp</t>
        </is>
      </c>
      <c r="J20" s="355" t="n">
        <v>0</v>
      </c>
    </row>
    <row r="21" ht="15" customHeight="1">
      <c r="A21" s="344" t="n"/>
      <c r="B21" s="345" t="inlineStr">
        <is>
          <t>BEBAN TIDAK LANGSUNG</t>
        </is>
      </c>
      <c r="C21" s="346" t="n"/>
      <c r="D21" s="347" t="n"/>
      <c r="E21" s="348" t="n"/>
      <c r="F21" s="329" t="n"/>
      <c r="G21" s="356" t="n"/>
      <c r="H21" s="357" t="n"/>
      <c r="I21" s="358" t="n"/>
      <c r="J21" s="355" t="n"/>
    </row>
    <row r="22" ht="15" customHeight="1">
      <c r="A22" s="344" t="n"/>
      <c r="B22" s="352" t="n"/>
      <c r="C22" s="353" t="n"/>
      <c r="D22" s="354" t="inlineStr">
        <is>
          <t>Rp</t>
        </is>
      </c>
      <c r="E22" s="355" t="n">
        <v>0</v>
      </c>
      <c r="F22" s="329" t="n"/>
      <c r="G22" s="364" t="n"/>
      <c r="H22" s="365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9" t="inlineStr">
        <is>
          <t>TOTAL BIAYA TIDAK LANGSUNG</t>
        </is>
      </c>
      <c r="C23" s="360" t="n"/>
      <c r="D23" s="361" t="inlineStr">
        <is>
          <t>Rp</t>
        </is>
      </c>
      <c r="E23" s="362">
        <f>SUM(E22:E22)</f>
        <v/>
      </c>
      <c r="F23" s="329" t="n"/>
      <c r="G23" s="356" t="n"/>
      <c r="H23" s="357" t="n"/>
      <c r="I23" s="358" t="n"/>
      <c r="J23" s="355" t="n"/>
    </row>
    <row r="24" ht="15" customHeight="1">
      <c r="A24" s="344" t="n"/>
      <c r="B24" s="352" t="n"/>
      <c r="C24" s="353" t="n"/>
      <c r="D24" s="354" t="n"/>
      <c r="E24" s="355" t="n"/>
      <c r="F24" s="329" t="n"/>
      <c r="G24" s="349" t="inlineStr">
        <is>
          <t>ACTIVA LAIN LAIN</t>
        </is>
      </c>
      <c r="H24" s="350" t="inlineStr">
        <is>
          <t>ACTIVA LAIN LAIN</t>
        </is>
      </c>
      <c r="I24" s="351" t="n"/>
      <c r="J24" s="348" t="n">
        <v>0</v>
      </c>
    </row>
    <row r="25" ht="15" customHeight="1">
      <c r="A25" s="344" t="n"/>
      <c r="B25" s="345" t="inlineStr">
        <is>
          <t>BIAYA ADMINISTRASI DAN UMUM</t>
        </is>
      </c>
      <c r="C25" s="346" t="n"/>
      <c r="D25" s="347" t="n"/>
      <c r="E25" s="348" t="n"/>
      <c r="F25" s="329" t="n"/>
      <c r="G25" s="364" t="n"/>
      <c r="H25" s="365" t="inlineStr">
        <is>
          <t xml:space="preserve">  TOTAL AKTIVA LAIN LAIN</t>
        </is>
      </c>
      <c r="I25" s="366" t="inlineStr">
        <is>
          <t>Rp</t>
        </is>
      </c>
      <c r="J25" s="362" t="n">
        <v>0</v>
      </c>
    </row>
    <row r="26" ht="15" customHeight="1">
      <c r="A26" s="344" t="n"/>
      <c r="B26" s="352" t="n"/>
      <c r="C26" s="353" t="inlineStr">
        <is>
          <t>ASDASD</t>
        </is>
      </c>
      <c r="D26" s="354" t="inlineStr">
        <is>
          <t>Rp</t>
        </is>
      </c>
      <c r="E26" s="355">
        <f>'Revenue-Cost_2030'!M107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2" t="n"/>
      <c r="C27" s="353" t="inlineStr">
        <is>
          <t>12312</t>
        </is>
      </c>
      <c r="D27" s="354" t="inlineStr">
        <is>
          <t>Rp</t>
        </is>
      </c>
      <c r="E27" s="355">
        <f>'Revenue-Cost_2030'!N107</f>
        <v/>
      </c>
      <c r="F27" s="329" t="n"/>
      <c r="G27" s="356" t="n"/>
      <c r="H27" s="357" t="n"/>
      <c r="I27" s="358" t="n"/>
      <c r="J27" s="355" t="n"/>
    </row>
    <row r="28" ht="15" customHeight="1">
      <c r="A28" s="344" t="n"/>
      <c r="B28" s="359" t="inlineStr">
        <is>
          <t>TOTAL BIAYA ADMINISTRASI DAN UMUM</t>
        </is>
      </c>
      <c r="C28" s="360" t="n"/>
      <c r="D28" s="361" t="inlineStr">
        <is>
          <t>Rp</t>
        </is>
      </c>
      <c r="E28" s="362">
        <f>SUM(E26:E27)</f>
        <v/>
      </c>
      <c r="F28" s="329" t="n"/>
      <c r="G28" s="367" t="inlineStr">
        <is>
          <t>TOTAL AKTIVA</t>
        </is>
      </c>
      <c r="H28" s="360" t="inlineStr">
        <is>
          <t>TOTAL AKTIVA</t>
        </is>
      </c>
      <c r="I28" s="361" t="inlineStr">
        <is>
          <t>Rp</t>
        </is>
      </c>
      <c r="J28" s="362">
        <f>J26+J22+J16</f>
        <v/>
      </c>
    </row>
    <row r="29" ht="15" customHeight="1">
      <c r="A29" s="344" t="n"/>
      <c r="B29" s="352" t="n"/>
      <c r="C29" s="353" t="n"/>
      <c r="D29" s="354" t="n"/>
      <c r="E29" s="355" t="n"/>
      <c r="F29" s="329" t="n"/>
      <c r="G29" s="356" t="n"/>
      <c r="H29" s="357" t="n"/>
      <c r="I29" s="358" t="n"/>
      <c r="J29" s="355" t="n"/>
    </row>
    <row r="30" ht="15" customHeight="1">
      <c r="A30" s="344" t="n"/>
      <c r="B30" s="359" t="inlineStr">
        <is>
          <t>TOTAL BIAYA</t>
        </is>
      </c>
      <c r="C30" s="360" t="n"/>
      <c r="D30" s="361" t="inlineStr">
        <is>
          <t>Rp</t>
        </is>
      </c>
      <c r="E30" s="362">
        <f>E19+E23+E28</f>
        <v/>
      </c>
      <c r="F30" s="329" t="n"/>
      <c r="G30" s="349" t="inlineStr">
        <is>
          <t>HUTANG DAN MODAL</t>
        </is>
      </c>
      <c r="H30" s="350" t="inlineStr">
        <is>
          <t>HUTANG DAN MODAL</t>
        </is>
      </c>
      <c r="I30" s="351" t="n"/>
      <c r="J30" s="348" t="n"/>
    </row>
    <row r="31" ht="15" customHeight="1">
      <c r="A31" s="344" t="n"/>
      <c r="B31" s="352" t="n"/>
      <c r="C31" s="353" t="n"/>
      <c r="D31" s="354" t="n"/>
      <c r="E31" s="355" t="n"/>
      <c r="F31" s="329" t="n"/>
      <c r="G31" s="356" t="n"/>
      <c r="H31" s="357" t="n"/>
      <c r="I31" s="358" t="n"/>
      <c r="J31" s="355" t="n"/>
    </row>
    <row r="32" ht="15" customHeight="1">
      <c r="A32" s="344" t="n"/>
      <c r="B32" s="345" t="inlineStr">
        <is>
          <t>PENDAPATAN/BEBAN LAIN LAIN</t>
        </is>
      </c>
      <c r="C32" s="346" t="n"/>
      <c r="D32" s="347" t="n"/>
      <c r="E32" s="348" t="n"/>
      <c r="F32" s="329" t="n"/>
      <c r="G32" s="349" t="inlineStr">
        <is>
          <t>HUTANG LANCAR</t>
        </is>
      </c>
      <c r="H32" s="350" t="inlineStr">
        <is>
          <t>HUTANG LANCAR</t>
        </is>
      </c>
      <c r="I32" s="351" t="n"/>
      <c r="J32" s="348" t="n"/>
    </row>
    <row r="33" ht="15" customHeight="1">
      <c r="A33" s="344" t="n"/>
      <c r="B33" s="352" t="n"/>
      <c r="C33" s="353" t="inlineStr">
        <is>
          <t>PENDAPATAN LAIN LAIN</t>
        </is>
      </c>
      <c r="D33" s="354" t="inlineStr">
        <is>
          <t>Rp</t>
        </is>
      </c>
      <c r="E33" s="355" t="n">
        <v>0</v>
      </c>
      <c r="F33" s="329" t="n"/>
      <c r="G33" s="356" t="n"/>
      <c r="H33" s="357" t="inlineStr">
        <is>
          <t xml:space="preserve">  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2" t="n"/>
      <c r="C34" s="353" t="n"/>
      <c r="D34" s="354" t="n"/>
      <c r="E34" s="355" t="n"/>
      <c r="F34" s="329" t="n"/>
      <c r="G34" s="356" t="n"/>
      <c r="H34" s="353" t="inlineStr">
        <is>
          <t xml:space="preserve">  HUTANG GAJI</t>
        </is>
      </c>
      <c r="I34" s="354" t="inlineStr">
        <is>
          <t>Rp</t>
        </is>
      </c>
      <c r="J34" s="355" t="n">
        <v>0</v>
      </c>
    </row>
    <row r="35" ht="15" customHeight="1">
      <c r="A35" s="344" t="n"/>
      <c r="B35" s="359" t="inlineStr">
        <is>
          <t>LABA RUGI SEBELUM PAJAK</t>
        </is>
      </c>
      <c r="C35" s="360" t="n"/>
      <c r="D35" s="361" t="inlineStr">
        <is>
          <t>Rp</t>
        </is>
      </c>
      <c r="E35" s="362">
        <f>E12-E30</f>
        <v/>
      </c>
      <c r="F35" s="329" t="n"/>
      <c r="G35" s="356" t="n"/>
      <c r="H35" s="357" t="inlineStr">
        <is>
          <t xml:space="preserve">  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2" t="n"/>
      <c r="C36" s="353" t="n"/>
      <c r="D36" s="354" t="n"/>
      <c r="E36" s="355" t="n"/>
      <c r="F36" s="329" t="n"/>
      <c r="G36" s="356" t="n"/>
      <c r="H36" s="357" t="inlineStr">
        <is>
          <t xml:space="preserve">  BIAYA YANG MASIH HARUS DI BAYAR</t>
        </is>
      </c>
      <c r="I36" s="354" t="inlineStr">
        <is>
          <t>Rp</t>
        </is>
      </c>
      <c r="J36" s="355" t="n">
        <v>0</v>
      </c>
    </row>
    <row r="37" ht="15" customHeight="1">
      <c r="A37" s="344" t="n"/>
      <c r="B37" s="359" t="inlineStr">
        <is>
          <t>CORPORATE TAX (PPh 29)</t>
        </is>
      </c>
      <c r="C37" s="360" t="n"/>
      <c r="D37" s="361" t="inlineStr">
        <is>
          <t>Rp</t>
        </is>
      </c>
      <c r="E37" s="362" t="n">
        <v>0</v>
      </c>
      <c r="F37" s="329" t="n"/>
      <c r="G37" s="352" t="n"/>
      <c r="H37" s="353" t="n"/>
      <c r="I37" s="354" t="n"/>
      <c r="J37" s="355" t="n"/>
    </row>
    <row r="38" ht="15" customHeight="1">
      <c r="A38" s="344" t="n"/>
      <c r="B38" s="352" t="n"/>
      <c r="C38" s="353" t="n"/>
      <c r="D38" s="354" t="n"/>
      <c r="E38" s="355" t="n"/>
      <c r="F38" s="329" t="n"/>
      <c r="G38" s="364" t="n"/>
      <c r="H38" s="365" t="inlineStr">
        <is>
          <t>TOTAL HUTANG LANCAR</t>
        </is>
      </c>
      <c r="I38" s="366" t="inlineStr">
        <is>
          <t>Rp</t>
        </is>
      </c>
      <c r="J38" s="362">
        <f>SUM(J33:J36)</f>
        <v/>
      </c>
    </row>
    <row r="39" ht="15" customHeight="1">
      <c r="A39" s="344" t="n"/>
      <c r="B39" s="368" t="inlineStr">
        <is>
          <t>LABA / RUGI BERSIH</t>
        </is>
      </c>
      <c r="C39" s="369" t="n"/>
      <c r="D39" s="370" t="inlineStr">
        <is>
          <t>Rp</t>
        </is>
      </c>
      <c r="E39" s="371">
        <f>E35-E37</f>
        <v/>
      </c>
      <c r="F39" s="329" t="n"/>
      <c r="G39" s="356" t="n"/>
      <c r="H39" s="357" t="n"/>
      <c r="I39" s="358" t="n"/>
      <c r="J39" s="355" t="n"/>
    </row>
    <row r="40" ht="14.25" customHeight="1">
      <c r="A40" s="344" t="n"/>
      <c r="B40" s="344" t="n"/>
      <c r="C40" s="344" t="n"/>
      <c r="D40" s="344" t="n"/>
      <c r="E40" s="344" t="n"/>
      <c r="F40" s="344" t="n"/>
      <c r="G40" s="345" t="n"/>
      <c r="H40" s="346" t="inlineStr">
        <is>
          <t>MODAL</t>
        </is>
      </c>
      <c r="I40" s="347" t="n"/>
      <c r="J40" s="348" t="n"/>
    </row>
    <row r="41" ht="14.25" customHeight="1">
      <c r="A41" s="344" t="n"/>
      <c r="B41" s="344" t="n"/>
      <c r="C41" s="344" t="n"/>
      <c r="D41" s="344" t="n"/>
      <c r="E41" s="344" t="n"/>
      <c r="F41" s="344" t="n"/>
      <c r="G41" s="352" t="n"/>
      <c r="H41" s="353" t="inlineStr">
        <is>
          <t xml:space="preserve">  MODAL SAHAM</t>
        </is>
      </c>
      <c r="I41" s="354" t="inlineStr">
        <is>
          <t>Rp</t>
        </is>
      </c>
      <c r="J41" s="355" t="n">
        <v>0</v>
      </c>
    </row>
    <row r="42" ht="14.25" customHeight="1">
      <c r="A42" s="344" t="n"/>
      <c r="B42" s="344" t="n"/>
      <c r="C42" s="344" t="n"/>
      <c r="D42" s="344" t="n"/>
      <c r="E42" s="344" t="n"/>
      <c r="F42" s="344" t="n"/>
      <c r="G42" s="352" t="n"/>
      <c r="H42" s="353" t="inlineStr">
        <is>
          <t xml:space="preserve">  LABA DI TAHAN</t>
        </is>
      </c>
      <c r="I42" s="354" t="inlineStr">
        <is>
          <t>Rp</t>
        </is>
      </c>
      <c r="J42" s="355" t="n">
        <v>0</v>
      </c>
    </row>
    <row r="43" ht="14.25" customHeight="1">
      <c r="A43" s="344" t="n"/>
      <c r="B43" s="344" t="n"/>
      <c r="C43" s="344" t="n"/>
      <c r="D43" s="344" t="n"/>
      <c r="E43" s="344" t="n"/>
      <c r="F43" s="344" t="n"/>
      <c r="G43" s="352" t="n"/>
      <c r="H43" s="353" t="inlineStr">
        <is>
          <t xml:space="preserve">  TOTAL LABA (RUGI) DITAHAN</t>
        </is>
      </c>
      <c r="I43" s="354" t="inlineStr">
        <is>
          <t>Rp</t>
        </is>
      </c>
      <c r="J43" s="355">
        <f>J28-J38-J41-J42</f>
        <v/>
      </c>
    </row>
    <row r="44" ht="14.25" customHeight="1">
      <c r="A44" s="344" t="n"/>
      <c r="B44" s="344" t="n"/>
      <c r="C44" s="344" t="n"/>
      <c r="D44" s="344" t="n"/>
      <c r="E44" s="344" t="n"/>
      <c r="F44" s="344" t="n"/>
      <c r="G44" s="359" t="n"/>
      <c r="H44" s="360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4.25" customHeight="1">
      <c r="A45" s="344" t="n"/>
      <c r="B45" s="344" t="n"/>
      <c r="C45" s="344" t="n"/>
      <c r="D45" s="344" t="n"/>
      <c r="E45" s="344" t="n"/>
      <c r="F45" s="344" t="n"/>
      <c r="G45" s="352" t="n"/>
      <c r="H45" s="353" t="n"/>
      <c r="I45" s="354" t="n"/>
      <c r="J45" s="355" t="n"/>
    </row>
    <row r="46" ht="14.65" customHeight="1">
      <c r="A46" s="344" t="n"/>
      <c r="B46" s="344" t="n"/>
      <c r="C46" s="344" t="n"/>
      <c r="D46" s="344" t="n"/>
      <c r="E46" s="344" t="n"/>
      <c r="F46" s="344" t="n"/>
      <c r="G46" s="368" t="n"/>
      <c r="H46" s="369" t="inlineStr">
        <is>
          <t>TOTAL HUTANG DAN MODAL</t>
        </is>
      </c>
      <c r="I46" s="370" t="inlineStr">
        <is>
          <t>Rp</t>
        </is>
      </c>
      <c r="J46" s="371">
        <f>J44+J38</f>
        <v/>
      </c>
    </row>
    <row r="47" ht="4.5" customHeight="1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</row>
    <row r="48" ht="50.65" customHeight="1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</row>
    <row r="49" ht="16.8" customHeight="1">
      <c r="A49" s="344" t="n"/>
      <c r="B49" s="372" t="inlineStr">
        <is>
          <t>Nama Lengkap</t>
        </is>
      </c>
      <c r="F49" s="344" t="n"/>
      <c r="G49" s="372" t="inlineStr">
        <is>
          <t>Nama Lengkap</t>
        </is>
      </c>
    </row>
    <row r="50" ht="15.6" customHeight="1">
      <c r="A50" s="344" t="n"/>
      <c r="B50" s="373" t="inlineStr">
        <is>
          <t>Direktur</t>
        </is>
      </c>
      <c r="F50" s="344" t="n"/>
      <c r="G50" s="373" t="inlineStr">
        <is>
          <t>Direktur</t>
        </is>
      </c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44" t="n"/>
      <c r="C52" s="344" t="n"/>
      <c r="D52" s="344" t="n"/>
      <c r="E52" s="344" t="n"/>
      <c r="F52" s="344" t="n"/>
      <c r="G52" s="344" t="n"/>
      <c r="H52" s="344" t="n"/>
      <c r="J52" s="374" t="n"/>
    </row>
    <row r="53">
      <c r="A53" s="344" t="n"/>
      <c r="B53" s="344" t="n"/>
      <c r="C53" s="344" t="n"/>
      <c r="D53" s="344" t="n"/>
      <c r="E53" s="344" t="n"/>
      <c r="F53" s="344" t="n"/>
      <c r="G53" s="344" t="n"/>
      <c r="H53" s="344" t="n"/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5" t="inlineStr">
        <is>
          <t>#</t>
        </is>
      </c>
      <c r="C6" s="375" t="inlineStr">
        <is>
          <t>Items</t>
        </is>
      </c>
      <c r="D6" s="376" t="inlineStr">
        <is>
          <t>Amount</t>
        </is>
      </c>
      <c r="E6" s="227" t="n"/>
      <c r="F6" s="329" t="n"/>
    </row>
    <row r="7" ht="20" customHeight="1">
      <c r="A7" s="326" t="n"/>
      <c r="B7" s="377" t="n">
        <v>1</v>
      </c>
      <c r="C7" s="378" t="inlineStr">
        <is>
          <t>Revenue</t>
        </is>
      </c>
      <c r="D7" s="379" t="inlineStr">
        <is>
          <t>Rp</t>
        </is>
      </c>
      <c r="E7" s="380">
        <f>SUM('Revenue-Cost_2030'!F8:F8)</f>
        <v/>
      </c>
      <c r="F7" s="329" t="n"/>
    </row>
    <row r="8" ht="20" customHeight="1">
      <c r="A8" s="326" t="n"/>
      <c r="B8" s="377" t="n">
        <v>2</v>
      </c>
      <c r="C8" s="378" t="inlineStr">
        <is>
          <t>Revenue Diterima (Setelah Pajak)</t>
        </is>
      </c>
      <c r="D8" s="379" t="inlineStr">
        <is>
          <t>Rp</t>
        </is>
      </c>
      <c r="E8" s="380">
        <f>E7-SUM('Revenue-Cost_2030'!N8:N8)</f>
        <v/>
      </c>
      <c r="F8" s="329" t="n"/>
    </row>
    <row r="9" ht="20" customHeight="1">
      <c r="A9" s="326" t="n"/>
      <c r="B9" s="377" t="n">
        <v>3</v>
      </c>
      <c r="C9" s="378" t="inlineStr">
        <is>
          <t>Biaya</t>
        </is>
      </c>
      <c r="D9" s="379" t="inlineStr">
        <is>
          <t>Rp</t>
        </is>
      </c>
      <c r="E9" s="380">
        <f>SUM('Revenue-Cost_2030'!I107:N107)</f>
        <v/>
      </c>
      <c r="F9" s="329" t="n"/>
    </row>
    <row r="10" ht="20" customHeight="1">
      <c r="A10" s="326" t="n"/>
      <c r="B10" s="377" t="n">
        <v>4</v>
      </c>
      <c r="C10" s="378" t="inlineStr">
        <is>
          <t>Profit SebelumTax</t>
        </is>
      </c>
      <c r="D10" s="379" t="inlineStr">
        <is>
          <t>Rp</t>
        </is>
      </c>
      <c r="E10" s="380">
        <f>E7-E9</f>
        <v/>
      </c>
      <c r="F10" s="329" t="n"/>
    </row>
    <row r="11" ht="20" customHeight="1">
      <c r="A11" s="326" t="n"/>
      <c r="B11" s="377" t="n">
        <v>5</v>
      </c>
      <c r="C11" s="378" t="inlineStr">
        <is>
          <t>PPh Badan (22%*50%)</t>
        </is>
      </c>
      <c r="D11" s="379" t="inlineStr">
        <is>
          <t>Rp</t>
        </is>
      </c>
      <c r="E11" s="380">
        <f>E10*22%*50%</f>
        <v/>
      </c>
      <c r="F11" s="329" t="n"/>
    </row>
    <row r="12" ht="20" customHeight="1">
      <c r="A12" s="326" t="n"/>
      <c r="B12" s="377" t="n">
        <v>6</v>
      </c>
      <c r="C12" s="378" t="inlineStr">
        <is>
          <t>PPh 23 Dipotong oleh client</t>
        </is>
      </c>
      <c r="D12" s="379" t="inlineStr">
        <is>
          <t>Rp</t>
        </is>
      </c>
      <c r="E12" s="380">
        <f>SUM('Revenue-Cost_2030'!N8:N8)</f>
        <v/>
      </c>
      <c r="F12" s="329" t="n"/>
    </row>
    <row r="13" ht="20" customHeight="1">
      <c r="A13" s="326" t="n"/>
      <c r="B13" s="377" t="n">
        <v>7</v>
      </c>
      <c r="C13" s="378" t="inlineStr">
        <is>
          <t>Kekurangan Bayar PPh Badan</t>
        </is>
      </c>
      <c r="D13" s="379" t="inlineStr">
        <is>
          <t>Rp</t>
        </is>
      </c>
      <c r="E13" s="381">
        <f>E11-E12</f>
        <v/>
      </c>
      <c r="F13" s="329" t="n"/>
    </row>
    <row r="14" ht="20" customHeight="1">
      <c r="A14" s="326" t="n"/>
      <c r="B14" s="377" t="n">
        <v>8</v>
      </c>
      <c r="C14" s="378" t="inlineStr">
        <is>
          <t>Profit After Tax</t>
        </is>
      </c>
      <c r="D14" s="379" t="inlineStr">
        <is>
          <t>Rp</t>
        </is>
      </c>
      <c r="E14" s="380">
        <f>E10-E13</f>
        <v/>
      </c>
      <c r="F14" s="329" t="n"/>
    </row>
    <row r="15" ht="20" customHeight="1">
      <c r="A15" s="326" t="n"/>
      <c r="B15" s="377" t="n">
        <v>9</v>
      </c>
      <c r="C15" s="378" t="inlineStr">
        <is>
          <t>Deviden Dibagi</t>
        </is>
      </c>
      <c r="D15" s="379" t="inlineStr">
        <is>
          <t>Rp</t>
        </is>
      </c>
      <c r="E15" s="380">
        <f>E14-E16</f>
        <v/>
      </c>
      <c r="F15" s="329" t="n"/>
    </row>
    <row r="16" ht="20" customHeight="1">
      <c r="A16" s="326" t="n"/>
      <c r="B16" s="377" t="n">
        <v>10</v>
      </c>
      <c r="C16" s="378" t="inlineStr">
        <is>
          <t>Profit Ditahan</t>
        </is>
      </c>
      <c r="D16" s="379" t="inlineStr">
        <is>
          <t>Rp</t>
        </is>
      </c>
      <c r="E16" s="380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2" t="inlineStr">
        <is>
          <t>DEVIDEN</t>
        </is>
      </c>
      <c r="F18" s="329" t="n"/>
    </row>
    <row r="19" ht="20" customHeight="1">
      <c r="A19" s="326" t="n"/>
      <c r="B19" s="383" t="inlineStr">
        <is>
          <t>#</t>
        </is>
      </c>
      <c r="C19" s="383" t="inlineStr">
        <is>
          <t>Nama Lengkap</t>
        </is>
      </c>
      <c r="D19" s="384" t="inlineStr">
        <is>
          <t>Rp</t>
        </is>
      </c>
      <c r="E19" s="385" t="inlineStr">
        <is>
          <t>Amount</t>
        </is>
      </c>
      <c r="F19" s="329" t="n"/>
      <c r="G19" s="386" t="inlineStr"/>
    </row>
    <row r="20" ht="18" customHeight="1">
      <c r="A20" s="326" t="n"/>
      <c r="B20" s="387" t="n"/>
      <c r="C20" s="388" t="n"/>
      <c r="D20" s="389" t="n"/>
      <c r="E20" s="390" t="n"/>
      <c r="F20" s="391" t="n"/>
      <c r="G20" s="392" t="n"/>
    </row>
    <row r="21" ht="48.75" customHeight="1">
      <c r="A21" s="393" t="n"/>
      <c r="B21" s="394" t="n"/>
      <c r="C21" s="394" t="n"/>
      <c r="D21" s="394" t="n"/>
      <c r="E21" s="394" t="n"/>
      <c r="F21" s="391" t="n"/>
      <c r="G21" s="394" t="n"/>
    </row>
    <row r="22" ht="14.25" customHeight="1">
      <c r="A22" s="393" t="n"/>
      <c r="B22" s="394" t="n"/>
      <c r="C22" s="394" t="n"/>
      <c r="D22" s="394" t="n"/>
      <c r="E22" s="394" t="n"/>
      <c r="F22" s="391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2026-04-28T12:26:12Z</dcterms:modified>
  <cp:lastModifiedBy>Diofavian - Student</cp:lastModifiedBy>
</cp:coreProperties>
</file>