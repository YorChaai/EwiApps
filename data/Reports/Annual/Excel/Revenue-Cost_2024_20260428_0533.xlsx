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5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8" fillId="10" borderId="16" pivotButton="0" quotePrefix="0" xfId="0"/>
    <xf numFmtId="165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0" fontId="8" fillId="11" borderId="16" applyAlignment="1" pivotButton="0" quotePrefix="0" xfId="0">
      <alignment vertical="center"/>
    </xf>
    <xf numFmtId="165" fontId="8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9" fontId="11" fillId="11" borderId="16" applyAlignment="1" pivotButton="0" quotePrefix="0" xfId="4">
      <alignment vertical="center"/>
    </xf>
    <xf numFmtId="0" fontId="11" fillId="11" borderId="16" applyAlignment="1" pivotButton="0" quotePrefix="0" xfId="0">
      <alignment vertical="center"/>
    </xf>
    <xf numFmtId="0" fontId="25" fillId="11" borderId="16" applyAlignment="1" pivotButton="0" quotePrefix="0" xfId="5">
      <alignment horizontal="left" vertical="center"/>
    </xf>
    <xf numFmtId="0" fontId="11" fillId="11" borderId="16" applyAlignment="1" pivotButton="0" quotePrefix="0" xfId="5">
      <alignment vertical="center"/>
    </xf>
    <xf numFmtId="168" fontId="11" fillId="11" borderId="16" applyAlignment="1" pivotButton="0" quotePrefix="0" xfId="5">
      <alignment vertical="center"/>
    </xf>
    <xf numFmtId="165" fontId="11" fillId="11" borderId="16" applyAlignment="1" pivotButton="0" quotePrefix="0" xfId="1">
      <alignment vertical="center"/>
    </xf>
    <xf numFmtId="169" fontId="28" fillId="12" borderId="16" applyAlignment="1" pivotButton="0" quotePrefix="0" xfId="4">
      <alignment horizontal="left" vertical="center"/>
    </xf>
    <xf numFmtId="0" fontId="28" fillId="12" borderId="16" applyAlignment="1" pivotButton="0" quotePrefix="0" xfId="5">
      <alignment horizontal="left" vertical="center"/>
    </xf>
    <xf numFmtId="0" fontId="28" fillId="12" borderId="16" applyAlignment="1" pivotButton="0" quotePrefix="0" xfId="5">
      <alignment vertical="center"/>
    </xf>
    <xf numFmtId="3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/>
    </xf>
    <xf numFmtId="15" fontId="16" fillId="11" borderId="16" applyAlignment="1" pivotButton="0" quotePrefix="0" xfId="0">
      <alignment vertical="center"/>
    </xf>
    <xf numFmtId="15" fontId="25" fillId="11" borderId="16" applyAlignment="1" pivotButton="0" quotePrefix="0" xfId="0">
      <alignment horizontal="left" vertical="center"/>
    </xf>
    <xf numFmtId="15" fontId="28" fillId="12" borderId="16" applyAlignment="1" pivotButton="0" quotePrefix="0" xfId="0">
      <alignment vertical="center"/>
    </xf>
    <xf numFmtId="170" fontId="8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7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9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inlineStr">
        <is>
          <t>-</t>
        </is>
      </c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 t="n">
        <v>3000000</v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</row>
    <row r="523" ht="15.5" customHeight="1">
      <c r="B523" s="284" t="n"/>
      <c r="C523" s="285" t="n"/>
      <c r="D523" s="286" t="inlineStr">
        <is>
          <t>Biaya Bank</t>
        </is>
      </c>
      <c r="E523" s="287" t="n"/>
      <c r="F523" s="288" t="n"/>
      <c r="G523" s="289" t="n"/>
      <c r="H523" s="289" t="n"/>
      <c r="I523" s="290" t="n"/>
      <c r="J523" s="290" t="n"/>
      <c r="K523" s="291" t="n"/>
      <c r="L523" s="292" t="n"/>
      <c r="M523" s="292" t="n"/>
      <c r="N523" s="292" t="n"/>
      <c r="O523" s="292" t="n"/>
      <c r="P523" s="292" t="n"/>
      <c r="Q523" s="292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</row>
    <row r="524" ht="15.5" customHeight="1">
      <c r="B524" s="293" t="n">
        <v>45657</v>
      </c>
      <c r="C524" s="294" t="n">
        <v>2</v>
      </c>
      <c r="D524" s="295" t="inlineStr">
        <is>
          <t>Total Biaya Transaksi Bank selama 1 tahun</t>
        </is>
      </c>
      <c r="E524" s="287" t="inlineStr">
        <is>
          <t>-</t>
        </is>
      </c>
      <c r="F524" s="296" t="n">
        <v>1998587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287" t="n"/>
      <c r="M524" s="300" t="n">
        <v>1998587</v>
      </c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</row>
    <row r="525" ht="15.5" customHeight="1">
      <c r="B525" s="284" t="n"/>
      <c r="C525" s="285" t="n"/>
      <c r="D525" s="286" t="inlineStr">
        <is>
          <t>Data Processing</t>
        </is>
      </c>
      <c r="E525" s="287" t="n"/>
      <c r="F525" s="288" t="n"/>
      <c r="G525" s="289" t="n"/>
      <c r="H525" s="289" t="n"/>
      <c r="I525" s="290" t="n"/>
      <c r="J525" s="290" t="n"/>
      <c r="K525" s="291" t="n"/>
      <c r="L525" s="292" t="n"/>
      <c r="M525" s="292" t="n"/>
      <c r="N525" s="292" t="n"/>
      <c r="O525" s="292" t="n"/>
      <c r="P525" s="292" t="n"/>
      <c r="Q525" s="292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</row>
    <row r="526" ht="15.5" customHeight="1">
      <c r="B526" s="293" t="n">
        <v>45413</v>
      </c>
      <c r="C526" s="294" t="n">
        <v>3</v>
      </c>
      <c r="D526" s="295" t="inlineStr">
        <is>
          <t>Data proccesing MTD 4 well, project Tomori-Alan</t>
        </is>
      </c>
      <c r="E526" s="287" t="inlineStr">
        <is>
          <t>BCA</t>
        </is>
      </c>
      <c r="F526" s="296" t="n">
        <v>122625000</v>
      </c>
      <c r="G526" s="289" t="inlineStr">
        <is>
          <t>IDR</t>
        </is>
      </c>
      <c r="H526" s="297" t="n">
        <v>1</v>
      </c>
      <c r="I526" s="298" t="n"/>
      <c r="J526" s="298" t="n"/>
      <c r="K526" s="300" t="n">
        <v>122625000</v>
      </c>
      <c r="L526" s="287" t="n"/>
      <c r="M526" s="287" t="n"/>
      <c r="N526" s="287" t="n"/>
      <c r="O526" s="287" t="n"/>
      <c r="P526" s="287" t="n"/>
      <c r="Q526" s="287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</row>
    <row r="527" ht="15.5" customHeight="1">
      <c r="B527" s="293" t="n">
        <v>45525</v>
      </c>
      <c r="C527" s="294" t="n">
        <v>4</v>
      </c>
      <c r="D527" s="295" t="inlineStr">
        <is>
          <t>Data proccesing TGB-33 DAN TIS (RBG-3b)-Alan</t>
        </is>
      </c>
      <c r="E527" s="287" t="inlineStr">
        <is>
          <t>BCA</t>
        </is>
      </c>
      <c r="F527" s="296" t="n">
        <v>101120000</v>
      </c>
      <c r="G527" s="289" t="inlineStr">
        <is>
          <t>IDR</t>
        </is>
      </c>
      <c r="H527" s="297" t="n">
        <v>1</v>
      </c>
      <c r="I527" s="298" t="n"/>
      <c r="J527" s="298" t="n"/>
      <c r="K527" s="300" t="n">
        <v>101120000</v>
      </c>
      <c r="L527" s="287" t="n"/>
      <c r="M527" s="287" t="n"/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</row>
    <row r="528" ht="15.5" customHeight="1">
      <c r="B528" s="293" t="n">
        <v>45589</v>
      </c>
      <c r="C528" s="294" t="n">
        <v>5</v>
      </c>
      <c r="D528" s="295" t="inlineStr">
        <is>
          <t>Data Processing 8 Well Alan Project SIJAK</t>
        </is>
      </c>
      <c r="E528" s="287" t="inlineStr">
        <is>
          <t>BRI</t>
        </is>
      </c>
      <c r="F528" s="296" t="n">
        <v>144000000</v>
      </c>
      <c r="G528" s="289" t="inlineStr">
        <is>
          <t>IDR</t>
        </is>
      </c>
      <c r="H528" s="297" t="n">
        <v>1</v>
      </c>
      <c r="I528" s="298" t="n"/>
      <c r="J528" s="298" t="n"/>
      <c r="K528" s="300" t="n">
        <v>144000000</v>
      </c>
      <c r="L528" s="287" t="n"/>
      <c r="M528" s="287" t="n"/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</row>
    <row r="529" ht="15.5" customHeight="1">
      <c r="B529" s="284" t="n"/>
      <c r="C529" s="285" t="n"/>
      <c r="D529" s="286" t="inlineStr">
        <is>
          <t>Elektronik &amp; Gadget</t>
        </is>
      </c>
      <c r="E529" s="287" t="n"/>
      <c r="F529" s="288" t="n"/>
      <c r="G529" s="289" t="n"/>
      <c r="H529" s="289" t="n"/>
      <c r="I529" s="290" t="n"/>
      <c r="J529" s="290" t="n"/>
      <c r="K529" s="291" t="n"/>
      <c r="L529" s="292" t="n"/>
      <c r="M529" s="292" t="n"/>
      <c r="N529" s="292" t="n"/>
      <c r="O529" s="292" t="n"/>
      <c r="P529" s="292" t="n"/>
      <c r="Q529" s="292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</row>
    <row r="530" ht="15.5" customHeight="1">
      <c r="B530" s="293" t="n">
        <v>45501</v>
      </c>
      <c r="C530" s="294" t="n">
        <v>6</v>
      </c>
      <c r="D530" s="295" t="inlineStr">
        <is>
          <t>Handphone Operational untuk Secretary (Yufitri)</t>
        </is>
      </c>
      <c r="E530" s="287" t="inlineStr">
        <is>
          <t>BCA</t>
        </is>
      </c>
      <c r="F530" s="296" t="n">
        <v>2600000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287" t="n"/>
      <c r="N530" s="300" t="n">
        <v>2600000</v>
      </c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</row>
    <row r="531" ht="15.5" customHeight="1">
      <c r="B531" s="284" t="n"/>
      <c r="C531" s="285" t="n"/>
      <c r="D531" s="286" t="inlineStr">
        <is>
          <t>Gaji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</row>
    <row r="532" ht="15.5" customHeight="1">
      <c r="B532" s="293" t="n">
        <v>45323</v>
      </c>
      <c r="C532" s="294" t="n">
        <v>7</v>
      </c>
      <c r="D532" s="295" t="inlineStr">
        <is>
          <t>Gaji Januari 2024 _Yufitri</t>
        </is>
      </c>
      <c r="E532" s="287" t="inlineStr">
        <is>
          <t>BCA</t>
        </is>
      </c>
      <c r="F532" s="296" t="n">
        <v>2500000</v>
      </c>
      <c r="G532" s="289" t="inlineStr">
        <is>
          <t>IDR</t>
        </is>
      </c>
      <c r="H532" s="297" t="n">
        <v>1</v>
      </c>
      <c r="I532" s="298" t="n"/>
      <c r="J532" s="298" t="n"/>
      <c r="K532" s="299" t="n"/>
      <c r="L532" s="300" t="n">
        <v>2500000</v>
      </c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</row>
    <row r="533" ht="15.5" customHeight="1">
      <c r="B533" s="293" t="n">
        <v>45356</v>
      </c>
      <c r="C533" s="294" t="n">
        <v>8</v>
      </c>
      <c r="D533" s="295" t="inlineStr">
        <is>
          <t>Gaji Februari 2024 + raple gaji Januari 2024_Yufitri</t>
        </is>
      </c>
      <c r="E533" s="287" t="inlineStr">
        <is>
          <t>BCA</t>
        </is>
      </c>
      <c r="F533" s="296" t="n">
        <v>3500000</v>
      </c>
      <c r="G533" s="289" t="inlineStr">
        <is>
          <t>IDR</t>
        </is>
      </c>
      <c r="H533" s="297" t="n">
        <v>1</v>
      </c>
      <c r="I533" s="298" t="n"/>
      <c r="J533" s="298" t="n"/>
      <c r="K533" s="299" t="n"/>
      <c r="L533" s="300" t="n">
        <v>3500000</v>
      </c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</row>
    <row r="534" ht="15.5" customHeight="1">
      <c r="B534" s="293" t="n">
        <v>45379</v>
      </c>
      <c r="C534" s="294" t="n">
        <v>9</v>
      </c>
      <c r="D534" s="295" t="inlineStr">
        <is>
          <t>Gaji Maret 2024_Yufitri</t>
        </is>
      </c>
      <c r="E534" s="287" t="inlineStr">
        <is>
          <t>BCA</t>
        </is>
      </c>
      <c r="F534" s="296" t="n">
        <v>3000000</v>
      </c>
      <c r="G534" s="289" t="inlineStr">
        <is>
          <t>IDR</t>
        </is>
      </c>
      <c r="H534" s="297" t="n">
        <v>1</v>
      </c>
      <c r="I534" s="298" t="n"/>
      <c r="J534" s="298" t="n"/>
      <c r="K534" s="299" t="n"/>
      <c r="L534" s="300" t="n">
        <v>3000000</v>
      </c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</row>
    <row r="535" ht="15.5" customHeight="1">
      <c r="B535" s="293" t="n">
        <v>45416</v>
      </c>
      <c r="C535" s="294" t="n">
        <v>10</v>
      </c>
      <c r="D535" s="295" t="inlineStr">
        <is>
          <t>Gaji April_Yufitri</t>
        </is>
      </c>
      <c r="E535" s="287" t="inlineStr">
        <is>
          <t>BCA</t>
        </is>
      </c>
      <c r="F535" s="296" t="n">
        <v>3000000</v>
      </c>
      <c r="G535" s="289" t="inlineStr">
        <is>
          <t>IDR</t>
        </is>
      </c>
      <c r="H535" s="297" t="n">
        <v>1</v>
      </c>
      <c r="I535" s="298" t="n"/>
      <c r="J535" s="298" t="n"/>
      <c r="K535" s="299" t="n"/>
      <c r="L535" s="300" t="n">
        <v>3000000</v>
      </c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</row>
    <row r="536" ht="15.5" customHeight="1">
      <c r="B536" s="293" t="n">
        <v>45446</v>
      </c>
      <c r="C536" s="294" t="n">
        <v>11</v>
      </c>
      <c r="D536" s="295" t="inlineStr">
        <is>
          <t>Gaji Mei_Yufitri</t>
        </is>
      </c>
      <c r="E536" s="287" t="inlineStr">
        <is>
          <t>BCA</t>
        </is>
      </c>
      <c r="F536" s="296" t="n">
        <v>3000000</v>
      </c>
      <c r="G536" s="289" t="inlineStr">
        <is>
          <t>IDR</t>
        </is>
      </c>
      <c r="H536" s="297" t="n">
        <v>1</v>
      </c>
      <c r="I536" s="298" t="n"/>
      <c r="J536" s="298" t="n"/>
      <c r="K536" s="299" t="n"/>
      <c r="L536" s="300" t="n">
        <v>3000000</v>
      </c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</row>
    <row r="537" ht="15.5" customHeight="1">
      <c r="B537" s="293" t="n">
        <v>45473</v>
      </c>
      <c r="C537" s="294" t="n">
        <v>12</v>
      </c>
      <c r="D537" s="295" t="inlineStr">
        <is>
          <t>Gaji Juni 2024_Yufitri</t>
        </is>
      </c>
      <c r="E537" s="287" t="inlineStr">
        <is>
          <t>BCA</t>
        </is>
      </c>
      <c r="F537" s="296" t="n">
        <v>3000000</v>
      </c>
      <c r="G537" s="289" t="inlineStr">
        <is>
          <t>IDR</t>
        </is>
      </c>
      <c r="H537" s="297" t="n">
        <v>1</v>
      </c>
      <c r="I537" s="298" t="n"/>
      <c r="J537" s="298" t="n"/>
      <c r="K537" s="299" t="n"/>
      <c r="L537" s="300" t="n">
        <v>3000000</v>
      </c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</row>
    <row r="538" ht="15.5" customHeight="1">
      <c r="B538" s="293" t="n">
        <v>45501</v>
      </c>
      <c r="C538" s="294" t="n">
        <v>13</v>
      </c>
      <c r="D538" s="295" t="inlineStr">
        <is>
          <t>Gaji Juli 2024_Yufitri</t>
        </is>
      </c>
      <c r="E538" s="287" t="inlineStr">
        <is>
          <t>BCA</t>
        </is>
      </c>
      <c r="F538" s="296" t="n">
        <v>3000000</v>
      </c>
      <c r="G538" s="289" t="inlineStr">
        <is>
          <t>IDR</t>
        </is>
      </c>
      <c r="H538" s="297" t="n">
        <v>1</v>
      </c>
      <c r="I538" s="298" t="n"/>
      <c r="J538" s="298" t="n"/>
      <c r="K538" s="299" t="n"/>
      <c r="L538" s="300" t="n">
        <v>3000000</v>
      </c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</row>
    <row r="539" ht="15.5" customHeight="1">
      <c r="B539" s="293" t="n">
        <v>45535</v>
      </c>
      <c r="C539" s="294" t="n">
        <v>14</v>
      </c>
      <c r="D539" s="295" t="inlineStr">
        <is>
          <t>Gaji Agustus 2024_Yufitri</t>
        </is>
      </c>
      <c r="E539" s="287" t="inlineStr">
        <is>
          <t>BCA</t>
        </is>
      </c>
      <c r="F539" s="296" t="n">
        <v>3000000</v>
      </c>
      <c r="G539" s="289" t="inlineStr">
        <is>
          <t>IDR</t>
        </is>
      </c>
      <c r="H539" s="297" t="n">
        <v>1</v>
      </c>
      <c r="I539" s="298" t="n"/>
      <c r="J539" s="298" t="n"/>
      <c r="K539" s="299" t="n"/>
      <c r="L539" s="300" t="n">
        <v>3000000</v>
      </c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</row>
    <row r="540" ht="15.5" customHeight="1">
      <c r="B540" s="293" t="n">
        <v>45568</v>
      </c>
      <c r="C540" s="294" t="n">
        <v>15</v>
      </c>
      <c r="D540" s="295" t="inlineStr">
        <is>
          <t>Gaji fitri bulan september 2024</t>
        </is>
      </c>
      <c r="E540" s="287" t="inlineStr">
        <is>
          <t>BRI</t>
        </is>
      </c>
      <c r="F540" s="296" t="n">
        <v>3000000</v>
      </c>
      <c r="G540" s="289" t="inlineStr">
        <is>
          <t>IDR</t>
        </is>
      </c>
      <c r="H540" s="297" t="n">
        <v>1</v>
      </c>
      <c r="I540" s="298" t="n"/>
      <c r="J540" s="298" t="n"/>
      <c r="K540" s="299" t="n"/>
      <c r="L540" s="300" t="n">
        <v>3000000</v>
      </c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</row>
    <row r="541" ht="15.5" customHeight="1">
      <c r="B541" s="293" t="n">
        <v>45568</v>
      </c>
      <c r="C541" s="294" t="n">
        <v>16</v>
      </c>
      <c r="D541" s="295" t="inlineStr">
        <is>
          <t>Gaji fitri bulan October 2024</t>
        </is>
      </c>
      <c r="E541" s="287" t="inlineStr">
        <is>
          <t>BRI</t>
        </is>
      </c>
      <c r="F541" s="296" t="n">
        <v>3000000</v>
      </c>
      <c r="G541" s="289" t="inlineStr">
        <is>
          <t>IDR</t>
        </is>
      </c>
      <c r="H541" s="297" t="n">
        <v>1</v>
      </c>
      <c r="I541" s="298" t="n"/>
      <c r="J541" s="298" t="n"/>
      <c r="K541" s="299" t="n"/>
      <c r="L541" s="300" t="n">
        <v>3000000</v>
      </c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</row>
    <row r="542" ht="15.5" customHeight="1">
      <c r="B542" s="293" t="n">
        <v>45625</v>
      </c>
      <c r="C542" s="294" t="n">
        <v>17</v>
      </c>
      <c r="D542" s="295" t="inlineStr">
        <is>
          <t>Gaji fitri bulan November 2024</t>
        </is>
      </c>
      <c r="E542" s="287" t="inlineStr">
        <is>
          <t>BRI</t>
        </is>
      </c>
      <c r="F542" s="296" t="n">
        <v>3000000</v>
      </c>
      <c r="G542" s="289" t="inlineStr">
        <is>
          <t>IDR</t>
        </is>
      </c>
      <c r="H542" s="297" t="n">
        <v>1</v>
      </c>
      <c r="I542" s="298" t="n"/>
      <c r="J542" s="298" t="n"/>
      <c r="K542" s="299" t="n"/>
      <c r="L542" s="300" t="n">
        <v>3000000</v>
      </c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</row>
    <row r="543" ht="15.5" customHeight="1">
      <c r="B543" s="293" t="n">
        <v>45651</v>
      </c>
      <c r="C543" s="294" t="n">
        <v>18</v>
      </c>
      <c r="D543" s="295" t="inlineStr">
        <is>
          <t>Gaji Desember 2024 + Bomnus akhir tahun - 4 bulan_Yufitri</t>
        </is>
      </c>
      <c r="E543" s="287" t="inlineStr">
        <is>
          <t>BCA</t>
        </is>
      </c>
      <c r="F543" s="296" t="n">
        <v>15000000</v>
      </c>
      <c r="G543" s="289" t="inlineStr">
        <is>
          <t>IDR</t>
        </is>
      </c>
      <c r="H543" s="297" t="n">
        <v>1</v>
      </c>
      <c r="I543" s="298" t="n"/>
      <c r="J543" s="298" t="n"/>
      <c r="K543" s="299" t="n"/>
      <c r="L543" s="300" t="n">
        <v>15000000</v>
      </c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</row>
    <row r="544" ht="15.5" customHeight="1">
      <c r="B544" s="284" t="n"/>
      <c r="C544" s="285" t="n"/>
      <c r="D544" s="286" t="inlineStr">
        <is>
          <t>Hand Tools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</row>
    <row r="545" ht="15.5" customHeight="1">
      <c r="B545" s="293" t="n">
        <v>45473</v>
      </c>
      <c r="C545" s="294" t="n">
        <v>19</v>
      </c>
      <c r="D545" s="295" t="inlineStr">
        <is>
          <t>Downhole Sampling tool #1-1 GARINDO SARANA BARU</t>
        </is>
      </c>
      <c r="E545" s="287" t="inlineStr">
        <is>
          <t>BCA</t>
        </is>
      </c>
      <c r="F545" s="296" t="n">
        <v>39800000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 t="n">
        <v>39800000</v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</row>
    <row r="546" ht="15.5" customHeight="1">
      <c r="B546" s="293" t="n">
        <v>45519</v>
      </c>
      <c r="C546" s="294" t="n">
        <v>20</v>
      </c>
      <c r="D546" s="295" t="inlineStr">
        <is>
          <t>Downhole Sampling tool #1-2 GARINDO SARANA BARU</t>
        </is>
      </c>
      <c r="E546" s="287" t="inlineStr">
        <is>
          <t>BCA</t>
        </is>
      </c>
      <c r="F546" s="296" t="n">
        <v>53835000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 t="n">
        <v>53835000</v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</row>
    <row r="547" ht="15.5" customHeight="1">
      <c r="B547" s="293" t="n">
        <v>45556</v>
      </c>
      <c r="C547" s="294" t="n">
        <v>21</v>
      </c>
      <c r="D547" s="295" t="inlineStr">
        <is>
          <t>Downhole Sampling tool #2 GARINDO SARANA BARU</t>
        </is>
      </c>
      <c r="E547" s="287" t="inlineStr">
        <is>
          <t>BCA</t>
        </is>
      </c>
      <c r="F547" s="296" t="n">
        <v>34299000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 t="n">
        <v>34299000</v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</row>
    <row r="548" ht="15.5" customHeight="1">
      <c r="B548" s="284" t="n"/>
      <c r="C548" s="285" t="n"/>
      <c r="D548" s="286" t="inlineStr">
        <is>
          <t>Meal</t>
        </is>
      </c>
      <c r="E548" s="287" t="n"/>
      <c r="F548" s="288" t="n"/>
      <c r="G548" s="289" t="n"/>
      <c r="H548" s="289" t="n"/>
      <c r="I548" s="290" t="n"/>
      <c r="J548" s="290" t="n"/>
      <c r="K548" s="291" t="n"/>
      <c r="L548" s="292" t="n"/>
      <c r="M548" s="292" t="n"/>
      <c r="N548" s="292" t="n"/>
      <c r="O548" s="292" t="n"/>
      <c r="P548" s="292" t="n"/>
      <c r="Q548" s="292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</row>
    <row r="549" ht="15.5" customHeight="1">
      <c r="B549" s="293" t="n">
        <v>45644</v>
      </c>
      <c r="C549" s="294" t="n">
        <v>22</v>
      </c>
      <c r="D549" s="295" t="inlineStr">
        <is>
          <t>Team building EWI dengan team Well Intervention PEP Reg. 2</t>
        </is>
      </c>
      <c r="E549" s="287" t="inlineStr">
        <is>
          <t>BCA</t>
        </is>
      </c>
      <c r="F549" s="296" t="n">
        <v>39201350</v>
      </c>
      <c r="G549" s="289" t="inlineStr">
        <is>
          <t>IDR</t>
        </is>
      </c>
      <c r="H549" s="297" t="n">
        <v>1</v>
      </c>
      <c r="I549" s="298" t="n"/>
      <c r="J549" s="298" t="n"/>
      <c r="K549" s="299" t="n"/>
      <c r="L549" s="300" t="n">
        <v>39201350</v>
      </c>
      <c r="M549" s="287" t="n"/>
      <c r="N549" s="287" t="n"/>
      <c r="O549" s="287" t="n"/>
      <c r="P549" s="287" t="n"/>
      <c r="Q549" s="287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</row>
    <row r="550" ht="15.5" customHeight="1">
      <c r="B550" s="284" t="n"/>
      <c r="C550" s="285" t="n"/>
      <c r="D550" s="286" t="inlineStr">
        <is>
          <t>Modal Kerja</t>
        </is>
      </c>
      <c r="E550" s="287" t="n"/>
      <c r="F550" s="288" t="n"/>
      <c r="G550" s="289" t="n"/>
      <c r="H550" s="289" t="n"/>
      <c r="I550" s="290" t="n"/>
      <c r="J550" s="290" t="n"/>
      <c r="K550" s="291" t="n"/>
      <c r="L550" s="292" t="n"/>
      <c r="M550" s="292" t="n"/>
      <c r="N550" s="292" t="n"/>
      <c r="O550" s="292" t="n"/>
      <c r="P550" s="292" t="n"/>
      <c r="Q550" s="292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</row>
    <row r="551" ht="15.5" customHeight="1">
      <c r="B551" s="293" t="n">
        <v>45483</v>
      </c>
      <c r="C551" s="294" t="n">
        <v>23</v>
      </c>
      <c r="D551" s="295" t="inlineStr">
        <is>
          <t>Pembelian Lisence Sonoechometer to PT Weebz Mandiri</t>
        </is>
      </c>
      <c r="E551" s="287" t="inlineStr">
        <is>
          <t>BCA</t>
        </is>
      </c>
      <c r="F551" s="296" t="n">
        <v>16650000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287" t="n"/>
      <c r="M551" s="287" t="n"/>
      <c r="N551" s="287" t="n"/>
      <c r="O551" s="287" t="n"/>
      <c r="P551" s="287" t="n"/>
      <c r="Q551" s="300" t="n">
        <v>16650000</v>
      </c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</row>
    <row r="552" ht="15.5" customHeight="1">
      <c r="B552" s="293" t="n">
        <v>45519</v>
      </c>
      <c r="C552" s="294" t="n">
        <v>24</v>
      </c>
      <c r="D552" s="295" t="inlineStr">
        <is>
          <t>MUTRI | Sewa ruangan kantor BBC 2 bulan</t>
        </is>
      </c>
      <c r="E552" s="287" t="inlineStr">
        <is>
          <t>BCA</t>
        </is>
      </c>
      <c r="F552" s="296" t="n">
        <v>11270000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287" t="n"/>
      <c r="M552" s="287" t="n"/>
      <c r="N552" s="287" t="n"/>
      <c r="O552" s="287" t="n"/>
      <c r="P552" s="287" t="n"/>
      <c r="Q552" s="300" t="n">
        <v>11270000</v>
      </c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</row>
    <row r="553" ht="15.5" customHeight="1">
      <c r="B553" s="293" t="n">
        <v>45539</v>
      </c>
      <c r="C553" s="294" t="n">
        <v>25</v>
      </c>
      <c r="D553" s="295" t="inlineStr">
        <is>
          <t>MUTRI | Penambahan modal biaya kerja</t>
        </is>
      </c>
      <c r="E553" s="287" t="inlineStr">
        <is>
          <t>BRI</t>
        </is>
      </c>
      <c r="F553" s="296" t="n">
        <v>100000000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287" t="n"/>
      <c r="M553" s="287" t="n"/>
      <c r="N553" s="287" t="n"/>
      <c r="O553" s="287" t="n"/>
      <c r="P553" s="287" t="n"/>
      <c r="Q553" s="300" t="n">
        <v>100000000</v>
      </c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</row>
    <row r="554" ht="15.5" customHeight="1">
      <c r="B554" s="293" t="n">
        <v>45625</v>
      </c>
      <c r="C554" s="294" t="n">
        <v>26</v>
      </c>
      <c r="D554" s="295" t="inlineStr">
        <is>
          <t>MUTRI | Penambahan modal biaya kerja 3rd</t>
        </is>
      </c>
      <c r="E554" s="287" t="inlineStr">
        <is>
          <t>BRI</t>
        </is>
      </c>
      <c r="F554" s="296" t="n">
        <v>75000000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287" t="n"/>
      <c r="M554" s="287" t="n"/>
      <c r="N554" s="287" t="n"/>
      <c r="O554" s="287" t="n"/>
      <c r="P554" s="287" t="n"/>
      <c r="Q554" s="300" t="n">
        <v>75000000</v>
      </c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</row>
    <row r="555" ht="15.5" customHeight="1">
      <c r="B555" s="284" t="n"/>
      <c r="C555" s="285" t="n"/>
      <c r="D555" s="286" t="inlineStr">
        <is>
          <t>Pembuatan Alat</t>
        </is>
      </c>
      <c r="E555" s="287" t="n"/>
      <c r="F555" s="288" t="n"/>
      <c r="G555" s="289" t="n"/>
      <c r="H555" s="289" t="n"/>
      <c r="I555" s="290" t="n"/>
      <c r="J555" s="290" t="n"/>
      <c r="K555" s="291" t="n"/>
      <c r="L555" s="292" t="n"/>
      <c r="M555" s="292" t="n"/>
      <c r="N555" s="292" t="n"/>
      <c r="O555" s="292" t="n"/>
      <c r="P555" s="292" t="n"/>
      <c r="Q555" s="292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</row>
    <row r="556" ht="15.5" customHeight="1">
      <c r="B556" s="293" t="n">
        <v>45364</v>
      </c>
      <c r="C556" s="294" t="n">
        <v>27</v>
      </c>
      <c r="D556" s="295" t="inlineStr">
        <is>
          <t>Ralika Jaya Utama | Permbuatan alat Downhole Wireless Telemetry</t>
        </is>
      </c>
      <c r="E556" s="287" t="inlineStr">
        <is>
          <t>BCA</t>
        </is>
      </c>
      <c r="F556" s="296" t="n">
        <v>100000000</v>
      </c>
      <c r="G556" s="289" t="inlineStr">
        <is>
          <t>IDR</t>
        </is>
      </c>
      <c r="H556" s="297" t="n">
        <v>1</v>
      </c>
      <c r="I556" s="298" t="n"/>
      <c r="J556" s="301" t="n">
        <v>100000000</v>
      </c>
      <c r="K556" s="299" t="n"/>
      <c r="L556" s="287" t="n"/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</row>
    <row r="557" ht="15.5" customHeight="1">
      <c r="B557" s="293" t="n">
        <v>45418</v>
      </c>
      <c r="C557" s="294" t="n">
        <v>28</v>
      </c>
      <c r="D557" s="295" t="inlineStr">
        <is>
          <t>Ralika Jaya Utama | Permbuatan alat Downhole Wireless Telemetry</t>
        </is>
      </c>
      <c r="E557" s="287" t="inlineStr">
        <is>
          <t>BRI</t>
        </is>
      </c>
      <c r="F557" s="296" t="n">
        <v>100000000</v>
      </c>
      <c r="G557" s="289" t="inlineStr">
        <is>
          <t>IDR</t>
        </is>
      </c>
      <c r="H557" s="297" t="n">
        <v>1</v>
      </c>
      <c r="I557" s="298" t="n"/>
      <c r="J557" s="301" t="n">
        <v>100000000</v>
      </c>
      <c r="K557" s="299" t="n"/>
      <c r="L557" s="287" t="n"/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</row>
    <row r="558" ht="15.5" customHeight="1">
      <c r="B558" s="293" t="n">
        <v>45502</v>
      </c>
      <c r="C558" s="294" t="n">
        <v>29</v>
      </c>
      <c r="D558" s="295" t="inlineStr">
        <is>
          <t>Ralika Jaya Utama | Permbuatan alat injeksi listrik (EAS)</t>
        </is>
      </c>
      <c r="E558" s="287" t="inlineStr">
        <is>
          <t>BRI</t>
        </is>
      </c>
      <c r="F558" s="296" t="n">
        <v>100000000</v>
      </c>
      <c r="G558" s="289" t="inlineStr">
        <is>
          <t>IDR</t>
        </is>
      </c>
      <c r="H558" s="297" t="n">
        <v>1</v>
      </c>
      <c r="I558" s="298" t="n"/>
      <c r="J558" s="301" t="n">
        <v>100000000</v>
      </c>
      <c r="K558" s="299" t="n"/>
      <c r="L558" s="287" t="n"/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</row>
    <row r="559" ht="15.5" customHeight="1">
      <c r="B559" s="293" t="n">
        <v>45548</v>
      </c>
      <c r="C559" s="294" t="n">
        <v>30</v>
      </c>
      <c r="D559" s="295" t="inlineStr">
        <is>
          <t>Ralika Jaya Utama | Permbuatan alat EMR</t>
        </is>
      </c>
      <c r="E559" s="287" t="inlineStr">
        <is>
          <t>BRI</t>
        </is>
      </c>
      <c r="F559" s="296" t="n">
        <v>150000000</v>
      </c>
      <c r="G559" s="289" t="inlineStr">
        <is>
          <t>IDR</t>
        </is>
      </c>
      <c r="H559" s="297" t="n">
        <v>1</v>
      </c>
      <c r="I559" s="298" t="n"/>
      <c r="J559" s="301" t="n">
        <v>150000000</v>
      </c>
      <c r="K559" s="299" t="n"/>
      <c r="L559" s="287" t="n"/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</row>
    <row r="560" ht="15.5" customHeight="1">
      <c r="B560" s="293" t="n">
        <v>45631</v>
      </c>
      <c r="C560" s="294" t="n">
        <v>31</v>
      </c>
      <c r="D560" s="295" t="inlineStr">
        <is>
          <t>Ralika Jaya Utama | Permbuatan alat injeksi listrik (EAS)</t>
        </is>
      </c>
      <c r="E560" s="287" t="inlineStr">
        <is>
          <t>BRI</t>
        </is>
      </c>
      <c r="F560" s="296" t="n">
        <v>400000000</v>
      </c>
      <c r="G560" s="289" t="inlineStr">
        <is>
          <t>IDR</t>
        </is>
      </c>
      <c r="H560" s="297" t="n">
        <v>1</v>
      </c>
      <c r="I560" s="298" t="n"/>
      <c r="J560" s="301" t="n">
        <v>400000000</v>
      </c>
      <c r="K560" s="299" t="n"/>
      <c r="L560" s="287" t="n"/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</row>
    <row r="561" ht="15.5" customHeight="1">
      <c r="B561" s="293" t="n">
        <v>45653</v>
      </c>
      <c r="C561" s="294" t="n">
        <v>32</v>
      </c>
      <c r="D561" s="295" t="inlineStr">
        <is>
          <t>KUPA | Pembelian Mesin Retort Horizontal 500 Lt Automatic Control</t>
        </is>
      </c>
      <c r="E561" s="287" t="inlineStr">
        <is>
          <t>BCA</t>
        </is>
      </c>
      <c r="F561" s="296" t="n">
        <v>141500000</v>
      </c>
      <c r="G561" s="289" t="inlineStr">
        <is>
          <t>IDR</t>
        </is>
      </c>
      <c r="H561" s="297" t="n">
        <v>1</v>
      </c>
      <c r="I561" s="298" t="n"/>
      <c r="J561" s="301" t="n">
        <v>141500000</v>
      </c>
      <c r="K561" s="299" t="n"/>
      <c r="L561" s="287" t="n"/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</row>
    <row r="562" ht="15.5" customHeight="1">
      <c r="B562" s="284" t="n"/>
      <c r="C562" s="285" t="n"/>
      <c r="D562" s="286" t="inlineStr">
        <is>
          <t>Project Operation</t>
        </is>
      </c>
      <c r="E562" s="287" t="n"/>
      <c r="F562" s="288" t="n"/>
      <c r="G562" s="289" t="n"/>
      <c r="H562" s="289" t="n"/>
      <c r="I562" s="290" t="n"/>
      <c r="J562" s="290" t="n"/>
      <c r="K562" s="291" t="n"/>
      <c r="L562" s="292" t="n"/>
      <c r="M562" s="292" t="n"/>
      <c r="N562" s="292" t="n"/>
      <c r="O562" s="292" t="n"/>
      <c r="P562" s="292" t="n"/>
      <c r="Q562" s="292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</row>
    <row r="563" ht="15.5" customHeight="1">
      <c r="B563" s="293" t="n">
        <v>45446</v>
      </c>
      <c r="C563" s="294" t="n">
        <v>33</v>
      </c>
      <c r="D563" s="295" t="inlineStr">
        <is>
          <t>PT Laka Indonesia |  Wastafel for WIKA Anantara Ubud Bali</t>
        </is>
      </c>
      <c r="E563" s="287" t="inlineStr">
        <is>
          <t>BCA</t>
        </is>
      </c>
      <c r="F563" s="296" t="n">
        <v>300000000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 t="n">
        <v>300000000</v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</row>
    <row r="564" ht="15.5" customHeight="1">
      <c r="B564" s="293" t="n">
        <v>45478</v>
      </c>
      <c r="C564" s="294" t="n">
        <v>34</v>
      </c>
      <c r="D564" s="295" t="inlineStr">
        <is>
          <t>Repair ESOR panel &amp; Fabricate dummy test load, Payment#2</t>
        </is>
      </c>
      <c r="E564" s="287" t="inlineStr">
        <is>
          <t>BRI</t>
        </is>
      </c>
      <c r="F564" s="296" t="n">
        <v>25000000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 t="n">
        <v>25000000</v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</row>
    <row r="565" ht="15.5" customHeight="1">
      <c r="B565" s="293" t="n">
        <v>45480</v>
      </c>
      <c r="C565" s="294" t="n">
        <v>35</v>
      </c>
      <c r="D565" s="295" t="inlineStr">
        <is>
          <t>PT Laka Indonesia |  Wastafel for WIKA Anantara Ubud Bali</t>
        </is>
      </c>
      <c r="E565" s="287" t="inlineStr">
        <is>
          <t>BCA</t>
        </is>
      </c>
      <c r="F565" s="296" t="n">
        <v>25000000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 t="n">
        <v>25000000</v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</row>
    <row r="566" ht="15.5" customHeight="1">
      <c r="B566" s="293" t="n">
        <v>45492</v>
      </c>
      <c r="C566" s="294" t="n">
        <v>36</v>
      </c>
      <c r="D566" s="295" t="inlineStr">
        <is>
          <t>PT Laka Indonesia |  Wastafel for WIKA Anantara Ubud Bali</t>
        </is>
      </c>
      <c r="E566" s="287" t="inlineStr">
        <is>
          <t>BCA</t>
        </is>
      </c>
      <c r="F566" s="296" t="n">
        <v>25000000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 t="n">
        <v>25000000</v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</row>
    <row r="567" ht="15.5" customHeight="1">
      <c r="B567" s="293" t="n">
        <v>45493</v>
      </c>
      <c r="C567" s="294" t="n">
        <v>37</v>
      </c>
      <c r="D567" s="295" t="inlineStr">
        <is>
          <t>Repair ESOR panel &amp; Fabricate dummy test load, Payment#1</t>
        </is>
      </c>
      <c r="E567" s="287" t="inlineStr">
        <is>
          <t>BCA</t>
        </is>
      </c>
      <c r="F567" s="296" t="n">
        <v>20000000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 t="n">
        <v>20000000</v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</row>
    <row r="568" ht="15.5" customHeight="1">
      <c r="B568" s="293" t="n">
        <v>45581</v>
      </c>
      <c r="C568" s="294" t="n">
        <v>38</v>
      </c>
      <c r="D568" s="295" t="inlineStr">
        <is>
          <t>PT Laka Indonesia | Project Lampu Taman Istana Negara Jakarta</t>
        </is>
      </c>
      <c r="E568" s="287" t="inlineStr">
        <is>
          <t>BRI</t>
        </is>
      </c>
      <c r="F568" s="296" t="n">
        <v>100000000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 t="n">
        <v>100000000</v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</row>
    <row r="569" ht="15.5" customHeight="1">
      <c r="B569" s="284" t="n"/>
      <c r="C569" s="285" t="n"/>
      <c r="D569" s="286" t="inlineStr">
        <is>
          <t>Rental Tool</t>
        </is>
      </c>
      <c r="E569" s="287" t="n"/>
      <c r="F569" s="288" t="n"/>
      <c r="G569" s="289" t="n"/>
      <c r="H569" s="289" t="n"/>
      <c r="I569" s="290" t="n"/>
      <c r="J569" s="290" t="n"/>
      <c r="K569" s="291" t="n"/>
      <c r="L569" s="292" t="n"/>
      <c r="M569" s="292" t="n"/>
      <c r="N569" s="292" t="n"/>
      <c r="O569" s="292" t="n"/>
      <c r="P569" s="292" t="n"/>
      <c r="Q569" s="292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</row>
    <row r="570" ht="15.5" customHeight="1">
      <c r="B570" s="293" t="n">
        <v>45302</v>
      </c>
      <c r="C570" s="294" t="n">
        <v>39</v>
      </c>
      <c r="D570" s="295" t="inlineStr">
        <is>
          <t>ALFA Service PDP-075 Pertamina Zona#4 - Rental Tool</t>
        </is>
      </c>
      <c r="E570" s="287" t="inlineStr">
        <is>
          <t>BCA</t>
        </is>
      </c>
      <c r="F570" s="296" t="n">
        <v>29640916</v>
      </c>
      <c r="G570" s="289" t="inlineStr">
        <is>
          <t>IDR</t>
        </is>
      </c>
      <c r="H570" s="297" t="n">
        <v>1</v>
      </c>
      <c r="I570" s="301" t="n">
        <v>29640916</v>
      </c>
      <c r="J570" s="298" t="n"/>
      <c r="K570" s="299" t="n"/>
      <c r="L570" s="287" t="n"/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</row>
    <row r="571" ht="15.5" customHeight="1">
      <c r="B571" s="293" t="n">
        <v>45302</v>
      </c>
      <c r="C571" s="294" t="n">
        <v>40</v>
      </c>
      <c r="D571" s="295" t="inlineStr">
        <is>
          <t>ALFA Service PDS-01ST Pertamina Zona#4 - Rental Tool</t>
        </is>
      </c>
      <c r="E571" s="287" t="inlineStr">
        <is>
          <t>BCA</t>
        </is>
      </c>
      <c r="F571" s="296" t="n">
        <v>29640916</v>
      </c>
      <c r="G571" s="289" t="inlineStr">
        <is>
          <t>IDR</t>
        </is>
      </c>
      <c r="H571" s="297" t="n">
        <v>1</v>
      </c>
      <c r="I571" s="301" t="n">
        <v>29640916</v>
      </c>
      <c r="J571" s="298" t="n"/>
      <c r="K571" s="299" t="n"/>
      <c r="L571" s="287" t="n"/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</row>
    <row r="572" ht="15.5" customHeight="1">
      <c r="B572" s="293" t="n">
        <v>45302</v>
      </c>
      <c r="C572" s="294" t="n">
        <v>41</v>
      </c>
      <c r="D572" s="295" t="inlineStr">
        <is>
          <t>ALFA Service JRK-254 Pertamina Zona#4 - Rental Tool</t>
        </is>
      </c>
      <c r="E572" s="287" t="inlineStr">
        <is>
          <t>BCA</t>
        </is>
      </c>
      <c r="F572" s="296" t="n">
        <v>29640916</v>
      </c>
      <c r="G572" s="289" t="inlineStr">
        <is>
          <t>IDR</t>
        </is>
      </c>
      <c r="H572" s="297" t="n">
        <v>1</v>
      </c>
      <c r="I572" s="301" t="n">
        <v>29640916</v>
      </c>
      <c r="J572" s="298" t="n"/>
      <c r="K572" s="299" t="n"/>
      <c r="L572" s="287" t="n"/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</row>
    <row r="573" ht="15.5" customHeight="1">
      <c r="B573" s="293" t="n">
        <v>45446</v>
      </c>
      <c r="C573" s="294" t="n">
        <v>42</v>
      </c>
      <c r="D573" s="295" t="inlineStr">
        <is>
          <t>ALFA Service TLJ-58 Pertamina Zona#4 - Rental Tool</t>
        </is>
      </c>
      <c r="E573" s="287" t="inlineStr">
        <is>
          <t>BCA</t>
        </is>
      </c>
      <c r="F573" s="296" t="n">
        <v>29640916</v>
      </c>
      <c r="G573" s="289" t="inlineStr">
        <is>
          <t>IDR</t>
        </is>
      </c>
      <c r="H573" s="297" t="n">
        <v>1</v>
      </c>
      <c r="I573" s="301" t="n">
        <v>29640916</v>
      </c>
      <c r="J573" s="298" t="n"/>
      <c r="K573" s="299" t="n"/>
      <c r="L573" s="287" t="n"/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</row>
    <row r="574" ht="15.5" customHeight="1">
      <c r="B574" s="293" t="n">
        <v>45447</v>
      </c>
      <c r="C574" s="294" t="n">
        <v>43</v>
      </c>
      <c r="D574" s="295" t="inlineStr">
        <is>
          <t>ALFA Service JRK-193 Pertamina Zona#4 - Rental Tool</t>
        </is>
      </c>
      <c r="E574" s="287" t="inlineStr">
        <is>
          <t>BCA</t>
        </is>
      </c>
      <c r="F574" s="296" t="n">
        <v>29640916</v>
      </c>
      <c r="G574" s="289" t="inlineStr">
        <is>
          <t>IDR</t>
        </is>
      </c>
      <c r="H574" s="297" t="n">
        <v>1</v>
      </c>
      <c r="I574" s="301" t="n">
        <v>29640916</v>
      </c>
      <c r="J574" s="298" t="n"/>
      <c r="K574" s="299" t="n"/>
      <c r="L574" s="287" t="n"/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</row>
    <row r="575" ht="15.5" customHeight="1">
      <c r="B575" s="293" t="n">
        <v>45537</v>
      </c>
      <c r="C575" s="294" t="n">
        <v>44</v>
      </c>
      <c r="D575" s="295" t="inlineStr">
        <is>
          <t>ALFA Service JRK-163 Pertamina Zona#4 - Rental Tool</t>
        </is>
      </c>
      <c r="E575" s="287" t="inlineStr">
        <is>
          <t>BCA</t>
        </is>
      </c>
      <c r="F575" s="296" t="n">
        <v>29640916</v>
      </c>
      <c r="G575" s="289" t="inlineStr">
        <is>
          <t>IDR</t>
        </is>
      </c>
      <c r="H575" s="297" t="n">
        <v>1</v>
      </c>
      <c r="I575" s="301" t="n">
        <v>29640916</v>
      </c>
      <c r="J575" s="298" t="n"/>
      <c r="K575" s="299" t="n"/>
      <c r="L575" s="287" t="n"/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</row>
    <row r="576" ht="15.5" customHeight="1">
      <c r="B576" s="293" t="n">
        <v>45569</v>
      </c>
      <c r="C576" s="294" t="n">
        <v>45</v>
      </c>
      <c r="D576" s="295" t="inlineStr">
        <is>
          <t>PLT Service TGB-033 Pertamina Cirebon - Rental Tool</t>
        </is>
      </c>
      <c r="E576" s="287" t="inlineStr">
        <is>
          <t>BCA</t>
        </is>
      </c>
      <c r="F576" s="296" t="n">
        <v>16165271</v>
      </c>
      <c r="G576" s="289" t="inlineStr">
        <is>
          <t>IDR</t>
        </is>
      </c>
      <c r="H576" s="297" t="n">
        <v>1</v>
      </c>
      <c r="I576" s="301" t="n">
        <v>16165271</v>
      </c>
      <c r="J576" s="298" t="n"/>
      <c r="K576" s="299" t="n"/>
      <c r="L576" s="287" t="n"/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</row>
    <row r="577" ht="15.5" customHeight="1">
      <c r="B577" s="293" t="n">
        <v>45569</v>
      </c>
      <c r="C577" s="294" t="n">
        <v>46</v>
      </c>
      <c r="D577" s="295" t="inlineStr">
        <is>
          <t>ALFA Service TGB-033 Pertamina Cirebon - Rental Tool</t>
        </is>
      </c>
      <c r="E577" s="287" t="inlineStr">
        <is>
          <t>BCA</t>
        </is>
      </c>
      <c r="F577" s="296" t="n">
        <v>25967616</v>
      </c>
      <c r="G577" s="289" t="inlineStr">
        <is>
          <t>IDR</t>
        </is>
      </c>
      <c r="H577" s="297" t="n">
        <v>1</v>
      </c>
      <c r="I577" s="301" t="n">
        <v>25967616</v>
      </c>
      <c r="J577" s="298" t="n"/>
      <c r="K577" s="299" t="n"/>
      <c r="L577" s="287" t="n"/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</row>
    <row r="578" ht="15.5" customHeight="1">
      <c r="B578" s="293" t="n">
        <v>45569</v>
      </c>
      <c r="C578" s="294" t="n">
        <v>47</v>
      </c>
      <c r="D578" s="295" t="inlineStr">
        <is>
          <t>MFC Service TGB-033 Pertamina Cirebon - Rental Tool</t>
        </is>
      </c>
      <c r="E578" s="287" t="inlineStr">
        <is>
          <t>BCA</t>
        </is>
      </c>
      <c r="F578" s="296" t="n">
        <v>32101247</v>
      </c>
      <c r="G578" s="289" t="inlineStr">
        <is>
          <t>IDR</t>
        </is>
      </c>
      <c r="H578" s="297" t="n">
        <v>1</v>
      </c>
      <c r="I578" s="301" t="n">
        <v>32101247</v>
      </c>
      <c r="J578" s="298" t="n"/>
      <c r="K578" s="299" t="n"/>
      <c r="L578" s="287" t="n"/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</row>
    <row r="579" ht="15.5" customHeight="1">
      <c r="B579" s="293" t="n">
        <v>45572</v>
      </c>
      <c r="C579" s="294" t="n">
        <v>48</v>
      </c>
      <c r="D579" s="295" t="inlineStr">
        <is>
          <t>ALFA Service JRK-095 Pertamina Zona#4 - Rental Tool</t>
        </is>
      </c>
      <c r="E579" s="287" t="inlineStr">
        <is>
          <t>BCA</t>
        </is>
      </c>
      <c r="F579" s="296" t="n">
        <v>29640916</v>
      </c>
      <c r="G579" s="289" t="inlineStr">
        <is>
          <t>IDR</t>
        </is>
      </c>
      <c r="H579" s="297" t="n">
        <v>1</v>
      </c>
      <c r="I579" s="301" t="n">
        <v>29640916</v>
      </c>
      <c r="J579" s="298" t="n"/>
      <c r="K579" s="299" t="n"/>
      <c r="L579" s="287" t="n"/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</row>
    <row r="580" ht="15.5" customHeight="1">
      <c r="B580" s="293" t="n">
        <v>45576</v>
      </c>
      <c r="C580" s="294" t="n">
        <v>49</v>
      </c>
      <c r="D580" s="295" t="inlineStr">
        <is>
          <t>MPLT/GR-CCL/ALFA TIS - Rental Tool</t>
        </is>
      </c>
      <c r="E580" s="287" t="inlineStr">
        <is>
          <t>BCA</t>
        </is>
      </c>
      <c r="F580" s="296" t="n">
        <v>74291457</v>
      </c>
      <c r="G580" s="289" t="inlineStr">
        <is>
          <t>IDR</t>
        </is>
      </c>
      <c r="H580" s="297" t="n">
        <v>1</v>
      </c>
      <c r="I580" s="301" t="n">
        <v>74291457</v>
      </c>
      <c r="J580" s="298" t="n"/>
      <c r="K580" s="299" t="n"/>
      <c r="L580" s="287" t="n"/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</row>
    <row r="581" ht="15.5" customHeight="1">
      <c r="B581" s="284" t="n"/>
      <c r="C581" s="285" t="n"/>
      <c r="D581" s="286" t="inlineStr">
        <is>
          <t>Sales</t>
        </is>
      </c>
      <c r="E581" s="287" t="n"/>
      <c r="F581" s="288" t="n"/>
      <c r="G581" s="289" t="n"/>
      <c r="H581" s="289" t="n"/>
      <c r="I581" s="290" t="n"/>
      <c r="J581" s="290" t="n"/>
      <c r="K581" s="291" t="n"/>
      <c r="L581" s="292" t="n"/>
      <c r="M581" s="292" t="n"/>
      <c r="N581" s="292" t="n"/>
      <c r="O581" s="292" t="n"/>
      <c r="P581" s="292" t="n"/>
      <c r="Q581" s="292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</row>
    <row r="582" ht="15.5" customHeight="1">
      <c r="B582" s="293" t="n">
        <v>45304</v>
      </c>
      <c r="C582" s="294" t="n">
        <v>50</v>
      </c>
      <c r="D582" s="295" t="inlineStr">
        <is>
          <t>Sales cost 4 Well Integrity Pertamina Z.4</t>
        </is>
      </c>
      <c r="E582" s="287" t="inlineStr">
        <is>
          <t>BRI</t>
        </is>
      </c>
      <c r="F582" s="296" t="n">
        <v>77672400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 t="n">
        <v>77672400</v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</row>
    <row r="583" ht="15.5" customHeight="1">
      <c r="B583" s="284" t="n"/>
      <c r="C583" s="285" t="n"/>
      <c r="D583" s="286" t="inlineStr">
        <is>
          <t>Sewa Ruangan</t>
        </is>
      </c>
      <c r="E583" s="287" t="n"/>
      <c r="F583" s="288" t="n"/>
      <c r="G583" s="289" t="n"/>
      <c r="H583" s="289" t="n"/>
      <c r="I583" s="290" t="n"/>
      <c r="J583" s="290" t="n"/>
      <c r="K583" s="291" t="n"/>
      <c r="L583" s="292" t="n"/>
      <c r="M583" s="292" t="n"/>
      <c r="N583" s="292" t="n"/>
      <c r="O583" s="292" t="n"/>
      <c r="P583" s="292" t="n"/>
      <c r="Q583" s="292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</row>
    <row r="584" ht="15.5" customHeight="1">
      <c r="B584" s="293" t="n">
        <v>45632</v>
      </c>
      <c r="C584" s="294" t="n">
        <v>51</v>
      </c>
      <c r="D584" s="295" t="inlineStr">
        <is>
          <t>Sewa Virtual Office 1th, 1jan25 - 31des25_BBC_ Ganesha Dwipaya B</t>
        </is>
      </c>
      <c r="E584" s="287" t="inlineStr">
        <is>
          <t>BCA</t>
        </is>
      </c>
      <c r="F584" s="296" t="n">
        <v>4995000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287" t="n"/>
      <c r="M584" s="287" t="n"/>
      <c r="N584" s="287" t="n"/>
      <c r="O584" s="300" t="n">
        <v>4995000</v>
      </c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</row>
    <row r="585" ht="15.5" customHeight="1">
      <c r="B585" s="284" t="n"/>
      <c r="C585" s="285" t="n"/>
      <c r="D585" s="286" t="inlineStr">
        <is>
          <t>Sparepart</t>
        </is>
      </c>
      <c r="E585" s="287" t="n"/>
      <c r="F585" s="288" t="n"/>
      <c r="G585" s="289" t="n"/>
      <c r="H585" s="289" t="n"/>
      <c r="I585" s="290" t="n"/>
      <c r="J585" s="290" t="n"/>
      <c r="K585" s="291" t="n"/>
      <c r="L585" s="292" t="n"/>
      <c r="M585" s="292" t="n"/>
      <c r="N585" s="292" t="n"/>
      <c r="O585" s="292" t="n"/>
      <c r="P585" s="292" t="n"/>
      <c r="Q585" s="292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</row>
    <row r="586" ht="15.5" customHeight="1">
      <c r="B586" s="293" t="n">
        <v>45476</v>
      </c>
      <c r="C586" s="294" t="n">
        <v>52</v>
      </c>
      <c r="D586" s="295" t="inlineStr">
        <is>
          <t>Kekurangan (PPN ) ke PT Garindo sarana Baru (Downhole Sampling)</t>
        </is>
      </c>
      <c r="E586" s="287" t="inlineStr">
        <is>
          <t>BCA</t>
        </is>
      </c>
      <c r="F586" s="296" t="n">
        <v>3582000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287" t="n"/>
      <c r="M586" s="287" t="n"/>
      <c r="N586" s="300" t="n">
        <v>3582000</v>
      </c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</row>
    <row r="587" ht="15.5" customHeight="1">
      <c r="B587" s="293" t="n">
        <v>45630</v>
      </c>
      <c r="C587" s="294" t="n">
        <v>53</v>
      </c>
      <c r="D587" s="295" t="inlineStr">
        <is>
          <t>Payment ke UPS Biaya Import pembelian sparepart dari Pei-Genesis</t>
        </is>
      </c>
      <c r="E587" s="287" t="inlineStr">
        <is>
          <t>BRI</t>
        </is>
      </c>
      <c r="F587" s="296" t="n">
        <v>777246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287" t="n"/>
      <c r="M587" s="287" t="n"/>
      <c r="N587" s="300" t="n">
        <v>777246</v>
      </c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</row>
    <row r="588" ht="15.5" customHeight="1">
      <c r="B588" s="284" t="n"/>
      <c r="C588" s="285" t="n"/>
      <c r="D588" s="286" t="inlineStr">
        <is>
          <t>Transportation</t>
        </is>
      </c>
      <c r="E588" s="287" t="n"/>
      <c r="F588" s="288" t="n"/>
      <c r="G588" s="289" t="n"/>
      <c r="H588" s="289" t="n"/>
      <c r="I588" s="290" t="n"/>
      <c r="J588" s="290" t="n"/>
      <c r="K588" s="291" t="n"/>
      <c r="L588" s="292" t="n"/>
      <c r="M588" s="292" t="n"/>
      <c r="N588" s="292" t="n"/>
      <c r="O588" s="292" t="n"/>
      <c r="P588" s="292" t="n"/>
      <c r="Q588" s="292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</row>
    <row r="589" ht="15.5" customHeight="1">
      <c r="B589" s="293" t="n">
        <v>45422</v>
      </c>
      <c r="C589" s="294" t="n">
        <v>54</v>
      </c>
      <c r="D589" s="295" t="inlineStr">
        <is>
          <t>Aro Energy | Moving slickline dari Duri (Toni Supriadi) ke Sungai lilin</t>
        </is>
      </c>
      <c r="E589" s="287" t="inlineStr">
        <is>
          <t>BCA</t>
        </is>
      </c>
      <c r="F589" s="296" t="n">
        <v>18000000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 t="n">
        <v>18000000</v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</row>
    <row r="590" ht="15.5" customHeight="1">
      <c r="B590" s="293" t="n">
        <v>45601</v>
      </c>
      <c r="C590" s="294" t="n">
        <v>55</v>
      </c>
      <c r="D590" s="295" t="inlineStr">
        <is>
          <t>Sales fee 2 Well Integrity Pertamina Z.4</t>
        </is>
      </c>
      <c r="E590" s="287" t="inlineStr">
        <is>
          <t>BRI</t>
        </is>
      </c>
      <c r="F590" s="296" t="n">
        <v>38838700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 t="n">
        <v>38838700</v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</row>
    <row r="591" ht="15.5" customHeight="1">
      <c r="B591" s="302" t="n"/>
      <c r="C591" s="303" t="n"/>
      <c r="D591" s="304" t="inlineStr">
        <is>
          <t>OPERATION COST AND OFFICE - Expenses Report</t>
        </is>
      </c>
      <c r="E591" s="305" t="n"/>
      <c r="F591" s="306" t="n"/>
      <c r="G591" s="303" t="n"/>
      <c r="H591" s="303" t="n"/>
      <c r="I591" s="307" t="n"/>
      <c r="J591" s="307" t="n"/>
      <c r="K591" s="307" t="n"/>
      <c r="L591" s="307" t="n"/>
      <c r="M591" s="307" t="n"/>
      <c r="N591" s="307" t="n"/>
      <c r="O591" s="307" t="n"/>
      <c r="P591" s="308" t="n"/>
      <c r="Q591" s="30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</row>
    <row r="592" ht="15.5" customHeight="1">
      <c r="B592" s="309" t="inlineStr">
        <is>
          <t>Expense#1</t>
        </is>
      </c>
      <c r="C592" s="310" t="inlineStr">
        <is>
          <t>:</t>
        </is>
      </c>
      <c r="D592" s="311" t="inlineStr">
        <is>
          <t>ALFA_ TLJ-58 (PEPZ4-Prabumulih field) SIJak- IC</t>
        </is>
      </c>
      <c r="E592" s="312" t="n"/>
      <c r="F592" s="313" t="n"/>
      <c r="G592" s="312" t="n"/>
      <c r="H592" s="312" t="n"/>
      <c r="I592" s="312" t="n"/>
      <c r="J592" s="312" t="n"/>
      <c r="K592" s="312" t="n"/>
      <c r="L592" s="312" t="n"/>
      <c r="M592" s="312" t="n"/>
      <c r="N592" s="312" t="n"/>
      <c r="O592" s="312" t="n"/>
      <c r="P592" s="314" t="n"/>
      <c r="Q592" s="312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</row>
    <row r="593" ht="15.5" customHeight="1">
      <c r="B593" s="315" t="n"/>
      <c r="C593" s="316" t="n"/>
      <c r="D593" s="317" t="inlineStr">
        <is>
          <t>Accommodation</t>
        </is>
      </c>
      <c r="E593" s="316" t="n"/>
      <c r="F593" s="318" t="n"/>
      <c r="G593" s="316" t="n"/>
      <c r="H593" s="316" t="n"/>
      <c r="I593" s="319" t="n"/>
      <c r="J593" s="319" t="n"/>
      <c r="K593" s="319" t="n"/>
      <c r="L593" s="319" t="n"/>
      <c r="M593" s="319" t="n"/>
      <c r="N593" s="319" t="n"/>
      <c r="O593" s="319" t="n"/>
      <c r="P593" s="320" t="n"/>
      <c r="Q593" s="319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</row>
    <row r="594" ht="15.5" customHeight="1">
      <c r="B594" s="293" t="n">
        <v>45329</v>
      </c>
      <c r="C594" s="294" t="n">
        <v>56</v>
      </c>
      <c r="D594" s="295" t="inlineStr">
        <is>
          <t>Hotel Prabumulih 8 Feb- 7 Mar 2024 (1 Month)</t>
        </is>
      </c>
      <c r="E594" s="287" t="inlineStr">
        <is>
          <t>-</t>
        </is>
      </c>
      <c r="F594" s="296" t="n">
        <v>3300000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 t="n">
        <v>3300000</v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</row>
    <row r="595" ht="15.5" customHeight="1">
      <c r="B595" s="315" t="n"/>
      <c r="C595" s="316" t="n"/>
      <c r="D595" s="317" t="inlineStr">
        <is>
          <t>Allowance</t>
        </is>
      </c>
      <c r="E595" s="316" t="n"/>
      <c r="F595" s="318" t="n"/>
      <c r="G595" s="316" t="n"/>
      <c r="H595" s="316" t="n"/>
      <c r="I595" s="320" t="n"/>
      <c r="J595" s="319" t="n"/>
      <c r="K595" s="319" t="n"/>
      <c r="L595" s="319" t="n"/>
      <c r="M595" s="319" t="n"/>
      <c r="N595" s="319" t="n"/>
      <c r="O595" s="319" t="n"/>
      <c r="P595" s="319" t="n"/>
      <c r="Q595" s="319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</row>
    <row r="596" ht="15.5" customHeight="1">
      <c r="B596" s="293" t="n">
        <v>45355</v>
      </c>
      <c r="C596" s="294" t="n">
        <v>57</v>
      </c>
      <c r="D596" s="295" t="inlineStr">
        <is>
          <t>Tunjangan Lapangan for 27 days</t>
        </is>
      </c>
      <c r="E596" s="287" t="inlineStr">
        <is>
          <t>-</t>
        </is>
      </c>
      <c r="F596" s="296" t="n">
        <v>42589800</v>
      </c>
      <c r="G596" s="289" t="inlineStr">
        <is>
          <t>USD</t>
        </is>
      </c>
      <c r="H596" s="297" t="n">
        <v>15774</v>
      </c>
      <c r="I596" s="298" t="n"/>
      <c r="J596" s="298" t="n"/>
      <c r="K596" s="299" t="n"/>
      <c r="L596" s="300" t="n">
        <v>42589800</v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</row>
    <row r="597" ht="15.5" customHeight="1">
      <c r="B597" s="315" t="n"/>
      <c r="C597" s="316" t="n"/>
      <c r="D597" s="317" t="inlineStr">
        <is>
          <t>Hand Tools</t>
        </is>
      </c>
      <c r="E597" s="316" t="n"/>
      <c r="F597" s="318" t="n"/>
      <c r="G597" s="316" t="n"/>
      <c r="H597" s="316" t="n"/>
      <c r="I597" s="320" t="n"/>
      <c r="J597" s="319" t="n"/>
      <c r="K597" s="319" t="n"/>
      <c r="L597" s="319" t="n"/>
      <c r="M597" s="319" t="n"/>
      <c r="N597" s="319" t="n"/>
      <c r="O597" s="319" t="n"/>
      <c r="P597" s="319" t="n"/>
      <c r="Q597" s="319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</row>
    <row r="598" ht="15.5" customHeight="1">
      <c r="B598" s="293" t="n">
        <v>45344</v>
      </c>
      <c r="C598" s="294" t="n">
        <v>58</v>
      </c>
      <c r="D598" s="295" t="inlineStr">
        <is>
          <t>Gloves</t>
        </is>
      </c>
      <c r="E598" s="287" t="inlineStr">
        <is>
          <t>-</t>
        </is>
      </c>
      <c r="F598" s="296" t="n">
        <v>65000</v>
      </c>
      <c r="G598" s="289" t="inlineStr">
        <is>
          <t>IDR</t>
        </is>
      </c>
      <c r="H598" s="297" t="n">
        <v>1</v>
      </c>
      <c r="I598" s="298" t="n"/>
      <c r="J598" s="298" t="n"/>
      <c r="K598" s="299" t="n"/>
      <c r="L598" s="287" t="n"/>
      <c r="M598" s="287" t="n"/>
      <c r="N598" s="300" t="n">
        <v>65000</v>
      </c>
      <c r="O598" s="287" t="n"/>
      <c r="P598" s="287" t="n"/>
      <c r="Q598" s="287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</row>
    <row r="599" ht="15.5" customHeight="1">
      <c r="B599" s="315" t="n"/>
      <c r="C599" s="316" t="n"/>
      <c r="D599" s="317" t="inlineStr">
        <is>
          <t>Laundry</t>
        </is>
      </c>
      <c r="E599" s="316" t="n"/>
      <c r="F599" s="318" t="n"/>
      <c r="G599" s="316" t="n"/>
      <c r="H599" s="316" t="n"/>
      <c r="I599" s="320" t="n"/>
      <c r="J599" s="319" t="n"/>
      <c r="K599" s="319" t="n"/>
      <c r="L599" s="319" t="n"/>
      <c r="M599" s="319" t="n"/>
      <c r="N599" s="319" t="n"/>
      <c r="O599" s="319" t="n"/>
      <c r="P599" s="319" t="n"/>
      <c r="Q599" s="319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</row>
    <row r="600" ht="15.5" customHeight="1">
      <c r="B600" s="293" t="n">
        <v>45355</v>
      </c>
      <c r="C600" s="294" t="n">
        <v>59</v>
      </c>
      <c r="D600" s="295" t="inlineStr">
        <is>
          <t>Laundry 27 days 1 Persons @ 50K IDR/day</t>
        </is>
      </c>
      <c r="E600" s="287" t="inlineStr">
        <is>
          <t>-</t>
        </is>
      </c>
      <c r="F600" s="296" t="n">
        <v>1350000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300" t="n">
        <v>1350000</v>
      </c>
      <c r="M600" s="287" t="n"/>
      <c r="N600" s="287" t="n"/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</row>
    <row r="601" ht="15.5" customHeight="1">
      <c r="B601" s="315" t="n"/>
      <c r="C601" s="316" t="n"/>
      <c r="D601" s="317" t="inlineStr">
        <is>
          <t>Meal</t>
        </is>
      </c>
      <c r="E601" s="319" t="n"/>
      <c r="F601" s="318" t="n"/>
      <c r="G601" s="316" t="n"/>
      <c r="H601" s="316" t="n"/>
      <c r="I601" s="319" t="n"/>
      <c r="J601" s="319" t="n"/>
      <c r="K601" s="319" t="n"/>
      <c r="L601" s="319" t="n"/>
      <c r="M601" s="319" t="n"/>
      <c r="N601" s="319" t="n"/>
      <c r="O601" s="319" t="n"/>
      <c r="P601" s="319" t="n"/>
      <c r="Q601" s="319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</row>
    <row r="602" ht="15.5" customHeight="1">
      <c r="B602" s="293" t="n">
        <v>45355</v>
      </c>
      <c r="C602" s="294" t="n">
        <v>60</v>
      </c>
      <c r="D602" s="295" t="inlineStr">
        <is>
          <t>Meals 27 days 1 Persons @ 150K IDR/day</t>
        </is>
      </c>
      <c r="E602" s="287" t="inlineStr">
        <is>
          <t>-</t>
        </is>
      </c>
      <c r="F602" s="296" t="n">
        <v>4050000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300" t="n">
        <v>4050000</v>
      </c>
      <c r="M602" s="287" t="n"/>
      <c r="N602" s="287" t="n"/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</row>
    <row r="603" ht="15.5" customHeight="1">
      <c r="B603" s="315" t="n"/>
      <c r="C603" s="316" t="n"/>
      <c r="D603" s="317" t="inlineStr">
        <is>
          <t>Sparepart</t>
        </is>
      </c>
      <c r="E603" s="316" t="n"/>
      <c r="F603" s="318" t="n"/>
      <c r="G603" s="316" t="n"/>
      <c r="H603" s="316" t="n"/>
      <c r="I603" s="320" t="n"/>
      <c r="J603" s="319" t="n"/>
      <c r="K603" s="319" t="n"/>
      <c r="L603" s="319" t="n"/>
      <c r="M603" s="319" t="n"/>
      <c r="N603" s="319" t="n"/>
      <c r="O603" s="319" t="n"/>
      <c r="P603" s="319" t="n"/>
      <c r="Q603" s="319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</row>
    <row r="604" ht="15.5" customHeight="1">
      <c r="B604" s="293" t="n">
        <v>45350</v>
      </c>
      <c r="C604" s="294" t="n">
        <v>61</v>
      </c>
      <c r="D604" s="295" t="inlineStr">
        <is>
          <t>Internet Data</t>
        </is>
      </c>
      <c r="E604" s="287" t="inlineStr">
        <is>
          <t>-</t>
        </is>
      </c>
      <c r="F604" s="296" t="n">
        <v>87000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 t="n">
        <v>87000</v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</row>
    <row r="605" ht="15.5" customHeight="1">
      <c r="B605" s="315" t="n"/>
      <c r="C605" s="316" t="n"/>
      <c r="D605" s="317" t="inlineStr">
        <is>
          <t>Transportation</t>
        </is>
      </c>
      <c r="E605" s="316" t="n"/>
      <c r="F605" s="318" t="n"/>
      <c r="G605" s="316" t="n"/>
      <c r="H605" s="316" t="n"/>
      <c r="I605" s="320" t="n"/>
      <c r="J605" s="319" t="n"/>
      <c r="K605" s="319" t="n"/>
      <c r="L605" s="319" t="n"/>
      <c r="M605" s="319" t="n"/>
      <c r="N605" s="319" t="n"/>
      <c r="O605" s="319" t="n"/>
      <c r="P605" s="319" t="n"/>
      <c r="Q605" s="319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</row>
    <row r="606" ht="15.5" customHeight="1">
      <c r="B606" s="293" t="n">
        <v>45355</v>
      </c>
      <c r="C606" s="294" t="n">
        <v>62</v>
      </c>
      <c r="D606" s="295" t="inlineStr">
        <is>
          <t>Toll Fee</t>
        </is>
      </c>
      <c r="E606" s="287" t="inlineStr">
        <is>
          <t>-</t>
        </is>
      </c>
      <c r="F606" s="296" t="n">
        <v>378000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300" t="n">
        <v>378000</v>
      </c>
      <c r="M606" s="287" t="n"/>
      <c r="N606" s="287" t="n"/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</row>
    <row r="607" ht="15.5" customHeight="1">
      <c r="B607" s="309" t="inlineStr">
        <is>
          <t>Expense#2</t>
        </is>
      </c>
      <c r="C607" s="310" t="inlineStr">
        <is>
          <t>:</t>
        </is>
      </c>
      <c r="D607" s="311" t="inlineStr">
        <is>
          <t>Training ALFA _TLJ-58 (PEPZ4-Prabumulih field_ Titis Maulana</t>
        </is>
      </c>
      <c r="E607" s="312" t="n"/>
      <c r="F607" s="313" t="n"/>
      <c r="G607" s="312" t="n"/>
      <c r="H607" s="312" t="n"/>
      <c r="I607" s="314" t="n"/>
      <c r="J607" s="312" t="n"/>
      <c r="K607" s="312" t="n"/>
      <c r="L607" s="312" t="n"/>
      <c r="M607" s="314" t="n"/>
      <c r="N607" s="312" t="n"/>
      <c r="O607" s="312" t="n"/>
      <c r="P607" s="312" t="n"/>
      <c r="Q607" s="312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</row>
    <row r="608" ht="15.5" customHeight="1">
      <c r="B608" s="315" t="n"/>
      <c r="C608" s="316" t="n"/>
      <c r="D608" s="317" t="inlineStr">
        <is>
          <t>Hand Tools</t>
        </is>
      </c>
      <c r="E608" s="316" t="n"/>
      <c r="F608" s="318" t="n"/>
      <c r="G608" s="316" t="n"/>
      <c r="H608" s="316" t="n"/>
      <c r="I608" s="320" t="n"/>
      <c r="J608" s="319" t="n"/>
      <c r="K608" s="319" t="n"/>
      <c r="L608" s="319" t="n"/>
      <c r="M608" s="320" t="n"/>
      <c r="N608" s="319" t="n"/>
      <c r="O608" s="319" t="n"/>
      <c r="P608" s="319" t="n"/>
      <c r="Q608" s="319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</row>
    <row r="609" ht="15.5" customHeight="1">
      <c r="B609" s="293" t="n">
        <v>45324</v>
      </c>
      <c r="C609" s="294" t="n">
        <v>63</v>
      </c>
      <c r="D609" s="295" t="inlineStr">
        <is>
          <t>Safety Shoes</t>
        </is>
      </c>
      <c r="E609" s="287" t="inlineStr">
        <is>
          <t>-</t>
        </is>
      </c>
      <c r="F609" s="296" t="n">
        <v>499940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 t="n">
        <v>499940</v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</row>
    <row r="610" ht="15.5" customHeight="1">
      <c r="B610" s="315" t="n"/>
      <c r="C610" s="316" t="n"/>
      <c r="D610" s="317" t="inlineStr">
        <is>
          <t>Laundry</t>
        </is>
      </c>
      <c r="E610" s="316" t="n"/>
      <c r="F610" s="318" t="n"/>
      <c r="G610" s="316" t="n"/>
      <c r="H610" s="316" t="n"/>
      <c r="I610" s="320" t="n"/>
      <c r="J610" s="319" t="n"/>
      <c r="K610" s="319" t="n"/>
      <c r="L610" s="319" t="n"/>
      <c r="M610" s="320" t="n"/>
      <c r="N610" s="319" t="n"/>
      <c r="O610" s="319" t="n"/>
      <c r="P610" s="319" t="n"/>
      <c r="Q610" s="319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</row>
    <row r="611" ht="15.5" customHeight="1">
      <c r="B611" s="293" t="n">
        <v>45358</v>
      </c>
      <c r="C611" s="294" t="n">
        <v>64</v>
      </c>
      <c r="D611" s="295" t="inlineStr">
        <is>
          <t>Laundry 30 days 1 Persons @ 50K IDR/day</t>
        </is>
      </c>
      <c r="E611" s="287" t="inlineStr">
        <is>
          <t>-</t>
        </is>
      </c>
      <c r="F611" s="296" t="n">
        <v>1500000</v>
      </c>
      <c r="G611" s="289" t="inlineStr">
        <is>
          <t>IDR</t>
        </is>
      </c>
      <c r="H611" s="297" t="n">
        <v>1</v>
      </c>
      <c r="I611" s="298" t="n"/>
      <c r="J611" s="298" t="n"/>
      <c r="K611" s="299" t="n"/>
      <c r="L611" s="300" t="n">
        <v>1500000</v>
      </c>
      <c r="M611" s="287" t="n"/>
      <c r="N611" s="287" t="n"/>
      <c r="O611" s="287" t="n"/>
      <c r="P611" s="287" t="n"/>
      <c r="Q611" s="287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</row>
    <row r="612" ht="15.5" customHeight="1">
      <c r="B612" s="315" t="n"/>
      <c r="C612" s="316" t="n"/>
      <c r="D612" s="317" t="inlineStr">
        <is>
          <t>Logistic</t>
        </is>
      </c>
      <c r="E612" s="316" t="n"/>
      <c r="F612" s="318" t="n"/>
      <c r="G612" s="316" t="n"/>
      <c r="H612" s="321" t="n"/>
      <c r="I612" s="320" t="n"/>
      <c r="J612" s="319" t="n"/>
      <c r="K612" s="319" t="n"/>
      <c r="L612" s="319" t="n"/>
      <c r="M612" s="320" t="n"/>
      <c r="N612" s="319" t="n"/>
      <c r="O612" s="319" t="n"/>
      <c r="P612" s="319" t="n"/>
      <c r="Q612" s="319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</row>
    <row r="613" ht="15.5" customHeight="1">
      <c r="B613" s="293" t="n">
        <v>45358</v>
      </c>
      <c r="C613" s="294" t="n">
        <v>65</v>
      </c>
      <c r="D613" s="295" t="inlineStr">
        <is>
          <t>Extra Baggage</t>
        </is>
      </c>
      <c r="E613" s="287" t="inlineStr">
        <is>
          <t>-</t>
        </is>
      </c>
      <c r="F613" s="296" t="n">
        <v>540000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287" t="n"/>
      <c r="M613" s="287" t="n"/>
      <c r="N613" s="300" t="n">
        <v>540000</v>
      </c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</row>
    <row r="614" ht="15.5" customHeight="1">
      <c r="B614" s="319" t="n"/>
      <c r="C614" s="319" t="n"/>
      <c r="D614" s="322" t="inlineStr">
        <is>
          <t>Meal</t>
        </is>
      </c>
      <c r="E614" s="323" t="n"/>
      <c r="F614" s="316" t="n"/>
      <c r="G614" s="316" t="n"/>
      <c r="H614" s="316" t="n"/>
      <c r="I614" s="319" t="n"/>
      <c r="J614" s="319" t="n"/>
      <c r="K614" s="319" t="n"/>
      <c r="L614" s="319" t="n"/>
      <c r="M614" s="320" t="n"/>
      <c r="N614" s="319" t="n"/>
      <c r="O614" s="319" t="n"/>
      <c r="P614" s="319" t="n"/>
      <c r="Q614" s="319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</row>
    <row r="615" ht="15.5" customHeight="1">
      <c r="B615" s="293" t="n">
        <v>45358</v>
      </c>
      <c r="C615" s="294" t="n">
        <v>66</v>
      </c>
      <c r="D615" s="295" t="inlineStr">
        <is>
          <t>Meals 30 days 1 Persons @ 150K IDR/day</t>
        </is>
      </c>
      <c r="E615" s="287" t="inlineStr">
        <is>
          <t>-</t>
        </is>
      </c>
      <c r="F615" s="296" t="n">
        <v>4500000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 t="n">
        <v>4500000</v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</row>
    <row r="616" ht="15.5" customHeight="1">
      <c r="B616" s="315" t="n"/>
      <c r="C616" s="316" t="n"/>
      <c r="D616" s="317" t="inlineStr">
        <is>
          <t>Sparepart</t>
        </is>
      </c>
      <c r="E616" s="316" t="n"/>
      <c r="F616" s="318" t="n"/>
      <c r="G616" s="316" t="n"/>
      <c r="H616" s="316" t="n"/>
      <c r="I616" s="320" t="n"/>
      <c r="J616" s="319" t="n"/>
      <c r="K616" s="319" t="n"/>
      <c r="L616" s="319" t="n"/>
      <c r="M616" s="319" t="n"/>
      <c r="N616" s="320" t="n"/>
      <c r="O616" s="319" t="n"/>
      <c r="P616" s="319" t="n"/>
      <c r="Q616" s="319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</row>
    <row r="617" ht="15.5" customHeight="1">
      <c r="B617" s="293" t="n">
        <v>45354</v>
      </c>
      <c r="C617" s="294" t="n">
        <v>67</v>
      </c>
      <c r="D617" s="295" t="inlineStr">
        <is>
          <t>Internet Data</t>
        </is>
      </c>
      <c r="E617" s="287" t="inlineStr">
        <is>
          <t>-</t>
        </is>
      </c>
      <c r="F617" s="296" t="n">
        <v>70000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300" t="n">
        <v>70000</v>
      </c>
      <c r="O617" s="287" t="n"/>
      <c r="P617" s="287" t="n"/>
      <c r="Q617" s="287" t="n"/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</row>
    <row r="618" ht="15.5" customHeight="1">
      <c r="B618" s="315" t="n"/>
      <c r="C618" s="316" t="n"/>
      <c r="D618" s="317" t="inlineStr">
        <is>
          <t>Transportation</t>
        </is>
      </c>
      <c r="E618" s="324" t="n"/>
      <c r="F618" s="318" t="n"/>
      <c r="G618" s="316" t="n"/>
      <c r="H618" s="316" t="n"/>
      <c r="I618" s="319" t="n"/>
      <c r="J618" s="319" t="n"/>
      <c r="K618" s="319" t="n"/>
      <c r="L618" s="319" t="n"/>
      <c r="M618" s="319" t="n"/>
      <c r="N618" s="319" t="n"/>
      <c r="O618" s="319" t="n"/>
      <c r="P618" s="319" t="n"/>
      <c r="Q618" s="319" t="n"/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</row>
    <row r="619" ht="15.5" customHeight="1">
      <c r="B619" s="293" t="n">
        <v>45358</v>
      </c>
      <c r="C619" s="294" t="n">
        <v>68</v>
      </c>
      <c r="D619" s="295" t="inlineStr">
        <is>
          <t>Tunjangan Lapangan (Training) untuk 27 days</t>
        </is>
      </c>
      <c r="E619" s="287" t="inlineStr">
        <is>
          <t>-</t>
        </is>
      </c>
      <c r="F619" s="296" t="n">
        <v>11705250</v>
      </c>
      <c r="G619" s="289" t="inlineStr">
        <is>
          <t>USD</t>
        </is>
      </c>
      <c r="H619" s="297" t="n">
        <v>15607</v>
      </c>
      <c r="I619" s="298" t="n"/>
      <c r="J619" s="298" t="n"/>
      <c r="K619" s="299" t="n"/>
      <c r="L619" s="300" t="n">
        <v>11705250</v>
      </c>
      <c r="M619" s="287" t="n"/>
      <c r="N619" s="287" t="n"/>
      <c r="O619" s="287" t="n"/>
      <c r="P619" s="287" t="n"/>
      <c r="Q619" s="287" t="n"/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</row>
    <row r="620" ht="15.5" customHeight="1">
      <c r="B620" s="309" t="inlineStr">
        <is>
          <t>Expense#3</t>
        </is>
      </c>
      <c r="C620" s="310" t="inlineStr">
        <is>
          <t>:</t>
        </is>
      </c>
      <c r="D620" s="311" t="inlineStr">
        <is>
          <t>MPLT (SAKA-UjungPangkah field) GOWell - TGE _IC</t>
        </is>
      </c>
      <c r="E620" s="312" t="n"/>
      <c r="F620" s="313" t="n"/>
      <c r="G620" s="312" t="n"/>
      <c r="H620" s="312" t="n"/>
      <c r="I620" s="312" t="n"/>
      <c r="J620" s="312" t="n"/>
      <c r="K620" s="312" t="n"/>
      <c r="L620" s="312" t="n"/>
      <c r="M620" s="314" t="n"/>
      <c r="N620" s="312" t="n"/>
      <c r="O620" s="312" t="n"/>
      <c r="P620" s="312" t="n"/>
      <c r="Q620" s="312" t="n"/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</row>
    <row r="621" ht="15.5" customHeight="1">
      <c r="B621" s="315" t="n"/>
      <c r="C621" s="316" t="n"/>
      <c r="D621" s="317" t="inlineStr">
        <is>
          <t>Allowance</t>
        </is>
      </c>
      <c r="E621" s="324" t="n"/>
      <c r="F621" s="318" t="n"/>
      <c r="G621" s="316" t="n"/>
      <c r="H621" s="316" t="n"/>
      <c r="I621" s="319" t="n"/>
      <c r="J621" s="319" t="n"/>
      <c r="K621" s="319" t="n"/>
      <c r="L621" s="319" t="n"/>
      <c r="M621" s="320" t="n"/>
      <c r="N621" s="319" t="n"/>
      <c r="O621" s="319" t="n"/>
      <c r="P621" s="319" t="n"/>
      <c r="Q621" s="319" t="n"/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</row>
    <row r="622" ht="15.5" customHeight="1">
      <c r="B622" s="293" t="n">
        <v>45375</v>
      </c>
      <c r="C622" s="294" t="n">
        <v>69</v>
      </c>
      <c r="D622" s="295" t="inlineStr">
        <is>
          <t>Tunjangan Lapangan untuk 6 days</t>
        </is>
      </c>
      <c r="E622" s="287" t="inlineStr">
        <is>
          <t>-</t>
        </is>
      </c>
      <c r="F622" s="296" t="n">
        <v>9501000</v>
      </c>
      <c r="G622" s="289" t="inlineStr">
        <is>
          <t>USD</t>
        </is>
      </c>
      <c r="H622" s="297" t="n">
        <v>15835</v>
      </c>
      <c r="I622" s="298" t="n"/>
      <c r="J622" s="298" t="n"/>
      <c r="K622" s="299" t="n"/>
      <c r="L622" s="300" t="n">
        <v>9501000</v>
      </c>
      <c r="M622" s="287" t="n"/>
      <c r="N622" s="287" t="n"/>
      <c r="O622" s="287" t="n"/>
      <c r="P622" s="287" t="n"/>
      <c r="Q622" s="287" t="n"/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</row>
    <row r="623" ht="15.5" customHeight="1">
      <c r="B623" s="315" t="n"/>
      <c r="C623" s="316" t="n"/>
      <c r="D623" s="317" t="inlineStr">
        <is>
          <t>Laundry</t>
        </is>
      </c>
      <c r="E623" s="324" t="n"/>
      <c r="F623" s="318" t="n"/>
      <c r="G623" s="316" t="n"/>
      <c r="H623" s="316" t="n"/>
      <c r="I623" s="319" t="n"/>
      <c r="J623" s="319" t="n"/>
      <c r="K623" s="319" t="n"/>
      <c r="L623" s="319" t="n"/>
      <c r="M623" s="320" t="n"/>
      <c r="N623" s="319" t="n"/>
      <c r="O623" s="319" t="n"/>
      <c r="P623" s="319" t="n"/>
      <c r="Q623" s="319" t="n"/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</row>
    <row r="624" ht="15.5" customHeight="1">
      <c r="B624" s="293" t="n">
        <v>45375</v>
      </c>
      <c r="C624" s="294" t="n">
        <v>70</v>
      </c>
      <c r="D624" s="295" t="inlineStr">
        <is>
          <t>Laundry 6 days 1 Persons @ 50K IDR/day</t>
        </is>
      </c>
      <c r="E624" s="287" t="inlineStr">
        <is>
          <t>-</t>
        </is>
      </c>
      <c r="F624" s="296" t="n">
        <v>300000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300" t="n">
        <v>300000</v>
      </c>
      <c r="M624" s="287" t="n"/>
      <c r="N624" s="287" t="n"/>
      <c r="O624" s="287" t="n"/>
      <c r="P624" s="287" t="n"/>
      <c r="Q624" s="287" t="n"/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</row>
    <row r="625" ht="15.5" customHeight="1">
      <c r="B625" s="315" t="n"/>
      <c r="C625" s="316" t="n"/>
      <c r="D625" s="317" t="inlineStr">
        <is>
          <t>Meal</t>
        </is>
      </c>
      <c r="E625" s="319" t="n"/>
      <c r="F625" s="318" t="n"/>
      <c r="G625" s="316" t="n"/>
      <c r="H625" s="316" t="n"/>
      <c r="I625" s="319" t="n"/>
      <c r="J625" s="319" t="n"/>
      <c r="K625" s="319" t="n"/>
      <c r="L625" s="319" t="n"/>
      <c r="M625" s="319" t="n"/>
      <c r="N625" s="319" t="n"/>
      <c r="O625" s="319" t="n"/>
      <c r="P625" s="319" t="n"/>
      <c r="Q625" s="319" t="n"/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</row>
    <row r="626" ht="15.5" customHeight="1">
      <c r="B626" s="293" t="n">
        <v>45375</v>
      </c>
      <c r="C626" s="294" t="n">
        <v>71</v>
      </c>
      <c r="D626" s="295" t="inlineStr">
        <is>
          <t>Meals 6 days 1 Persons @ 150K IDR/day</t>
        </is>
      </c>
      <c r="E626" s="287" t="inlineStr">
        <is>
          <t>-</t>
        </is>
      </c>
      <c r="F626" s="296" t="n">
        <v>900000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300" t="n">
        <v>900000</v>
      </c>
      <c r="M626" s="287" t="n"/>
      <c r="N626" s="287" t="n"/>
      <c r="O626" s="287" t="n"/>
      <c r="P626" s="287" t="n"/>
      <c r="Q626" s="287" t="n"/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</row>
    <row r="627" ht="15.5" customHeight="1">
      <c r="B627" s="319" t="n"/>
      <c r="C627" s="319" t="n"/>
      <c r="D627" s="322" t="inlineStr">
        <is>
          <t>Transportation</t>
        </is>
      </c>
      <c r="E627" s="323" t="n"/>
      <c r="F627" s="316" t="n"/>
      <c r="G627" s="316" t="n"/>
      <c r="H627" s="316" t="n"/>
      <c r="I627" s="319" t="n"/>
      <c r="J627" s="319" t="n"/>
      <c r="K627" s="319" t="n"/>
      <c r="L627" s="319" t="n"/>
      <c r="M627" s="319" t="n"/>
      <c r="N627" s="319" t="n"/>
      <c r="O627" s="319" t="n"/>
      <c r="P627" s="319" t="n"/>
      <c r="Q627" s="319" t="n"/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</row>
    <row r="628" ht="15.5" customHeight="1">
      <c r="B628" s="293" t="n">
        <v>45375</v>
      </c>
      <c r="C628" s="294" t="n">
        <v>72</v>
      </c>
      <c r="D628" s="295" t="inlineStr">
        <is>
          <t>Taxi CGK-Bintaro</t>
        </is>
      </c>
      <c r="E628" s="287" t="inlineStr">
        <is>
          <t>-</t>
        </is>
      </c>
      <c r="F628" s="296" t="n">
        <v>250000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300" t="n">
        <v>250000</v>
      </c>
      <c r="M628" s="287" t="n"/>
      <c r="N628" s="287" t="n"/>
      <c r="O628" s="287" t="n"/>
      <c r="P628" s="287" t="n"/>
      <c r="Q628" s="287" t="n"/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</row>
    <row r="629" ht="15.5" customHeight="1">
      <c r="B629" s="309" t="inlineStr">
        <is>
          <t>Expense#4</t>
        </is>
      </c>
      <c r="C629" s="310" t="inlineStr">
        <is>
          <t>:</t>
        </is>
      </c>
      <c r="D629" s="311" t="inlineStr">
        <is>
          <t>Non project (3rd) _ Ivan Chairulsyah</t>
        </is>
      </c>
      <c r="E629" s="312" t="n"/>
      <c r="F629" s="313" t="n"/>
      <c r="G629" s="312" t="n"/>
      <c r="H629" s="312" t="n"/>
      <c r="I629" s="314" t="n"/>
      <c r="J629" s="312" t="n"/>
      <c r="K629" s="312" t="n"/>
      <c r="L629" s="312" t="n"/>
      <c r="M629" s="312" t="n"/>
      <c r="N629" s="312" t="n"/>
      <c r="O629" s="312" t="n"/>
      <c r="P629" s="312" t="n"/>
      <c r="Q629" s="312" t="n"/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</row>
    <row r="630" ht="15.5" customHeight="1">
      <c r="B630" s="315" t="n"/>
      <c r="C630" s="316" t="n"/>
      <c r="D630" s="317" t="inlineStr">
        <is>
          <t>Elektronik &amp; Gadget</t>
        </is>
      </c>
      <c r="E630" s="319" t="n"/>
      <c r="F630" s="318" t="n"/>
      <c r="G630" s="316" t="n"/>
      <c r="H630" s="316" t="n"/>
      <c r="I630" s="319" t="n"/>
      <c r="J630" s="319" t="n"/>
      <c r="K630" s="319" t="n"/>
      <c r="L630" s="319" t="n"/>
      <c r="M630" s="319" t="n"/>
      <c r="N630" s="319" t="n"/>
      <c r="O630" s="319" t="n"/>
      <c r="P630" s="319" t="n"/>
      <c r="Q630" s="319" t="n"/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</row>
    <row r="631" ht="15.5" customHeight="1">
      <c r="B631" s="293" t="n">
        <v>45369</v>
      </c>
      <c r="C631" s="294" t="n">
        <v>73</v>
      </c>
      <c r="D631" s="295" t="inlineStr">
        <is>
          <t>Buy SANWA YX360TRF</t>
        </is>
      </c>
      <c r="E631" s="287" t="inlineStr">
        <is>
          <t>-</t>
        </is>
      </c>
      <c r="F631" s="296" t="n">
        <v>455600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300" t="n">
        <v>455600</v>
      </c>
      <c r="O631" s="287" t="n"/>
      <c r="P631" s="287" t="n"/>
      <c r="Q631" s="287" t="n"/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</row>
    <row r="632" ht="15.5" customHeight="1">
      <c r="B632" s="315" t="n"/>
      <c r="C632" s="316" t="n"/>
      <c r="D632" s="317" t="inlineStr">
        <is>
          <t>Hand Tools</t>
        </is>
      </c>
      <c r="E632" s="316" t="n"/>
      <c r="F632" s="318" t="n"/>
      <c r="G632" s="316" t="n"/>
      <c r="H632" s="316" t="n"/>
      <c r="I632" s="320" t="n"/>
      <c r="J632" s="319" t="n"/>
      <c r="K632" s="319" t="n"/>
      <c r="L632" s="319" t="n"/>
      <c r="M632" s="319" t="n"/>
      <c r="N632" s="319" t="n"/>
      <c r="O632" s="319" t="n"/>
      <c r="P632" s="319" t="n"/>
      <c r="Q632" s="319" t="n"/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</row>
    <row r="633" ht="15.5" customHeight="1">
      <c r="B633" s="293" t="n">
        <v>45370</v>
      </c>
      <c r="C633" s="294" t="n">
        <v>74</v>
      </c>
      <c r="D633" s="295" t="inlineStr">
        <is>
          <t>Send Tool from Gowell to TGE</t>
        </is>
      </c>
      <c r="E633" s="287" t="inlineStr">
        <is>
          <t>-</t>
        </is>
      </c>
      <c r="F633" s="296" t="n">
        <v>168732</v>
      </c>
      <c r="G633" s="289" t="inlineStr">
        <is>
          <t>IDR</t>
        </is>
      </c>
      <c r="H633" s="297" t="n">
        <v>1</v>
      </c>
      <c r="I633" s="298" t="n"/>
      <c r="J633" s="298" t="n"/>
      <c r="K633" s="299" t="n"/>
      <c r="L633" s="287" t="n"/>
      <c r="M633" s="287" t="n"/>
      <c r="N633" s="300" t="n">
        <v>168732</v>
      </c>
      <c r="O633" s="287" t="n"/>
      <c r="P633" s="287" t="n"/>
      <c r="Q633" s="287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</row>
    <row r="634" ht="15.5" customHeight="1">
      <c r="B634" s="309" t="inlineStr">
        <is>
          <t>Expense#5</t>
        </is>
      </c>
      <c r="C634" s="310" t="inlineStr">
        <is>
          <t>:</t>
        </is>
      </c>
      <c r="D634" s="311" t="inlineStr">
        <is>
          <t>MCU RS PP _Titis Maulana</t>
        </is>
      </c>
      <c r="E634" s="312" t="n"/>
      <c r="F634" s="313" t="n"/>
      <c r="G634" s="312" t="n"/>
      <c r="H634" s="312" t="n"/>
      <c r="I634" s="314" t="n"/>
      <c r="J634" s="312" t="n"/>
      <c r="K634" s="312" t="n"/>
      <c r="L634" s="312" t="n"/>
      <c r="M634" s="314" t="n"/>
      <c r="N634" s="312" t="n"/>
      <c r="O634" s="312" t="n"/>
      <c r="P634" s="312" t="n"/>
      <c r="Q634" s="312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</row>
    <row r="635" ht="15.5" customHeight="1">
      <c r="B635" s="315" t="n"/>
      <c r="C635" s="316" t="n"/>
      <c r="D635" s="317" t="inlineStr">
        <is>
          <t>Medical</t>
        </is>
      </c>
      <c r="E635" s="316" t="n"/>
      <c r="F635" s="318" t="n"/>
      <c r="G635" s="316" t="n"/>
      <c r="H635" s="316" t="n"/>
      <c r="I635" s="320" t="n"/>
      <c r="J635" s="319" t="n"/>
      <c r="K635" s="319" t="n"/>
      <c r="L635" s="319" t="n"/>
      <c r="M635" s="320" t="n"/>
      <c r="N635" s="319" t="n"/>
      <c r="O635" s="319" t="n"/>
      <c r="P635" s="319" t="n"/>
      <c r="Q635" s="319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</row>
    <row r="636" ht="15.5" customHeight="1">
      <c r="B636" s="293" t="n">
        <v>45384</v>
      </c>
      <c r="C636" s="294" t="n">
        <v>75</v>
      </c>
      <c r="D636" s="295" t="inlineStr">
        <is>
          <t>MCU RS PP</t>
        </is>
      </c>
      <c r="E636" s="287" t="inlineStr">
        <is>
          <t>-</t>
        </is>
      </c>
      <c r="F636" s="296" t="n">
        <v>5407000</v>
      </c>
      <c r="G636" s="289" t="inlineStr">
        <is>
          <t>IDR</t>
        </is>
      </c>
      <c r="H636" s="297" t="n">
        <v>1</v>
      </c>
      <c r="I636" s="298" t="n"/>
      <c r="J636" s="298" t="n"/>
      <c r="K636" s="299" t="n"/>
      <c r="L636" s="287" t="n"/>
      <c r="M636" s="287" t="n"/>
      <c r="N636" s="287" t="n"/>
      <c r="O636" s="287" t="n"/>
      <c r="P636" s="300" t="n">
        <v>5407000</v>
      </c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</row>
    <row r="637" ht="15.5" customHeight="1">
      <c r="B637" s="309" t="inlineStr">
        <is>
          <t>Expense#6</t>
        </is>
      </c>
      <c r="C637" s="310" t="inlineStr">
        <is>
          <t>:</t>
        </is>
      </c>
      <c r="D637" s="311" t="inlineStr">
        <is>
          <t>MPLT (SAKA-UjungPangkah field) by TGE - GOWell project_IC</t>
        </is>
      </c>
      <c r="E637" s="312" t="n"/>
      <c r="F637" s="312" t="n"/>
      <c r="G637" s="312" t="n"/>
      <c r="H637" s="312" t="n"/>
      <c r="I637" s="312" t="n"/>
      <c r="J637" s="312" t="n"/>
      <c r="K637" s="312" t="n"/>
      <c r="L637" s="312" t="n"/>
      <c r="M637" s="312" t="n"/>
      <c r="N637" s="314" t="n"/>
      <c r="O637" s="312" t="n"/>
      <c r="P637" s="312" t="n"/>
      <c r="Q637" s="312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</row>
    <row r="638" ht="15.5" customHeight="1">
      <c r="B638" s="325" t="n"/>
      <c r="C638" s="326" t="n"/>
      <c r="D638" s="327" t="inlineStr">
        <is>
          <t>Biaya Operasi Lain-lain</t>
        </is>
      </c>
      <c r="E638" s="328" t="n"/>
      <c r="F638" s="329" t="n"/>
      <c r="G638" s="316" t="n"/>
      <c r="H638" s="316" t="n"/>
      <c r="I638" s="319" t="n"/>
      <c r="J638" s="319" t="n"/>
      <c r="K638" s="319" t="n"/>
      <c r="L638" s="319" t="n"/>
      <c r="M638" s="320" t="n"/>
      <c r="N638" s="319" t="n"/>
      <c r="O638" s="319" t="n"/>
      <c r="P638" s="319" t="n"/>
      <c r="Q638" s="319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</row>
    <row r="639" ht="15.5" customHeight="1">
      <c r="B639" s="293" t="n">
        <v>45407</v>
      </c>
      <c r="C639" s="294" t="n">
        <v>76</v>
      </c>
      <c r="D639" s="295" t="inlineStr">
        <is>
          <t>Send MPLT TGE - Gowell</t>
        </is>
      </c>
      <c r="E639" s="287" t="inlineStr">
        <is>
          <t>-</t>
        </is>
      </c>
      <c r="F639" s="296" t="n">
        <v>167297</v>
      </c>
      <c r="G639" s="289" t="inlineStr">
        <is>
          <t>IDR</t>
        </is>
      </c>
      <c r="H639" s="297" t="n">
        <v>1</v>
      </c>
      <c r="I639" s="298" t="n"/>
      <c r="J639" s="298" t="n"/>
      <c r="K639" s="299" t="n"/>
      <c r="L639" s="300" t="n">
        <v>167297</v>
      </c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</row>
    <row r="640" ht="15.5" customHeight="1">
      <c r="B640" s="325" t="n"/>
      <c r="C640" s="326" t="n"/>
      <c r="D640" s="327" t="inlineStr">
        <is>
          <t>Laundry</t>
        </is>
      </c>
      <c r="E640" s="328" t="n"/>
      <c r="F640" s="330" t="n"/>
      <c r="G640" s="316" t="n"/>
      <c r="H640" s="316" t="n"/>
      <c r="I640" s="320" t="n"/>
      <c r="J640" s="319" t="n"/>
      <c r="K640" s="319" t="n"/>
      <c r="L640" s="319" t="n"/>
      <c r="M640" s="320" t="n"/>
      <c r="N640" s="319" t="n"/>
      <c r="O640" s="319" t="n"/>
      <c r="P640" s="319" t="n"/>
      <c r="Q640" s="319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</row>
    <row r="641" ht="15.5" customHeight="1">
      <c r="B641" s="293" t="n">
        <v>45402</v>
      </c>
      <c r="C641" s="294" t="n">
        <v>77</v>
      </c>
      <c r="D641" s="295" t="inlineStr">
        <is>
          <t>Laundry 5 days 1 Persons @ 50K IDR/day</t>
        </is>
      </c>
      <c r="E641" s="287" t="inlineStr">
        <is>
          <t>-</t>
        </is>
      </c>
      <c r="F641" s="296" t="n">
        <v>250000</v>
      </c>
      <c r="G641" s="289" t="inlineStr">
        <is>
          <t>IDR</t>
        </is>
      </c>
      <c r="H641" s="297" t="n">
        <v>1</v>
      </c>
      <c r="I641" s="298" t="n"/>
      <c r="J641" s="298" t="n"/>
      <c r="K641" s="299" t="n"/>
      <c r="L641" s="300" t="n">
        <v>250000</v>
      </c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</row>
    <row r="642" ht="15.5" customHeight="1">
      <c r="B642" s="325" t="n"/>
      <c r="C642" s="326" t="n"/>
      <c r="D642" s="327" t="inlineStr">
        <is>
          <t>Meal</t>
        </is>
      </c>
      <c r="E642" s="328" t="n"/>
      <c r="F642" s="330" t="n"/>
      <c r="G642" s="316" t="n"/>
      <c r="H642" s="316" t="n"/>
      <c r="I642" s="319" t="n"/>
      <c r="J642" s="319" t="n"/>
      <c r="K642" s="319" t="n"/>
      <c r="L642" s="319" t="n"/>
      <c r="M642" s="320" t="n"/>
      <c r="N642" s="319" t="n"/>
      <c r="O642" s="319" t="n"/>
      <c r="P642" s="319" t="n"/>
      <c r="Q642" s="319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</row>
    <row r="643" ht="15.5" customHeight="1">
      <c r="B643" s="293" t="n">
        <v>45402</v>
      </c>
      <c r="C643" s="294" t="n">
        <v>78</v>
      </c>
      <c r="D643" s="295" t="inlineStr">
        <is>
          <t>Meals 5 days 1 Persons @ 150K IDR/day</t>
        </is>
      </c>
      <c r="E643" s="287" t="inlineStr">
        <is>
          <t>-</t>
        </is>
      </c>
      <c r="F643" s="296" t="n">
        <v>750000</v>
      </c>
      <c r="G643" s="289" t="inlineStr">
        <is>
          <t>IDR</t>
        </is>
      </c>
      <c r="H643" s="297" t="n">
        <v>1</v>
      </c>
      <c r="I643" s="298" t="n"/>
      <c r="J643" s="298" t="n"/>
      <c r="K643" s="299" t="n"/>
      <c r="L643" s="300" t="n">
        <v>750000</v>
      </c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</row>
    <row r="644" ht="15.5" customHeight="1">
      <c r="B644" s="325" t="n"/>
      <c r="C644" s="326" t="n"/>
      <c r="D644" s="327" t="inlineStr">
        <is>
          <t>Transportation</t>
        </is>
      </c>
      <c r="E644" s="328" t="n"/>
      <c r="F644" s="330" t="n"/>
      <c r="G644" s="316" t="n"/>
      <c r="H644" s="316" t="n"/>
      <c r="I644" s="319" t="n"/>
      <c r="J644" s="319" t="n"/>
      <c r="K644" s="319" t="n"/>
      <c r="L644" s="319" t="n"/>
      <c r="M644" s="320" t="n"/>
      <c r="N644" s="319" t="n"/>
      <c r="O644" s="319" t="n"/>
      <c r="P644" s="319" t="n"/>
      <c r="Q644" s="319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</row>
    <row r="645" ht="15.5" customHeight="1">
      <c r="B645" s="293" t="n">
        <v>45402</v>
      </c>
      <c r="C645" s="294" t="n">
        <v>79</v>
      </c>
      <c r="D645" s="295" t="inlineStr">
        <is>
          <t>Taxi CGK-Bintaro</t>
        </is>
      </c>
      <c r="E645" s="287" t="inlineStr">
        <is>
          <t>-</t>
        </is>
      </c>
      <c r="F645" s="296" t="n">
        <v>250000</v>
      </c>
      <c r="G645" s="289" t="inlineStr">
        <is>
          <t>IDR</t>
        </is>
      </c>
      <c r="H645" s="297" t="n">
        <v>1</v>
      </c>
      <c r="I645" s="298" t="n"/>
      <c r="J645" s="298" t="n"/>
      <c r="K645" s="299" t="n"/>
      <c r="L645" s="300" t="n">
        <v>250000</v>
      </c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</row>
    <row r="646" ht="15.5" customHeight="1">
      <c r="B646" s="331" t="inlineStr">
        <is>
          <t>Expense#7</t>
        </is>
      </c>
      <c r="C646" s="310" t="inlineStr">
        <is>
          <t>:</t>
        </is>
      </c>
      <c r="D646" s="332" t="inlineStr">
        <is>
          <t>PLT SRO_ TGB-33 (Jatibarang Field) Elnusa _ IC</t>
        </is>
      </c>
      <c r="E646" s="333" t="n"/>
      <c r="F646" s="313" t="n"/>
      <c r="G646" s="312" t="n"/>
      <c r="H646" s="312" t="n"/>
      <c r="I646" s="314" t="n"/>
      <c r="J646" s="312" t="n"/>
      <c r="K646" s="312" t="n"/>
      <c r="L646" s="312" t="n"/>
      <c r="M646" s="314" t="n"/>
      <c r="N646" s="312" t="n"/>
      <c r="O646" s="312" t="n"/>
      <c r="P646" s="312" t="n"/>
      <c r="Q646" s="312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</row>
    <row r="647" ht="15.5" customHeight="1">
      <c r="B647" s="325" t="n"/>
      <c r="C647" s="326" t="n"/>
      <c r="D647" s="327" t="inlineStr">
        <is>
          <t>Accommodation</t>
        </is>
      </c>
      <c r="E647" s="328" t="n"/>
      <c r="F647" s="330" t="n"/>
      <c r="G647" s="316" t="n"/>
      <c r="H647" s="316" t="n"/>
      <c r="I647" s="320" t="n"/>
      <c r="J647" s="319" t="n"/>
      <c r="K647" s="319" t="n"/>
      <c r="L647" s="319" t="n"/>
      <c r="M647" s="320" t="n"/>
      <c r="N647" s="319" t="n"/>
      <c r="O647" s="319" t="n"/>
      <c r="P647" s="319" t="n"/>
      <c r="Q647" s="319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</row>
    <row r="648" ht="15.5" customHeight="1">
      <c r="B648" s="293" t="n">
        <v>45410</v>
      </c>
      <c r="C648" s="294" t="n">
        <v>80</v>
      </c>
      <c r="D648" s="295" t="inlineStr">
        <is>
          <t>Hotel 2 days</t>
        </is>
      </c>
      <c r="E648" s="287" t="inlineStr">
        <is>
          <t>-</t>
        </is>
      </c>
      <c r="F648" s="296" t="n">
        <v>1357481</v>
      </c>
      <c r="G648" s="289" t="inlineStr">
        <is>
          <t>IDR</t>
        </is>
      </c>
      <c r="H648" s="297" t="n">
        <v>1</v>
      </c>
      <c r="I648" s="298" t="n"/>
      <c r="J648" s="298" t="n"/>
      <c r="K648" s="299" t="n"/>
      <c r="L648" s="300" t="n">
        <v>1357481</v>
      </c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</row>
    <row r="649" ht="15.5" customHeight="1">
      <c r="B649" s="325" t="n"/>
      <c r="C649" s="326" t="n"/>
      <c r="D649" s="327" t="inlineStr">
        <is>
          <t>Allowance</t>
        </is>
      </c>
      <c r="E649" s="328" t="n"/>
      <c r="F649" s="330" t="n"/>
      <c r="G649" s="316" t="n"/>
      <c r="H649" s="316" t="n"/>
      <c r="I649" s="319" t="n"/>
      <c r="J649" s="319" t="n"/>
      <c r="K649" s="319" t="n"/>
      <c r="L649" s="319" t="n"/>
      <c r="M649" s="320" t="n"/>
      <c r="N649" s="319" t="n"/>
      <c r="O649" s="319" t="n"/>
      <c r="P649" s="319" t="n"/>
      <c r="Q649" s="319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</row>
    <row r="650" ht="15.5" customHeight="1">
      <c r="B650" s="293" t="n">
        <v>45410</v>
      </c>
      <c r="C650" s="294" t="n">
        <v>81</v>
      </c>
      <c r="D650" s="295" t="inlineStr">
        <is>
          <t>Tunjangan Lapangan for 2 days</t>
        </is>
      </c>
      <c r="E650" s="287" t="inlineStr">
        <is>
          <t>-</t>
        </is>
      </c>
      <c r="F650" s="296" t="n">
        <v>3251400</v>
      </c>
      <c r="G650" s="289" t="inlineStr">
        <is>
          <t>USD</t>
        </is>
      </c>
      <c r="H650" s="297" t="n">
        <v>16257</v>
      </c>
      <c r="I650" s="298" t="n"/>
      <c r="J650" s="298" t="n"/>
      <c r="K650" s="299" t="n"/>
      <c r="L650" s="300" t="n">
        <v>3251400</v>
      </c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</row>
    <row r="651" ht="15.5" customHeight="1">
      <c r="B651" s="325" t="n"/>
      <c r="C651" s="326" t="n"/>
      <c r="D651" s="327" t="inlineStr">
        <is>
          <t>Laundry</t>
        </is>
      </c>
      <c r="E651" s="328" t="n"/>
      <c r="F651" s="330" t="n"/>
      <c r="G651" s="316" t="n"/>
      <c r="H651" s="316" t="n"/>
      <c r="I651" s="319" t="n"/>
      <c r="J651" s="319" t="n"/>
      <c r="K651" s="319" t="n"/>
      <c r="L651" s="319" t="n"/>
      <c r="M651" s="320" t="n"/>
      <c r="N651" s="319" t="n"/>
      <c r="O651" s="319" t="n"/>
      <c r="P651" s="319" t="n"/>
      <c r="Q651" s="319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</row>
    <row r="652" ht="15.5" customHeight="1">
      <c r="B652" s="293" t="n">
        <v>45410</v>
      </c>
      <c r="C652" s="294" t="n">
        <v>82</v>
      </c>
      <c r="D652" s="295" t="inlineStr">
        <is>
          <t>Laundry 2 days</t>
        </is>
      </c>
      <c r="E652" s="287" t="inlineStr">
        <is>
          <t>-</t>
        </is>
      </c>
      <c r="F652" s="296" t="n">
        <v>100000</v>
      </c>
      <c r="G652" s="289" t="inlineStr">
        <is>
          <t>IDR</t>
        </is>
      </c>
      <c r="H652" s="297" t="n">
        <v>1</v>
      </c>
      <c r="I652" s="298" t="n"/>
      <c r="J652" s="298" t="n"/>
      <c r="K652" s="299" t="n"/>
      <c r="L652" s="300" t="n">
        <v>100000</v>
      </c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</row>
    <row r="653" ht="15.5" customHeight="1">
      <c r="B653" s="325" t="n"/>
      <c r="C653" s="326" t="n"/>
      <c r="D653" s="327" t="inlineStr">
        <is>
          <t>Meal</t>
        </is>
      </c>
      <c r="E653" s="328" t="n"/>
      <c r="F653" s="330" t="n"/>
      <c r="G653" s="316" t="n"/>
      <c r="H653" s="316" t="n"/>
      <c r="I653" s="320" t="n"/>
      <c r="J653" s="320" t="n"/>
      <c r="K653" s="320" t="n"/>
      <c r="L653" s="320" t="n"/>
      <c r="M653" s="320" t="n"/>
      <c r="N653" s="320" t="n"/>
      <c r="O653" s="320" t="n"/>
      <c r="P653" s="320" t="n"/>
      <c r="Q653" s="320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</row>
    <row r="654" ht="15.5" customHeight="1">
      <c r="B654" s="293" t="n">
        <v>45410</v>
      </c>
      <c r="C654" s="294" t="n">
        <v>83</v>
      </c>
      <c r="D654" s="295" t="inlineStr">
        <is>
          <t>Meals 2 days 1 Persons @ 150K IDR/day</t>
        </is>
      </c>
      <c r="E654" s="287" t="inlineStr">
        <is>
          <t>-</t>
        </is>
      </c>
      <c r="F654" s="296" t="n">
        <v>300000</v>
      </c>
      <c r="G654" s="289" t="inlineStr">
        <is>
          <t>IDR</t>
        </is>
      </c>
      <c r="H654" s="297" t="n">
        <v>1</v>
      </c>
      <c r="I654" s="298" t="n"/>
      <c r="J654" s="298" t="n"/>
      <c r="K654" s="299" t="n"/>
      <c r="L654" s="300" t="n">
        <v>300000</v>
      </c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</row>
    <row r="655" ht="15.5" customHeight="1">
      <c r="B655" s="325" t="n"/>
      <c r="C655" s="326" t="n"/>
      <c r="D655" s="327" t="inlineStr">
        <is>
          <t>Transportation</t>
        </is>
      </c>
      <c r="E655" s="328" t="n"/>
      <c r="F655" s="330" t="n"/>
      <c r="G655" s="316" t="n"/>
      <c r="H655" s="316" t="n"/>
      <c r="I655" s="320" t="n"/>
      <c r="J655" s="320" t="n"/>
      <c r="K655" s="320" t="n"/>
      <c r="L655" s="320" t="n"/>
      <c r="M655" s="320" t="n"/>
      <c r="N655" s="320" t="n"/>
      <c r="O655" s="320" t="n"/>
      <c r="P655" s="320" t="n"/>
      <c r="Q655" s="320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</row>
    <row r="656" ht="15.5" customHeight="1">
      <c r="B656" s="293" t="n">
        <v>45410</v>
      </c>
      <c r="C656" s="294" t="n">
        <v>84</v>
      </c>
      <c r="D656" s="295" t="inlineStr">
        <is>
          <t>Toll</t>
        </is>
      </c>
      <c r="E656" s="287" t="inlineStr">
        <is>
          <t>-</t>
        </is>
      </c>
      <c r="F656" s="296" t="n">
        <v>298000</v>
      </c>
      <c r="G656" s="289" t="inlineStr">
        <is>
          <t>IDR</t>
        </is>
      </c>
      <c r="H656" s="297" t="n">
        <v>1</v>
      </c>
      <c r="I656" s="298" t="n"/>
      <c r="J656" s="298" t="n"/>
      <c r="K656" s="299" t="n"/>
      <c r="L656" s="300" t="n">
        <v>298000</v>
      </c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</row>
    <row r="657" ht="15.5" customHeight="1">
      <c r="B657" s="331" t="inlineStr">
        <is>
          <t>Expense#8</t>
        </is>
      </c>
      <c r="C657" s="310" t="inlineStr">
        <is>
          <t>:</t>
        </is>
      </c>
      <c r="D657" s="332" t="inlineStr">
        <is>
          <t>Training BST_ PHR-zona 4 (Dwiyanto) (Dwi_Febri dan Ilham)</t>
        </is>
      </c>
      <c r="E657" s="333" t="n"/>
      <c r="F657" s="313" t="n"/>
      <c r="G657" s="312" t="n"/>
      <c r="H657" s="312" t="n"/>
      <c r="I657" s="314" t="n"/>
      <c r="J657" s="314" t="n"/>
      <c r="K657" s="314" t="n"/>
      <c r="L657" s="314" t="n"/>
      <c r="M657" s="314" t="n"/>
      <c r="N657" s="314" t="n"/>
      <c r="O657" s="314" t="n"/>
      <c r="P657" s="314" t="n"/>
      <c r="Q657" s="314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</row>
    <row r="658" ht="15.5" customHeight="1">
      <c r="B658" s="325" t="n"/>
      <c r="C658" s="326" t="n"/>
      <c r="D658" s="327" t="inlineStr">
        <is>
          <t>Accommodation</t>
        </is>
      </c>
      <c r="E658" s="328" t="n"/>
      <c r="F658" s="330" t="n"/>
      <c r="G658" s="316" t="n"/>
      <c r="H658" s="316" t="n"/>
      <c r="I658" s="320" t="n"/>
      <c r="J658" s="320" t="n"/>
      <c r="K658" s="320" t="n"/>
      <c r="L658" s="320" t="n"/>
      <c r="M658" s="320" t="n"/>
      <c r="N658" s="320" t="n"/>
      <c r="O658" s="320" t="n"/>
      <c r="P658" s="320" t="n"/>
      <c r="Q658" s="320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</row>
    <row r="659" ht="15.5" customHeight="1">
      <c r="B659" s="293" t="n">
        <v>45420</v>
      </c>
      <c r="C659" s="294" t="n">
        <v>85</v>
      </c>
      <c r="D659" s="295" t="inlineStr">
        <is>
          <t>Hotel</t>
        </is>
      </c>
      <c r="E659" s="287" t="inlineStr">
        <is>
          <t>-</t>
        </is>
      </c>
      <c r="F659" s="296" t="n">
        <v>360000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 t="n">
        <v>360000</v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</row>
    <row r="660" ht="15.5" customHeight="1">
      <c r="B660" s="325" t="n"/>
      <c r="C660" s="326" t="n"/>
      <c r="D660" s="327" t="inlineStr">
        <is>
          <t>Biaya Operasi Lain-lain</t>
        </is>
      </c>
      <c r="E660" s="328" t="n"/>
      <c r="F660" s="330" t="n"/>
      <c r="G660" s="316" t="n"/>
      <c r="H660" s="316" t="n"/>
      <c r="I660" s="320" t="n"/>
      <c r="J660" s="320" t="n"/>
      <c r="K660" s="320" t="n"/>
      <c r="L660" s="320" t="n"/>
      <c r="M660" s="320" t="n"/>
      <c r="N660" s="320" t="n"/>
      <c r="O660" s="320" t="n"/>
      <c r="P660" s="320" t="n"/>
      <c r="Q660" s="320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</row>
    <row r="661" ht="15.5" customHeight="1">
      <c r="B661" s="293" t="n">
        <v>45418</v>
      </c>
      <c r="C661" s="294" t="n">
        <v>86</v>
      </c>
      <c r="D661" s="295" t="inlineStr">
        <is>
          <t>Jakarta - Palembang - Jakarta</t>
        </is>
      </c>
      <c r="E661" s="287" t="inlineStr">
        <is>
          <t>-</t>
        </is>
      </c>
      <c r="F661" s="296" t="n">
        <v>1387800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 t="n">
        <v>1387800</v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</row>
    <row r="662" ht="15.5" customHeight="1">
      <c r="B662" s="315" t="n"/>
      <c r="C662" s="316" t="n"/>
      <c r="D662" s="317" t="inlineStr">
        <is>
          <t>Meal</t>
        </is>
      </c>
      <c r="E662" s="316" t="n"/>
      <c r="F662" s="318" t="n"/>
      <c r="G662" s="316" t="n"/>
      <c r="H662" s="316" t="n"/>
      <c r="I662" s="320" t="n"/>
      <c r="J662" s="320" t="n"/>
      <c r="K662" s="320" t="n"/>
      <c r="L662" s="320" t="n"/>
      <c r="M662" s="320" t="n"/>
      <c r="N662" s="320" t="n"/>
      <c r="O662" s="320" t="n"/>
      <c r="P662" s="320" t="n"/>
      <c r="Q662" s="320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</row>
    <row r="663" ht="15.5" customHeight="1">
      <c r="B663" s="293" t="n">
        <v>45419</v>
      </c>
      <c r="C663" s="294" t="n">
        <v>87</v>
      </c>
      <c r="D663" s="295" t="inlineStr">
        <is>
          <t>Dinner (Dwi, Febri, Ilham)</t>
        </is>
      </c>
      <c r="E663" s="287" t="inlineStr">
        <is>
          <t>-</t>
        </is>
      </c>
      <c r="F663" s="296" t="n">
        <v>103400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 t="n">
        <v>103400</v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</row>
    <row r="664" ht="15.5" customHeight="1">
      <c r="B664" s="315" t="n"/>
      <c r="C664" s="316" t="n"/>
      <c r="D664" s="317" t="inlineStr">
        <is>
          <t>Transportation</t>
        </is>
      </c>
      <c r="E664" s="319" t="n"/>
      <c r="F664" s="334" t="n"/>
      <c r="G664" s="319" t="n"/>
      <c r="H664" s="319" t="n"/>
      <c r="I664" s="320" t="n"/>
      <c r="J664" s="320" t="n"/>
      <c r="K664" s="320" t="n"/>
      <c r="L664" s="320" t="n"/>
      <c r="M664" s="320" t="n"/>
      <c r="N664" s="320" t="n"/>
      <c r="O664" s="320" t="n"/>
      <c r="P664" s="320" t="n"/>
      <c r="Q664" s="320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</row>
    <row r="665" ht="15.5" customHeight="1">
      <c r="B665" s="293" t="n">
        <v>45421</v>
      </c>
      <c r="C665" s="294" t="n">
        <v>88</v>
      </c>
      <c r="D665" s="295" t="inlineStr">
        <is>
          <t>Tol + Taxi From Airport Jakarta</t>
        </is>
      </c>
      <c r="E665" s="287" t="inlineStr">
        <is>
          <t>-</t>
        </is>
      </c>
      <c r="F665" s="296" t="n">
        <v>276900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 t="n">
        <v>276900</v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</row>
    <row r="666" ht="15.5" customHeight="1">
      <c r="B666" s="311" t="inlineStr">
        <is>
          <t>Expense#9</t>
        </is>
      </c>
      <c r="C666" s="310" t="inlineStr">
        <is>
          <t>:</t>
        </is>
      </c>
      <c r="D666" s="311" t="inlineStr">
        <is>
          <t>MFC and ALFA Memory (Jatibarang Field) TGB-033_Elnusa_ AC</t>
        </is>
      </c>
      <c r="E666" s="312" t="n"/>
      <c r="F666" s="312" t="n"/>
      <c r="G666" s="312" t="n"/>
      <c r="H666" s="312" t="n"/>
      <c r="I666" s="314" t="n"/>
      <c r="J666" s="314" t="n"/>
      <c r="K666" s="314" t="n"/>
      <c r="L666" s="314" t="n"/>
      <c r="M666" s="314" t="n"/>
      <c r="N666" s="314" t="n"/>
      <c r="O666" s="314" t="n"/>
      <c r="P666" s="314" t="n"/>
      <c r="Q666" s="314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</row>
    <row r="667" ht="15.5" customHeight="1">
      <c r="B667" s="315" t="n"/>
      <c r="C667" s="316" t="n"/>
      <c r="D667" s="317" t="inlineStr">
        <is>
          <t>Allowance</t>
        </is>
      </c>
      <c r="E667" s="316" t="n"/>
      <c r="F667" s="318" t="n"/>
      <c r="G667" s="316" t="n"/>
      <c r="H667" s="316" t="n"/>
      <c r="I667" s="320" t="n"/>
      <c r="J667" s="320" t="n"/>
      <c r="K667" s="320" t="n"/>
      <c r="L667" s="320" t="n"/>
      <c r="M667" s="320" t="n"/>
      <c r="N667" s="320" t="n"/>
      <c r="O667" s="320" t="n"/>
      <c r="P667" s="320" t="n"/>
      <c r="Q667" s="320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</row>
    <row r="668" ht="15.5" customHeight="1">
      <c r="B668" s="293" t="n">
        <v>45403</v>
      </c>
      <c r="C668" s="294" t="n">
        <v>89</v>
      </c>
      <c r="D668" s="295" t="inlineStr">
        <is>
          <t>Tunajngan lapangan for 3 days (19-21 apr24) Anevril</t>
        </is>
      </c>
      <c r="E668" s="287" t="inlineStr">
        <is>
          <t>-</t>
        </is>
      </c>
      <c r="F668" s="296" t="n">
        <v>4815300</v>
      </c>
      <c r="G668" s="289" t="inlineStr">
        <is>
          <t>USD</t>
        </is>
      </c>
      <c r="H668" s="297" t="n">
        <v>16051</v>
      </c>
      <c r="I668" s="298" t="n"/>
      <c r="J668" s="298" t="n"/>
      <c r="K668" s="299" t="n"/>
      <c r="L668" s="300" t="n">
        <v>4815300</v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</row>
    <row r="669" ht="15.5" customHeight="1">
      <c r="B669" s="315" t="n"/>
      <c r="C669" s="316" t="n"/>
      <c r="D669" s="317" t="inlineStr">
        <is>
          <t>Laundry</t>
        </is>
      </c>
      <c r="E669" s="316" t="n"/>
      <c r="F669" s="318" t="n"/>
      <c r="G669" s="316" t="n"/>
      <c r="H669" s="316" t="n"/>
      <c r="I669" s="320" t="n"/>
      <c r="J669" s="320" t="n"/>
      <c r="K669" s="320" t="n"/>
      <c r="L669" s="320" t="n"/>
      <c r="M669" s="320" t="n"/>
      <c r="N669" s="320" t="n"/>
      <c r="O669" s="320" t="n"/>
      <c r="P669" s="320" t="n"/>
      <c r="Q669" s="320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</row>
    <row r="670" ht="15.5" customHeight="1">
      <c r="B670" s="293" t="n">
        <v>45403</v>
      </c>
      <c r="C670" s="294" t="n">
        <v>90</v>
      </c>
      <c r="D670" s="295" t="inlineStr">
        <is>
          <t>Laundry 3 days @ Rp. 50.000</t>
        </is>
      </c>
      <c r="E670" s="287" t="inlineStr">
        <is>
          <t>-</t>
        </is>
      </c>
      <c r="F670" s="296" t="n">
        <v>150000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 t="n">
        <v>150000</v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</row>
    <row r="671" ht="15.5" customHeight="1">
      <c r="B671" s="315" t="n"/>
      <c r="C671" s="316" t="n"/>
      <c r="D671" s="317" t="inlineStr">
        <is>
          <t>Meal</t>
        </is>
      </c>
      <c r="E671" s="316" t="n"/>
      <c r="F671" s="318" t="n"/>
      <c r="G671" s="316" t="n"/>
      <c r="H671" s="316" t="n"/>
      <c r="I671" s="320" t="n"/>
      <c r="J671" s="320" t="n"/>
      <c r="K671" s="320" t="n"/>
      <c r="L671" s="320" t="n"/>
      <c r="M671" s="320" t="n"/>
      <c r="N671" s="320" t="n"/>
      <c r="O671" s="320" t="n"/>
      <c r="P671" s="320" t="n"/>
      <c r="Q671" s="320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</row>
    <row r="672" ht="15.5" customHeight="1">
      <c r="B672" s="293" t="n">
        <v>45420</v>
      </c>
      <c r="C672" s="294" t="n">
        <v>91</v>
      </c>
      <c r="D672" s="295" t="inlineStr">
        <is>
          <t>Dinner (Dwi, Febri, Ilham)</t>
        </is>
      </c>
      <c r="E672" s="287" t="inlineStr">
        <is>
          <t>-</t>
        </is>
      </c>
      <c r="F672" s="296" t="n">
        <v>128000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 t="n">
        <v>128000</v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</row>
    <row r="673" ht="15.5" customHeight="1">
      <c r="B673" s="315" t="n"/>
      <c r="C673" s="316" t="n"/>
      <c r="D673" s="317" t="inlineStr">
        <is>
          <t>Transportation</t>
        </is>
      </c>
      <c r="E673" s="316" t="n"/>
      <c r="F673" s="318" t="n"/>
      <c r="G673" s="316" t="n"/>
      <c r="H673" s="316" t="n"/>
      <c r="I673" s="320" t="n"/>
      <c r="J673" s="320" t="n"/>
      <c r="K673" s="320" t="n"/>
      <c r="L673" s="320" t="n"/>
      <c r="M673" s="320" t="n"/>
      <c r="N673" s="320" t="n"/>
      <c r="O673" s="320" t="n"/>
      <c r="P673" s="320" t="n"/>
      <c r="Q673" s="320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</row>
    <row r="674" ht="15.5" customHeight="1">
      <c r="B674" s="293" t="n">
        <v>45403</v>
      </c>
      <c r="C674" s="294" t="n">
        <v>92</v>
      </c>
      <c r="D674" s="295" t="inlineStr">
        <is>
          <t>Taksi</t>
        </is>
      </c>
      <c r="E674" s="287" t="inlineStr">
        <is>
          <t>-</t>
        </is>
      </c>
      <c r="F674" s="296" t="n">
        <v>150000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 t="n">
        <v>150000</v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</row>
    <row r="675" ht="15.5" customHeight="1">
      <c r="B675" s="309" t="inlineStr">
        <is>
          <t>Expense#10</t>
        </is>
      </c>
      <c r="C675" s="310" t="inlineStr">
        <is>
          <t>:</t>
        </is>
      </c>
      <c r="D675" s="311" t="inlineStr">
        <is>
          <t>ALFA+PLT (TGB-033 Zona 7) Elnusa_TMA</t>
        </is>
      </c>
      <c r="E675" s="312" t="n"/>
      <c r="F675" s="313" t="n"/>
      <c r="G675" s="312" t="n"/>
      <c r="H675" s="312" t="n"/>
      <c r="I675" s="314" t="n"/>
      <c r="J675" s="314" t="n"/>
      <c r="K675" s="314" t="n"/>
      <c r="L675" s="314" t="n"/>
      <c r="M675" s="314" t="n"/>
      <c r="N675" s="314" t="n"/>
      <c r="O675" s="314" t="n"/>
      <c r="P675" s="314" t="n"/>
      <c r="Q675" s="314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</row>
    <row r="676" ht="15.5" customHeight="1">
      <c r="B676" s="315" t="n"/>
      <c r="C676" s="316" t="n"/>
      <c r="D676" s="317" t="inlineStr">
        <is>
          <t>Accommodation</t>
        </is>
      </c>
      <c r="E676" s="316" t="n"/>
      <c r="F676" s="318" t="n"/>
      <c r="G676" s="316" t="n"/>
      <c r="H676" s="316" t="n"/>
      <c r="I676" s="320" t="n"/>
      <c r="J676" s="320" t="n"/>
      <c r="K676" s="320" t="n"/>
      <c r="L676" s="320" t="n"/>
      <c r="M676" s="320" t="n"/>
      <c r="N676" s="320" t="n"/>
      <c r="O676" s="320" t="n"/>
      <c r="P676" s="320" t="n"/>
      <c r="Q676" s="320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</row>
    <row r="677" ht="15.5" customHeight="1">
      <c r="B677" s="293" t="n">
        <v>45407</v>
      </c>
      <c r="C677" s="294" t="n">
        <v>93</v>
      </c>
      <c r="D677" s="295" t="inlineStr">
        <is>
          <t>Hotel 25 Apr - 27 Apr &amp; 29 Apr- 2 May 2024 (6 days)</t>
        </is>
      </c>
      <c r="E677" s="287" t="inlineStr">
        <is>
          <t>-</t>
        </is>
      </c>
      <c r="F677" s="296" t="n">
        <v>3292802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 t="n">
        <v>3292802</v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</row>
    <row r="678" ht="15.5" customHeight="1">
      <c r="B678" s="315" t="n"/>
      <c r="C678" s="316" t="n"/>
      <c r="D678" s="317" t="inlineStr">
        <is>
          <t>Allowance</t>
        </is>
      </c>
      <c r="E678" s="316" t="n"/>
      <c r="F678" s="318" t="n"/>
      <c r="G678" s="316" t="n"/>
      <c r="H678" s="316" t="n"/>
      <c r="I678" s="320" t="n"/>
      <c r="J678" s="320" t="n"/>
      <c r="K678" s="320" t="n"/>
      <c r="L678" s="320" t="n"/>
      <c r="M678" s="320" t="n"/>
      <c r="N678" s="320" t="n"/>
      <c r="O678" s="320" t="n"/>
      <c r="P678" s="320" t="n"/>
      <c r="Q678" s="320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</row>
    <row r="679" ht="15.5" customHeight="1">
      <c r="B679" s="293" t="n">
        <v>45407</v>
      </c>
      <c r="C679" s="294" t="n">
        <v>94</v>
      </c>
      <c r="D679" s="295" t="inlineStr">
        <is>
          <t>Field Bonus for 4 days 29 April-2 May 2024 (100$/Day</t>
        </is>
      </c>
      <c r="E679" s="287" t="inlineStr">
        <is>
          <t>-</t>
        </is>
      </c>
      <c r="F679" s="296" t="n">
        <v>6420340</v>
      </c>
      <c r="G679" s="289" t="inlineStr">
        <is>
          <t>USD</t>
        </is>
      </c>
      <c r="H679" s="297" t="n">
        <v>16050.85</v>
      </c>
      <c r="I679" s="298" t="n"/>
      <c r="J679" s="298" t="n"/>
      <c r="K679" s="299" t="n"/>
      <c r="L679" s="300" t="n">
        <v>6420340</v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</row>
    <row r="680" ht="15.5" customHeight="1">
      <c r="B680" s="315" t="n"/>
      <c r="C680" s="316" t="n"/>
      <c r="D680" s="317" t="inlineStr">
        <is>
          <t>Biaya Operasi Lain-lain</t>
        </is>
      </c>
      <c r="E680" s="316" t="n"/>
      <c r="F680" s="318" t="n"/>
      <c r="G680" s="316" t="n"/>
      <c r="H680" s="316" t="n"/>
      <c r="I680" s="320" t="n"/>
      <c r="J680" s="320" t="n"/>
      <c r="K680" s="320" t="n"/>
      <c r="L680" s="320" t="n"/>
      <c r="M680" s="320" t="n"/>
      <c r="N680" s="320" t="n"/>
      <c r="O680" s="320" t="n"/>
      <c r="P680" s="320" t="n"/>
      <c r="Q680" s="320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</row>
    <row r="681" ht="15.5" customHeight="1">
      <c r="B681" s="293" t="n">
        <v>45411</v>
      </c>
      <c r="C681" s="294" t="n">
        <v>95</v>
      </c>
      <c r="D681" s="295" t="inlineStr">
        <is>
          <t>Internet Data</t>
        </is>
      </c>
      <c r="E681" s="287" t="inlineStr">
        <is>
          <t>-</t>
        </is>
      </c>
      <c r="F681" s="296" t="n">
        <v>75000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 t="n">
        <v>75000</v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</row>
    <row r="682" ht="15.5" customHeight="1">
      <c r="B682" s="319" t="n"/>
      <c r="C682" s="319" t="n"/>
      <c r="D682" s="322" t="inlineStr">
        <is>
          <t>Hand Tools</t>
        </is>
      </c>
      <c r="E682" s="323" t="n"/>
      <c r="F682" s="316" t="n"/>
      <c r="G682" s="316" t="n"/>
      <c r="H682" s="316" t="n"/>
      <c r="I682" s="320" t="n"/>
      <c r="J682" s="320" t="n"/>
      <c r="K682" s="320" t="n"/>
      <c r="L682" s="320" t="n"/>
      <c r="M682" s="320" t="n"/>
      <c r="N682" s="320" t="n"/>
      <c r="O682" s="320" t="n"/>
      <c r="P682" s="320" t="n"/>
      <c r="Q682" s="320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</row>
    <row r="683" ht="15.5" customHeight="1">
      <c r="B683" s="293" t="n">
        <v>45401</v>
      </c>
      <c r="C683" s="294" t="n">
        <v>96</v>
      </c>
      <c r="D683" s="295" t="inlineStr">
        <is>
          <t>Tekiro Kunci L, Tekiro Tang, Obeng Set</t>
        </is>
      </c>
      <c r="E683" s="287" t="inlineStr">
        <is>
          <t>-</t>
        </is>
      </c>
      <c r="F683" s="296" t="n">
        <v>349000</v>
      </c>
      <c r="G683" s="289" t="inlineStr">
        <is>
          <t>IDR</t>
        </is>
      </c>
      <c r="H683" s="297" t="n">
        <v>1</v>
      </c>
      <c r="I683" s="298" t="n"/>
      <c r="J683" s="298" t="n"/>
      <c r="K683" s="299" t="n"/>
      <c r="L683" s="287" t="n"/>
      <c r="M683" s="287" t="n"/>
      <c r="N683" s="300" t="n">
        <v>349000</v>
      </c>
      <c r="O683" s="287" t="n"/>
      <c r="P683" s="287" t="n"/>
      <c r="Q683" s="287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</row>
    <row r="684" ht="15.5" customHeight="1">
      <c r="B684" s="315" t="n"/>
      <c r="C684" s="316" t="n"/>
      <c r="D684" s="317" t="inlineStr">
        <is>
          <t>Laundry</t>
        </is>
      </c>
      <c r="E684" s="316" t="n"/>
      <c r="F684" s="318" t="n"/>
      <c r="G684" s="316" t="n"/>
      <c r="H684" s="316" t="n"/>
      <c r="I684" s="320" t="n"/>
      <c r="J684" s="320" t="n"/>
      <c r="K684" s="320" t="n"/>
      <c r="L684" s="320" t="n"/>
      <c r="M684" s="320" t="n"/>
      <c r="N684" s="320" t="n"/>
      <c r="O684" s="320" t="n"/>
      <c r="P684" s="320" t="n"/>
      <c r="Q684" s="320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</row>
    <row r="685" ht="15.5" customHeight="1">
      <c r="B685" s="293" t="n">
        <v>45407</v>
      </c>
      <c r="C685" s="294" t="n">
        <v>97</v>
      </c>
      <c r="D685" s="295" t="inlineStr">
        <is>
          <t>Laundry 7 days 1 Persons @ 50K IDR/day</t>
        </is>
      </c>
      <c r="E685" s="287" t="inlineStr">
        <is>
          <t>-</t>
        </is>
      </c>
      <c r="F685" s="296" t="n">
        <v>350000</v>
      </c>
      <c r="G685" s="289" t="inlineStr">
        <is>
          <t>IDR</t>
        </is>
      </c>
      <c r="H685" s="297" t="n">
        <v>1</v>
      </c>
      <c r="I685" s="298" t="n"/>
      <c r="J685" s="298" t="n"/>
      <c r="K685" s="299" t="n"/>
      <c r="L685" s="300" t="n">
        <v>350000</v>
      </c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</row>
    <row r="686" ht="15.5" customHeight="1">
      <c r="B686" s="315" t="n"/>
      <c r="C686" s="316" t="n"/>
      <c r="D686" s="317" t="inlineStr">
        <is>
          <t>Meal</t>
        </is>
      </c>
      <c r="E686" s="316" t="n"/>
      <c r="F686" s="318" t="n"/>
      <c r="G686" s="316" t="n"/>
      <c r="H686" s="316" t="n"/>
      <c r="I686" s="320" t="n"/>
      <c r="J686" s="320" t="n"/>
      <c r="K686" s="320" t="n"/>
      <c r="L686" s="320" t="n"/>
      <c r="M686" s="320" t="n"/>
      <c r="N686" s="320" t="n"/>
      <c r="O686" s="320" t="n"/>
      <c r="P686" s="320" t="n"/>
      <c r="Q686" s="320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</row>
    <row r="687" ht="15.5" customHeight="1">
      <c r="B687" s="293" t="n">
        <v>45407</v>
      </c>
      <c r="C687" s="294" t="n">
        <v>98</v>
      </c>
      <c r="D687" s="295" t="inlineStr">
        <is>
          <t>Meals 7 days 1 Persons @ 150K IDR/day</t>
        </is>
      </c>
      <c r="E687" s="287" t="inlineStr">
        <is>
          <t>-</t>
        </is>
      </c>
      <c r="F687" s="296" t="n">
        <v>1050000</v>
      </c>
      <c r="G687" s="289" t="inlineStr">
        <is>
          <t>IDR</t>
        </is>
      </c>
      <c r="H687" s="297" t="n">
        <v>1</v>
      </c>
      <c r="I687" s="298" t="n"/>
      <c r="J687" s="298" t="n"/>
      <c r="K687" s="299" t="n"/>
      <c r="L687" s="300" t="n">
        <v>1050000</v>
      </c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</row>
    <row r="688" ht="15.5" customHeight="1">
      <c r="B688" s="309" t="inlineStr">
        <is>
          <t>Expense#11</t>
        </is>
      </c>
      <c r="C688" s="310" t="inlineStr">
        <is>
          <t>:</t>
        </is>
      </c>
      <c r="D688" s="311" t="inlineStr">
        <is>
          <t>ALFA+MFC (TGB-033 Zona 7) Elnusa_TMA</t>
        </is>
      </c>
      <c r="E688" s="312" t="n"/>
      <c r="F688" s="313" t="n"/>
      <c r="G688" s="312" t="n"/>
      <c r="H688" s="312" t="n"/>
      <c r="I688" s="314" t="n"/>
      <c r="J688" s="314" t="n"/>
      <c r="K688" s="314" t="n"/>
      <c r="L688" s="314" t="n"/>
      <c r="M688" s="314" t="n"/>
      <c r="N688" s="314" t="n"/>
      <c r="O688" s="314" t="n"/>
      <c r="P688" s="314" t="n"/>
      <c r="Q688" s="314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</row>
    <row r="689" ht="15.5" customHeight="1">
      <c r="B689" s="315" t="n"/>
      <c r="C689" s="316" t="n"/>
      <c r="D689" s="317" t="inlineStr">
        <is>
          <t>Accommodation</t>
        </is>
      </c>
      <c r="E689" s="316" t="n"/>
      <c r="F689" s="318" t="n"/>
      <c r="G689" s="316" t="n"/>
      <c r="H689" s="316" t="n"/>
      <c r="I689" s="320" t="n"/>
      <c r="J689" s="320" t="n"/>
      <c r="K689" s="320" t="n"/>
      <c r="L689" s="320" t="n"/>
      <c r="M689" s="320" t="n"/>
      <c r="N689" s="320" t="n"/>
      <c r="O689" s="320" t="n"/>
      <c r="P689" s="320" t="n"/>
      <c r="Q689" s="320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</row>
    <row r="690" ht="15.5" customHeight="1">
      <c r="B690" s="293" t="n">
        <v>45401</v>
      </c>
      <c r="C690" s="294" t="n">
        <v>99</v>
      </c>
      <c r="D690" s="295" t="inlineStr">
        <is>
          <t>Hotel 19 Apr-22 Apr 2024 (3 days)</t>
        </is>
      </c>
      <c r="E690" s="287" t="inlineStr">
        <is>
          <t>-</t>
        </is>
      </c>
      <c r="F690" s="296" t="n">
        <v>1950000</v>
      </c>
      <c r="G690" s="289" t="inlineStr">
        <is>
          <t>IDR</t>
        </is>
      </c>
      <c r="H690" s="297" t="n">
        <v>1</v>
      </c>
      <c r="I690" s="298" t="n"/>
      <c r="J690" s="298" t="n"/>
      <c r="K690" s="299" t="n"/>
      <c r="L690" s="300" t="n">
        <v>1950000</v>
      </c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</row>
    <row r="691" ht="15.5" customHeight="1">
      <c r="B691" s="315" t="n"/>
      <c r="C691" s="316" t="n"/>
      <c r="D691" s="317" t="inlineStr">
        <is>
          <t>Allowance</t>
        </is>
      </c>
      <c r="E691" s="316" t="n"/>
      <c r="F691" s="318" t="n"/>
      <c r="G691" s="316" t="n"/>
      <c r="H691" s="316" t="n"/>
      <c r="I691" s="320" t="n"/>
      <c r="J691" s="320" t="n"/>
      <c r="K691" s="320" t="n"/>
      <c r="L691" s="320" t="n"/>
      <c r="M691" s="320" t="n"/>
      <c r="N691" s="320" t="n"/>
      <c r="O691" s="320" t="n"/>
      <c r="P691" s="320" t="n"/>
      <c r="Q691" s="320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</row>
    <row r="692" ht="15.5" customHeight="1">
      <c r="B692" s="293" t="n">
        <v>45401</v>
      </c>
      <c r="C692" s="294" t="n">
        <v>100</v>
      </c>
      <c r="D692" s="295" t="inlineStr">
        <is>
          <t>Field Bonus for 4 days (25$/Day)</t>
        </is>
      </c>
      <c r="E692" s="287" t="inlineStr">
        <is>
          <t>-</t>
        </is>
      </c>
      <c r="F692" s="296" t="n">
        <v>1605085</v>
      </c>
      <c r="G692" s="289" t="inlineStr">
        <is>
          <t>USD</t>
        </is>
      </c>
      <c r="H692" s="297" t="n">
        <v>16050.85</v>
      </c>
      <c r="I692" s="298" t="n"/>
      <c r="J692" s="298" t="n"/>
      <c r="K692" s="299" t="n"/>
      <c r="L692" s="300" t="n">
        <v>1605085</v>
      </c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</row>
    <row r="693" ht="15.5" customHeight="1">
      <c r="B693" s="319" t="n"/>
      <c r="C693" s="316" t="n"/>
      <c r="D693" s="322" t="inlineStr">
        <is>
          <t>Biaya Operasi Lain-lain</t>
        </is>
      </c>
      <c r="E693" s="335" t="n"/>
      <c r="F693" s="316" t="n"/>
      <c r="G693" s="316" t="n"/>
      <c r="H693" s="316" t="n"/>
      <c r="I693" s="320" t="n"/>
      <c r="J693" s="320" t="n"/>
      <c r="K693" s="320" t="n"/>
      <c r="L693" s="320" t="n"/>
      <c r="M693" s="320" t="n"/>
      <c r="N693" s="320" t="n"/>
      <c r="O693" s="320" t="n"/>
      <c r="P693" s="320" t="n"/>
      <c r="Q693" s="320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</row>
    <row r="694" ht="15.5" customHeight="1">
      <c r="B694" s="293" t="n">
        <v>45401</v>
      </c>
      <c r="C694" s="294" t="n">
        <v>101</v>
      </c>
      <c r="D694" s="295" t="inlineStr">
        <is>
          <t>Crew's Operational</t>
        </is>
      </c>
      <c r="E694" s="287" t="inlineStr">
        <is>
          <t>-</t>
        </is>
      </c>
      <c r="F694" s="296" t="n">
        <v>481900</v>
      </c>
      <c r="G694" s="289" t="inlineStr">
        <is>
          <t>IDR</t>
        </is>
      </c>
      <c r="H694" s="297" t="n">
        <v>1</v>
      </c>
      <c r="I694" s="298" t="n"/>
      <c r="J694" s="298" t="n"/>
      <c r="K694" s="299" t="n"/>
      <c r="L694" s="300" t="n">
        <v>481900</v>
      </c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</row>
    <row r="695" ht="15.5" customHeight="1">
      <c r="B695" s="315" t="n"/>
      <c r="C695" s="316" t="n"/>
      <c r="D695" s="317" t="inlineStr">
        <is>
          <t>Laundry</t>
        </is>
      </c>
      <c r="E695" s="316" t="n"/>
      <c r="F695" s="318" t="n"/>
      <c r="G695" s="316" t="n"/>
      <c r="H695" s="316" t="n"/>
      <c r="I695" s="320" t="n"/>
      <c r="J695" s="320" t="n"/>
      <c r="K695" s="320" t="n"/>
      <c r="L695" s="320" t="n"/>
      <c r="M695" s="320" t="n"/>
      <c r="N695" s="320" t="n"/>
      <c r="O695" s="320" t="n"/>
      <c r="P695" s="320" t="n"/>
      <c r="Q695" s="320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</row>
    <row r="696" ht="15.5" customHeight="1">
      <c r="B696" s="293" t="n">
        <v>45401</v>
      </c>
      <c r="C696" s="294" t="n">
        <v>102</v>
      </c>
      <c r="D696" s="295" t="inlineStr">
        <is>
          <t>Laundry 4 days 1 Persons @ 50K IDR/day</t>
        </is>
      </c>
      <c r="E696" s="287" t="inlineStr">
        <is>
          <t>-</t>
        </is>
      </c>
      <c r="F696" s="296" t="n">
        <v>200000</v>
      </c>
      <c r="G696" s="289" t="inlineStr">
        <is>
          <t>IDR</t>
        </is>
      </c>
      <c r="H696" s="297" t="n">
        <v>1</v>
      </c>
      <c r="I696" s="298" t="n"/>
      <c r="J696" s="298" t="n"/>
      <c r="K696" s="299" t="n"/>
      <c r="L696" s="300" t="n">
        <v>200000</v>
      </c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</row>
    <row r="697" ht="15.5" customHeight="1">
      <c r="B697" s="315" t="n"/>
      <c r="C697" s="316" t="n"/>
      <c r="D697" s="317" t="inlineStr">
        <is>
          <t>Meal</t>
        </is>
      </c>
      <c r="E697" s="316" t="n"/>
      <c r="F697" s="318" t="n"/>
      <c r="G697" s="316" t="n"/>
      <c r="H697" s="316" t="n"/>
      <c r="I697" s="320" t="n"/>
      <c r="J697" s="320" t="n"/>
      <c r="K697" s="320" t="n"/>
      <c r="L697" s="320" t="n"/>
      <c r="M697" s="320" t="n"/>
      <c r="N697" s="320" t="n"/>
      <c r="O697" s="320" t="n"/>
      <c r="P697" s="320" t="n"/>
      <c r="Q697" s="320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</row>
    <row r="698" ht="15.5" customHeight="1">
      <c r="B698" s="293" t="n">
        <v>45401</v>
      </c>
      <c r="C698" s="294" t="n">
        <v>103</v>
      </c>
      <c r="D698" s="295" t="inlineStr">
        <is>
          <t>Meals 4 days 1 Persons @ 150K IDR/day</t>
        </is>
      </c>
      <c r="E698" s="287" t="inlineStr">
        <is>
          <t>-</t>
        </is>
      </c>
      <c r="F698" s="296" t="n">
        <v>600000</v>
      </c>
      <c r="G698" s="289" t="inlineStr">
        <is>
          <t>IDR</t>
        </is>
      </c>
      <c r="H698" s="297" t="n">
        <v>1</v>
      </c>
      <c r="I698" s="298" t="n"/>
      <c r="J698" s="298" t="n"/>
      <c r="K698" s="299" t="n"/>
      <c r="L698" s="300" t="n">
        <v>600000</v>
      </c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</row>
    <row r="699" ht="15.5" customHeight="1">
      <c r="B699" s="315" t="n"/>
      <c r="C699" s="316" t="n"/>
      <c r="D699" s="317" t="inlineStr">
        <is>
          <t>Transportation</t>
        </is>
      </c>
      <c r="E699" s="316" t="n"/>
      <c r="F699" s="318" t="n"/>
      <c r="G699" s="316" t="n"/>
      <c r="H699" s="316" t="n"/>
      <c r="I699" s="320" t="n"/>
      <c r="J699" s="320" t="n"/>
      <c r="K699" s="320" t="n"/>
      <c r="L699" s="320" t="n"/>
      <c r="M699" s="320" t="n"/>
      <c r="N699" s="320" t="n"/>
      <c r="O699" s="320" t="n"/>
      <c r="P699" s="320" t="n"/>
      <c r="Q699" s="320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</row>
    <row r="700" ht="15.5" customHeight="1">
      <c r="B700" s="293" t="n">
        <v>45404</v>
      </c>
      <c r="C700" s="294" t="n">
        <v>104</v>
      </c>
      <c r="D700" s="295" t="inlineStr">
        <is>
          <t>Taxi Bintaro-Wisma Mas</t>
        </is>
      </c>
      <c r="E700" s="287" t="inlineStr">
        <is>
          <t>-</t>
        </is>
      </c>
      <c r="F700" s="296" t="n">
        <v>78500</v>
      </c>
      <c r="G700" s="289" t="inlineStr">
        <is>
          <t>IDR</t>
        </is>
      </c>
      <c r="H700" s="297" t="n">
        <v>1</v>
      </c>
      <c r="I700" s="298" t="n"/>
      <c r="J700" s="298" t="n"/>
      <c r="K700" s="299" t="n"/>
      <c r="L700" s="300" t="n">
        <v>78500</v>
      </c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</row>
    <row r="701" ht="15.5" customHeight="1">
      <c r="B701" s="309" t="inlineStr">
        <is>
          <t>Expense#12</t>
        </is>
      </c>
      <c r="C701" s="310" t="inlineStr">
        <is>
          <t>:</t>
        </is>
      </c>
      <c r="D701" s="311" t="inlineStr">
        <is>
          <t>BOSIET Training -_TMA</t>
        </is>
      </c>
      <c r="E701" s="312" t="n"/>
      <c r="F701" s="313" t="n"/>
      <c r="G701" s="312" t="n"/>
      <c r="H701" s="312" t="n"/>
      <c r="I701" s="314" t="n"/>
      <c r="J701" s="314" t="n"/>
      <c r="K701" s="314" t="n"/>
      <c r="L701" s="314" t="n"/>
      <c r="M701" s="314" t="n"/>
      <c r="N701" s="314" t="n"/>
      <c r="O701" s="314" t="n"/>
      <c r="P701" s="314" t="n"/>
      <c r="Q701" s="314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</row>
    <row r="702" ht="15.5" customHeight="1">
      <c r="B702" s="315" t="n"/>
      <c r="C702" s="316" t="n"/>
      <c r="D702" s="317" t="inlineStr">
        <is>
          <t>Transportation</t>
        </is>
      </c>
      <c r="E702" s="316" t="n"/>
      <c r="F702" s="318" t="n"/>
      <c r="G702" s="316" t="n"/>
      <c r="H702" s="316" t="n"/>
      <c r="I702" s="320" t="n"/>
      <c r="J702" s="320" t="n"/>
      <c r="K702" s="320" t="n"/>
      <c r="L702" s="320" t="n"/>
      <c r="M702" s="320" t="n"/>
      <c r="N702" s="320" t="n"/>
      <c r="O702" s="320" t="n"/>
      <c r="P702" s="320" t="n"/>
      <c r="Q702" s="320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</row>
    <row r="703" ht="15.5" customHeight="1">
      <c r="B703" s="293" t="n">
        <v>45429</v>
      </c>
      <c r="C703" s="294" t="n">
        <v>105</v>
      </c>
      <c r="D703" s="295" t="inlineStr">
        <is>
          <t>BOSIET Training</t>
        </is>
      </c>
      <c r="E703" s="287" t="inlineStr">
        <is>
          <t>-</t>
        </is>
      </c>
      <c r="F703" s="296" t="n">
        <v>9693878</v>
      </c>
      <c r="G703" s="289" t="inlineStr">
        <is>
          <t>IDR</t>
        </is>
      </c>
      <c r="H703" s="297" t="n">
        <v>1</v>
      </c>
      <c r="I703" s="298" t="n"/>
      <c r="J703" s="298" t="n"/>
      <c r="K703" s="299" t="n"/>
      <c r="L703" s="300" t="n">
        <v>9693878</v>
      </c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</row>
    <row r="704" ht="15.5" customHeight="1">
      <c r="B704" s="309" t="inlineStr">
        <is>
          <t>Expense#13</t>
        </is>
      </c>
      <c r="C704" s="310" t="inlineStr">
        <is>
          <t>:</t>
        </is>
      </c>
      <c r="D704" s="311" t="inlineStr">
        <is>
          <t>Non Trip MCU Dwiyanto</t>
        </is>
      </c>
      <c r="E704" s="312" t="n"/>
      <c r="F704" s="313" t="n"/>
      <c r="G704" s="312" t="n"/>
      <c r="H704" s="312" t="n"/>
      <c r="I704" s="314" t="n"/>
      <c r="J704" s="314" t="n"/>
      <c r="K704" s="314" t="n"/>
      <c r="L704" s="314" t="n"/>
      <c r="M704" s="314" t="n"/>
      <c r="N704" s="314" t="n"/>
      <c r="O704" s="314" t="n"/>
      <c r="P704" s="314" t="n"/>
      <c r="Q704" s="314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</row>
    <row r="705" ht="15.5" customHeight="1">
      <c r="B705" s="315" t="n"/>
      <c r="C705" s="316" t="n"/>
      <c r="D705" s="317" t="inlineStr">
        <is>
          <t>Hand Tools</t>
        </is>
      </c>
      <c r="E705" s="316" t="n"/>
      <c r="F705" s="318" t="n"/>
      <c r="G705" s="316" t="n"/>
      <c r="H705" s="316" t="n"/>
      <c r="I705" s="320" t="n"/>
      <c r="J705" s="320" t="n"/>
      <c r="K705" s="320" t="n"/>
      <c r="L705" s="320" t="n"/>
      <c r="M705" s="320" t="n"/>
      <c r="N705" s="320" t="n"/>
      <c r="O705" s="320" t="n"/>
      <c r="P705" s="320" t="n"/>
      <c r="Q705" s="320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</row>
    <row r="706" ht="15.5" customHeight="1">
      <c r="B706" s="293" t="n">
        <v>45433</v>
      </c>
      <c r="C706" s="294" t="n">
        <v>106</v>
      </c>
      <c r="D706" s="295" t="inlineStr">
        <is>
          <t>Safety shoes</t>
        </is>
      </c>
      <c r="E706" s="287" t="inlineStr">
        <is>
          <t>-</t>
        </is>
      </c>
      <c r="F706" s="296" t="n">
        <v>2402000</v>
      </c>
      <c r="G706" s="289" t="inlineStr">
        <is>
          <t>IDR</t>
        </is>
      </c>
      <c r="H706" s="297" t="n">
        <v>1</v>
      </c>
      <c r="I706" s="298" t="n"/>
      <c r="J706" s="298" t="n"/>
      <c r="K706" s="299" t="n"/>
      <c r="L706" s="287" t="n"/>
      <c r="M706" s="287" t="n"/>
      <c r="N706" s="300" t="n">
        <v>2402000</v>
      </c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</row>
    <row r="707" ht="15.5" customHeight="1">
      <c r="B707" s="336" t="n"/>
      <c r="C707" s="316" t="n"/>
      <c r="D707" s="337" t="inlineStr">
        <is>
          <t>Medical</t>
        </is>
      </c>
      <c r="E707" s="336" t="n"/>
      <c r="F707" s="318" t="n"/>
      <c r="G707" s="316" t="n"/>
      <c r="H707" s="316" t="n"/>
      <c r="I707" s="320" t="n"/>
      <c r="J707" s="320" t="n"/>
      <c r="K707" s="320" t="n"/>
      <c r="L707" s="320" t="n"/>
      <c r="M707" s="320" t="n"/>
      <c r="N707" s="320" t="n"/>
      <c r="O707" s="320" t="n"/>
      <c r="P707" s="320" t="n"/>
      <c r="Q707" s="320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</row>
    <row r="708" ht="15.5" customHeight="1">
      <c r="B708" s="293" t="n">
        <v>45432</v>
      </c>
      <c r="C708" s="294" t="n">
        <v>107</v>
      </c>
      <c r="D708" s="295" t="inlineStr">
        <is>
          <t>MCU Paket Umum Basic 1</t>
        </is>
      </c>
      <c r="E708" s="287" t="inlineStr">
        <is>
          <t>-</t>
        </is>
      </c>
      <c r="F708" s="296" t="n">
        <v>5322000</v>
      </c>
      <c r="G708" s="289" t="inlineStr">
        <is>
          <t>IDR</t>
        </is>
      </c>
      <c r="H708" s="297" t="n">
        <v>1</v>
      </c>
      <c r="I708" s="298" t="n"/>
      <c r="J708" s="298" t="n"/>
      <c r="K708" s="299" t="n"/>
      <c r="L708" s="287" t="n"/>
      <c r="M708" s="287" t="n"/>
      <c r="N708" s="287" t="n"/>
      <c r="O708" s="287" t="n"/>
      <c r="P708" s="300" t="n">
        <v>5322000</v>
      </c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</row>
    <row r="709" ht="15.5" customHeight="1">
      <c r="B709" s="309" t="inlineStr">
        <is>
          <t>Expense#14</t>
        </is>
      </c>
      <c r="C709" s="310" t="inlineStr">
        <is>
          <t>:</t>
        </is>
      </c>
      <c r="D709" s="309" t="inlineStr">
        <is>
          <t>Non project _ MCU - Ilham BR</t>
        </is>
      </c>
      <c r="E709" s="338" t="n"/>
      <c r="F709" s="313" t="n"/>
      <c r="G709" s="312" t="n"/>
      <c r="H709" s="312" t="n"/>
      <c r="I709" s="314" t="n"/>
      <c r="J709" s="314" t="n"/>
      <c r="K709" s="314" t="n"/>
      <c r="L709" s="314" t="n"/>
      <c r="M709" s="314" t="n"/>
      <c r="N709" s="314" t="n"/>
      <c r="O709" s="314" t="n"/>
      <c r="P709" s="314" t="n"/>
      <c r="Q709" s="314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</row>
    <row r="710" ht="15.5" customHeight="1">
      <c r="B710" s="315" t="n"/>
      <c r="C710" s="316" t="n"/>
      <c r="D710" s="317" t="inlineStr">
        <is>
          <t>Medical</t>
        </is>
      </c>
      <c r="E710" s="316" t="n"/>
      <c r="F710" s="318" t="n"/>
      <c r="G710" s="316" t="n"/>
      <c r="H710" s="316" t="n"/>
      <c r="I710" s="320" t="n"/>
      <c r="J710" s="320" t="n"/>
      <c r="K710" s="320" t="n"/>
      <c r="L710" s="320" t="n"/>
      <c r="M710" s="320" t="n"/>
      <c r="N710" s="320" t="n"/>
      <c r="O710" s="320" t="n"/>
      <c r="P710" s="320" t="n"/>
      <c r="Q710" s="320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</row>
    <row r="711" ht="15.5" customHeight="1">
      <c r="B711" s="293" t="n">
        <v>45432</v>
      </c>
      <c r="C711" s="294" t="n">
        <v>108</v>
      </c>
      <c r="D711" s="295" t="inlineStr">
        <is>
          <t>Biaya MCU</t>
        </is>
      </c>
      <c r="E711" s="287" t="inlineStr">
        <is>
          <t>-</t>
        </is>
      </c>
      <c r="F711" s="296" t="n">
        <v>5407000</v>
      </c>
      <c r="G711" s="289" t="inlineStr">
        <is>
          <t>IDR</t>
        </is>
      </c>
      <c r="H711" s="297" t="n">
        <v>1</v>
      </c>
      <c r="I711" s="298" t="n"/>
      <c r="J711" s="298" t="n"/>
      <c r="K711" s="299" t="n"/>
      <c r="L711" s="287" t="n"/>
      <c r="M711" s="287" t="n"/>
      <c r="N711" s="287" t="n"/>
      <c r="O711" s="287" t="n"/>
      <c r="P711" s="300" t="n">
        <v>5407000</v>
      </c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</row>
    <row r="712" ht="15.5" customHeight="1">
      <c r="B712" s="309" t="inlineStr">
        <is>
          <t>Expense#15</t>
        </is>
      </c>
      <c r="C712" s="310" t="inlineStr">
        <is>
          <t>:</t>
        </is>
      </c>
      <c r="D712" s="311" t="inlineStr">
        <is>
          <t>ALFA Job - Jrk-193 _ OJT_ Ilham BR</t>
        </is>
      </c>
      <c r="E712" s="312" t="n"/>
      <c r="F712" s="313" t="n"/>
      <c r="G712" s="312" t="n"/>
      <c r="H712" s="312" t="n"/>
      <c r="I712" s="314" t="n"/>
      <c r="J712" s="314" t="n"/>
      <c r="K712" s="314" t="n"/>
      <c r="L712" s="314" t="n"/>
      <c r="M712" s="314" t="n"/>
      <c r="N712" s="314" t="n"/>
      <c r="O712" s="314" t="n"/>
      <c r="P712" s="314" t="n"/>
      <c r="Q712" s="314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</row>
    <row r="713" ht="15.5" customHeight="1">
      <c r="B713" s="315" t="n"/>
      <c r="C713" s="316" t="n"/>
      <c r="D713" s="317" t="inlineStr">
        <is>
          <t>Allowance</t>
        </is>
      </c>
      <c r="E713" s="316" t="n"/>
      <c r="F713" s="318" t="n"/>
      <c r="G713" s="316" t="n"/>
      <c r="H713" s="316" t="n"/>
      <c r="I713" s="320" t="n"/>
      <c r="J713" s="320" t="n"/>
      <c r="K713" s="320" t="n"/>
      <c r="L713" s="320" t="n"/>
      <c r="M713" s="320" t="n"/>
      <c r="N713" s="320" t="n"/>
      <c r="O713" s="320" t="n"/>
      <c r="P713" s="320" t="n"/>
      <c r="Q713" s="320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</row>
    <row r="714" ht="15.5" customHeight="1">
      <c r="B714" s="293" t="n">
        <v>45437</v>
      </c>
      <c r="C714" s="294" t="n">
        <v>109</v>
      </c>
      <c r="D714" s="295" t="inlineStr">
        <is>
          <t>Tunjangan Lapangan JRK-193 (25 - 30 May 2024)</t>
        </is>
      </c>
      <c r="E714" s="287" t="inlineStr">
        <is>
          <t>-</t>
        </is>
      </c>
      <c r="F714" s="296" t="n">
        <v>2430000</v>
      </c>
      <c r="G714" s="289" t="inlineStr">
        <is>
          <t>$</t>
        </is>
      </c>
      <c r="H714" s="297" t="n">
        <v>16200</v>
      </c>
      <c r="I714" s="298" t="n"/>
      <c r="J714" s="298" t="n"/>
      <c r="K714" s="299" t="n"/>
      <c r="L714" s="300" t="n">
        <v>2430000</v>
      </c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</row>
    <row r="715" ht="15.5" customHeight="1">
      <c r="B715" s="336" t="n"/>
      <c r="C715" s="316" t="n"/>
      <c r="D715" s="337" t="inlineStr">
        <is>
          <t>Meal</t>
        </is>
      </c>
      <c r="E715" s="336" t="n"/>
      <c r="F715" s="318" t="n"/>
      <c r="G715" s="316" t="n"/>
      <c r="H715" s="316" t="n"/>
      <c r="I715" s="320" t="n"/>
      <c r="J715" s="320" t="n"/>
      <c r="K715" s="320" t="n"/>
      <c r="L715" s="320" t="n"/>
      <c r="M715" s="320" t="n"/>
      <c r="N715" s="320" t="n"/>
      <c r="O715" s="320" t="n"/>
      <c r="P715" s="320" t="n"/>
      <c r="Q715" s="320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</row>
    <row r="716" ht="15.5" customHeight="1">
      <c r="B716" s="293" t="n">
        <v>45437</v>
      </c>
      <c r="C716" s="294" t="n">
        <v>110</v>
      </c>
      <c r="D716" s="295" t="inlineStr">
        <is>
          <t>Uang makan (25 - 30 May 2024)</t>
        </is>
      </c>
      <c r="E716" s="287" t="inlineStr">
        <is>
          <t>-</t>
        </is>
      </c>
      <c r="F716" s="296" t="n">
        <v>900000</v>
      </c>
      <c r="G716" s="289" t="inlineStr">
        <is>
          <t>IDR</t>
        </is>
      </c>
      <c r="H716" s="297" t="n">
        <v>1</v>
      </c>
      <c r="I716" s="298" t="n"/>
      <c r="J716" s="298" t="n"/>
      <c r="K716" s="299" t="n"/>
      <c r="L716" s="300" t="n">
        <v>900000</v>
      </c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</row>
    <row r="717" ht="15.5" customHeight="1">
      <c r="B717" s="315" t="n"/>
      <c r="C717" s="316" t="n"/>
      <c r="D717" s="317" t="inlineStr">
        <is>
          <t>Transportation</t>
        </is>
      </c>
      <c r="E717" s="316" t="n"/>
      <c r="F717" s="318" t="n"/>
      <c r="G717" s="316" t="n"/>
      <c r="H717" s="316" t="n"/>
      <c r="I717" s="320" t="n"/>
      <c r="J717" s="320" t="n"/>
      <c r="K717" s="320" t="n"/>
      <c r="L717" s="320" t="n"/>
      <c r="M717" s="320" t="n"/>
      <c r="N717" s="320" t="n"/>
      <c r="O717" s="320" t="n"/>
      <c r="P717" s="320" t="n"/>
      <c r="Q717" s="320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</row>
    <row r="718" ht="15.5" customHeight="1">
      <c r="B718" s="293" t="n">
        <v>45436</v>
      </c>
      <c r="C718" s="294" t="n">
        <v>111</v>
      </c>
      <c r="D718" s="295" t="inlineStr">
        <is>
          <t>Taxi + Tol To Airport CGK</t>
        </is>
      </c>
      <c r="E718" s="287" t="inlineStr">
        <is>
          <t>-</t>
        </is>
      </c>
      <c r="F718" s="296" t="n">
        <v>250000</v>
      </c>
      <c r="G718" s="289" t="inlineStr">
        <is>
          <t>IDR</t>
        </is>
      </c>
      <c r="H718" s="297" t="n">
        <v>1</v>
      </c>
      <c r="I718" s="298" t="n"/>
      <c r="J718" s="298" t="n"/>
      <c r="K718" s="299" t="n"/>
      <c r="L718" s="300" t="n">
        <v>250000</v>
      </c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</row>
    <row r="719" ht="15.5" customHeight="1">
      <c r="B719" s="309" t="inlineStr">
        <is>
          <t>Expense#16</t>
        </is>
      </c>
      <c r="C719" s="310" t="inlineStr">
        <is>
          <t>:</t>
        </is>
      </c>
      <c r="D719" s="311" t="inlineStr">
        <is>
          <t>ALFA job - JRK-193 OJT - Dwiyanto S</t>
        </is>
      </c>
      <c r="E719" s="312" t="n"/>
      <c r="F719" s="313" t="n"/>
      <c r="G719" s="312" t="n"/>
      <c r="H719" s="312" t="n"/>
      <c r="I719" s="314" t="n"/>
      <c r="J719" s="314" t="n"/>
      <c r="K719" s="314" t="n"/>
      <c r="L719" s="314" t="n"/>
      <c r="M719" s="314" t="n"/>
      <c r="N719" s="314" t="n"/>
      <c r="O719" s="314" t="n"/>
      <c r="P719" s="314" t="n"/>
      <c r="Q719" s="314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</row>
    <row r="720" ht="15.5" customHeight="1">
      <c r="B720" s="315" t="n"/>
      <c r="C720" s="316" t="n"/>
      <c r="D720" s="317" t="inlineStr">
        <is>
          <t>Allowance</t>
        </is>
      </c>
      <c r="E720" s="316" t="n"/>
      <c r="F720" s="318" t="n"/>
      <c r="G720" s="316" t="n"/>
      <c r="H720" s="316" t="n"/>
      <c r="I720" s="320" t="n"/>
      <c r="J720" s="320" t="n"/>
      <c r="K720" s="320" t="n"/>
      <c r="L720" s="320" t="n"/>
      <c r="M720" s="320" t="n"/>
      <c r="N720" s="320" t="n"/>
      <c r="O720" s="320" t="n"/>
      <c r="P720" s="320" t="n"/>
      <c r="Q720" s="320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</row>
    <row r="721" ht="15.5" customHeight="1">
      <c r="B721" s="293" t="n">
        <v>45437</v>
      </c>
      <c r="C721" s="294" t="n">
        <v>112</v>
      </c>
      <c r="D721" s="295" t="inlineStr">
        <is>
          <t>Tunjangan Lapangan JRK-193 (25 - 30 May 2024). 1US$=16.200</t>
        </is>
      </c>
      <c r="E721" s="287" t="inlineStr">
        <is>
          <t>-</t>
        </is>
      </c>
      <c r="F721" s="296" t="n">
        <v>150</v>
      </c>
      <c r="G721" s="289" t="inlineStr">
        <is>
          <t>IDR</t>
        </is>
      </c>
      <c r="H721" s="297" t="n">
        <v>16200</v>
      </c>
      <c r="I721" s="298" t="n"/>
      <c r="J721" s="298" t="n"/>
      <c r="K721" s="299" t="n"/>
      <c r="L721" s="300" t="n">
        <v>150</v>
      </c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</row>
    <row r="722" ht="15.5" customHeight="1">
      <c r="B722" s="315" t="n"/>
      <c r="C722" s="316" t="n"/>
      <c r="D722" s="317" t="inlineStr">
        <is>
          <t>Hand Tools</t>
        </is>
      </c>
      <c r="E722" s="316" t="n"/>
      <c r="F722" s="318" t="n"/>
      <c r="G722" s="316" t="n"/>
      <c r="H722" s="316" t="n"/>
      <c r="I722" s="320" t="n"/>
      <c r="J722" s="320" t="n"/>
      <c r="K722" s="320" t="n"/>
      <c r="L722" s="320" t="n"/>
      <c r="M722" s="320" t="n"/>
      <c r="N722" s="320" t="n"/>
      <c r="O722" s="320" t="n"/>
      <c r="P722" s="320" t="n"/>
      <c r="Q722" s="320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</row>
    <row r="723" ht="15.5" customHeight="1">
      <c r="B723" s="293" t="n">
        <v>45439</v>
      </c>
      <c r="C723" s="294" t="n">
        <v>113</v>
      </c>
      <c r="D723" s="295" t="inlineStr">
        <is>
          <t>Hand gloves</t>
        </is>
      </c>
      <c r="E723" s="287" t="inlineStr">
        <is>
          <t>-</t>
        </is>
      </c>
      <c r="F723" s="296" t="n">
        <v>21900</v>
      </c>
      <c r="G723" s="289" t="inlineStr">
        <is>
          <t>IDR</t>
        </is>
      </c>
      <c r="H723" s="297" t="n">
        <v>1</v>
      </c>
      <c r="I723" s="298" t="n"/>
      <c r="J723" s="298" t="n"/>
      <c r="K723" s="299" t="n"/>
      <c r="L723" s="287" t="n"/>
      <c r="M723" s="287" t="n"/>
      <c r="N723" s="300" t="n">
        <v>21900</v>
      </c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</row>
    <row r="724" ht="15.5" customHeight="1">
      <c r="B724" s="315" t="n"/>
      <c r="C724" s="316" t="n"/>
      <c r="D724" s="317" t="inlineStr">
        <is>
          <t>Laundry</t>
        </is>
      </c>
      <c r="E724" s="316" t="n"/>
      <c r="F724" s="318" t="n"/>
      <c r="G724" s="316" t="n"/>
      <c r="H724" s="316" t="n"/>
      <c r="I724" s="320" t="n"/>
      <c r="J724" s="320" t="n"/>
      <c r="K724" s="320" t="n"/>
      <c r="L724" s="320" t="n"/>
      <c r="M724" s="320" t="n"/>
      <c r="N724" s="320" t="n"/>
      <c r="O724" s="320" t="n"/>
      <c r="P724" s="320" t="n"/>
      <c r="Q724" s="320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</row>
    <row r="725" ht="15.5" customHeight="1">
      <c r="B725" s="293" t="n">
        <v>45437</v>
      </c>
      <c r="C725" s="294" t="n">
        <v>114</v>
      </c>
      <c r="D725" s="295" t="inlineStr">
        <is>
          <t>Laundry (25 - 30 May 2024)</t>
        </is>
      </c>
      <c r="E725" s="287" t="inlineStr">
        <is>
          <t>-</t>
        </is>
      </c>
      <c r="F725" s="296" t="n">
        <v>300000</v>
      </c>
      <c r="G725" s="289" t="inlineStr">
        <is>
          <t>IDR</t>
        </is>
      </c>
      <c r="H725" s="297" t="n">
        <v>1</v>
      </c>
      <c r="I725" s="298" t="n"/>
      <c r="J725" s="298" t="n"/>
      <c r="K725" s="299" t="n"/>
      <c r="L725" s="300" t="n">
        <v>300000</v>
      </c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</row>
    <row r="726" ht="15.5" customHeight="1">
      <c r="B726" s="315" t="n"/>
      <c r="C726" s="316" t="n"/>
      <c r="D726" s="317" t="inlineStr">
        <is>
          <t>Logistic</t>
        </is>
      </c>
      <c r="E726" s="316" t="n"/>
      <c r="F726" s="318" t="n"/>
      <c r="G726" s="316" t="n"/>
      <c r="H726" s="316" t="n"/>
      <c r="I726" s="320" t="n"/>
      <c r="J726" s="320" t="n"/>
      <c r="K726" s="320" t="n"/>
      <c r="L726" s="320" t="n"/>
      <c r="M726" s="320" t="n"/>
      <c r="N726" s="320" t="n"/>
      <c r="O726" s="320" t="n"/>
      <c r="P726" s="320" t="n"/>
      <c r="Q726" s="320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</row>
    <row r="727" ht="15.5" customHeight="1">
      <c r="B727" s="293" t="n">
        <v>45437</v>
      </c>
      <c r="C727" s="294" t="n">
        <v>115</v>
      </c>
      <c r="D727" s="295" t="inlineStr">
        <is>
          <t>Wrapping Alfa Box</t>
        </is>
      </c>
      <c r="E727" s="287" t="inlineStr">
        <is>
          <t>-</t>
        </is>
      </c>
      <c r="F727" s="296" t="n">
        <v>80000</v>
      </c>
      <c r="G727" s="289" t="inlineStr">
        <is>
          <t>IDR</t>
        </is>
      </c>
      <c r="H727" s="297" t="n">
        <v>1</v>
      </c>
      <c r="I727" s="298" t="n"/>
      <c r="J727" s="298" t="n"/>
      <c r="K727" s="299" t="n"/>
      <c r="L727" s="287" t="n"/>
      <c r="M727" s="287" t="n"/>
      <c r="N727" s="300" t="n">
        <v>80000</v>
      </c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</row>
    <row r="728" ht="15.5" customHeight="1">
      <c r="B728" s="315" t="n"/>
      <c r="C728" s="316" t="n"/>
      <c r="D728" s="317" t="inlineStr">
        <is>
          <t>Meal</t>
        </is>
      </c>
      <c r="E728" s="316" t="n"/>
      <c r="F728" s="318" t="n"/>
      <c r="G728" s="316" t="n"/>
      <c r="H728" s="316" t="n"/>
      <c r="I728" s="320" t="n"/>
      <c r="J728" s="320" t="n"/>
      <c r="K728" s="320" t="n"/>
      <c r="L728" s="320" t="n"/>
      <c r="M728" s="320" t="n"/>
      <c r="N728" s="320" t="n"/>
      <c r="O728" s="320" t="n"/>
      <c r="P728" s="320" t="n"/>
      <c r="Q728" s="320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</row>
    <row r="729" ht="15.5" customHeight="1">
      <c r="B729" s="293" t="n">
        <v>45437</v>
      </c>
      <c r="C729" s="294" t="n">
        <v>116</v>
      </c>
      <c r="D729" s="295" t="inlineStr">
        <is>
          <t>Uang Makan (25 - 30 May 2024)</t>
        </is>
      </c>
      <c r="E729" s="287" t="inlineStr">
        <is>
          <t>-</t>
        </is>
      </c>
      <c r="F729" s="296" t="n">
        <v>900000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 t="n">
        <v>900000</v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</row>
    <row r="730" ht="15.5" customHeight="1">
      <c r="B730" s="315" t="n"/>
      <c r="C730" s="316" t="n"/>
      <c r="D730" s="317" t="inlineStr">
        <is>
          <t>Sparepart</t>
        </is>
      </c>
      <c r="E730" s="316" t="n"/>
      <c r="F730" s="318" t="n"/>
      <c r="G730" s="316" t="n"/>
      <c r="H730" s="316" t="n"/>
      <c r="I730" s="320" t="n"/>
      <c r="J730" s="320" t="n"/>
      <c r="K730" s="320" t="n"/>
      <c r="L730" s="320" t="n"/>
      <c r="M730" s="320" t="n"/>
      <c r="N730" s="320" t="n"/>
      <c r="O730" s="320" t="n"/>
      <c r="P730" s="320" t="n"/>
      <c r="Q730" s="320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</row>
    <row r="731" ht="15.5" customHeight="1">
      <c r="B731" s="293" t="n">
        <v>45443</v>
      </c>
      <c r="C731" s="294" t="n">
        <v>117</v>
      </c>
      <c r="D731" s="295" t="inlineStr">
        <is>
          <t>Allen key, pliers, screwdrivers</t>
        </is>
      </c>
      <c r="E731" s="287" t="inlineStr">
        <is>
          <t>-</t>
        </is>
      </c>
      <c r="F731" s="296" t="n">
        <v>268000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287" t="n"/>
      <c r="M731" s="287" t="n"/>
      <c r="N731" s="300" t="n">
        <v>268000</v>
      </c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</row>
    <row r="732" ht="15.5" customHeight="1">
      <c r="B732" s="315" t="n"/>
      <c r="C732" s="316" t="n"/>
      <c r="D732" s="317" t="inlineStr">
        <is>
          <t>Transportation</t>
        </is>
      </c>
      <c r="E732" s="316" t="n"/>
      <c r="F732" s="318" t="n"/>
      <c r="G732" s="316" t="n"/>
      <c r="H732" s="316" t="n"/>
      <c r="I732" s="320" t="n"/>
      <c r="J732" s="320" t="n"/>
      <c r="K732" s="320" t="n"/>
      <c r="L732" s="320" t="n"/>
      <c r="M732" s="320" t="n"/>
      <c r="N732" s="320" t="n"/>
      <c r="O732" s="320" t="n"/>
      <c r="P732" s="320" t="n"/>
      <c r="Q732" s="320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</row>
    <row r="733" ht="15.5" customHeight="1">
      <c r="B733" s="293" t="n">
        <v>45437</v>
      </c>
      <c r="C733" s="294" t="n">
        <v>118</v>
      </c>
      <c r="D733" s="295" t="inlineStr">
        <is>
          <t>fuel + tol PLM-Prabu</t>
        </is>
      </c>
      <c r="E733" s="287" t="inlineStr">
        <is>
          <t>-</t>
        </is>
      </c>
      <c r="F733" s="296" t="n">
        <v>312000</v>
      </c>
      <c r="G733" s="289" t="inlineStr">
        <is>
          <t>IDR</t>
        </is>
      </c>
      <c r="H733" s="297" t="n">
        <v>1</v>
      </c>
      <c r="I733" s="298" t="n"/>
      <c r="J733" s="298" t="n"/>
      <c r="K733" s="299" t="n"/>
      <c r="L733" s="300" t="n">
        <v>312000</v>
      </c>
      <c r="M733" s="287" t="n"/>
      <c r="N733" s="287" t="n"/>
      <c r="O733" s="287" t="n"/>
      <c r="P733" s="287" t="n"/>
      <c r="Q733" s="287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</row>
    <row r="734" ht="15.5" customHeight="1">
      <c r="B734" s="309" t="inlineStr">
        <is>
          <t>Expense#17</t>
        </is>
      </c>
      <c r="C734" s="310" t="inlineStr">
        <is>
          <t>:</t>
        </is>
      </c>
      <c r="D734" s="311" t="inlineStr">
        <is>
          <t>ALFA JRK-193 - project SI_ TMA</t>
        </is>
      </c>
      <c r="E734" s="312" t="n"/>
      <c r="F734" s="313" t="n"/>
      <c r="G734" s="312" t="n"/>
      <c r="H734" s="312" t="n"/>
      <c r="I734" s="314" t="n"/>
      <c r="J734" s="314" t="n"/>
      <c r="K734" s="314" t="n"/>
      <c r="L734" s="314" t="n"/>
      <c r="M734" s="314" t="n"/>
      <c r="N734" s="314" t="n"/>
      <c r="O734" s="314" t="n"/>
      <c r="P734" s="314" t="n"/>
      <c r="Q734" s="314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</row>
    <row r="735" ht="15.5" customHeight="1">
      <c r="B735" s="315" t="n"/>
      <c r="C735" s="316" t="n"/>
      <c r="D735" s="317" t="inlineStr">
        <is>
          <t>Accommodation</t>
        </is>
      </c>
      <c r="E735" s="316" t="n"/>
      <c r="F735" s="318" t="n"/>
      <c r="G735" s="316" t="n"/>
      <c r="H735" s="316" t="n"/>
      <c r="I735" s="320" t="n"/>
      <c r="J735" s="320" t="n"/>
      <c r="K735" s="320" t="n"/>
      <c r="L735" s="320" t="n"/>
      <c r="M735" s="320" t="n"/>
      <c r="N735" s="320" t="n"/>
      <c r="O735" s="320" t="n"/>
      <c r="P735" s="320" t="n"/>
      <c r="Q735" s="320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</row>
    <row r="736" ht="15.5" customHeight="1">
      <c r="B736" s="293" t="n">
        <v>45437</v>
      </c>
      <c r="C736" s="294" t="n">
        <v>119</v>
      </c>
      <c r="D736" s="295" t="inlineStr">
        <is>
          <t>Hotel 24 May - 30 May (6 days)</t>
        </is>
      </c>
      <c r="E736" s="287" t="inlineStr">
        <is>
          <t>-</t>
        </is>
      </c>
      <c r="F736" s="296" t="n">
        <v>1650000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300" t="n">
        <v>1650000</v>
      </c>
      <c r="M736" s="287" t="n"/>
      <c r="N736" s="287" t="n"/>
      <c r="O736" s="287" t="n"/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</row>
    <row r="737" ht="15.5" customHeight="1">
      <c r="B737" s="315" t="n"/>
      <c r="C737" s="316" t="n"/>
      <c r="D737" s="317" t="inlineStr">
        <is>
          <t>Allowance</t>
        </is>
      </c>
      <c r="E737" s="316" t="n"/>
      <c r="F737" s="318" t="n"/>
      <c r="G737" s="316" t="n"/>
      <c r="H737" s="316" t="n"/>
      <c r="I737" s="320" t="n"/>
      <c r="J737" s="320" t="n"/>
      <c r="K737" s="320" t="n"/>
      <c r="L737" s="320" t="n"/>
      <c r="M737" s="320" t="n"/>
      <c r="N737" s="320" t="n"/>
      <c r="O737" s="320" t="n"/>
      <c r="P737" s="320" t="n"/>
      <c r="Q737" s="320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</row>
    <row r="738" ht="15.5" customHeight="1">
      <c r="A738" s="162" t="n"/>
      <c r="B738" s="293" t="n">
        <v>45437</v>
      </c>
      <c r="C738" s="294" t="n">
        <v>120</v>
      </c>
      <c r="D738" s="295" t="inlineStr">
        <is>
          <t>Tunjangan Lapangan for 6 days</t>
        </is>
      </c>
      <c r="E738" s="287" t="inlineStr">
        <is>
          <t>-</t>
        </is>
      </c>
      <c r="F738" s="296" t="n">
        <v>9717600</v>
      </c>
      <c r="G738" s="289" t="inlineStr">
        <is>
          <t>USD</t>
        </is>
      </c>
      <c r="H738" s="297" t="n">
        <v>16196</v>
      </c>
      <c r="I738" s="298" t="n"/>
      <c r="J738" s="298" t="n"/>
      <c r="K738" s="299" t="n"/>
      <c r="L738" s="300" t="n">
        <v>9717600</v>
      </c>
      <c r="M738" s="287" t="n"/>
      <c r="N738" s="287" t="n"/>
      <c r="O738" s="287" t="n"/>
      <c r="P738" s="287" t="n"/>
      <c r="Q738" s="287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</row>
    <row r="739" ht="15.5" customHeight="1">
      <c r="B739" s="315" t="n"/>
      <c r="C739" s="316" t="n"/>
      <c r="D739" s="317" t="inlineStr">
        <is>
          <t>Biaya Operasi Lain-lain</t>
        </is>
      </c>
      <c r="E739" s="316" t="n"/>
      <c r="F739" s="318" t="n"/>
      <c r="G739" s="316" t="n"/>
      <c r="H739" s="316" t="n"/>
      <c r="I739" s="320" t="n"/>
      <c r="J739" s="320" t="n"/>
      <c r="K739" s="320" t="n"/>
      <c r="L739" s="320" t="n"/>
      <c r="M739" s="320" t="n"/>
      <c r="N739" s="320" t="n"/>
      <c r="O739" s="320" t="n"/>
      <c r="P739" s="320" t="n"/>
      <c r="Q739" s="320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</row>
    <row r="740" ht="15.5" customHeight="1">
      <c r="B740" s="293" t="n">
        <v>45437</v>
      </c>
      <c r="C740" s="294" t="n">
        <v>121</v>
      </c>
      <c r="D740" s="295" t="inlineStr">
        <is>
          <t>Rent Car 6 Days</t>
        </is>
      </c>
      <c r="E740" s="287" t="inlineStr">
        <is>
          <t>-</t>
        </is>
      </c>
      <c r="F740" s="296" t="n">
        <v>2900000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300" t="n">
        <v>2900000</v>
      </c>
      <c r="M740" s="287" t="n"/>
      <c r="N740" s="287" t="n"/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</row>
    <row r="741" ht="15.5" customHeight="1">
      <c r="B741" s="315" t="n"/>
      <c r="C741" s="316" t="n"/>
      <c r="D741" s="322" t="inlineStr">
        <is>
          <t>Laundry</t>
        </is>
      </c>
      <c r="E741" s="335" t="n"/>
      <c r="F741" s="318" t="n"/>
      <c r="G741" s="316" t="n"/>
      <c r="H741" s="316" t="n"/>
      <c r="I741" s="320" t="n"/>
      <c r="J741" s="339" t="n"/>
      <c r="K741" s="339" t="n"/>
      <c r="L741" s="339" t="n"/>
      <c r="M741" s="339" t="n"/>
      <c r="N741" s="339" t="n"/>
      <c r="O741" s="339" t="n"/>
      <c r="P741" s="320" t="n"/>
      <c r="Q741" s="320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</row>
    <row r="742" ht="15.5" customHeight="1">
      <c r="B742" s="293" t="n">
        <v>45437</v>
      </c>
      <c r="C742" s="294" t="n">
        <v>122</v>
      </c>
      <c r="D742" s="295" t="inlineStr">
        <is>
          <t>Laundry 6 days 1 Persons @ 50K IDR/day</t>
        </is>
      </c>
      <c r="E742" s="287" t="inlineStr">
        <is>
          <t>-</t>
        </is>
      </c>
      <c r="F742" s="296" t="n">
        <v>300000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300" t="n">
        <v>300000</v>
      </c>
      <c r="M742" s="287" t="n"/>
      <c r="N742" s="287" t="n"/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</row>
    <row r="743" ht="15.5" customHeight="1">
      <c r="B743" s="315" t="n"/>
      <c r="C743" s="316" t="n"/>
      <c r="D743" s="322" t="inlineStr">
        <is>
          <t>Meal</t>
        </is>
      </c>
      <c r="E743" s="335" t="n"/>
      <c r="F743" s="318" t="n"/>
      <c r="G743" s="316" t="n"/>
      <c r="H743" s="316" t="n"/>
      <c r="I743" s="320" t="n"/>
      <c r="J743" s="339" t="n"/>
      <c r="K743" s="339" t="n"/>
      <c r="L743" s="339" t="n"/>
      <c r="M743" s="339" t="n"/>
      <c r="N743" s="339" t="n"/>
      <c r="O743" s="339" t="n"/>
      <c r="P743" s="320" t="n"/>
      <c r="Q743" s="320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</row>
    <row r="744" ht="15.5" customHeight="1">
      <c r="B744" s="293" t="n">
        <v>45437</v>
      </c>
      <c r="C744" s="294" t="n">
        <v>123</v>
      </c>
      <c r="D744" s="295" t="inlineStr">
        <is>
          <t>Meals 7 days 1 Persons @ 150K IDR/day</t>
        </is>
      </c>
      <c r="E744" s="287" t="inlineStr">
        <is>
          <t>-</t>
        </is>
      </c>
      <c r="F744" s="296" t="n">
        <v>900000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300" t="n">
        <v>900000</v>
      </c>
      <c r="M744" s="287" t="n"/>
      <c r="N744" s="287" t="n"/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</row>
    <row r="745" ht="15.5" customHeight="1">
      <c r="B745" s="315" t="n"/>
      <c r="C745" s="316" t="n"/>
      <c r="D745" s="322" t="inlineStr">
        <is>
          <t>Transportation</t>
        </is>
      </c>
      <c r="E745" s="335" t="n"/>
      <c r="F745" s="318" t="n"/>
      <c r="G745" s="316" t="n"/>
      <c r="H745" s="316" t="n"/>
      <c r="I745" s="320" t="n"/>
      <c r="J745" s="339" t="n"/>
      <c r="K745" s="339" t="n"/>
      <c r="L745" s="339" t="n"/>
      <c r="M745" s="339" t="n"/>
      <c r="N745" s="339" t="n"/>
      <c r="O745" s="339" t="n"/>
      <c r="P745" s="320" t="n"/>
      <c r="Q745" s="320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</row>
    <row r="746" ht="15.5" customHeight="1">
      <c r="B746" s="293" t="n">
        <v>45442</v>
      </c>
      <c r="C746" s="294" t="n">
        <v>124</v>
      </c>
      <c r="D746" s="295" t="inlineStr">
        <is>
          <t>Airplane Ticket PLM-CGK (2 Person)</t>
        </is>
      </c>
      <c r="E746" s="287" t="inlineStr">
        <is>
          <t>-</t>
        </is>
      </c>
      <c r="F746" s="296" t="n">
        <v>1326410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300" t="n">
        <v>1326410</v>
      </c>
      <c r="M746" s="287" t="n"/>
      <c r="N746" s="287" t="n"/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</row>
    <row r="747" ht="15.5" customHeight="1">
      <c r="B747" s="309" t="inlineStr">
        <is>
          <t>Expense#18</t>
        </is>
      </c>
      <c r="C747" s="310" t="inlineStr">
        <is>
          <t>:</t>
        </is>
      </c>
      <c r="D747" s="340" t="inlineStr">
        <is>
          <t>Non Trip - BOSIET Training - DS</t>
        </is>
      </c>
      <c r="E747" s="341" t="n"/>
      <c r="F747" s="313" t="n"/>
      <c r="G747" s="312" t="n"/>
      <c r="H747" s="312" t="n"/>
      <c r="I747" s="314" t="n"/>
      <c r="J747" s="342" t="n"/>
      <c r="K747" s="342" t="n"/>
      <c r="L747" s="342" t="n"/>
      <c r="M747" s="342" t="n"/>
      <c r="N747" s="342" t="n"/>
      <c r="O747" s="342" t="n"/>
      <c r="P747" s="314" t="n"/>
      <c r="Q747" s="314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</row>
    <row r="748" ht="15.5" customHeight="1">
      <c r="B748" s="315" t="n"/>
      <c r="C748" s="316" t="n"/>
      <c r="D748" s="322" t="inlineStr">
        <is>
          <t>Biaya Operasi Lain-lain</t>
        </is>
      </c>
      <c r="E748" s="335" t="n"/>
      <c r="F748" s="318" t="n"/>
      <c r="G748" s="316" t="n"/>
      <c r="H748" s="316" t="n"/>
      <c r="I748" s="320" t="n"/>
      <c r="J748" s="339" t="n"/>
      <c r="K748" s="339" t="n"/>
      <c r="L748" s="339" t="n"/>
      <c r="M748" s="339" t="n"/>
      <c r="N748" s="339" t="n"/>
      <c r="O748" s="339" t="n"/>
      <c r="P748" s="320" t="n"/>
      <c r="Q748" s="320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</row>
    <row r="749" ht="15.5" customHeight="1">
      <c r="B749" s="293" t="n">
        <v>45448</v>
      </c>
      <c r="C749" s="294" t="n">
        <v>125</v>
      </c>
      <c r="D749" s="295" t="inlineStr">
        <is>
          <t>Personal Car from Home to PT. LTJ (converted) DAY-1</t>
        </is>
      </c>
      <c r="E749" s="287" t="inlineStr">
        <is>
          <t>-</t>
        </is>
      </c>
      <c r="F749" s="296" t="n">
        <v>233000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 t="n">
        <v>233000</v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</row>
    <row r="750" ht="15.5" customHeight="1">
      <c r="B750" s="315" t="n"/>
      <c r="C750" s="319" t="n"/>
      <c r="D750" s="317" t="inlineStr">
        <is>
          <t>Training</t>
        </is>
      </c>
      <c r="E750" s="343" t="n"/>
      <c r="F750" s="343" t="n"/>
      <c r="G750" s="343" t="n"/>
      <c r="H750" s="343" t="n"/>
      <c r="I750" s="320" t="n"/>
      <c r="J750" s="320" t="n"/>
      <c r="K750" s="320" t="n"/>
      <c r="L750" s="320" t="n"/>
      <c r="M750" s="320" t="n"/>
      <c r="N750" s="320" t="n"/>
      <c r="O750" s="320" t="n"/>
      <c r="P750" s="320" t="n"/>
      <c r="Q750" s="320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</row>
    <row r="751" ht="15.5" customHeight="1">
      <c r="B751" s="293" t="n">
        <v>45450</v>
      </c>
      <c r="C751" s="294" t="n">
        <v>126</v>
      </c>
      <c r="D751" s="295" t="inlineStr">
        <is>
          <t>BOSIET 5 - 7 June 2024</t>
        </is>
      </c>
      <c r="E751" s="287" t="inlineStr">
        <is>
          <t>-</t>
        </is>
      </c>
      <c r="F751" s="296" t="n">
        <v>9693878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 t="n">
        <v>9693878</v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</row>
    <row r="752">
      <c r="B752" s="343" t="n"/>
      <c r="C752" s="343" t="n"/>
      <c r="D752" s="317" t="inlineStr">
        <is>
          <t>Transportation</t>
        </is>
      </c>
      <c r="E752" s="343" t="n"/>
      <c r="F752" s="343" t="n"/>
      <c r="G752" s="343" t="n"/>
      <c r="H752" s="343" t="n"/>
      <c r="I752" s="343" t="n"/>
      <c r="J752" s="343" t="n"/>
      <c r="K752" s="343" t="n"/>
      <c r="L752" s="343" t="n"/>
      <c r="M752" s="343" t="n"/>
      <c r="N752" s="343" t="n"/>
      <c r="O752" s="343" t="n"/>
      <c r="P752" s="343" t="n"/>
      <c r="Q752" s="343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</row>
    <row r="753" ht="15.5" customHeight="1">
      <c r="B753" s="293" t="n">
        <v>45450</v>
      </c>
      <c r="C753" s="294" t="n">
        <v>127</v>
      </c>
      <c r="D753" s="295" t="inlineStr">
        <is>
          <t>Transport DAY - 3 BOSIET</t>
        </is>
      </c>
      <c r="E753" s="287" t="inlineStr">
        <is>
          <t>-</t>
        </is>
      </c>
      <c r="F753" s="296" t="n">
        <v>59000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 t="n">
        <v>59000</v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</row>
    <row r="754">
      <c r="B754" s="311" t="inlineStr">
        <is>
          <t>Expense#19</t>
        </is>
      </c>
      <c r="C754" s="310" t="inlineStr">
        <is>
          <t>:</t>
        </is>
      </c>
      <c r="D754" s="311" t="inlineStr">
        <is>
          <t>ALFA JRK-163 (Pending job) - TMA</t>
        </is>
      </c>
      <c r="E754" s="312" t="n"/>
      <c r="F754" s="312" t="n"/>
      <c r="G754" s="312" t="n"/>
      <c r="H754" s="312" t="n"/>
      <c r="I754" s="312" t="n"/>
      <c r="J754" s="312" t="n"/>
      <c r="K754" s="312" t="n"/>
      <c r="L754" s="312" t="n"/>
      <c r="M754" s="312" t="n"/>
      <c r="N754" s="312" t="n"/>
      <c r="O754" s="312" t="n"/>
      <c r="P754" s="312" t="n"/>
      <c r="Q754" s="312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</row>
    <row r="755">
      <c r="B755" s="343" t="n"/>
      <c r="C755" s="343" t="n"/>
      <c r="D755" s="317" t="inlineStr">
        <is>
          <t>Accommodation</t>
        </is>
      </c>
      <c r="E755" s="343" t="n"/>
      <c r="F755" s="343" t="n"/>
      <c r="G755" s="343" t="n"/>
      <c r="H755" s="343" t="n"/>
      <c r="I755" s="343" t="n"/>
      <c r="J755" s="343" t="n"/>
      <c r="K755" s="343" t="n"/>
      <c r="L755" s="343" t="n"/>
      <c r="M755" s="343" t="n"/>
      <c r="N755" s="343" t="n"/>
      <c r="O755" s="343" t="n"/>
      <c r="P755" s="343" t="n"/>
      <c r="Q755" s="343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</row>
    <row r="756" ht="15.5" customHeight="1">
      <c r="B756" s="293" t="n">
        <v>45428</v>
      </c>
      <c r="C756" s="294" t="n">
        <v>128</v>
      </c>
      <c r="D756" s="295" t="inlineStr">
        <is>
          <t>Hotel 16 June - 19 June (3 days)</t>
        </is>
      </c>
      <c r="E756" s="287" t="inlineStr">
        <is>
          <t>-</t>
        </is>
      </c>
      <c r="F756" s="296" t="n">
        <v>720000</v>
      </c>
      <c r="G756" s="289" t="inlineStr">
        <is>
          <t>IDR</t>
        </is>
      </c>
      <c r="H756" s="297" t="n">
        <v>1</v>
      </c>
      <c r="I756" s="298" t="n"/>
      <c r="J756" s="298" t="n"/>
      <c r="K756" s="299" t="n"/>
      <c r="L756" s="300" t="n">
        <v>720000</v>
      </c>
      <c r="M756" s="287" t="n"/>
      <c r="N756" s="287" t="n"/>
      <c r="O756" s="287" t="n"/>
      <c r="P756" s="287" t="n"/>
      <c r="Q756" s="287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</row>
    <row r="757">
      <c r="B757" s="343" t="n"/>
      <c r="C757" s="343" t="n"/>
      <c r="D757" s="317" t="inlineStr">
        <is>
          <t>Allowance</t>
        </is>
      </c>
      <c r="E757" s="343" t="n"/>
      <c r="F757" s="343" t="n"/>
      <c r="G757" s="343" t="n"/>
      <c r="H757" s="343" t="n"/>
      <c r="I757" s="343" t="n"/>
      <c r="J757" s="343" t="n"/>
      <c r="K757" s="343" t="n"/>
      <c r="L757" s="343" t="n"/>
      <c r="M757" s="343" t="n"/>
      <c r="N757" s="343" t="n"/>
      <c r="O757" s="343" t="n"/>
      <c r="P757" s="343" t="n"/>
      <c r="Q757" s="343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</row>
    <row r="758" ht="15.5" customHeight="1">
      <c r="B758" s="293" t="n">
        <v>45428</v>
      </c>
      <c r="C758" s="294" t="n">
        <v>129</v>
      </c>
      <c r="D758" s="295" t="inlineStr">
        <is>
          <t>Tunjangan Lapangan for 4 days</t>
        </is>
      </c>
      <c r="E758" s="287" t="inlineStr">
        <is>
          <t>-</t>
        </is>
      </c>
      <c r="F758" s="296" t="n">
        <v>6551200</v>
      </c>
      <c r="G758" s="289" t="inlineStr">
        <is>
          <t>USD</t>
        </is>
      </c>
      <c r="H758" s="297" t="n">
        <v>16378</v>
      </c>
      <c r="I758" s="298" t="n"/>
      <c r="J758" s="298" t="n"/>
      <c r="K758" s="299" t="n"/>
      <c r="L758" s="300" t="n">
        <v>6551200</v>
      </c>
      <c r="M758" s="287" t="n"/>
      <c r="N758" s="287" t="n"/>
      <c r="O758" s="287" t="n"/>
      <c r="P758" s="287" t="n"/>
      <c r="Q758" s="28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</row>
    <row r="759">
      <c r="B759" s="343" t="n"/>
      <c r="C759" s="343" t="n"/>
      <c r="D759" s="317" t="inlineStr">
        <is>
          <t>Biaya Operasi Lain-lain</t>
        </is>
      </c>
      <c r="E759" s="343" t="n"/>
      <c r="F759" s="343" t="n"/>
      <c r="G759" s="343" t="n"/>
      <c r="H759" s="343" t="n"/>
      <c r="I759" s="343" t="n"/>
      <c r="J759" s="343" t="n"/>
      <c r="K759" s="343" t="n"/>
      <c r="L759" s="343" t="n"/>
      <c r="M759" s="343" t="n"/>
      <c r="N759" s="343" t="n"/>
      <c r="O759" s="343" t="n"/>
      <c r="P759" s="343" t="n"/>
      <c r="Q759" s="343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</row>
    <row r="760" ht="15.5" customHeight="1">
      <c r="B760" s="293" t="n">
        <v>45428</v>
      </c>
      <c r="C760" s="294" t="n">
        <v>130</v>
      </c>
      <c r="D760" s="295" t="inlineStr">
        <is>
          <t>Rent Car 4 Days</t>
        </is>
      </c>
      <c r="E760" s="287" t="inlineStr">
        <is>
          <t>-</t>
        </is>
      </c>
      <c r="F760" s="296" t="n">
        <v>2000000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 t="n">
        <v>2000000</v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</row>
    <row r="761">
      <c r="B761" s="343" t="n"/>
      <c r="C761" s="343" t="n"/>
      <c r="D761" s="317" t="inlineStr">
        <is>
          <t>Elektronik &amp; Gadget</t>
        </is>
      </c>
      <c r="E761" s="343" t="n"/>
      <c r="F761" s="343" t="n"/>
      <c r="G761" s="343" t="n"/>
      <c r="H761" s="343" t="n"/>
      <c r="I761" s="343" t="n"/>
      <c r="J761" s="343" t="n"/>
      <c r="K761" s="343" t="n"/>
      <c r="L761" s="343" t="n"/>
      <c r="M761" s="343" t="n"/>
      <c r="N761" s="343" t="n"/>
      <c r="O761" s="343" t="n"/>
      <c r="P761" s="343" t="n"/>
      <c r="Q761" s="343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</row>
    <row r="762" ht="15.5" customHeight="1">
      <c r="B762" s="293" t="n">
        <v>45428</v>
      </c>
      <c r="C762" s="294" t="n">
        <v>131</v>
      </c>
      <c r="D762" s="295" t="inlineStr">
        <is>
          <t>Uneed Power Station</t>
        </is>
      </c>
      <c r="E762" s="287" t="inlineStr">
        <is>
          <t>-</t>
        </is>
      </c>
      <c r="F762" s="296" t="n">
        <v>2371000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287" t="n"/>
      <c r="M762" s="287" t="n"/>
      <c r="N762" s="300" t="n">
        <v>2371000</v>
      </c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</row>
    <row r="763">
      <c r="B763" s="343" t="n"/>
      <c r="C763" s="343" t="n"/>
      <c r="D763" s="317" t="inlineStr">
        <is>
          <t>Laundry</t>
        </is>
      </c>
      <c r="E763" s="343" t="n"/>
      <c r="F763" s="343" t="n"/>
      <c r="G763" s="343" t="n"/>
      <c r="H763" s="343" t="n"/>
      <c r="I763" s="343" t="n"/>
      <c r="J763" s="343" t="n"/>
      <c r="K763" s="343" t="n"/>
      <c r="L763" s="343" t="n"/>
      <c r="M763" s="343" t="n"/>
      <c r="N763" s="343" t="n"/>
      <c r="O763" s="343" t="n"/>
      <c r="P763" s="343" t="n"/>
      <c r="Q763" s="343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</row>
    <row r="764" ht="15.5" customHeight="1">
      <c r="B764" s="293" t="n">
        <v>45428</v>
      </c>
      <c r="C764" s="294" t="n">
        <v>132</v>
      </c>
      <c r="D764" s="295" t="inlineStr">
        <is>
          <t>Laundry 4 days 1 Persons @ 50K IDR/day</t>
        </is>
      </c>
      <c r="E764" s="287" t="inlineStr">
        <is>
          <t>-</t>
        </is>
      </c>
      <c r="F764" s="296" t="n">
        <v>200000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 t="n">
        <v>200000</v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</row>
    <row r="765">
      <c r="B765" s="343" t="n"/>
      <c r="C765" s="343" t="n"/>
      <c r="D765" s="317" t="inlineStr">
        <is>
          <t>Meal</t>
        </is>
      </c>
      <c r="E765" s="343" t="n"/>
      <c r="F765" s="343" t="n"/>
      <c r="G765" s="343" t="n"/>
      <c r="H765" s="343" t="n"/>
      <c r="I765" s="343" t="n"/>
      <c r="J765" s="343" t="n"/>
      <c r="K765" s="343" t="n"/>
      <c r="L765" s="343" t="n"/>
      <c r="M765" s="343" t="n"/>
      <c r="N765" s="343" t="n"/>
      <c r="O765" s="343" t="n"/>
      <c r="P765" s="343" t="n"/>
      <c r="Q765" s="343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</row>
    <row r="766" ht="15.5" customHeight="1">
      <c r="B766" s="293" t="n">
        <v>45428</v>
      </c>
      <c r="C766" s="294" t="n">
        <v>133</v>
      </c>
      <c r="D766" s="295" t="inlineStr">
        <is>
          <t>Meals 4 days 1 Persons @ 150K IDR/day</t>
        </is>
      </c>
      <c r="E766" s="287" t="inlineStr">
        <is>
          <t>-</t>
        </is>
      </c>
      <c r="F766" s="296" t="n">
        <v>600000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 t="n">
        <v>600000</v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</row>
    <row r="767">
      <c r="B767" s="343" t="n"/>
      <c r="C767" s="343" t="n"/>
      <c r="D767" s="317" t="inlineStr">
        <is>
          <t>Transportation</t>
        </is>
      </c>
      <c r="E767" s="343" t="n"/>
      <c r="F767" s="343" t="n"/>
      <c r="G767" s="343" t="n"/>
      <c r="H767" s="343" t="n"/>
      <c r="I767" s="343" t="n"/>
      <c r="J767" s="343" t="n"/>
      <c r="K767" s="343" t="n"/>
      <c r="L767" s="343" t="n"/>
      <c r="M767" s="343" t="n"/>
      <c r="N767" s="343" t="n"/>
      <c r="O767" s="343" t="n"/>
      <c r="P767" s="343" t="n"/>
      <c r="Q767" s="343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</row>
    <row r="768" ht="15.5" customHeight="1">
      <c r="B768" s="293" t="n">
        <v>45428</v>
      </c>
      <c r="C768" s="294" t="n">
        <v>134</v>
      </c>
      <c r="D768" s="295" t="inlineStr">
        <is>
          <t>Airplane Ticket PLM-HLP</t>
        </is>
      </c>
      <c r="E768" s="287" t="inlineStr">
        <is>
          <t>-</t>
        </is>
      </c>
      <c r="F768" s="296" t="n">
        <v>1004000</v>
      </c>
      <c r="G768" s="289" t="inlineStr">
        <is>
          <t>IDR</t>
        </is>
      </c>
      <c r="H768" s="297" t="n">
        <v>1</v>
      </c>
      <c r="I768" s="298" t="n"/>
      <c r="J768" s="298" t="n"/>
      <c r="K768" s="299" t="n"/>
      <c r="L768" s="300" t="n">
        <v>1004000</v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</row>
    <row r="769">
      <c r="B769" s="311" t="inlineStr">
        <is>
          <t>Expense#20</t>
        </is>
      </c>
      <c r="C769" s="310" t="inlineStr">
        <is>
          <t>:</t>
        </is>
      </c>
      <c r="D769" s="311" t="inlineStr">
        <is>
          <t>Preparation TIS Petroleum - TMA</t>
        </is>
      </c>
      <c r="E769" s="312" t="n"/>
      <c r="F769" s="312" t="n"/>
      <c r="G769" s="312" t="n"/>
      <c r="H769" s="312" t="n"/>
      <c r="I769" s="312" t="n"/>
      <c r="J769" s="312" t="n"/>
      <c r="K769" s="312" t="n"/>
      <c r="L769" s="312" t="n"/>
      <c r="M769" s="312" t="n"/>
      <c r="N769" s="312" t="n"/>
      <c r="O769" s="312" t="n"/>
      <c r="P769" s="312" t="n"/>
      <c r="Q769" s="312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</row>
    <row r="770">
      <c r="B770" s="343" t="n"/>
      <c r="C770" s="343" t="n"/>
      <c r="D770" s="317" t="inlineStr">
        <is>
          <t>Sparepart</t>
        </is>
      </c>
      <c r="E770" s="343" t="n"/>
      <c r="F770" s="343" t="n"/>
      <c r="G770" s="343" t="n"/>
      <c r="H770" s="343" t="n"/>
      <c r="I770" s="343" t="n"/>
      <c r="J770" s="343" t="n"/>
      <c r="K770" s="343" t="n"/>
      <c r="L770" s="343" t="n"/>
      <c r="M770" s="343" t="n"/>
      <c r="N770" s="343" t="n"/>
      <c r="O770" s="343" t="n"/>
      <c r="P770" s="343" t="n"/>
      <c r="Q770" s="343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</row>
    <row r="771" ht="15.5" customHeight="1">
      <c r="B771" s="293" t="n">
        <v>45483</v>
      </c>
      <c r="C771" s="294" t="n">
        <v>135</v>
      </c>
      <c r="D771" s="295" t="inlineStr">
        <is>
          <t>Hardcase Custom</t>
        </is>
      </c>
      <c r="E771" s="287" t="inlineStr">
        <is>
          <t>-</t>
        </is>
      </c>
      <c r="F771" s="296" t="n">
        <v>3595000</v>
      </c>
      <c r="G771" s="289" t="inlineStr">
        <is>
          <t>IDR</t>
        </is>
      </c>
      <c r="H771" s="297" t="n">
        <v>1</v>
      </c>
      <c r="I771" s="298" t="n"/>
      <c r="J771" s="298" t="n"/>
      <c r="K771" s="299" t="n"/>
      <c r="L771" s="287" t="n"/>
      <c r="M771" s="287" t="n"/>
      <c r="N771" s="300" t="n">
        <v>3595000</v>
      </c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</row>
    <row r="772">
      <c r="B772" s="343" t="n"/>
      <c r="C772" s="343" t="n"/>
      <c r="D772" s="317" t="inlineStr">
        <is>
          <t>Transportation</t>
        </is>
      </c>
      <c r="E772" s="343" t="n"/>
      <c r="F772" s="343" t="n"/>
      <c r="G772" s="343" t="n"/>
      <c r="H772" s="343" t="n"/>
      <c r="I772" s="343" t="n"/>
      <c r="J772" s="343" t="n"/>
      <c r="K772" s="343" t="n"/>
      <c r="L772" s="343" t="n"/>
      <c r="M772" s="343" t="n"/>
      <c r="N772" s="343" t="n"/>
      <c r="O772" s="343" t="n"/>
      <c r="P772" s="343" t="n"/>
      <c r="Q772" s="343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</row>
    <row r="773" ht="15.5" customHeight="1">
      <c r="B773" s="293" t="n">
        <v>45478</v>
      </c>
      <c r="C773" s="294" t="n">
        <v>136</v>
      </c>
      <c r="D773" s="295" t="inlineStr">
        <is>
          <t>Lalamove Gowell-Bogor-Gowell</t>
        </is>
      </c>
      <c r="E773" s="287" t="inlineStr">
        <is>
          <t>-</t>
        </is>
      </c>
      <c r="F773" s="296" t="n">
        <v>594804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300" t="n">
        <v>594804</v>
      </c>
      <c r="M773" s="287" t="n"/>
      <c r="N773" s="287" t="n"/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</row>
    <row r="774">
      <c r="B774" s="311" t="inlineStr">
        <is>
          <t>Expense#21</t>
        </is>
      </c>
      <c r="C774" s="310" t="inlineStr">
        <is>
          <t>:</t>
        </is>
      </c>
      <c r="D774" s="311" t="inlineStr">
        <is>
          <t>Delivery Tools Sonoecho (KL) - TMA</t>
        </is>
      </c>
      <c r="E774" s="312" t="n"/>
      <c r="F774" s="312" t="n"/>
      <c r="G774" s="312" t="n"/>
      <c r="H774" s="312" t="n"/>
      <c r="I774" s="312" t="n"/>
      <c r="J774" s="312" t="n"/>
      <c r="K774" s="312" t="n"/>
      <c r="L774" s="312" t="n"/>
      <c r="M774" s="312" t="n"/>
      <c r="N774" s="312" t="n"/>
      <c r="O774" s="312" t="n"/>
      <c r="P774" s="312" t="n"/>
      <c r="Q774" s="312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</row>
    <row r="775">
      <c r="B775" s="343" t="n"/>
      <c r="C775" s="343" t="n"/>
      <c r="D775" s="317" t="inlineStr">
        <is>
          <t>Accommodation</t>
        </is>
      </c>
      <c r="E775" s="343" t="n"/>
      <c r="F775" s="343" t="n"/>
      <c r="G775" s="343" t="n"/>
      <c r="H775" s="343" t="n"/>
      <c r="I775" s="343" t="n"/>
      <c r="J775" s="343" t="n"/>
      <c r="K775" s="343" t="n"/>
      <c r="L775" s="343" t="n"/>
      <c r="M775" s="343" t="n"/>
      <c r="N775" s="343" t="n"/>
      <c r="O775" s="343" t="n"/>
      <c r="P775" s="343" t="n"/>
      <c r="Q775" s="343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</row>
    <row r="776" ht="15.5" customHeight="1">
      <c r="B776" s="293" t="n">
        <v>45481</v>
      </c>
      <c r="C776" s="294" t="n">
        <v>137</v>
      </c>
      <c r="D776" s="295" t="inlineStr">
        <is>
          <t>Hotel Tax Foreigner</t>
        </is>
      </c>
      <c r="E776" s="287" t="inlineStr">
        <is>
          <t>-</t>
        </is>
      </c>
      <c r="F776" s="296" t="n">
        <v>34620</v>
      </c>
      <c r="G776" s="289" t="inlineStr">
        <is>
          <t>MYR</t>
        </is>
      </c>
      <c r="H776" s="297" t="n">
        <v>3462</v>
      </c>
      <c r="I776" s="298" t="n"/>
      <c r="J776" s="298" t="n"/>
      <c r="K776" s="299" t="n"/>
      <c r="L776" s="300" t="n">
        <v>34620</v>
      </c>
      <c r="M776" s="287" t="n"/>
      <c r="N776" s="287" t="n"/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</row>
    <row r="777">
      <c r="B777" s="343" t="n"/>
      <c r="C777" s="343" t="n"/>
      <c r="D777" s="317" t="inlineStr">
        <is>
          <t>Elektronik &amp; Gadget</t>
        </is>
      </c>
      <c r="E777" s="343" t="n"/>
      <c r="F777" s="343" t="n"/>
      <c r="G777" s="343" t="n"/>
      <c r="H777" s="343" t="n"/>
      <c r="I777" s="343" t="n"/>
      <c r="J777" s="343" t="n"/>
      <c r="K777" s="343" t="n"/>
      <c r="L777" s="343" t="n"/>
      <c r="M777" s="343" t="n"/>
      <c r="N777" s="343" t="n"/>
      <c r="O777" s="343" t="n"/>
      <c r="P777" s="343" t="n"/>
      <c r="Q777" s="343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</row>
    <row r="778" ht="15.5" customHeight="1">
      <c r="B778" s="293" t="n">
        <v>45483</v>
      </c>
      <c r="C778" s="294" t="n">
        <v>138</v>
      </c>
      <c r="D778" s="295" t="inlineStr">
        <is>
          <t>OTG Type C</t>
        </is>
      </c>
      <c r="E778" s="287" t="inlineStr">
        <is>
          <t>-</t>
        </is>
      </c>
      <c r="F778" s="296" t="n">
        <v>163100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 t="n">
        <v>163100</v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</row>
    <row r="779">
      <c r="B779" s="343" t="n"/>
      <c r="C779" s="343" t="n"/>
      <c r="D779" s="317" t="inlineStr">
        <is>
          <t>Transportation</t>
        </is>
      </c>
      <c r="E779" s="343" t="n"/>
      <c r="F779" s="343" t="n"/>
      <c r="G779" s="343" t="n"/>
      <c r="H779" s="343" t="n"/>
      <c r="I779" s="343" t="n"/>
      <c r="J779" s="343" t="n"/>
      <c r="K779" s="343" t="n"/>
      <c r="L779" s="343" t="n"/>
      <c r="M779" s="343" t="n"/>
      <c r="N779" s="343" t="n"/>
      <c r="O779" s="343" t="n"/>
      <c r="P779" s="343" t="n"/>
      <c r="Q779" s="343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</row>
    <row r="780" ht="15.5" customHeight="1">
      <c r="B780" s="293" t="n">
        <v>45482</v>
      </c>
      <c r="C780" s="294" t="n">
        <v>139</v>
      </c>
      <c r="D780" s="295" t="inlineStr">
        <is>
          <t>Taxi CGK - Home</t>
        </is>
      </c>
      <c r="E780" s="287" t="inlineStr">
        <is>
          <t>-</t>
        </is>
      </c>
      <c r="F780" s="296" t="n">
        <v>259120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300" t="n">
        <v>259120</v>
      </c>
      <c r="M780" s="287" t="n"/>
      <c r="N780" s="287" t="n"/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</row>
    <row r="781">
      <c r="B781" s="311" t="inlineStr">
        <is>
          <t>Expense#22</t>
        </is>
      </c>
      <c r="C781" s="310" t="inlineStr">
        <is>
          <t>:</t>
        </is>
      </c>
      <c r="D781" s="311" t="inlineStr">
        <is>
          <t>Non project ( MCU ulang )_ IBR</t>
        </is>
      </c>
      <c r="E781" s="312" t="n"/>
      <c r="F781" s="312" t="n"/>
      <c r="G781" s="312" t="n"/>
      <c r="H781" s="312" t="n"/>
      <c r="I781" s="312" t="n"/>
      <c r="J781" s="312" t="n"/>
      <c r="K781" s="312" t="n"/>
      <c r="L781" s="312" t="n"/>
      <c r="M781" s="312" t="n"/>
      <c r="N781" s="312" t="n"/>
      <c r="O781" s="312" t="n"/>
      <c r="P781" s="312" t="n"/>
      <c r="Q781" s="312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</row>
    <row r="782">
      <c r="B782" s="343" t="n"/>
      <c r="C782" s="343" t="n"/>
      <c r="D782" s="317" t="inlineStr">
        <is>
          <t>Medical</t>
        </is>
      </c>
      <c r="E782" s="343" t="n"/>
      <c r="F782" s="343" t="n"/>
      <c r="G782" s="343" t="n"/>
      <c r="H782" s="343" t="n"/>
      <c r="I782" s="343" t="n"/>
      <c r="J782" s="343" t="n"/>
      <c r="K782" s="343" t="n"/>
      <c r="L782" s="343" t="n"/>
      <c r="M782" s="343" t="n"/>
      <c r="N782" s="343" t="n"/>
      <c r="O782" s="343" t="n"/>
      <c r="P782" s="343" t="n"/>
      <c r="Q782" s="343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</row>
    <row r="783" ht="15.5" customHeight="1">
      <c r="B783" s="293" t="n">
        <v>45453</v>
      </c>
      <c r="C783" s="294" t="n">
        <v>140</v>
      </c>
      <c r="D783" s="295" t="inlineStr">
        <is>
          <t>Farmasi</t>
        </is>
      </c>
      <c r="E783" s="287" t="inlineStr">
        <is>
          <t>-</t>
        </is>
      </c>
      <c r="F783" s="296" t="n">
        <v>109000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287" t="n"/>
      <c r="O783" s="287" t="n"/>
      <c r="P783" s="300" t="n">
        <v>109000</v>
      </c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</row>
    <row r="784">
      <c r="B784" s="311" t="inlineStr">
        <is>
          <t>Expense#23</t>
        </is>
      </c>
      <c r="C784" s="310" t="inlineStr">
        <is>
          <t>:</t>
        </is>
      </c>
      <c r="D784" s="311" t="inlineStr">
        <is>
          <t>ALFA job - JRK-163 (Job)_undr Sijak_ DS</t>
        </is>
      </c>
      <c r="E784" s="312" t="n"/>
      <c r="F784" s="312" t="n"/>
      <c r="G784" s="312" t="n"/>
      <c r="H784" s="312" t="n"/>
      <c r="I784" s="312" t="n"/>
      <c r="J784" s="312" t="n"/>
      <c r="K784" s="312" t="n"/>
      <c r="L784" s="312" t="n"/>
      <c r="M784" s="312" t="n"/>
      <c r="N784" s="312" t="n"/>
      <c r="O784" s="312" t="n"/>
      <c r="P784" s="312" t="n"/>
      <c r="Q784" s="312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</row>
    <row r="785">
      <c r="B785" s="343" t="n"/>
      <c r="C785" s="343" t="n"/>
      <c r="D785" s="317" t="inlineStr">
        <is>
          <t>Accommodation</t>
        </is>
      </c>
      <c r="E785" s="343" t="n"/>
      <c r="F785" s="343" t="n"/>
      <c r="G785" s="343" t="n"/>
      <c r="H785" s="343" t="n"/>
      <c r="I785" s="343" t="n"/>
      <c r="J785" s="343" t="n"/>
      <c r="K785" s="343" t="n"/>
      <c r="L785" s="343" t="n"/>
      <c r="M785" s="343" t="n"/>
      <c r="N785" s="343" t="n"/>
      <c r="O785" s="343" t="n"/>
      <c r="P785" s="343" t="n"/>
      <c r="Q785" s="343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</row>
    <row r="786" ht="15.5" customHeight="1">
      <c r="B786" s="293" t="n">
        <v>45500</v>
      </c>
      <c r="C786" s="294" t="n">
        <v>141</v>
      </c>
      <c r="D786" s="295" t="inlineStr">
        <is>
          <t>Lodge 21-27 Jul 2024 (3 rooms)</t>
        </is>
      </c>
      <c r="E786" s="287" t="inlineStr">
        <is>
          <t>-</t>
        </is>
      </c>
      <c r="F786" s="296" t="n">
        <v>2160000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 t="n">
        <v>2160000</v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</row>
    <row r="787">
      <c r="B787" s="343" t="n"/>
      <c r="C787" s="343" t="n"/>
      <c r="D787" s="317" t="inlineStr">
        <is>
          <t>Allowance</t>
        </is>
      </c>
      <c r="E787" s="343" t="n"/>
      <c r="F787" s="343" t="n"/>
      <c r="G787" s="343" t="n"/>
      <c r="H787" s="343" t="n"/>
      <c r="I787" s="343" t="n"/>
      <c r="J787" s="343" t="n"/>
      <c r="K787" s="343" t="n"/>
      <c r="L787" s="343" t="n"/>
      <c r="M787" s="343" t="n"/>
      <c r="N787" s="343" t="n"/>
      <c r="O787" s="343" t="n"/>
      <c r="P787" s="343" t="n"/>
      <c r="Q787" s="343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</row>
    <row r="788" ht="15.5" customHeight="1">
      <c r="B788" s="293" t="n">
        <v>45500</v>
      </c>
      <c r="C788" s="294" t="n">
        <v>142</v>
      </c>
      <c r="D788" s="295" t="inlineStr">
        <is>
          <t>Tunajngan Lapangan JRK-163 (21-27 Juli 2024). 1US$=16.200</t>
        </is>
      </c>
      <c r="E788" s="287" t="inlineStr">
        <is>
          <t>-</t>
        </is>
      </c>
      <c r="F788" s="296" t="n">
        <v>700</v>
      </c>
      <c r="G788" s="289" t="inlineStr">
        <is>
          <t>IDR</t>
        </is>
      </c>
      <c r="H788" s="297" t="n">
        <v>16200</v>
      </c>
      <c r="I788" s="298" t="n"/>
      <c r="J788" s="298" t="n"/>
      <c r="K788" s="299" t="n"/>
      <c r="L788" s="300" t="n">
        <v>700</v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</row>
    <row r="789">
      <c r="B789" s="343" t="n"/>
      <c r="C789" s="343" t="n"/>
      <c r="D789" s="317" t="inlineStr">
        <is>
          <t>Biaya Operasi Lain-lain</t>
        </is>
      </c>
      <c r="E789" s="343" t="n"/>
      <c r="F789" s="343" t="n"/>
      <c r="G789" s="343" t="n"/>
      <c r="H789" s="343" t="n"/>
      <c r="I789" s="343" t="n"/>
      <c r="J789" s="343" t="n"/>
      <c r="K789" s="343" t="n"/>
      <c r="L789" s="343" t="n"/>
      <c r="M789" s="343" t="n"/>
      <c r="N789" s="343" t="n"/>
      <c r="O789" s="343" t="n"/>
      <c r="P789" s="343" t="n"/>
      <c r="Q789" s="343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</row>
    <row r="790" ht="15.5" customHeight="1">
      <c r="B790" s="293" t="n">
        <v>45494</v>
      </c>
      <c r="C790" s="294" t="n">
        <v>143</v>
      </c>
      <c r="D790" s="295" t="inlineStr">
        <is>
          <t>Jakarta - Palembang</t>
        </is>
      </c>
      <c r="E790" s="287" t="inlineStr">
        <is>
          <t>-</t>
        </is>
      </c>
      <c r="F790" s="296" t="n">
        <v>400000</v>
      </c>
      <c r="G790" s="289" t="inlineStr">
        <is>
          <t>IDR</t>
        </is>
      </c>
      <c r="H790" s="297" t="n">
        <v>1</v>
      </c>
      <c r="I790" s="298" t="n"/>
      <c r="J790" s="298" t="n"/>
      <c r="K790" s="299" t="n"/>
      <c r="L790" s="300" t="n">
        <v>400000</v>
      </c>
      <c r="M790" s="287" t="n"/>
      <c r="N790" s="287" t="n"/>
      <c r="O790" s="287" t="n"/>
      <c r="P790" s="287" t="n"/>
      <c r="Q790" s="28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</row>
    <row r="791">
      <c r="B791" s="343" t="n"/>
      <c r="C791" s="343" t="n"/>
      <c r="D791" s="317" t="inlineStr">
        <is>
          <t>Hand Tools</t>
        </is>
      </c>
      <c r="E791" s="343" t="n"/>
      <c r="F791" s="343" t="n"/>
      <c r="G791" s="343" t="n"/>
      <c r="H791" s="343" t="n"/>
      <c r="I791" s="343" t="n"/>
      <c r="J791" s="343" t="n"/>
      <c r="K791" s="343" t="n"/>
      <c r="L791" s="343" t="n"/>
      <c r="M791" s="343" t="n"/>
      <c r="N791" s="343" t="n"/>
      <c r="O791" s="343" t="n"/>
      <c r="P791" s="343" t="n"/>
      <c r="Q791" s="343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</row>
    <row r="792" ht="15.5" customHeight="1">
      <c r="B792" s="293" t="n">
        <v>45495</v>
      </c>
      <c r="C792" s="294" t="n">
        <v>144</v>
      </c>
      <c r="D792" s="295" t="inlineStr">
        <is>
          <t>Rags - Gloves</t>
        </is>
      </c>
      <c r="E792" s="287" t="inlineStr">
        <is>
          <t>-</t>
        </is>
      </c>
      <c r="F792" s="296" t="n">
        <v>70000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287" t="n"/>
      <c r="M792" s="287" t="n"/>
      <c r="N792" s="300" t="n">
        <v>70000</v>
      </c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</row>
    <row r="793">
      <c r="B793" s="343" t="n"/>
      <c r="C793" s="343" t="n"/>
      <c r="D793" s="317" t="inlineStr">
        <is>
          <t>Laundry</t>
        </is>
      </c>
      <c r="E793" s="343" t="n"/>
      <c r="F793" s="343" t="n"/>
      <c r="G793" s="343" t="n"/>
      <c r="H793" s="343" t="n"/>
      <c r="I793" s="343" t="n"/>
      <c r="J793" s="343" t="n"/>
      <c r="K793" s="343" t="n"/>
      <c r="L793" s="343" t="n"/>
      <c r="M793" s="343" t="n"/>
      <c r="N793" s="343" t="n"/>
      <c r="O793" s="343" t="n"/>
      <c r="P793" s="343" t="n"/>
      <c r="Q793" s="343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</row>
    <row r="794" ht="15.5" customHeight="1">
      <c r="B794" s="293" t="n">
        <v>45500</v>
      </c>
      <c r="C794" s="294" t="n">
        <v>145</v>
      </c>
      <c r="D794" s="295" t="inlineStr">
        <is>
          <t>Laundry (21 - 27 Juli 2024)</t>
        </is>
      </c>
      <c r="E794" s="287" t="inlineStr">
        <is>
          <t>-</t>
        </is>
      </c>
      <c r="F794" s="296" t="n">
        <v>350000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 t="n">
        <v>350000</v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</row>
    <row r="795">
      <c r="B795" s="343" t="n"/>
      <c r="C795" s="343" t="n"/>
      <c r="D795" s="317" t="inlineStr">
        <is>
          <t>Meal</t>
        </is>
      </c>
      <c r="E795" s="343" t="n"/>
      <c r="F795" s="343" t="n"/>
      <c r="G795" s="343" t="n"/>
      <c r="H795" s="343" t="n"/>
      <c r="I795" s="343" t="n"/>
      <c r="J795" s="343" t="n"/>
      <c r="K795" s="343" t="n"/>
      <c r="L795" s="343" t="n"/>
      <c r="M795" s="343" t="n"/>
      <c r="N795" s="343" t="n"/>
      <c r="O795" s="343" t="n"/>
      <c r="P795" s="343" t="n"/>
      <c r="Q795" s="343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</row>
    <row r="796" ht="15.5" customHeight="1">
      <c r="B796" s="293" t="n">
        <v>45500</v>
      </c>
      <c r="C796" s="294" t="n">
        <v>146</v>
      </c>
      <c r="D796" s="295" t="inlineStr">
        <is>
          <t>Uang Makan (21 - 27 Juli 2024)</t>
        </is>
      </c>
      <c r="E796" s="287" t="inlineStr">
        <is>
          <t>-</t>
        </is>
      </c>
      <c r="F796" s="296" t="n">
        <v>1050000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 t="n">
        <v>1050000</v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</row>
    <row r="797">
      <c r="B797" s="343" t="n"/>
      <c r="C797" s="343" t="n"/>
      <c r="D797" s="317" t="inlineStr">
        <is>
          <t>Sparepart</t>
        </is>
      </c>
      <c r="E797" s="343" t="n"/>
      <c r="F797" s="343" t="n"/>
      <c r="G797" s="343" t="n"/>
      <c r="H797" s="343" t="n"/>
      <c r="I797" s="343" t="n"/>
      <c r="J797" s="343" t="n"/>
      <c r="K797" s="343" t="n"/>
      <c r="L797" s="343" t="n"/>
      <c r="M797" s="343" t="n"/>
      <c r="N797" s="343" t="n"/>
      <c r="O797" s="343" t="n"/>
      <c r="P797" s="343" t="n"/>
      <c r="Q797" s="343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</row>
    <row r="798" ht="15.5" customHeight="1">
      <c r="B798" s="293" t="n">
        <v>45498</v>
      </c>
      <c r="C798" s="294" t="n">
        <v>147</v>
      </c>
      <c r="D798" s="295" t="inlineStr">
        <is>
          <t>Battery for DTR (Spare)</t>
        </is>
      </c>
      <c r="E798" s="287" t="inlineStr">
        <is>
          <t>-</t>
        </is>
      </c>
      <c r="F798" s="296" t="n">
        <v>38900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287" t="n"/>
      <c r="M798" s="287" t="n"/>
      <c r="N798" s="300" t="n">
        <v>38900</v>
      </c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</row>
    <row r="799">
      <c r="B799" s="343" t="n"/>
      <c r="C799" s="343" t="n"/>
      <c r="D799" s="317" t="inlineStr">
        <is>
          <t>Transportation</t>
        </is>
      </c>
      <c r="E799" s="343" t="n"/>
      <c r="F799" s="343" t="n"/>
      <c r="G799" s="343" t="n"/>
      <c r="H799" s="343" t="n"/>
      <c r="I799" s="343" t="n"/>
      <c r="J799" s="343" t="n"/>
      <c r="K799" s="343" t="n"/>
      <c r="L799" s="343" t="n"/>
      <c r="M799" s="343" t="n"/>
      <c r="N799" s="343" t="n"/>
      <c r="O799" s="343" t="n"/>
      <c r="P799" s="343" t="n"/>
      <c r="Q799" s="343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</row>
    <row r="800" ht="15.5" customHeight="1">
      <c r="B800" s="293" t="n">
        <v>45500</v>
      </c>
      <c r="C800" s="294" t="n">
        <v>148</v>
      </c>
      <c r="D800" s="295" t="inlineStr">
        <is>
          <t>Car rental 21 - 27 Jul 2024</t>
        </is>
      </c>
      <c r="E800" s="287" t="inlineStr">
        <is>
          <t>-</t>
        </is>
      </c>
      <c r="F800" s="296" t="n">
        <v>3500000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300" t="n">
        <v>3500000</v>
      </c>
      <c r="M800" s="287" t="n"/>
      <c r="N800" s="287" t="n"/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</row>
    <row r="801">
      <c r="B801" s="311" t="inlineStr">
        <is>
          <t>Expense#24</t>
        </is>
      </c>
      <c r="C801" s="310" t="inlineStr">
        <is>
          <t>:</t>
        </is>
      </c>
      <c r="D801" s="311" t="inlineStr">
        <is>
          <t>ALFA JOB - JRK 163 (training 2nd_ IBR)</t>
        </is>
      </c>
      <c r="E801" s="312" t="n"/>
      <c r="F801" s="312" t="n"/>
      <c r="G801" s="312" t="n"/>
      <c r="H801" s="312" t="n"/>
      <c r="I801" s="312" t="n"/>
      <c r="J801" s="312" t="n"/>
      <c r="K801" s="312" t="n"/>
      <c r="L801" s="312" t="n"/>
      <c r="M801" s="312" t="n"/>
      <c r="N801" s="312" t="n"/>
      <c r="O801" s="312" t="n"/>
      <c r="P801" s="312" t="n"/>
      <c r="Q801" s="312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</row>
    <row r="802">
      <c r="B802" s="343" t="n"/>
      <c r="C802" s="343" t="n"/>
      <c r="D802" s="317" t="inlineStr">
        <is>
          <t>Allowance</t>
        </is>
      </c>
      <c r="E802" s="343" t="n"/>
      <c r="F802" s="343" t="n"/>
      <c r="G802" s="343" t="n"/>
      <c r="H802" s="343" t="n"/>
      <c r="I802" s="343" t="n"/>
      <c r="J802" s="343" t="n"/>
      <c r="K802" s="343" t="n"/>
      <c r="L802" s="343" t="n"/>
      <c r="M802" s="343" t="n"/>
      <c r="N802" s="343" t="n"/>
      <c r="O802" s="343" t="n"/>
      <c r="P802" s="343" t="n"/>
      <c r="Q802" s="343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</row>
    <row r="803" ht="15.5" customHeight="1">
      <c r="B803" s="293" t="n">
        <v>45501</v>
      </c>
      <c r="C803" s="294" t="n">
        <v>149</v>
      </c>
      <c r="D803" s="295" t="inlineStr">
        <is>
          <t>Tunjangan Lapangan JRK-163 (21 - 27 Juli 2024)</t>
        </is>
      </c>
      <c r="E803" s="287" t="inlineStr">
        <is>
          <t>-</t>
        </is>
      </c>
      <c r="F803" s="296" t="n">
        <v>2852500</v>
      </c>
      <c r="G803" s="289" t="inlineStr">
        <is>
          <t>$</t>
        </is>
      </c>
      <c r="H803" s="297" t="n">
        <v>16300</v>
      </c>
      <c r="I803" s="298" t="n"/>
      <c r="J803" s="298" t="n"/>
      <c r="K803" s="299" t="n"/>
      <c r="L803" s="300" t="n">
        <v>2852500</v>
      </c>
      <c r="M803" s="287" t="n"/>
      <c r="N803" s="287" t="n"/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</row>
    <row r="804">
      <c r="B804" s="343" t="n"/>
      <c r="C804" s="343" t="n"/>
      <c r="D804" s="317" t="inlineStr">
        <is>
          <t>Laundry</t>
        </is>
      </c>
      <c r="E804" s="343" t="n"/>
      <c r="F804" s="343" t="n"/>
      <c r="G804" s="343" t="n"/>
      <c r="H804" s="343" t="n"/>
      <c r="I804" s="343" t="n"/>
      <c r="J804" s="343" t="n"/>
      <c r="K804" s="343" t="n"/>
      <c r="L804" s="343" t="n"/>
      <c r="M804" s="343" t="n"/>
      <c r="N804" s="343" t="n"/>
      <c r="O804" s="343" t="n"/>
      <c r="P804" s="343" t="n"/>
      <c r="Q804" s="343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</row>
    <row r="805" ht="15.5" customHeight="1">
      <c r="B805" s="293" t="n">
        <v>45501</v>
      </c>
      <c r="C805" s="294" t="n">
        <v>150</v>
      </c>
      <c r="D805" s="295" t="inlineStr">
        <is>
          <t>Laundry (21 - 27 Juli 2024)</t>
        </is>
      </c>
      <c r="E805" s="287" t="inlineStr">
        <is>
          <t>-</t>
        </is>
      </c>
      <c r="F805" s="296" t="n">
        <v>350000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300" t="n">
        <v>350000</v>
      </c>
      <c r="M805" s="287" t="n"/>
      <c r="N805" s="287" t="n"/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</row>
    <row r="806">
      <c r="B806" s="343" t="n"/>
      <c r="C806" s="343" t="n"/>
      <c r="D806" s="317" t="inlineStr">
        <is>
          <t>Meal</t>
        </is>
      </c>
      <c r="E806" s="343" t="n"/>
      <c r="F806" s="343" t="n"/>
      <c r="G806" s="343" t="n"/>
      <c r="H806" s="343" t="n"/>
      <c r="I806" s="343" t="n"/>
      <c r="J806" s="343" t="n"/>
      <c r="K806" s="343" t="n"/>
      <c r="L806" s="343" t="n"/>
      <c r="M806" s="343" t="n"/>
      <c r="N806" s="343" t="n"/>
      <c r="O806" s="343" t="n"/>
      <c r="P806" s="343" t="n"/>
      <c r="Q806" s="343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</row>
    <row r="807" ht="15.5" customHeight="1">
      <c r="B807" s="293" t="n">
        <v>45501</v>
      </c>
      <c r="C807" s="294" t="n">
        <v>151</v>
      </c>
      <c r="D807" s="295" t="inlineStr">
        <is>
          <t>Uang makan (21 - 27 Juli 2024)</t>
        </is>
      </c>
      <c r="E807" s="287" t="inlineStr">
        <is>
          <t>-</t>
        </is>
      </c>
      <c r="F807" s="296" t="n">
        <v>1050000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300" t="n">
        <v>1050000</v>
      </c>
      <c r="M807" s="287" t="n"/>
      <c r="N807" s="287" t="n"/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</row>
    <row r="808">
      <c r="B808" s="311" t="inlineStr">
        <is>
          <t>Expense#25</t>
        </is>
      </c>
      <c r="C808" s="310" t="inlineStr">
        <is>
          <t>:</t>
        </is>
      </c>
      <c r="D808" s="311" t="inlineStr">
        <is>
          <t>TIS-Blora Field-PLT ALFA BHS by BARIKIN - IC</t>
        </is>
      </c>
      <c r="E808" s="312" t="n"/>
      <c r="F808" s="312" t="n"/>
      <c r="G808" s="312" t="n"/>
      <c r="H808" s="312" t="n"/>
      <c r="I808" s="312" t="n"/>
      <c r="J808" s="312" t="n"/>
      <c r="K808" s="312" t="n"/>
      <c r="L808" s="312" t="n"/>
      <c r="M808" s="312" t="n"/>
      <c r="N808" s="312" t="n"/>
      <c r="O808" s="312" t="n"/>
      <c r="P808" s="312" t="n"/>
      <c r="Q808" s="312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</row>
    <row r="809">
      <c r="B809" s="343" t="n"/>
      <c r="C809" s="343" t="n"/>
      <c r="D809" s="317" t="inlineStr">
        <is>
          <t>Allowance</t>
        </is>
      </c>
      <c r="E809" s="343" t="n"/>
      <c r="F809" s="343" t="n"/>
      <c r="G809" s="343" t="n"/>
      <c r="H809" s="343" t="n"/>
      <c r="I809" s="343" t="n"/>
      <c r="J809" s="343" t="n"/>
      <c r="K809" s="343" t="n"/>
      <c r="L809" s="343" t="n"/>
      <c r="M809" s="343" t="n"/>
      <c r="N809" s="343" t="n"/>
      <c r="O809" s="343" t="n"/>
      <c r="P809" s="343" t="n"/>
      <c r="Q809" s="343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</row>
    <row r="810" ht="15.5" customHeight="1">
      <c r="B810" s="293" t="n">
        <v>45512</v>
      </c>
      <c r="C810" s="294" t="n">
        <v>152</v>
      </c>
      <c r="D810" s="295" t="inlineStr">
        <is>
          <t>Tunjangan Lapangan for 10 days</t>
        </is>
      </c>
      <c r="E810" s="287" t="inlineStr">
        <is>
          <t>-</t>
        </is>
      </c>
      <c r="F810" s="296" t="n">
        <v>16100000</v>
      </c>
      <c r="G810" s="289" t="inlineStr">
        <is>
          <t>USD</t>
        </is>
      </c>
      <c r="H810" s="297" t="n">
        <v>16100</v>
      </c>
      <c r="I810" s="298" t="n"/>
      <c r="J810" s="298" t="n"/>
      <c r="K810" s="299" t="n"/>
      <c r="L810" s="300" t="n">
        <v>16100000</v>
      </c>
      <c r="M810" s="287" t="n"/>
      <c r="N810" s="287" t="n"/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</row>
    <row r="811">
      <c r="B811" s="343" t="n"/>
      <c r="C811" s="343" t="n"/>
      <c r="D811" s="317" t="inlineStr">
        <is>
          <t>Laundry</t>
        </is>
      </c>
      <c r="E811" s="343" t="n"/>
      <c r="F811" s="343" t="n"/>
      <c r="G811" s="343" t="n"/>
      <c r="H811" s="343" t="n"/>
      <c r="I811" s="343" t="n"/>
      <c r="J811" s="343" t="n"/>
      <c r="K811" s="343" t="n"/>
      <c r="L811" s="343" t="n"/>
      <c r="M811" s="343" t="n"/>
      <c r="N811" s="343" t="n"/>
      <c r="O811" s="343" t="n"/>
      <c r="P811" s="343" t="n"/>
      <c r="Q811" s="343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</row>
    <row r="812" ht="15.5" customHeight="1">
      <c r="B812" s="293" t="n">
        <v>45511</v>
      </c>
      <c r="C812" s="294" t="n">
        <v>153</v>
      </c>
      <c r="D812" s="295" t="inlineStr">
        <is>
          <t>Laundry 10 days 1 Persons @ 50K IDR/day</t>
        </is>
      </c>
      <c r="E812" s="287" t="inlineStr">
        <is>
          <t>-</t>
        </is>
      </c>
      <c r="F812" s="296" t="n">
        <v>500000</v>
      </c>
      <c r="G812" s="289" t="inlineStr">
        <is>
          <t>IDR</t>
        </is>
      </c>
      <c r="H812" s="297" t="n">
        <v>1</v>
      </c>
      <c r="I812" s="298" t="n"/>
      <c r="J812" s="298" t="n"/>
      <c r="K812" s="299" t="n"/>
      <c r="L812" s="300" t="n">
        <v>500000</v>
      </c>
      <c r="M812" s="287" t="n"/>
      <c r="N812" s="287" t="n"/>
      <c r="O812" s="287" t="n"/>
      <c r="P812" s="287" t="n"/>
      <c r="Q812" s="28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</row>
    <row r="813">
      <c r="B813" s="343" t="n"/>
      <c r="C813" s="343" t="n"/>
      <c r="D813" s="317" t="inlineStr">
        <is>
          <t>Meal</t>
        </is>
      </c>
      <c r="E813" s="343" t="n"/>
      <c r="F813" s="343" t="n"/>
      <c r="G813" s="343" t="n"/>
      <c r="H813" s="343" t="n"/>
      <c r="I813" s="343" t="n"/>
      <c r="J813" s="343" t="n"/>
      <c r="K813" s="343" t="n"/>
      <c r="L813" s="343" t="n"/>
      <c r="M813" s="343" t="n"/>
      <c r="N813" s="343" t="n"/>
      <c r="O813" s="343" t="n"/>
      <c r="P813" s="343" t="n"/>
      <c r="Q813" s="343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</row>
    <row r="814" ht="15.5" customHeight="1">
      <c r="B814" s="293" t="n">
        <v>45511</v>
      </c>
      <c r="C814" s="294" t="n">
        <v>154</v>
      </c>
      <c r="D814" s="295" t="inlineStr">
        <is>
          <t>Meals 10 days 1 Persons @ 150K IDR/day</t>
        </is>
      </c>
      <c r="E814" s="287" t="inlineStr">
        <is>
          <t>-</t>
        </is>
      </c>
      <c r="F814" s="296" t="n">
        <v>1500000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 t="n">
        <v>1500000</v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</row>
    <row r="815">
      <c r="B815" s="343" t="n"/>
      <c r="C815" s="343" t="n"/>
      <c r="D815" s="317" t="inlineStr">
        <is>
          <t>Sparepart</t>
        </is>
      </c>
      <c r="E815" s="343" t="n"/>
      <c r="F815" s="343" t="n"/>
      <c r="G815" s="343" t="n"/>
      <c r="H815" s="343" t="n"/>
      <c r="I815" s="343" t="n"/>
      <c r="J815" s="343" t="n"/>
      <c r="K815" s="343" t="n"/>
      <c r="L815" s="343" t="n"/>
      <c r="M815" s="343" t="n"/>
      <c r="N815" s="343" t="n"/>
      <c r="O815" s="343" t="n"/>
      <c r="P815" s="343" t="n"/>
      <c r="Q815" s="343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</row>
    <row r="816" ht="15.5" customHeight="1">
      <c r="B816" s="293" t="n">
        <v>45516</v>
      </c>
      <c r="C816" s="294" t="n">
        <v>155</v>
      </c>
      <c r="D816" s="295" t="inlineStr">
        <is>
          <t>Pelican Long Case 1770</t>
        </is>
      </c>
      <c r="E816" s="287" t="inlineStr">
        <is>
          <t>-</t>
        </is>
      </c>
      <c r="F816" s="296" t="n">
        <v>15166600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287" t="n"/>
      <c r="M816" s="287" t="n"/>
      <c r="N816" s="300" t="n">
        <v>15166600</v>
      </c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</row>
    <row r="817">
      <c r="B817" s="311" t="inlineStr">
        <is>
          <t>Expense#26</t>
        </is>
      </c>
      <c r="C817" s="310" t="inlineStr">
        <is>
          <t>:</t>
        </is>
      </c>
      <c r="D817" s="311" t="inlineStr">
        <is>
          <t>ALFA-MPLT-BHS_ RBG 3B PT. TIS under Barikin sakti _DS</t>
        </is>
      </c>
      <c r="E817" s="312" t="n"/>
      <c r="F817" s="312" t="n"/>
      <c r="G817" s="312" t="n"/>
      <c r="H817" s="312" t="n"/>
      <c r="I817" s="312" t="n"/>
      <c r="J817" s="312" t="n"/>
      <c r="K817" s="312" t="n"/>
      <c r="L817" s="312" t="n"/>
      <c r="M817" s="312" t="n"/>
      <c r="N817" s="312" t="n"/>
      <c r="O817" s="312" t="n"/>
      <c r="P817" s="312" t="n"/>
      <c r="Q817" s="312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</row>
    <row r="818">
      <c r="B818" s="343" t="n"/>
      <c r="C818" s="343" t="n"/>
      <c r="D818" s="317" t="inlineStr">
        <is>
          <t>Accommodation</t>
        </is>
      </c>
      <c r="E818" s="343" t="n"/>
      <c r="F818" s="343" t="n"/>
      <c r="G818" s="343" t="n"/>
      <c r="H818" s="343" t="n"/>
      <c r="I818" s="343" t="n"/>
      <c r="J818" s="343" t="n"/>
      <c r="K818" s="343" t="n"/>
      <c r="L818" s="343" t="n"/>
      <c r="M818" s="343" t="n"/>
      <c r="N818" s="343" t="n"/>
      <c r="O818" s="343" t="n"/>
      <c r="P818" s="343" t="n"/>
      <c r="Q818" s="343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</row>
    <row r="819" ht="15.5" customHeight="1">
      <c r="B819" s="293" t="n">
        <v>45509</v>
      </c>
      <c r="C819" s="294" t="n">
        <v>156</v>
      </c>
      <c r="D819" s="295" t="inlineStr">
        <is>
          <t>Hotel 6 Aug - 7 Aug 2024 (2 rooms)</t>
        </is>
      </c>
      <c r="E819" s="287" t="inlineStr">
        <is>
          <t>-</t>
        </is>
      </c>
      <c r="F819" s="296" t="n">
        <v>795600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 t="n">
        <v>795600</v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</row>
    <row r="820">
      <c r="B820" s="343" t="n"/>
      <c r="C820" s="343" t="n"/>
      <c r="D820" s="317" t="inlineStr">
        <is>
          <t>Allowance</t>
        </is>
      </c>
      <c r="E820" s="343" t="n"/>
      <c r="F820" s="343" t="n"/>
      <c r="G820" s="343" t="n"/>
      <c r="H820" s="343" t="n"/>
      <c r="I820" s="343" t="n"/>
      <c r="J820" s="343" t="n"/>
      <c r="K820" s="343" t="n"/>
      <c r="L820" s="343" t="n"/>
      <c r="M820" s="343" t="n"/>
      <c r="N820" s="343" t="n"/>
      <c r="O820" s="343" t="n"/>
      <c r="P820" s="343" t="n"/>
      <c r="Q820" s="343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</row>
    <row r="821" ht="15.5" customHeight="1">
      <c r="B821" s="293" t="n">
        <v>45511</v>
      </c>
      <c r="C821" s="294" t="n">
        <v>157</v>
      </c>
      <c r="D821" s="295" t="inlineStr">
        <is>
          <t>Tunjangan LapanganRBG-3B PT. TIS (3-7 Aug 2024)</t>
        </is>
      </c>
      <c r="E821" s="287" t="inlineStr">
        <is>
          <t>-</t>
        </is>
      </c>
      <c r="F821" s="296" t="n">
        <v>500</v>
      </c>
      <c r="G821" s="289" t="inlineStr">
        <is>
          <t>IDR</t>
        </is>
      </c>
      <c r="H821" s="297" t="n">
        <v>15900</v>
      </c>
      <c r="I821" s="298" t="n"/>
      <c r="J821" s="298" t="n"/>
      <c r="K821" s="299" t="n"/>
      <c r="L821" s="300" t="n">
        <v>500</v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</row>
    <row r="822">
      <c r="B822" s="343" t="n"/>
      <c r="C822" s="343" t="n"/>
      <c r="D822" s="317" t="inlineStr">
        <is>
          <t>Biaya Operasi Lain-lain</t>
        </is>
      </c>
      <c r="E822" s="343" t="n"/>
      <c r="F822" s="343" t="n"/>
      <c r="G822" s="343" t="n"/>
      <c r="H822" s="343" t="n"/>
      <c r="I822" s="343" t="n"/>
      <c r="J822" s="343" t="n"/>
      <c r="K822" s="343" t="n"/>
      <c r="L822" s="343" t="n"/>
      <c r="M822" s="343" t="n"/>
      <c r="N822" s="343" t="n"/>
      <c r="O822" s="343" t="n"/>
      <c r="P822" s="343" t="n"/>
      <c r="Q822" s="343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</row>
    <row r="823" ht="15.5" customHeight="1">
      <c r="B823" s="293" t="n">
        <v>45507</v>
      </c>
      <c r="C823" s="294" t="n">
        <v>158</v>
      </c>
      <c r="D823" s="295" t="inlineStr">
        <is>
          <t>Jakarta - Semarang</t>
        </is>
      </c>
      <c r="E823" s="287" t="inlineStr">
        <is>
          <t>-</t>
        </is>
      </c>
      <c r="F823" s="296" t="n">
        <v>673500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 t="n">
        <v>673500</v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</row>
    <row r="824">
      <c r="B824" s="343" t="n"/>
      <c r="C824" s="343" t="n"/>
      <c r="D824" s="317" t="inlineStr">
        <is>
          <t>Laundry</t>
        </is>
      </c>
      <c r="E824" s="343" t="n"/>
      <c r="F824" s="343" t="n"/>
      <c r="G824" s="343" t="n"/>
      <c r="H824" s="343" t="n"/>
      <c r="I824" s="343" t="n"/>
      <c r="J824" s="343" t="n"/>
      <c r="K824" s="343" t="n"/>
      <c r="L824" s="343" t="n"/>
      <c r="M824" s="343" t="n"/>
      <c r="N824" s="343" t="n"/>
      <c r="O824" s="343" t="n"/>
      <c r="P824" s="343" t="n"/>
      <c r="Q824" s="343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</row>
    <row r="825" ht="15.5" customHeight="1">
      <c r="B825" s="293" t="n">
        <v>45511</v>
      </c>
      <c r="C825" s="294" t="n">
        <v>159</v>
      </c>
      <c r="D825" s="295" t="inlineStr">
        <is>
          <t>Laundry (3 - 7 Aug 2024)</t>
        </is>
      </c>
      <c r="E825" s="287" t="inlineStr">
        <is>
          <t>-</t>
        </is>
      </c>
      <c r="F825" s="296" t="n">
        <v>250000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 t="n">
        <v>250000</v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</row>
    <row r="826">
      <c r="B826" s="343" t="n"/>
      <c r="C826" s="343" t="n"/>
      <c r="D826" s="317" t="inlineStr">
        <is>
          <t>Meal</t>
        </is>
      </c>
      <c r="E826" s="343" t="n"/>
      <c r="F826" s="343" t="n"/>
      <c r="G826" s="343" t="n"/>
      <c r="H826" s="343" t="n"/>
      <c r="I826" s="343" t="n"/>
      <c r="J826" s="343" t="n"/>
      <c r="K826" s="343" t="n"/>
      <c r="L826" s="343" t="n"/>
      <c r="M826" s="343" t="n"/>
      <c r="N826" s="343" t="n"/>
      <c r="O826" s="343" t="n"/>
      <c r="P826" s="343" t="n"/>
      <c r="Q826" s="343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</row>
    <row r="827" ht="15.5" customHeight="1">
      <c r="B827" s="293" t="n">
        <v>45511</v>
      </c>
      <c r="C827" s="294" t="n">
        <v>160</v>
      </c>
      <c r="D827" s="295" t="inlineStr">
        <is>
          <t>Uang Makan (3 - 7 Aug 2024)</t>
        </is>
      </c>
      <c r="E827" s="287" t="inlineStr">
        <is>
          <t>-</t>
        </is>
      </c>
      <c r="F827" s="296" t="n">
        <v>750000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 t="n">
        <v>750000</v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</row>
    <row r="828">
      <c r="B828" s="343" t="n"/>
      <c r="C828" s="343" t="n"/>
      <c r="D828" s="317" t="inlineStr">
        <is>
          <t>Transportation</t>
        </is>
      </c>
      <c r="E828" s="343" t="n"/>
      <c r="F828" s="343" t="n"/>
      <c r="G828" s="343" t="n"/>
      <c r="H828" s="343" t="n"/>
      <c r="I828" s="343" t="n"/>
      <c r="J828" s="343" t="n"/>
      <c r="K828" s="343" t="n"/>
      <c r="L828" s="343" t="n"/>
      <c r="M828" s="343" t="n"/>
      <c r="N828" s="343" t="n"/>
      <c r="O828" s="343" t="n"/>
      <c r="P828" s="343" t="n"/>
      <c r="Q828" s="343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</row>
    <row r="829" ht="15.5" customHeight="1">
      <c r="B829" s="293" t="n">
        <v>45511</v>
      </c>
      <c r="C829" s="294" t="n">
        <v>161</v>
      </c>
      <c r="D829" s="295" t="inlineStr">
        <is>
          <t>Gocar Hotel to Tawang</t>
        </is>
      </c>
      <c r="E829" s="287" t="inlineStr">
        <is>
          <t>-</t>
        </is>
      </c>
      <c r="F829" s="296" t="n">
        <v>45000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 t="n">
        <v>45000</v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</row>
    <row r="830">
      <c r="B830" s="311" t="inlineStr">
        <is>
          <t>Expense#27</t>
        </is>
      </c>
      <c r="C830" s="310" t="inlineStr">
        <is>
          <t>:</t>
        </is>
      </c>
      <c r="D830" s="311" t="inlineStr">
        <is>
          <t>Non tripo 1st -- MCU + Pembelian barang kelengkapan pump AC</t>
        </is>
      </c>
      <c r="E830" s="312" t="n"/>
      <c r="F830" s="312" t="n"/>
      <c r="G830" s="312" t="n"/>
      <c r="H830" s="312" t="n"/>
      <c r="I830" s="312" t="n"/>
      <c r="J830" s="312" t="n"/>
      <c r="K830" s="312" t="n"/>
      <c r="L830" s="312" t="n"/>
      <c r="M830" s="312" t="n"/>
      <c r="N830" s="312" t="n"/>
      <c r="O830" s="312" t="n"/>
      <c r="P830" s="312" t="n"/>
      <c r="Q830" s="312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</row>
    <row r="831">
      <c r="B831" s="343" t="n"/>
      <c r="C831" s="343" t="n"/>
      <c r="D831" s="317" t="inlineStr">
        <is>
          <t>Elektronik &amp; Gadget</t>
        </is>
      </c>
      <c r="E831" s="343" t="n"/>
      <c r="F831" s="343" t="n"/>
      <c r="G831" s="343" t="n"/>
      <c r="H831" s="343" t="n"/>
      <c r="I831" s="343" t="n"/>
      <c r="J831" s="343" t="n"/>
      <c r="K831" s="343" t="n"/>
      <c r="L831" s="343" t="n"/>
      <c r="M831" s="343" t="n"/>
      <c r="N831" s="343" t="n"/>
      <c r="O831" s="343" t="n"/>
      <c r="P831" s="343" t="n"/>
      <c r="Q831" s="343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</row>
    <row r="832" ht="15.5" customHeight="1">
      <c r="B832" s="293" t="n">
        <v>45499</v>
      </c>
      <c r="C832" s="294" t="n">
        <v>162</v>
      </c>
      <c r="D832" s="295" t="inlineStr">
        <is>
          <t>buy Adapter</t>
        </is>
      </c>
      <c r="E832" s="287" t="inlineStr">
        <is>
          <t>-</t>
        </is>
      </c>
      <c r="F832" s="296" t="n">
        <v>20000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287" t="n"/>
      <c r="M832" s="287" t="n"/>
      <c r="N832" s="300" t="n">
        <v>20000</v>
      </c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</row>
    <row r="833">
      <c r="B833" s="343" t="n"/>
      <c r="C833" s="343" t="n"/>
      <c r="D833" s="317" t="inlineStr">
        <is>
          <t>Hand Tools</t>
        </is>
      </c>
      <c r="E833" s="343" t="n"/>
      <c r="F833" s="343" t="n"/>
      <c r="G833" s="343" t="n"/>
      <c r="H833" s="343" t="n"/>
      <c r="I833" s="343" t="n"/>
      <c r="J833" s="343" t="n"/>
      <c r="K833" s="343" t="n"/>
      <c r="L833" s="343" t="n"/>
      <c r="M833" s="343" t="n"/>
      <c r="N833" s="343" t="n"/>
      <c r="O833" s="343" t="n"/>
      <c r="P833" s="343" t="n"/>
      <c r="Q833" s="343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</row>
    <row r="834" ht="15.5" customHeight="1">
      <c r="B834" s="293" t="n">
        <v>45501</v>
      </c>
      <c r="C834" s="294" t="n">
        <v>163</v>
      </c>
      <c r="D834" s="295" t="inlineStr">
        <is>
          <t>Buy Case for tools box dan hydraulic pump</t>
        </is>
      </c>
      <c r="E834" s="287" t="inlineStr">
        <is>
          <t>-</t>
        </is>
      </c>
      <c r="F834" s="296" t="n">
        <v>2636800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287" t="n"/>
      <c r="M834" s="287" t="n"/>
      <c r="N834" s="300" t="n">
        <v>2636800</v>
      </c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</row>
    <row r="835">
      <c r="B835" s="343" t="n"/>
      <c r="C835" s="343" t="n"/>
      <c r="D835" s="317" t="inlineStr">
        <is>
          <t>Meal</t>
        </is>
      </c>
      <c r="E835" s="343" t="n"/>
      <c r="F835" s="343" t="n"/>
      <c r="G835" s="343" t="n"/>
      <c r="H835" s="343" t="n"/>
      <c r="I835" s="343" t="n"/>
      <c r="J835" s="343" t="n"/>
      <c r="K835" s="343" t="n"/>
      <c r="L835" s="343" t="n"/>
      <c r="M835" s="343" t="n"/>
      <c r="N835" s="343" t="n"/>
      <c r="O835" s="343" t="n"/>
      <c r="P835" s="343" t="n"/>
      <c r="Q835" s="343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</row>
    <row r="836" ht="15.5" customHeight="1">
      <c r="B836" s="293" t="n">
        <v>45484</v>
      </c>
      <c r="C836" s="294" t="n">
        <v>164</v>
      </c>
      <c r="D836" s="295" t="inlineStr">
        <is>
          <t>Meal lunch when visit to Lemigas (Sample Botol)</t>
        </is>
      </c>
      <c r="E836" s="287" t="inlineStr">
        <is>
          <t>-</t>
        </is>
      </c>
      <c r="F836" s="296" t="n">
        <v>81000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 t="n">
        <v>81000</v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</row>
    <row r="837">
      <c r="B837" s="343" t="n"/>
      <c r="C837" s="343" t="n"/>
      <c r="D837" s="317" t="inlineStr">
        <is>
          <t>Medical</t>
        </is>
      </c>
      <c r="E837" s="343" t="n"/>
      <c r="F837" s="343" t="n"/>
      <c r="G837" s="343" t="n"/>
      <c r="H837" s="343" t="n"/>
      <c r="I837" s="343" t="n"/>
      <c r="J837" s="343" t="n"/>
      <c r="K837" s="343" t="n"/>
      <c r="L837" s="343" t="n"/>
      <c r="M837" s="343" t="n"/>
      <c r="N837" s="343" t="n"/>
      <c r="O837" s="343" t="n"/>
      <c r="P837" s="343" t="n"/>
      <c r="Q837" s="343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</row>
    <row r="838" ht="15.5" customHeight="1">
      <c r="B838" s="293" t="n">
        <v>45484</v>
      </c>
      <c r="C838" s="294" t="n">
        <v>165</v>
      </c>
      <c r="D838" s="295" t="inlineStr">
        <is>
          <t>Fisioterapi 3rd</t>
        </is>
      </c>
      <c r="E838" s="287" t="inlineStr">
        <is>
          <t>-</t>
        </is>
      </c>
      <c r="F838" s="296" t="n">
        <v>285000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287" t="n"/>
      <c r="M838" s="287" t="n"/>
      <c r="N838" s="287" t="n"/>
      <c r="O838" s="287" t="n"/>
      <c r="P838" s="300" t="n">
        <v>285000</v>
      </c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</row>
    <row r="839">
      <c r="B839" s="343" t="n"/>
      <c r="C839" s="343" t="n"/>
      <c r="D839" s="317" t="inlineStr">
        <is>
          <t>Sparepart</t>
        </is>
      </c>
      <c r="E839" s="343" t="n"/>
      <c r="F839" s="343" t="n"/>
      <c r="G839" s="343" t="n"/>
      <c r="H839" s="343" t="n"/>
      <c r="I839" s="343" t="n"/>
      <c r="J839" s="343" t="n"/>
      <c r="K839" s="343" t="n"/>
      <c r="L839" s="343" t="n"/>
      <c r="M839" s="343" t="n"/>
      <c r="N839" s="343" t="n"/>
      <c r="O839" s="343" t="n"/>
      <c r="P839" s="343" t="n"/>
      <c r="Q839" s="343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</row>
    <row r="840" ht="15.5" customHeight="1">
      <c r="B840" s="293" t="n">
        <v>45500</v>
      </c>
      <c r="C840" s="294" t="n">
        <v>166</v>
      </c>
      <c r="D840" s="295" t="inlineStr">
        <is>
          <t>Buy Connection 1/4"</t>
        </is>
      </c>
      <c r="E840" s="287" t="inlineStr">
        <is>
          <t>-</t>
        </is>
      </c>
      <c r="F840" s="296" t="n">
        <v>1760000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287" t="n"/>
      <c r="M840" s="287" t="n"/>
      <c r="N840" s="300" t="n">
        <v>1760000</v>
      </c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</row>
    <row r="841">
      <c r="B841" s="343" t="n"/>
      <c r="C841" s="343" t="n"/>
      <c r="D841" s="317" t="inlineStr">
        <is>
          <t>Transportation</t>
        </is>
      </c>
      <c r="E841" s="343" t="n"/>
      <c r="F841" s="343" t="n"/>
      <c r="G841" s="343" t="n"/>
      <c r="H841" s="343" t="n"/>
      <c r="I841" s="343" t="n"/>
      <c r="J841" s="343" t="n"/>
      <c r="K841" s="343" t="n"/>
      <c r="L841" s="343" t="n"/>
      <c r="M841" s="343" t="n"/>
      <c r="N841" s="343" t="n"/>
      <c r="O841" s="343" t="n"/>
      <c r="P841" s="343" t="n"/>
      <c r="Q841" s="343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</row>
    <row r="842" ht="15.5" customHeight="1">
      <c r="B842" s="293" t="n">
        <v>45501</v>
      </c>
      <c r="C842" s="294" t="n">
        <v>167</v>
      </c>
      <c r="D842" s="295" t="inlineStr">
        <is>
          <t>Fuel trip ke Glodok buy Hydralic pump assesories</t>
        </is>
      </c>
      <c r="E842" s="287" t="inlineStr">
        <is>
          <t>-</t>
        </is>
      </c>
      <c r="F842" s="296" t="n">
        <v>217350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 t="n">
        <v>217350</v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</row>
    <row r="843">
      <c r="B843" s="311" t="inlineStr">
        <is>
          <t>Expense#28</t>
        </is>
      </c>
      <c r="C843" s="310" t="inlineStr">
        <is>
          <t>:</t>
        </is>
      </c>
      <c r="D843" s="311" t="inlineStr">
        <is>
          <t>ALFA-MPLT-Sampler project TIS Energy Blora_well RBG-3B by Barekin Sakti- AC</t>
        </is>
      </c>
      <c r="E843" s="312" t="n"/>
      <c r="F843" s="312" t="n"/>
      <c r="G843" s="312" t="n"/>
      <c r="H843" s="312" t="n"/>
      <c r="I843" s="312" t="n"/>
      <c r="J843" s="312" t="n"/>
      <c r="K843" s="312" t="n"/>
      <c r="L843" s="312" t="n"/>
      <c r="M843" s="312" t="n"/>
      <c r="N843" s="312" t="n"/>
      <c r="O843" s="312" t="n"/>
      <c r="P843" s="312" t="n"/>
      <c r="Q843" s="312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</row>
    <row r="844">
      <c r="B844" s="343" t="n"/>
      <c r="C844" s="343" t="n"/>
      <c r="D844" s="317" t="inlineStr">
        <is>
          <t>Accommodation</t>
        </is>
      </c>
      <c r="E844" s="343" t="n"/>
      <c r="F844" s="343" t="n"/>
      <c r="G844" s="343" t="n"/>
      <c r="H844" s="343" t="n"/>
      <c r="I844" s="343" t="n"/>
      <c r="J844" s="343" t="n"/>
      <c r="K844" s="343" t="n"/>
      <c r="L844" s="343" t="n"/>
      <c r="M844" s="343" t="n"/>
      <c r="N844" s="343" t="n"/>
      <c r="O844" s="343" t="n"/>
      <c r="P844" s="343" t="n"/>
      <c r="Q844" s="343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</row>
    <row r="845" ht="15.5" customHeight="1">
      <c r="B845" s="293" t="n">
        <v>45507</v>
      </c>
      <c r="C845" s="294" t="n">
        <v>168</v>
      </c>
      <c r="D845" s="295" t="inlineStr">
        <is>
          <t>Hotel for 6 days ( 29 Jul - 3 aug 24)</t>
        </is>
      </c>
      <c r="E845" s="287" t="inlineStr">
        <is>
          <t>-</t>
        </is>
      </c>
      <c r="F845" s="296" t="n">
        <v>2700000</v>
      </c>
      <c r="G845" s="289" t="inlineStr">
        <is>
          <t>IDR</t>
        </is>
      </c>
      <c r="H845" s="297" t="n">
        <v>1</v>
      </c>
      <c r="I845" s="298" t="n"/>
      <c r="J845" s="298" t="n"/>
      <c r="K845" s="299" t="n"/>
      <c r="L845" s="300" t="n">
        <v>2700000</v>
      </c>
      <c r="M845" s="287" t="n"/>
      <c r="N845" s="287" t="n"/>
      <c r="O845" s="287" t="n"/>
      <c r="P845" s="287" t="n"/>
      <c r="Q845" s="287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</row>
    <row r="846">
      <c r="B846" s="343" t="n"/>
      <c r="C846" s="343" t="n"/>
      <c r="D846" s="317" t="inlineStr">
        <is>
          <t>Allowance</t>
        </is>
      </c>
      <c r="E846" s="343" t="n"/>
      <c r="F846" s="343" t="n"/>
      <c r="G846" s="343" t="n"/>
      <c r="H846" s="343" t="n"/>
      <c r="I846" s="343" t="n"/>
      <c r="J846" s="343" t="n"/>
      <c r="K846" s="343" t="n"/>
      <c r="L846" s="343" t="n"/>
      <c r="M846" s="343" t="n"/>
      <c r="N846" s="343" t="n"/>
      <c r="O846" s="343" t="n"/>
      <c r="P846" s="343" t="n"/>
      <c r="Q846" s="343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</row>
    <row r="847" ht="15.5" customHeight="1">
      <c r="B847" s="293" t="n">
        <v>45511</v>
      </c>
      <c r="C847" s="294" t="n">
        <v>169</v>
      </c>
      <c r="D847" s="295" t="inlineStr">
        <is>
          <t>Tunjangan lapangan for 10 days (29Jul - 07Aug24) Anevril</t>
        </is>
      </c>
      <c r="E847" s="287" t="inlineStr">
        <is>
          <t>-</t>
        </is>
      </c>
      <c r="F847" s="296" t="n">
        <v>16100000</v>
      </c>
      <c r="G847" s="289" t="inlineStr">
        <is>
          <t>USD</t>
        </is>
      </c>
      <c r="H847" s="297" t="n">
        <v>16100</v>
      </c>
      <c r="I847" s="298" t="n"/>
      <c r="J847" s="298" t="n"/>
      <c r="K847" s="299" t="n"/>
      <c r="L847" s="300" t="n">
        <v>16100000</v>
      </c>
      <c r="M847" s="287" t="n"/>
      <c r="N847" s="287" t="n"/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</row>
    <row r="848">
      <c r="B848" s="343" t="n"/>
      <c r="C848" s="343" t="n"/>
      <c r="D848" s="317" t="inlineStr">
        <is>
          <t>Biaya Operasi Lain-lain</t>
        </is>
      </c>
      <c r="E848" s="343" t="n"/>
      <c r="F848" s="343" t="n"/>
      <c r="G848" s="343" t="n"/>
      <c r="H848" s="343" t="n"/>
      <c r="I848" s="343" t="n"/>
      <c r="J848" s="343" t="n"/>
      <c r="K848" s="343" t="n"/>
      <c r="L848" s="343" t="n"/>
      <c r="M848" s="343" t="n"/>
      <c r="N848" s="343" t="n"/>
      <c r="O848" s="343" t="n"/>
      <c r="P848" s="343" t="n"/>
      <c r="Q848" s="343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</row>
    <row r="849" ht="15.5" customHeight="1">
      <c r="B849" s="293" t="n">
        <v>45507</v>
      </c>
      <c r="C849" s="294" t="n">
        <v>170</v>
      </c>
      <c r="D849" s="295" t="inlineStr">
        <is>
          <t>w/ TIS Petroleum Personnel</t>
        </is>
      </c>
      <c r="E849" s="287" t="inlineStr">
        <is>
          <t>-</t>
        </is>
      </c>
      <c r="F849" s="296" t="n">
        <v>401000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300" t="n">
        <v>401000</v>
      </c>
      <c r="M849" s="287" t="n"/>
      <c r="N849" s="287" t="n"/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</row>
    <row r="850">
      <c r="B850" s="343" t="n"/>
      <c r="C850" s="343" t="n"/>
      <c r="D850" s="317" t="inlineStr">
        <is>
          <t>Laundry</t>
        </is>
      </c>
      <c r="E850" s="343" t="n"/>
      <c r="F850" s="343" t="n"/>
      <c r="G850" s="343" t="n"/>
      <c r="H850" s="343" t="n"/>
      <c r="I850" s="343" t="n"/>
      <c r="J850" s="343" t="n"/>
      <c r="K850" s="343" t="n"/>
      <c r="L850" s="343" t="n"/>
      <c r="M850" s="343" t="n"/>
      <c r="N850" s="343" t="n"/>
      <c r="O850" s="343" t="n"/>
      <c r="P850" s="343" t="n"/>
      <c r="Q850" s="343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</row>
    <row r="851" ht="15.5" customHeight="1">
      <c r="B851" s="293" t="n">
        <v>45511</v>
      </c>
      <c r="C851" s="294" t="n">
        <v>171</v>
      </c>
      <c r="D851" s="295" t="inlineStr">
        <is>
          <t>Laundry dor 10 days @Rp.50.000.</t>
        </is>
      </c>
      <c r="E851" s="287" t="inlineStr">
        <is>
          <t>-</t>
        </is>
      </c>
      <c r="F851" s="296" t="n">
        <v>500000</v>
      </c>
      <c r="G851" s="289" t="inlineStr">
        <is>
          <t>IDR</t>
        </is>
      </c>
      <c r="H851" s="297" t="n">
        <v>1</v>
      </c>
      <c r="I851" s="298" t="n"/>
      <c r="J851" s="298" t="n"/>
      <c r="K851" s="299" t="n"/>
      <c r="L851" s="300" t="n">
        <v>500000</v>
      </c>
      <c r="M851" s="287" t="n"/>
      <c r="N851" s="287" t="n"/>
      <c r="O851" s="287" t="n"/>
      <c r="P851" s="287" t="n"/>
      <c r="Q851" s="28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</row>
    <row r="852">
      <c r="B852" s="343" t="n"/>
      <c r="C852" s="343" t="n"/>
      <c r="D852" s="317" t="inlineStr">
        <is>
          <t>Meal</t>
        </is>
      </c>
      <c r="E852" s="343" t="n"/>
      <c r="F852" s="343" t="n"/>
      <c r="G852" s="343" t="n"/>
      <c r="H852" s="343" t="n"/>
      <c r="I852" s="343" t="n"/>
      <c r="J852" s="343" t="n"/>
      <c r="K852" s="343" t="n"/>
      <c r="L852" s="343" t="n"/>
      <c r="M852" s="343" t="n"/>
      <c r="N852" s="343" t="n"/>
      <c r="O852" s="343" t="n"/>
      <c r="P852" s="343" t="n"/>
      <c r="Q852" s="343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</row>
    <row r="853" ht="15.5" customHeight="1">
      <c r="B853" s="293" t="n">
        <v>45511</v>
      </c>
      <c r="C853" s="294" t="n">
        <v>172</v>
      </c>
      <c r="D853" s="295" t="inlineStr">
        <is>
          <t>Meal utk 10 hari (29 Jul -7Aug-24) @Rp. 150.000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 t="n">
        <v>1500000</v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</row>
    <row r="854">
      <c r="B854" s="343" t="n"/>
      <c r="C854" s="343" t="n"/>
      <c r="D854" s="317" t="inlineStr">
        <is>
          <t>Medical</t>
        </is>
      </c>
      <c r="E854" s="343" t="n"/>
      <c r="F854" s="343" t="n"/>
      <c r="G854" s="343" t="n"/>
      <c r="H854" s="343" t="n"/>
      <c r="I854" s="343" t="n"/>
      <c r="J854" s="343" t="n"/>
      <c r="K854" s="343" t="n"/>
      <c r="L854" s="343" t="n"/>
      <c r="M854" s="343" t="n"/>
      <c r="N854" s="343" t="n"/>
      <c r="O854" s="343" t="n"/>
      <c r="P854" s="343" t="n"/>
      <c r="Q854" s="343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</row>
    <row r="855" ht="15.5" customHeight="1">
      <c r="B855" s="293" t="n">
        <v>45502</v>
      </c>
      <c r="C855" s="294" t="n">
        <v>173</v>
      </c>
      <c r="D855" s="295" t="inlineStr">
        <is>
          <t>buy Zirolic</t>
        </is>
      </c>
      <c r="E855" s="287" t="inlineStr">
        <is>
          <t>-</t>
        </is>
      </c>
      <c r="F855" s="296" t="n">
        <v>34200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287" t="n"/>
      <c r="M855" s="287" t="n"/>
      <c r="N855" s="287" t="n"/>
      <c r="O855" s="287" t="n"/>
      <c r="P855" s="300" t="n">
        <v>34200</v>
      </c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</row>
    <row r="856">
      <c r="B856" s="343" t="n"/>
      <c r="C856" s="343" t="n"/>
      <c r="D856" s="317" t="inlineStr">
        <is>
          <t>Sparepart</t>
        </is>
      </c>
      <c r="E856" s="343" t="n"/>
      <c r="F856" s="343" t="n"/>
      <c r="G856" s="343" t="n"/>
      <c r="H856" s="343" t="n"/>
      <c r="I856" s="343" t="n"/>
      <c r="J856" s="343" t="n"/>
      <c r="K856" s="343" t="n"/>
      <c r="L856" s="343" t="n"/>
      <c r="M856" s="343" t="n"/>
      <c r="N856" s="343" t="n"/>
      <c r="O856" s="343" t="n"/>
      <c r="P856" s="343" t="n"/>
      <c r="Q856" s="343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</row>
    <row r="857" ht="15.5" customHeight="1">
      <c r="B857" s="293" t="n">
        <v>45510</v>
      </c>
      <c r="C857" s="294" t="n">
        <v>174</v>
      </c>
      <c r="D857" s="295" t="inlineStr">
        <is>
          <t>Buy Paint nippon</t>
        </is>
      </c>
      <c r="E857" s="287" t="inlineStr">
        <is>
          <t>-</t>
        </is>
      </c>
      <c r="F857" s="296" t="n">
        <v>60000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 t="n">
        <v>60000</v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</row>
    <row r="858">
      <c r="B858" s="343" t="n"/>
      <c r="C858" s="343" t="n"/>
      <c r="D858" s="317" t="inlineStr">
        <is>
          <t>Transportation</t>
        </is>
      </c>
      <c r="E858" s="343" t="n"/>
      <c r="F858" s="343" t="n"/>
      <c r="G858" s="343" t="n"/>
      <c r="H858" s="343" t="n"/>
      <c r="I858" s="343" t="n"/>
      <c r="J858" s="343" t="n"/>
      <c r="K858" s="343" t="n"/>
      <c r="L858" s="343" t="n"/>
      <c r="M858" s="343" t="n"/>
      <c r="N858" s="343" t="n"/>
      <c r="O858" s="343" t="n"/>
      <c r="P858" s="343" t="n"/>
      <c r="Q858" s="343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</row>
    <row r="859" ht="15.5" customHeight="1">
      <c r="B859" s="293" t="n">
        <v>45511</v>
      </c>
      <c r="C859" s="294" t="n">
        <v>175</v>
      </c>
      <c r="D859" s="295" t="inlineStr">
        <is>
          <t>Toll (Gubug - Jakarta)</t>
        </is>
      </c>
      <c r="E859" s="287" t="inlineStr">
        <is>
          <t>-</t>
        </is>
      </c>
      <c r="F859" s="296" t="n">
        <v>496000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300" t="n">
        <v>496000</v>
      </c>
      <c r="M859" s="287" t="n"/>
      <c r="N859" s="287" t="n"/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</row>
    <row r="860">
      <c r="B860" s="311" t="inlineStr">
        <is>
          <t>Expense#29</t>
        </is>
      </c>
      <c r="C860" s="310" t="inlineStr">
        <is>
          <t>:</t>
        </is>
      </c>
      <c r="D860" s="311" t="inlineStr">
        <is>
          <t>ALFA-MPLT-BHS_ RBG 3B PT. TIS under Barikin sakti _TMA</t>
        </is>
      </c>
      <c r="E860" s="312" t="n"/>
      <c r="F860" s="312" t="n"/>
      <c r="G860" s="312" t="n"/>
      <c r="H860" s="312" t="n"/>
      <c r="I860" s="312" t="n"/>
      <c r="J860" s="312" t="n"/>
      <c r="K860" s="312" t="n"/>
      <c r="L860" s="312" t="n"/>
      <c r="M860" s="312" t="n"/>
      <c r="N860" s="312" t="n"/>
      <c r="O860" s="312" t="n"/>
      <c r="P860" s="312" t="n"/>
      <c r="Q860" s="312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</row>
    <row r="861">
      <c r="B861" s="343" t="n"/>
      <c r="C861" s="343" t="n"/>
      <c r="D861" s="317" t="inlineStr">
        <is>
          <t>Allowance</t>
        </is>
      </c>
      <c r="E861" s="343" t="n"/>
      <c r="F861" s="343" t="n"/>
      <c r="G861" s="343" t="n"/>
      <c r="H861" s="343" t="n"/>
      <c r="I861" s="343" t="n"/>
      <c r="J861" s="343" t="n"/>
      <c r="K861" s="343" t="n"/>
      <c r="L861" s="343" t="n"/>
      <c r="M861" s="343" t="n"/>
      <c r="N861" s="343" t="n"/>
      <c r="O861" s="343" t="n"/>
      <c r="P861" s="343" t="n"/>
      <c r="Q861" s="343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</row>
    <row r="862" ht="15.5" customHeight="1">
      <c r="B862" s="293" t="n">
        <v>45502</v>
      </c>
      <c r="C862" s="294" t="n">
        <v>176</v>
      </c>
      <c r="D862" s="295" t="inlineStr">
        <is>
          <t>Tunjangan Lapangan for 10 days</t>
        </is>
      </c>
      <c r="E862" s="287" t="inlineStr">
        <is>
          <t>-</t>
        </is>
      </c>
      <c r="F862" s="296" t="n">
        <v>15513000</v>
      </c>
      <c r="G862" s="289" t="inlineStr">
        <is>
          <t>USD</t>
        </is>
      </c>
      <c r="H862" s="297" t="n">
        <v>15513</v>
      </c>
      <c r="I862" s="298" t="n"/>
      <c r="J862" s="298" t="n"/>
      <c r="K862" s="299" t="n"/>
      <c r="L862" s="300" t="n">
        <v>15513000</v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</row>
    <row r="863">
      <c r="B863" s="343" t="n"/>
      <c r="C863" s="343" t="n"/>
      <c r="D863" s="317" t="inlineStr">
        <is>
          <t>Biaya Operasi Lain-lain</t>
        </is>
      </c>
      <c r="E863" s="343" t="n"/>
      <c r="F863" s="343" t="n"/>
      <c r="G863" s="343" t="n"/>
      <c r="H863" s="343" t="n"/>
      <c r="I863" s="343" t="n"/>
      <c r="J863" s="343" t="n"/>
      <c r="K863" s="343" t="n"/>
      <c r="L863" s="343" t="n"/>
      <c r="M863" s="343" t="n"/>
      <c r="N863" s="343" t="n"/>
      <c r="O863" s="343" t="n"/>
      <c r="P863" s="343" t="n"/>
      <c r="Q863" s="343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</row>
    <row r="864" ht="15.5" customHeight="1">
      <c r="B864" s="293" t="n">
        <v>45502</v>
      </c>
      <c r="C864" s="294" t="n">
        <v>177</v>
      </c>
      <c r="D864" s="295" t="inlineStr">
        <is>
          <t>Electrical Bill</t>
        </is>
      </c>
      <c r="E864" s="287" t="inlineStr">
        <is>
          <t>-</t>
        </is>
      </c>
      <c r="F864" s="296" t="n">
        <v>159682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 t="n">
        <v>159682</v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</row>
    <row r="865">
      <c r="B865" s="343" t="n"/>
      <c r="C865" s="343" t="n"/>
      <c r="D865" s="317" t="inlineStr">
        <is>
          <t>Laundry</t>
        </is>
      </c>
      <c r="E865" s="343" t="n"/>
      <c r="F865" s="343" t="n"/>
      <c r="G865" s="343" t="n"/>
      <c r="H865" s="343" t="n"/>
      <c r="I865" s="343" t="n"/>
      <c r="J865" s="343" t="n"/>
      <c r="K865" s="343" t="n"/>
      <c r="L865" s="343" t="n"/>
      <c r="M865" s="343" t="n"/>
      <c r="N865" s="343" t="n"/>
      <c r="O865" s="343" t="n"/>
      <c r="P865" s="343" t="n"/>
      <c r="Q865" s="343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</row>
    <row r="866" ht="15.5" customHeight="1">
      <c r="B866" s="293" t="n">
        <v>45502</v>
      </c>
      <c r="C866" s="294" t="n">
        <v>178</v>
      </c>
      <c r="D866" s="295" t="inlineStr">
        <is>
          <t>Laundry 10 days 1 Persons @ 50K IDR/day</t>
        </is>
      </c>
      <c r="E866" s="287" t="inlineStr">
        <is>
          <t>-</t>
        </is>
      </c>
      <c r="F866" s="296" t="n">
        <v>500000</v>
      </c>
      <c r="G866" s="289" t="inlineStr">
        <is>
          <t>IDR</t>
        </is>
      </c>
      <c r="H866" s="297" t="n">
        <v>1</v>
      </c>
      <c r="I866" s="298" t="n"/>
      <c r="J866" s="298" t="n"/>
      <c r="K866" s="299" t="n"/>
      <c r="L866" s="300" t="n">
        <v>500000</v>
      </c>
      <c r="M866" s="287" t="n"/>
      <c r="N866" s="287" t="n"/>
      <c r="O866" s="287" t="n"/>
      <c r="P866" s="287" t="n"/>
      <c r="Q866" s="28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</row>
    <row r="867">
      <c r="B867" s="343" t="n"/>
      <c r="C867" s="343" t="n"/>
      <c r="D867" s="317" t="inlineStr">
        <is>
          <t>Meal</t>
        </is>
      </c>
      <c r="E867" s="343" t="n"/>
      <c r="F867" s="343" t="n"/>
      <c r="G867" s="343" t="n"/>
      <c r="H867" s="343" t="n"/>
      <c r="I867" s="343" t="n"/>
      <c r="J867" s="343" t="n"/>
      <c r="K867" s="343" t="n"/>
      <c r="L867" s="343" t="n"/>
      <c r="M867" s="343" t="n"/>
      <c r="N867" s="343" t="n"/>
      <c r="O867" s="343" t="n"/>
      <c r="P867" s="343" t="n"/>
      <c r="Q867" s="343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</row>
    <row r="868" ht="15.5" customHeight="1">
      <c r="B868" s="293" t="n">
        <v>45502</v>
      </c>
      <c r="C868" s="294" t="n">
        <v>179</v>
      </c>
      <c r="D868" s="295" t="inlineStr">
        <is>
          <t>Meals 10 days 1 Persons @ 150K IDR/day</t>
        </is>
      </c>
      <c r="E868" s="287" t="inlineStr">
        <is>
          <t>-</t>
        </is>
      </c>
      <c r="F868" s="296" t="n">
        <v>1500000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300" t="n">
        <v>1500000</v>
      </c>
      <c r="M868" s="287" t="n"/>
      <c r="N868" s="287" t="n"/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</row>
    <row r="869">
      <c r="B869" s="343" t="n"/>
      <c r="C869" s="343" t="n"/>
      <c r="D869" s="317" t="inlineStr">
        <is>
          <t>Sparepart</t>
        </is>
      </c>
      <c r="E869" s="343" t="n"/>
      <c r="F869" s="343" t="n"/>
      <c r="G869" s="343" t="n"/>
      <c r="H869" s="343" t="n"/>
      <c r="I869" s="343" t="n"/>
      <c r="J869" s="343" t="n"/>
      <c r="K869" s="343" t="n"/>
      <c r="L869" s="343" t="n"/>
      <c r="M869" s="343" t="n"/>
      <c r="N869" s="343" t="n"/>
      <c r="O869" s="343" t="n"/>
      <c r="P869" s="343" t="n"/>
      <c r="Q869" s="343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</row>
    <row r="870" ht="15.5" customHeight="1">
      <c r="B870" s="293" t="n">
        <v>45499</v>
      </c>
      <c r="C870" s="294" t="n">
        <v>180</v>
      </c>
      <c r="D870" s="295" t="inlineStr">
        <is>
          <t>TOP 1 High Temp Grease</t>
        </is>
      </c>
      <c r="E870" s="287" t="inlineStr">
        <is>
          <t>-</t>
        </is>
      </c>
      <c r="F870" s="296" t="n">
        <v>144900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 t="n">
        <v>144900</v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</row>
    <row r="871">
      <c r="B871" s="343" t="n"/>
      <c r="C871" s="343" t="n"/>
      <c r="D871" s="317" t="inlineStr">
        <is>
          <t>Transportation</t>
        </is>
      </c>
      <c r="E871" s="343" t="n"/>
      <c r="F871" s="343" t="n"/>
      <c r="G871" s="343" t="n"/>
      <c r="H871" s="343" t="n"/>
      <c r="I871" s="343" t="n"/>
      <c r="J871" s="343" t="n"/>
      <c r="K871" s="343" t="n"/>
      <c r="L871" s="343" t="n"/>
      <c r="M871" s="343" t="n"/>
      <c r="N871" s="343" t="n"/>
      <c r="O871" s="343" t="n"/>
      <c r="P871" s="343" t="n"/>
      <c r="Q871" s="343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</row>
    <row r="872" ht="15.5" customHeight="1">
      <c r="B872" s="293" t="n">
        <v>45517</v>
      </c>
      <c r="C872" s="294" t="n">
        <v>181</v>
      </c>
      <c r="D872" s="295" t="inlineStr">
        <is>
          <t>Lalamove Barikin to Base</t>
        </is>
      </c>
      <c r="E872" s="287" t="inlineStr">
        <is>
          <t>-</t>
        </is>
      </c>
      <c r="F872" s="296" t="n">
        <v>161885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 t="n">
        <v>161885</v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</row>
    <row r="873">
      <c r="B873" s="311" t="inlineStr">
        <is>
          <t>Expense#30</t>
        </is>
      </c>
      <c r="C873" s="310" t="inlineStr">
        <is>
          <t>:</t>
        </is>
      </c>
      <c r="D873" s="311" t="inlineStr">
        <is>
          <t>ALFA JOB - PMB 009 (cancel job) - IBR</t>
        </is>
      </c>
      <c r="E873" s="312" t="n"/>
      <c r="F873" s="312" t="n"/>
      <c r="G873" s="312" t="n"/>
      <c r="H873" s="312" t="n"/>
      <c r="I873" s="312" t="n"/>
      <c r="J873" s="312" t="n"/>
      <c r="K873" s="312" t="n"/>
      <c r="L873" s="312" t="n"/>
      <c r="M873" s="312" t="n"/>
      <c r="N873" s="312" t="n"/>
      <c r="O873" s="312" t="n"/>
      <c r="P873" s="312" t="n"/>
      <c r="Q873" s="312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</row>
    <row r="874">
      <c r="B874" s="343" t="n"/>
      <c r="C874" s="343" t="n"/>
      <c r="D874" s="317" t="inlineStr">
        <is>
          <t>Allowance</t>
        </is>
      </c>
      <c r="E874" s="343" t="n"/>
      <c r="F874" s="343" t="n"/>
      <c r="G874" s="343" t="n"/>
      <c r="H874" s="343" t="n"/>
      <c r="I874" s="343" t="n"/>
      <c r="J874" s="343" t="n"/>
      <c r="K874" s="343" t="n"/>
      <c r="L874" s="343" t="n"/>
      <c r="M874" s="343" t="n"/>
      <c r="N874" s="343" t="n"/>
      <c r="O874" s="343" t="n"/>
      <c r="P874" s="343" t="n"/>
      <c r="Q874" s="343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</row>
    <row r="875" ht="15.5" customHeight="1">
      <c r="B875" s="293" t="n">
        <v>45548</v>
      </c>
      <c r="C875" s="294" t="n">
        <v>182</v>
      </c>
      <c r="D875" s="295" t="inlineStr">
        <is>
          <t>Tunjangan Lapangan PBM - 009 (6 - 11 September 2024)</t>
        </is>
      </c>
      <c r="E875" s="287" t="inlineStr">
        <is>
          <t>-</t>
        </is>
      </c>
      <c r="F875" s="296" t="n">
        <v>2317500</v>
      </c>
      <c r="G875" s="289" t="inlineStr">
        <is>
          <t>$</t>
        </is>
      </c>
      <c r="H875" s="297" t="n">
        <v>15450</v>
      </c>
      <c r="I875" s="298" t="n"/>
      <c r="J875" s="298" t="n"/>
      <c r="K875" s="299" t="n"/>
      <c r="L875" s="300" t="n">
        <v>2317500</v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</row>
    <row r="876">
      <c r="B876" s="343" t="n"/>
      <c r="C876" s="343" t="n"/>
      <c r="D876" s="317" t="inlineStr">
        <is>
          <t>Laundry</t>
        </is>
      </c>
      <c r="E876" s="343" t="n"/>
      <c r="F876" s="343" t="n"/>
      <c r="G876" s="343" t="n"/>
      <c r="H876" s="343" t="n"/>
      <c r="I876" s="343" t="n"/>
      <c r="J876" s="343" t="n"/>
      <c r="K876" s="343" t="n"/>
      <c r="L876" s="343" t="n"/>
      <c r="M876" s="343" t="n"/>
      <c r="N876" s="343" t="n"/>
      <c r="O876" s="343" t="n"/>
      <c r="P876" s="343" t="n"/>
      <c r="Q876" s="343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</row>
    <row r="877" ht="15.5" customHeight="1">
      <c r="B877" s="293" t="n">
        <v>45548</v>
      </c>
      <c r="C877" s="294" t="n">
        <v>183</v>
      </c>
      <c r="D877" s="295" t="inlineStr">
        <is>
          <t>Laundry (6 - 11 September 2024) 6 days</t>
        </is>
      </c>
      <c r="E877" s="287" t="inlineStr">
        <is>
          <t>-</t>
        </is>
      </c>
      <c r="F877" s="296" t="n">
        <v>300000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 t="n">
        <v>300000</v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</row>
    <row r="878">
      <c r="B878" s="343" t="n"/>
      <c r="C878" s="343" t="n"/>
      <c r="D878" s="317" t="inlineStr">
        <is>
          <t>Meal</t>
        </is>
      </c>
      <c r="E878" s="343" t="n"/>
      <c r="F878" s="343" t="n"/>
      <c r="G878" s="343" t="n"/>
      <c r="H878" s="343" t="n"/>
      <c r="I878" s="343" t="n"/>
      <c r="J878" s="343" t="n"/>
      <c r="K878" s="343" t="n"/>
      <c r="L878" s="343" t="n"/>
      <c r="M878" s="343" t="n"/>
      <c r="N878" s="343" t="n"/>
      <c r="O878" s="343" t="n"/>
      <c r="P878" s="343" t="n"/>
      <c r="Q878" s="343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</row>
    <row r="879" ht="15.5" customHeight="1">
      <c r="B879" s="293" t="n">
        <v>45548</v>
      </c>
      <c r="C879" s="294" t="n">
        <v>184</v>
      </c>
      <c r="D879" s="295" t="inlineStr">
        <is>
          <t>Uang makan (6 - 11 September 2024) 6 days</t>
        </is>
      </c>
      <c r="E879" s="287" t="inlineStr">
        <is>
          <t>-</t>
        </is>
      </c>
      <c r="F879" s="296" t="n">
        <v>900000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 t="n">
        <v>900000</v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</row>
    <row r="880">
      <c r="B880" s="311" t="inlineStr">
        <is>
          <t>Expense#31</t>
        </is>
      </c>
      <c r="C880" s="310" t="inlineStr">
        <is>
          <t>:</t>
        </is>
      </c>
      <c r="D880" s="311" t="inlineStr">
        <is>
          <t>ALFA PMB-009 (Cancel)_ TMA</t>
        </is>
      </c>
      <c r="E880" s="312" t="n"/>
      <c r="F880" s="312" t="n"/>
      <c r="G880" s="312" t="n"/>
      <c r="H880" s="312" t="n"/>
      <c r="I880" s="312" t="n"/>
      <c r="J880" s="312" t="n"/>
      <c r="K880" s="312" t="n"/>
      <c r="L880" s="312" t="n"/>
      <c r="M880" s="312" t="n"/>
      <c r="N880" s="312" t="n"/>
      <c r="O880" s="312" t="n"/>
      <c r="P880" s="312" t="n"/>
      <c r="Q880" s="312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</row>
    <row r="881">
      <c r="B881" s="343" t="n"/>
      <c r="C881" s="343" t="n"/>
      <c r="D881" s="317" t="inlineStr">
        <is>
          <t>Accommodation</t>
        </is>
      </c>
      <c r="E881" s="343" t="n"/>
      <c r="F881" s="343" t="n"/>
      <c r="G881" s="343" t="n"/>
      <c r="H881" s="343" t="n"/>
      <c r="I881" s="343" t="n"/>
      <c r="J881" s="343" t="n"/>
      <c r="K881" s="343" t="n"/>
      <c r="L881" s="343" t="n"/>
      <c r="M881" s="343" t="n"/>
      <c r="N881" s="343" t="n"/>
      <c r="O881" s="343" t="n"/>
      <c r="P881" s="343" t="n"/>
      <c r="Q881" s="343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</row>
    <row r="882" ht="15.5" customHeight="1">
      <c r="B882" s="293" t="n">
        <v>45541</v>
      </c>
      <c r="C882" s="294" t="n">
        <v>185</v>
      </c>
      <c r="D882" s="295" t="inlineStr">
        <is>
          <t>Hotel 6 Sept - 11 Sept (5 days)</t>
        </is>
      </c>
      <c r="E882" s="287" t="inlineStr">
        <is>
          <t>-</t>
        </is>
      </c>
      <c r="F882" s="296" t="n">
        <v>1800000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 t="n">
        <v>1800000</v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</row>
    <row r="883">
      <c r="B883" s="343" t="n"/>
      <c r="C883" s="343" t="n"/>
      <c r="D883" s="317" t="inlineStr">
        <is>
          <t>Allowance</t>
        </is>
      </c>
      <c r="E883" s="343" t="n"/>
      <c r="F883" s="343" t="n"/>
      <c r="G883" s="343" t="n"/>
      <c r="H883" s="343" t="n"/>
      <c r="I883" s="343" t="n"/>
      <c r="J883" s="343" t="n"/>
      <c r="K883" s="343" t="n"/>
      <c r="L883" s="343" t="n"/>
      <c r="M883" s="343" t="n"/>
      <c r="N883" s="343" t="n"/>
      <c r="O883" s="343" t="n"/>
      <c r="P883" s="343" t="n"/>
      <c r="Q883" s="343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</row>
    <row r="884" ht="15.5" customHeight="1">
      <c r="B884" s="293" t="n">
        <v>45541</v>
      </c>
      <c r="C884" s="294" t="n">
        <v>186</v>
      </c>
      <c r="D884" s="295" t="inlineStr">
        <is>
          <t>Field Allowance</t>
        </is>
      </c>
      <c r="E884" s="287" t="inlineStr">
        <is>
          <t>-</t>
        </is>
      </c>
      <c r="F884" s="296" t="n">
        <v>9262800</v>
      </c>
      <c r="G884" s="289" t="inlineStr">
        <is>
          <t>USD</t>
        </is>
      </c>
      <c r="H884" s="297" t="n">
        <v>15438</v>
      </c>
      <c r="I884" s="298" t="n"/>
      <c r="J884" s="298" t="n"/>
      <c r="K884" s="299" t="n"/>
      <c r="L884" s="300" t="n">
        <v>9262800</v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</row>
    <row r="885">
      <c r="B885" s="343" t="n"/>
      <c r="C885" s="343" t="n"/>
      <c r="D885" s="317" t="inlineStr">
        <is>
          <t>Biaya Operasi Lain-lain</t>
        </is>
      </c>
      <c r="E885" s="343" t="n"/>
      <c r="F885" s="343" t="n"/>
      <c r="G885" s="343" t="n"/>
      <c r="H885" s="343" t="n"/>
      <c r="I885" s="343" t="n"/>
      <c r="J885" s="343" t="n"/>
      <c r="K885" s="343" t="n"/>
      <c r="L885" s="343" t="n"/>
      <c r="M885" s="343" t="n"/>
      <c r="N885" s="343" t="n"/>
      <c r="O885" s="343" t="n"/>
      <c r="P885" s="343" t="n"/>
      <c r="Q885" s="343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</row>
    <row r="886" ht="15.5" customHeight="1">
      <c r="B886" s="293" t="n">
        <v>45541</v>
      </c>
      <c r="C886" s="294" t="n">
        <v>187</v>
      </c>
      <c r="D886" s="295" t="inlineStr">
        <is>
          <t>Rent Car 6 Days</t>
        </is>
      </c>
      <c r="E886" s="287" t="inlineStr">
        <is>
          <t>-</t>
        </is>
      </c>
      <c r="F886" s="296" t="n">
        <v>3000000</v>
      </c>
      <c r="G886" s="289" t="inlineStr">
        <is>
          <t>IDR</t>
        </is>
      </c>
      <c r="H886" s="297" t="n">
        <v>1</v>
      </c>
      <c r="I886" s="298" t="n"/>
      <c r="J886" s="298" t="n"/>
      <c r="K886" s="299" t="n"/>
      <c r="L886" s="300" t="n">
        <v>3000000</v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</row>
    <row r="887">
      <c r="B887" s="343" t="n"/>
      <c r="C887" s="343" t="n"/>
      <c r="D887" s="317" t="inlineStr">
        <is>
          <t>Laundry</t>
        </is>
      </c>
      <c r="E887" s="343" t="n"/>
      <c r="F887" s="343" t="n"/>
      <c r="G887" s="343" t="n"/>
      <c r="H887" s="343" t="n"/>
      <c r="I887" s="343" t="n"/>
      <c r="J887" s="343" t="n"/>
      <c r="K887" s="343" t="n"/>
      <c r="L887" s="343" t="n"/>
      <c r="M887" s="343" t="n"/>
      <c r="N887" s="343" t="n"/>
      <c r="O887" s="343" t="n"/>
      <c r="P887" s="343" t="n"/>
      <c r="Q887" s="343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</row>
    <row r="888" ht="15.5" customHeight="1">
      <c r="B888" s="293" t="n">
        <v>45541</v>
      </c>
      <c r="C888" s="294" t="n">
        <v>188</v>
      </c>
      <c r="D888" s="295" t="inlineStr">
        <is>
          <t>Laundry 6 days 1 Persons @ 50K IDR/day</t>
        </is>
      </c>
      <c r="E888" s="287" t="inlineStr">
        <is>
          <t>-</t>
        </is>
      </c>
      <c r="F888" s="296" t="n">
        <v>300000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 t="n">
        <v>300000</v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</row>
    <row r="889">
      <c r="B889" s="343" t="n"/>
      <c r="C889" s="343" t="n"/>
      <c r="D889" s="317" t="inlineStr">
        <is>
          <t>Meal</t>
        </is>
      </c>
      <c r="E889" s="343" t="n"/>
      <c r="F889" s="343" t="n"/>
      <c r="G889" s="343" t="n"/>
      <c r="H889" s="343" t="n"/>
      <c r="I889" s="343" t="n"/>
      <c r="J889" s="343" t="n"/>
      <c r="K889" s="343" t="n"/>
      <c r="L889" s="343" t="n"/>
      <c r="M889" s="343" t="n"/>
      <c r="N889" s="343" t="n"/>
      <c r="O889" s="343" t="n"/>
      <c r="P889" s="343" t="n"/>
      <c r="Q889" s="343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</row>
    <row r="890" ht="15.5" customHeight="1">
      <c r="B890" s="293" t="n">
        <v>45541</v>
      </c>
      <c r="C890" s="294" t="n">
        <v>189</v>
      </c>
      <c r="D890" s="295" t="inlineStr">
        <is>
          <t>Meals</t>
        </is>
      </c>
      <c r="E890" s="287" t="inlineStr">
        <is>
          <t>-</t>
        </is>
      </c>
      <c r="F890" s="296" t="n">
        <v>900000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 t="n">
        <v>900000</v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</row>
    <row r="891">
      <c r="B891" s="343" t="n"/>
      <c r="C891" s="343" t="n"/>
      <c r="D891" s="317" t="inlineStr">
        <is>
          <t>Transportation</t>
        </is>
      </c>
      <c r="E891" s="343" t="n"/>
      <c r="F891" s="343" t="n"/>
      <c r="G891" s="343" t="n"/>
      <c r="H891" s="343" t="n"/>
      <c r="I891" s="343" t="n"/>
      <c r="J891" s="343" t="n"/>
      <c r="K891" s="343" t="n"/>
      <c r="L891" s="343" t="n"/>
      <c r="M891" s="343" t="n"/>
      <c r="N891" s="343" t="n"/>
      <c r="O891" s="343" t="n"/>
      <c r="P891" s="343" t="n"/>
      <c r="Q891" s="343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</row>
    <row r="892" ht="15.5" customHeight="1">
      <c r="B892" s="293" t="n">
        <v>45543</v>
      </c>
      <c r="C892" s="294" t="n">
        <v>190</v>
      </c>
      <c r="D892" s="295" t="inlineStr">
        <is>
          <t>Airplane Ticket PLM-CGK</t>
        </is>
      </c>
      <c r="E892" s="287" t="inlineStr">
        <is>
          <t>-</t>
        </is>
      </c>
      <c r="F892" s="296" t="n">
        <v>836100</v>
      </c>
      <c r="G892" s="289" t="inlineStr">
        <is>
          <t>IDR</t>
        </is>
      </c>
      <c r="H892" s="297" t="n">
        <v>1</v>
      </c>
      <c r="I892" s="298" t="n"/>
      <c r="J892" s="298" t="n"/>
      <c r="K892" s="299" t="n"/>
      <c r="L892" s="300" t="n">
        <v>836100</v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</row>
    <row r="893">
      <c r="B893" s="311" t="inlineStr">
        <is>
          <t>Expense#32</t>
        </is>
      </c>
      <c r="C893" s="310" t="inlineStr">
        <is>
          <t>:</t>
        </is>
      </c>
      <c r="D893" s="311" t="inlineStr">
        <is>
          <t>ALFA PMB-009 (Cancel)_ TMA</t>
        </is>
      </c>
      <c r="E893" s="312" t="n"/>
      <c r="F893" s="312" t="n"/>
      <c r="G893" s="312" t="n"/>
      <c r="H893" s="312" t="n"/>
      <c r="I893" s="312" t="n"/>
      <c r="J893" s="312" t="n"/>
      <c r="K893" s="312" t="n"/>
      <c r="L893" s="312" t="n"/>
      <c r="M893" s="312" t="n"/>
      <c r="N893" s="312" t="n"/>
      <c r="O893" s="312" t="n"/>
      <c r="P893" s="312" t="n"/>
      <c r="Q893" s="312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</row>
    <row r="894">
      <c r="B894" s="343" t="n"/>
      <c r="C894" s="343" t="n"/>
      <c r="D894" s="317" t="inlineStr">
        <is>
          <t>Allowance</t>
        </is>
      </c>
      <c r="E894" s="343" t="n"/>
      <c r="F894" s="343" t="n"/>
      <c r="G894" s="343" t="n"/>
      <c r="H894" s="343" t="n"/>
      <c r="I894" s="343" t="n"/>
      <c r="J894" s="343" t="n"/>
      <c r="K894" s="343" t="n"/>
      <c r="L894" s="343" t="n"/>
      <c r="M894" s="343" t="n"/>
      <c r="N894" s="343" t="n"/>
      <c r="O894" s="343" t="n"/>
      <c r="P894" s="343" t="n"/>
      <c r="Q894" s="343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</row>
    <row r="895" ht="15.5" customHeight="1">
      <c r="B895" s="293" t="n">
        <v>45561</v>
      </c>
      <c r="C895" s="294" t="n">
        <v>191</v>
      </c>
      <c r="D895" s="295" t="inlineStr">
        <is>
          <t>Field Bonus SKW#26 (22 - 26 Sept 2024). 1US$=15.100</t>
        </is>
      </c>
      <c r="E895" s="287" t="inlineStr">
        <is>
          <t>-</t>
        </is>
      </c>
      <c r="F895" s="296" t="n">
        <v>500</v>
      </c>
      <c r="G895" s="289" t="inlineStr">
        <is>
          <t>IDR</t>
        </is>
      </c>
      <c r="H895" s="297" t="n">
        <v>15100</v>
      </c>
      <c r="I895" s="298" t="n"/>
      <c r="J895" s="298" t="n"/>
      <c r="K895" s="299" t="n"/>
      <c r="L895" s="300" t="n">
        <v>500</v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</row>
    <row r="896">
      <c r="B896" s="343" t="n"/>
      <c r="C896" s="343" t="n"/>
      <c r="D896" s="317" t="inlineStr">
        <is>
          <t>Laundry</t>
        </is>
      </c>
      <c r="E896" s="343" t="n"/>
      <c r="F896" s="343" t="n"/>
      <c r="G896" s="343" t="n"/>
      <c r="H896" s="343" t="n"/>
      <c r="I896" s="343" t="n"/>
      <c r="J896" s="343" t="n"/>
      <c r="K896" s="343" t="n"/>
      <c r="L896" s="343" t="n"/>
      <c r="M896" s="343" t="n"/>
      <c r="N896" s="343" t="n"/>
      <c r="O896" s="343" t="n"/>
      <c r="P896" s="343" t="n"/>
      <c r="Q896" s="343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</row>
    <row r="897" ht="15.5" customHeight="1">
      <c r="B897" s="293" t="n">
        <v>45561</v>
      </c>
      <c r="C897" s="294" t="n">
        <v>192</v>
      </c>
      <c r="D897" s="295" t="inlineStr">
        <is>
          <t>Laundry (22 - 26 Sept 2024)</t>
        </is>
      </c>
      <c r="E897" s="287" t="inlineStr">
        <is>
          <t>-</t>
        </is>
      </c>
      <c r="F897" s="296" t="n">
        <v>250000</v>
      </c>
      <c r="G897" s="289" t="inlineStr">
        <is>
          <t>IDR</t>
        </is>
      </c>
      <c r="H897" s="297" t="n">
        <v>1</v>
      </c>
      <c r="I897" s="298" t="n"/>
      <c r="J897" s="298" t="n"/>
      <c r="K897" s="299" t="n"/>
      <c r="L897" s="300" t="n">
        <v>250000</v>
      </c>
      <c r="M897" s="287" t="n"/>
      <c r="N897" s="287" t="n"/>
      <c r="O897" s="287" t="n"/>
      <c r="P897" s="287" t="n"/>
      <c r="Q897" s="28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</row>
    <row r="898">
      <c r="B898" s="343" t="n"/>
      <c r="C898" s="343" t="n"/>
      <c r="D898" s="317" t="inlineStr">
        <is>
          <t>Meal</t>
        </is>
      </c>
      <c r="E898" s="343" t="n"/>
      <c r="F898" s="343" t="n"/>
      <c r="G898" s="343" t="n"/>
      <c r="H898" s="343" t="n"/>
      <c r="I898" s="343" t="n"/>
      <c r="J898" s="343" t="n"/>
      <c r="K898" s="343" t="n"/>
      <c r="L898" s="343" t="n"/>
      <c r="M898" s="343" t="n"/>
      <c r="N898" s="343" t="n"/>
      <c r="O898" s="343" t="n"/>
      <c r="P898" s="343" t="n"/>
      <c r="Q898" s="343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</row>
    <row r="899" ht="15.5" customHeight="1">
      <c r="B899" s="293" t="n">
        <v>45561</v>
      </c>
      <c r="C899" s="294" t="n">
        <v>193</v>
      </c>
      <c r="D899" s="295" t="inlineStr">
        <is>
          <t>Uang Makan (22 - 26 Sept 2024)</t>
        </is>
      </c>
      <c r="E899" s="287" t="inlineStr">
        <is>
          <t>-</t>
        </is>
      </c>
      <c r="F899" s="296" t="n">
        <v>750000</v>
      </c>
      <c r="G899" s="289" t="inlineStr">
        <is>
          <t>IDR</t>
        </is>
      </c>
      <c r="H899" s="297" t="n">
        <v>1</v>
      </c>
      <c r="I899" s="298" t="n"/>
      <c r="J899" s="298" t="n"/>
      <c r="K899" s="299" t="n"/>
      <c r="L899" s="300" t="n">
        <v>750000</v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</row>
    <row r="900">
      <c r="B900" s="343" t="n"/>
      <c r="C900" s="343" t="n"/>
      <c r="D900" s="317" t="inlineStr">
        <is>
          <t>Transportation</t>
        </is>
      </c>
      <c r="E900" s="343" t="n"/>
      <c r="F900" s="343" t="n"/>
      <c r="G900" s="343" t="n"/>
      <c r="H900" s="343" t="n"/>
      <c r="I900" s="343" t="n"/>
      <c r="J900" s="343" t="n"/>
      <c r="K900" s="343" t="n"/>
      <c r="L900" s="343" t="n"/>
      <c r="M900" s="343" t="n"/>
      <c r="N900" s="343" t="n"/>
      <c r="O900" s="343" t="n"/>
      <c r="P900" s="343" t="n"/>
      <c r="Q900" s="343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</row>
    <row r="901" ht="15.5" customHeight="1">
      <c r="B901" s="293" t="n">
        <v>45561</v>
      </c>
      <c r="C901" s="294" t="n">
        <v>194</v>
      </c>
      <c r="D901" s="295" t="inlineStr">
        <is>
          <t>Taxi+Tol Gambir - Serpong</t>
        </is>
      </c>
      <c r="E901" s="287" t="inlineStr">
        <is>
          <t>-</t>
        </is>
      </c>
      <c r="F901" s="296" t="n">
        <v>240000</v>
      </c>
      <c r="G901" s="289" t="inlineStr">
        <is>
          <t>IDR</t>
        </is>
      </c>
      <c r="H901" s="297" t="n">
        <v>1</v>
      </c>
      <c r="I901" s="298" t="n"/>
      <c r="J901" s="298" t="n"/>
      <c r="K901" s="299" t="n"/>
      <c r="L901" s="300" t="n">
        <v>240000</v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</row>
    <row r="902">
      <c r="B902" s="311" t="inlineStr">
        <is>
          <t>Expense#33</t>
        </is>
      </c>
      <c r="C902" s="310" t="inlineStr">
        <is>
          <t>:</t>
        </is>
      </c>
      <c r="D902" s="311" t="inlineStr">
        <is>
          <t>ALFA Job JRK-095 (Jirak) - IBR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</row>
    <row r="903">
      <c r="B903" s="343" t="n"/>
      <c r="C903" s="343" t="n"/>
      <c r="D903" s="317" t="inlineStr">
        <is>
          <t>Accommodation</t>
        </is>
      </c>
      <c r="E903" s="343" t="n"/>
      <c r="F903" s="343" t="n"/>
      <c r="G903" s="343" t="n"/>
      <c r="H903" s="343" t="n"/>
      <c r="I903" s="343" t="n"/>
      <c r="J903" s="343" t="n"/>
      <c r="K903" s="343" t="n"/>
      <c r="L903" s="343" t="n"/>
      <c r="M903" s="343" t="n"/>
      <c r="N903" s="343" t="n"/>
      <c r="O903" s="343" t="n"/>
      <c r="P903" s="343" t="n"/>
      <c r="Q903" s="343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</row>
    <row r="904" ht="15.5" customHeight="1">
      <c r="B904" s="293" t="n">
        <v>45563</v>
      </c>
      <c r="C904" s="294" t="n">
        <v>195</v>
      </c>
      <c r="D904" s="295" t="inlineStr">
        <is>
          <t>Hotel 21 Sept - 27 Sept 2024 (6 days)</t>
        </is>
      </c>
      <c r="E904" s="287" t="inlineStr">
        <is>
          <t>-</t>
        </is>
      </c>
      <c r="F904" s="296" t="n">
        <v>1680000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 t="n">
        <v>1680000</v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</row>
    <row r="905">
      <c r="B905" s="343" t="n"/>
      <c r="C905" s="343" t="n"/>
      <c r="D905" s="317" t="inlineStr">
        <is>
          <t>Allowance</t>
        </is>
      </c>
      <c r="E905" s="343" t="n"/>
      <c r="F905" s="343" t="n"/>
      <c r="G905" s="343" t="n"/>
      <c r="H905" s="343" t="n"/>
      <c r="I905" s="343" t="n"/>
      <c r="J905" s="343" t="n"/>
      <c r="K905" s="343" t="n"/>
      <c r="L905" s="343" t="n"/>
      <c r="M905" s="343" t="n"/>
      <c r="N905" s="343" t="n"/>
      <c r="O905" s="343" t="n"/>
      <c r="P905" s="343" t="n"/>
      <c r="Q905" s="343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</row>
    <row r="906" ht="15.5" customHeight="1">
      <c r="B906" s="293" t="n">
        <v>45563</v>
      </c>
      <c r="C906" s="294" t="n">
        <v>196</v>
      </c>
      <c r="D906" s="295" t="inlineStr">
        <is>
          <t>Field Allowance 20 Sept - 27 Sept 2024</t>
        </is>
      </c>
      <c r="E906" s="287" t="inlineStr">
        <is>
          <t>-</t>
        </is>
      </c>
      <c r="F906" s="296" t="n">
        <v>2668750</v>
      </c>
      <c r="G906" s="289" t="inlineStr">
        <is>
          <t>USD</t>
        </is>
      </c>
      <c r="H906" s="297" t="n">
        <v>15250</v>
      </c>
      <c r="I906" s="298" t="n"/>
      <c r="J906" s="298" t="n"/>
      <c r="K906" s="299" t="n"/>
      <c r="L906" s="300" t="n">
        <v>2668750</v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</row>
    <row r="907">
      <c r="B907" s="343" t="n"/>
      <c r="C907" s="343" t="n"/>
      <c r="D907" s="317" t="inlineStr">
        <is>
          <t>Laundry</t>
        </is>
      </c>
      <c r="E907" s="343" t="n"/>
      <c r="F907" s="343" t="n"/>
      <c r="G907" s="343" t="n"/>
      <c r="H907" s="343" t="n"/>
      <c r="I907" s="343" t="n"/>
      <c r="J907" s="343" t="n"/>
      <c r="K907" s="343" t="n"/>
      <c r="L907" s="343" t="n"/>
      <c r="M907" s="343" t="n"/>
      <c r="N907" s="343" t="n"/>
      <c r="O907" s="343" t="n"/>
      <c r="P907" s="343" t="n"/>
      <c r="Q907" s="343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</row>
    <row r="908" ht="15.5" customHeight="1">
      <c r="B908" s="293" t="n">
        <v>45563</v>
      </c>
      <c r="C908" s="294" t="n">
        <v>197</v>
      </c>
      <c r="D908" s="295" t="inlineStr">
        <is>
          <t>Laundry 20 Sept - 27 Sept 2024 (7days) @ Rp. 50000</t>
        </is>
      </c>
      <c r="E908" s="287" t="inlineStr">
        <is>
          <t>-</t>
        </is>
      </c>
      <c r="F908" s="296" t="n">
        <v>350000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 t="n">
        <v>350000</v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</row>
    <row r="909">
      <c r="B909" s="343" t="n"/>
      <c r="C909" s="343" t="n"/>
      <c r="D909" s="317" t="inlineStr">
        <is>
          <t>Maintenance</t>
        </is>
      </c>
      <c r="E909" s="343" t="n"/>
      <c r="F909" s="343" t="n"/>
      <c r="G909" s="343" t="n"/>
      <c r="H909" s="343" t="n"/>
      <c r="I909" s="343" t="n"/>
      <c r="J909" s="343" t="n"/>
      <c r="K909" s="343" t="n"/>
      <c r="L909" s="343" t="n"/>
      <c r="M909" s="343" t="n"/>
      <c r="N909" s="343" t="n"/>
      <c r="O909" s="343" t="n"/>
      <c r="P909" s="343" t="n"/>
      <c r="Q909" s="343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</row>
    <row r="910" ht="15.5" customHeight="1">
      <c r="B910" s="293" t="n">
        <v>45563</v>
      </c>
      <c r="C910" s="294" t="n">
        <v>198</v>
      </c>
      <c r="D910" s="295" t="inlineStr">
        <is>
          <t>Car Wash</t>
        </is>
      </c>
      <c r="E910" s="287" t="inlineStr">
        <is>
          <t>-</t>
        </is>
      </c>
      <c r="F910" s="296" t="n">
        <v>40000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 t="n">
        <v>40000</v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</row>
    <row r="911">
      <c r="B911" s="343" t="n"/>
      <c r="C911" s="343" t="n"/>
      <c r="D911" s="317" t="inlineStr">
        <is>
          <t>Meal</t>
        </is>
      </c>
      <c r="E911" s="343" t="n"/>
      <c r="F911" s="343" t="n"/>
      <c r="G911" s="343" t="n"/>
      <c r="H911" s="343" t="n"/>
      <c r="I911" s="343" t="n"/>
      <c r="J911" s="343" t="n"/>
      <c r="K911" s="343" t="n"/>
      <c r="L911" s="343" t="n"/>
      <c r="M911" s="343" t="n"/>
      <c r="N911" s="343" t="n"/>
      <c r="O911" s="343" t="n"/>
      <c r="P911" s="343" t="n"/>
      <c r="Q911" s="343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</row>
    <row r="912" ht="15.5" customHeight="1">
      <c r="B912" s="293" t="n">
        <v>45563</v>
      </c>
      <c r="C912" s="294" t="n">
        <v>199</v>
      </c>
      <c r="D912" s="295" t="inlineStr">
        <is>
          <t>Meals 20 Sept - 27 Sept 2024 7 days</t>
        </is>
      </c>
      <c r="E912" s="287" t="inlineStr">
        <is>
          <t>-</t>
        </is>
      </c>
      <c r="F912" s="296" t="n">
        <v>1050000</v>
      </c>
      <c r="G912" s="289" t="inlineStr">
        <is>
          <t>IDR</t>
        </is>
      </c>
      <c r="H912" s="297" t="n">
        <v>1</v>
      </c>
      <c r="I912" s="298" t="n"/>
      <c r="J912" s="298" t="n"/>
      <c r="K912" s="299" t="n"/>
      <c r="L912" s="300" t="n">
        <v>1050000</v>
      </c>
      <c r="M912" s="287" t="n"/>
      <c r="N912" s="287" t="n"/>
      <c r="O912" s="287" t="n"/>
      <c r="P912" s="287" t="n"/>
      <c r="Q912" s="28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</row>
    <row r="913">
      <c r="B913" s="343" t="n"/>
      <c r="C913" s="343" t="n"/>
      <c r="D913" s="317" t="inlineStr">
        <is>
          <t>Transportation</t>
        </is>
      </c>
      <c r="E913" s="343" t="n"/>
      <c r="F913" s="343" t="n"/>
      <c r="G913" s="343" t="n"/>
      <c r="H913" s="343" t="n"/>
      <c r="I913" s="343" t="n"/>
      <c r="J913" s="343" t="n"/>
      <c r="K913" s="343" t="n"/>
      <c r="L913" s="343" t="n"/>
      <c r="M913" s="343" t="n"/>
      <c r="N913" s="343" t="n"/>
      <c r="O913" s="343" t="n"/>
      <c r="P913" s="343" t="n"/>
      <c r="Q913" s="343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</row>
    <row r="914" ht="15.5" customHeight="1">
      <c r="B914" s="293" t="n">
        <v>45563</v>
      </c>
      <c r="C914" s="294" t="n">
        <v>200</v>
      </c>
      <c r="D914" s="295" t="inlineStr">
        <is>
          <t>Toll (Prabumulih-PLM)</t>
        </is>
      </c>
      <c r="E914" s="287" t="inlineStr">
        <is>
          <t>-</t>
        </is>
      </c>
      <c r="F914" s="296" t="n">
        <v>117000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 t="n">
        <v>117000</v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</row>
    <row r="915">
      <c r="B915" s="311" t="inlineStr">
        <is>
          <t>Expense#34</t>
        </is>
      </c>
      <c r="C915" s="310" t="inlineStr">
        <is>
          <t>:</t>
        </is>
      </c>
      <c r="D915" s="311" t="inlineStr">
        <is>
          <t>ALFA_JRK-095 well (PEPZ4-PEndopo field) SI jakarta _ AC</t>
        </is>
      </c>
      <c r="E915" s="312" t="n"/>
      <c r="F915" s="312" t="n"/>
      <c r="G915" s="312" t="n"/>
      <c r="H915" s="312" t="n"/>
      <c r="I915" s="312" t="n"/>
      <c r="J915" s="312" t="n"/>
      <c r="K915" s="312" t="n"/>
      <c r="L915" s="312" t="n"/>
      <c r="M915" s="312" t="n"/>
      <c r="N915" s="312" t="n"/>
      <c r="O915" s="312" t="n"/>
      <c r="P915" s="312" t="n"/>
      <c r="Q915" s="312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</row>
    <row r="916">
      <c r="B916" s="343" t="n"/>
      <c r="C916" s="343" t="n"/>
      <c r="D916" s="317" t="inlineStr">
        <is>
          <t>Allowance</t>
        </is>
      </c>
      <c r="E916" s="343" t="n"/>
      <c r="F916" s="343" t="n"/>
      <c r="G916" s="343" t="n"/>
      <c r="H916" s="343" t="n"/>
      <c r="I916" s="343" t="n"/>
      <c r="J916" s="343" t="n"/>
      <c r="K916" s="343" t="n"/>
      <c r="L916" s="343" t="n"/>
      <c r="M916" s="343" t="n"/>
      <c r="N916" s="343" t="n"/>
      <c r="O916" s="343" t="n"/>
      <c r="P916" s="343" t="n"/>
      <c r="Q916" s="343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</row>
    <row r="917" ht="15.5" customHeight="1">
      <c r="B917" s="293" t="n">
        <v>45565</v>
      </c>
      <c r="C917" s="294" t="n">
        <v>201</v>
      </c>
      <c r="D917" s="295" t="inlineStr">
        <is>
          <t>Tunjangan lapaangan for 8 days- (job at JRK-095)</t>
        </is>
      </c>
      <c r="E917" s="287" t="inlineStr">
        <is>
          <t>-</t>
        </is>
      </c>
      <c r="F917" s="296" t="n">
        <v>12160000</v>
      </c>
      <c r="G917" s="289" t="inlineStr">
        <is>
          <t>USD</t>
        </is>
      </c>
      <c r="H917" s="297" t="n">
        <v>15200</v>
      </c>
      <c r="I917" s="298" t="n"/>
      <c r="J917" s="298" t="n"/>
      <c r="K917" s="299" t="n"/>
      <c r="L917" s="300" t="n">
        <v>12160000</v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</row>
    <row r="918">
      <c r="B918" s="343" t="n"/>
      <c r="C918" s="343" t="n"/>
      <c r="D918" s="317" t="inlineStr">
        <is>
          <t>Laundry</t>
        </is>
      </c>
      <c r="E918" s="343" t="n"/>
      <c r="F918" s="343" t="n"/>
      <c r="G918" s="343" t="n"/>
      <c r="H918" s="343" t="n"/>
      <c r="I918" s="343" t="n"/>
      <c r="J918" s="343" t="n"/>
      <c r="K918" s="343" t="n"/>
      <c r="L918" s="343" t="n"/>
      <c r="M918" s="343" t="n"/>
      <c r="N918" s="343" t="n"/>
      <c r="O918" s="343" t="n"/>
      <c r="P918" s="343" t="n"/>
      <c r="Q918" s="343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</row>
    <row r="919" ht="15.5" customHeight="1">
      <c r="B919" s="293" t="n">
        <v>45564</v>
      </c>
      <c r="C919" s="294" t="n">
        <v>202</v>
      </c>
      <c r="D919" s="295" t="inlineStr">
        <is>
          <t>Laundry 8 days @ 50K IDR/day</t>
        </is>
      </c>
      <c r="E919" s="287" t="inlineStr">
        <is>
          <t>-</t>
        </is>
      </c>
      <c r="F919" s="296" t="n">
        <v>400000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 t="n">
        <v>400000</v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</row>
    <row r="920">
      <c r="B920" s="343" t="n"/>
      <c r="C920" s="343" t="n"/>
      <c r="D920" s="317" t="inlineStr">
        <is>
          <t>Meal</t>
        </is>
      </c>
      <c r="E920" s="343" t="n"/>
      <c r="F920" s="343" t="n"/>
      <c r="G920" s="343" t="n"/>
      <c r="H920" s="343" t="n"/>
      <c r="I920" s="343" t="n"/>
      <c r="J920" s="343" t="n"/>
      <c r="K920" s="343" t="n"/>
      <c r="L920" s="343" t="n"/>
      <c r="M920" s="343" t="n"/>
      <c r="N920" s="343" t="n"/>
      <c r="O920" s="343" t="n"/>
      <c r="P920" s="343" t="n"/>
      <c r="Q920" s="343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</row>
    <row r="921" ht="15.5" customHeight="1">
      <c r="B921" s="293" t="n">
        <v>45564</v>
      </c>
      <c r="C921" s="294" t="n">
        <v>203</v>
      </c>
      <c r="D921" s="295" t="inlineStr">
        <is>
          <t>Meals 8 days @ 150K IDR/day</t>
        </is>
      </c>
      <c r="E921" s="287" t="inlineStr">
        <is>
          <t>-</t>
        </is>
      </c>
      <c r="F921" s="296" t="n">
        <v>900000</v>
      </c>
      <c r="G921" s="289" t="inlineStr">
        <is>
          <t>IDR</t>
        </is>
      </c>
      <c r="H921" s="297" t="n">
        <v>1</v>
      </c>
      <c r="I921" s="298" t="n"/>
      <c r="J921" s="298" t="n"/>
      <c r="K921" s="299" t="n"/>
      <c r="L921" s="300" t="n">
        <v>900000</v>
      </c>
      <c r="M921" s="287" t="n"/>
      <c r="N921" s="287" t="n"/>
      <c r="O921" s="287" t="n"/>
      <c r="P921" s="287" t="n"/>
      <c r="Q921" s="287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</row>
    <row r="922">
      <c r="B922" s="343" t="n"/>
      <c r="C922" s="343" t="n"/>
      <c r="D922" s="317" t="inlineStr">
        <is>
          <t>Transportation</t>
        </is>
      </c>
      <c r="E922" s="343" t="n"/>
      <c r="F922" s="343" t="n"/>
      <c r="G922" s="343" t="n"/>
      <c r="H922" s="343" t="n"/>
      <c r="I922" s="343" t="n"/>
      <c r="J922" s="343" t="n"/>
      <c r="K922" s="343" t="n"/>
      <c r="L922" s="343" t="n"/>
      <c r="M922" s="343" t="n"/>
      <c r="N922" s="343" t="n"/>
      <c r="O922" s="343" t="n"/>
      <c r="P922" s="343" t="n"/>
      <c r="Q922" s="343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</row>
    <row r="923" ht="15.5" customHeight="1">
      <c r="B923" s="293" t="n">
        <v>45564</v>
      </c>
      <c r="C923" s="294" t="n">
        <v>204</v>
      </c>
      <c r="D923" s="295" t="inlineStr">
        <is>
          <t>Sewa mobil 8 hari (21/09/24 - 29/09/24)</t>
        </is>
      </c>
      <c r="E923" s="287" t="inlineStr">
        <is>
          <t>-</t>
        </is>
      </c>
      <c r="F923" s="296" t="n">
        <v>4000000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300" t="n">
        <v>4000000</v>
      </c>
      <c r="M923" s="287" t="n"/>
      <c r="N923" s="287" t="n"/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</row>
    <row r="924">
      <c r="B924" s="311" t="inlineStr">
        <is>
          <t>Expense#35</t>
        </is>
      </c>
      <c r="C924" s="310" t="inlineStr">
        <is>
          <t>:</t>
        </is>
      </c>
      <c r="D924" s="311" t="inlineStr">
        <is>
          <t>Trip to Cirebon Meeting MTD job X-ray field with PEP Zona 7 Region2_AC</t>
        </is>
      </c>
      <c r="E924" s="312" t="n"/>
      <c r="F924" s="312" t="n"/>
      <c r="G924" s="312" t="n"/>
      <c r="H924" s="312" t="n"/>
      <c r="I924" s="312" t="n"/>
      <c r="J924" s="312" t="n"/>
      <c r="K924" s="312" t="n"/>
      <c r="L924" s="312" t="n"/>
      <c r="M924" s="312" t="n"/>
      <c r="N924" s="312" t="n"/>
      <c r="O924" s="312" t="n"/>
      <c r="P924" s="312" t="n"/>
      <c r="Q924" s="312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</row>
    <row r="925">
      <c r="B925" s="343" t="n"/>
      <c r="C925" s="343" t="n"/>
      <c r="D925" s="317" t="inlineStr">
        <is>
          <t>Accommodation</t>
        </is>
      </c>
      <c r="E925" s="343" t="n"/>
      <c r="F925" s="343" t="n"/>
      <c r="G925" s="343" t="n"/>
      <c r="H925" s="343" t="n"/>
      <c r="I925" s="343" t="n"/>
      <c r="J925" s="343" t="n"/>
      <c r="K925" s="343" t="n"/>
      <c r="L925" s="343" t="n"/>
      <c r="M925" s="343" t="n"/>
      <c r="N925" s="343" t="n"/>
      <c r="O925" s="343" t="n"/>
      <c r="P925" s="343" t="n"/>
      <c r="Q925" s="343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</row>
    <row r="926" ht="15.5" customHeight="1">
      <c r="B926" s="293" t="n">
        <v>45552</v>
      </c>
      <c r="C926" s="294" t="n">
        <v>205</v>
      </c>
      <c r="D926" s="295" t="inlineStr">
        <is>
          <t>Hotel</t>
        </is>
      </c>
      <c r="E926" s="287" t="inlineStr">
        <is>
          <t>-</t>
        </is>
      </c>
      <c r="F926" s="296" t="n">
        <v>700000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300" t="n">
        <v>700000</v>
      </c>
      <c r="M926" s="287" t="n"/>
      <c r="N926" s="287" t="n"/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</row>
    <row r="927">
      <c r="B927" s="343" t="n"/>
      <c r="C927" s="343" t="n"/>
      <c r="D927" s="317" t="inlineStr">
        <is>
          <t>Laundry</t>
        </is>
      </c>
      <c r="E927" s="343" t="n"/>
      <c r="F927" s="343" t="n"/>
      <c r="G927" s="343" t="n"/>
      <c r="H927" s="343" t="n"/>
      <c r="I927" s="343" t="n"/>
      <c r="J927" s="343" t="n"/>
      <c r="K927" s="343" t="n"/>
      <c r="L927" s="343" t="n"/>
      <c r="M927" s="343" t="n"/>
      <c r="N927" s="343" t="n"/>
      <c r="O927" s="343" t="n"/>
      <c r="P927" s="343" t="n"/>
      <c r="Q927" s="343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</row>
    <row r="928" ht="15.5" customHeight="1">
      <c r="B928" s="293" t="n">
        <v>45553</v>
      </c>
      <c r="C928" s="294" t="n">
        <v>206</v>
      </c>
      <c r="D928" s="295" t="inlineStr">
        <is>
          <t>Loundry 2 days @Rp. 50.000</t>
        </is>
      </c>
      <c r="E928" s="287" t="inlineStr">
        <is>
          <t>-</t>
        </is>
      </c>
      <c r="F928" s="296" t="n">
        <v>100000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300" t="n">
        <v>100000</v>
      </c>
      <c r="M928" s="287" t="n"/>
      <c r="N928" s="287" t="n"/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</row>
    <row r="929">
      <c r="B929" s="343" t="n"/>
      <c r="C929" s="343" t="n"/>
      <c r="D929" s="317" t="inlineStr">
        <is>
          <t>Meal</t>
        </is>
      </c>
      <c r="E929" s="343" t="n"/>
      <c r="F929" s="343" t="n"/>
      <c r="G929" s="343" t="n"/>
      <c r="H929" s="343" t="n"/>
      <c r="I929" s="343" t="n"/>
      <c r="J929" s="343" t="n"/>
      <c r="K929" s="343" t="n"/>
      <c r="L929" s="343" t="n"/>
      <c r="M929" s="343" t="n"/>
      <c r="N929" s="343" t="n"/>
      <c r="O929" s="343" t="n"/>
      <c r="P929" s="343" t="n"/>
      <c r="Q929" s="343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</row>
    <row r="930" ht="15.5" customHeight="1">
      <c r="B930" s="293" t="n">
        <v>45553</v>
      </c>
      <c r="C930" s="294" t="n">
        <v>207</v>
      </c>
      <c r="D930" s="295" t="inlineStr">
        <is>
          <t>Uang makan utk 3 hari (17-18 Sept-24) @150.000</t>
        </is>
      </c>
      <c r="E930" s="287" t="inlineStr">
        <is>
          <t>-</t>
        </is>
      </c>
      <c r="F930" s="296" t="n">
        <v>300000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300" t="n">
        <v>300000</v>
      </c>
      <c r="M930" s="287" t="n"/>
      <c r="N930" s="287" t="n"/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</row>
    <row r="931">
      <c r="B931" s="343" t="n"/>
      <c r="C931" s="343" t="n"/>
      <c r="D931" s="317" t="inlineStr">
        <is>
          <t>Transportation</t>
        </is>
      </c>
      <c r="E931" s="343" t="n"/>
      <c r="F931" s="343" t="n"/>
      <c r="G931" s="343" t="n"/>
      <c r="H931" s="343" t="n"/>
      <c r="I931" s="343" t="n"/>
      <c r="J931" s="343" t="n"/>
      <c r="K931" s="343" t="n"/>
      <c r="L931" s="343" t="n"/>
      <c r="M931" s="343" t="n"/>
      <c r="N931" s="343" t="n"/>
      <c r="O931" s="343" t="n"/>
      <c r="P931" s="343" t="n"/>
      <c r="Q931" s="343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</row>
    <row r="932" ht="15.5" customHeight="1">
      <c r="B932" s="293" t="n">
        <v>45553</v>
      </c>
      <c r="C932" s="294" t="n">
        <v>208</v>
      </c>
      <c r="D932" s="295" t="inlineStr">
        <is>
          <t>Fuel</t>
        </is>
      </c>
      <c r="E932" s="287" t="inlineStr">
        <is>
          <t>-</t>
        </is>
      </c>
      <c r="F932" s="296" t="n">
        <v>222650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300" t="n">
        <v>222650</v>
      </c>
      <c r="M932" s="287" t="n"/>
      <c r="N932" s="287" t="n"/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</row>
    <row r="933">
      <c r="B933" s="311" t="inlineStr">
        <is>
          <t>Expense#36</t>
        </is>
      </c>
      <c r="C933" s="310" t="inlineStr">
        <is>
          <t>:</t>
        </is>
      </c>
      <c r="D933" s="311" t="inlineStr">
        <is>
          <t>Non project (follow up MCU concul &amp; inspection tool)_AC_ 2 nd</t>
        </is>
      </c>
      <c r="E933" s="312" t="n"/>
      <c r="F933" s="312" t="n"/>
      <c r="G933" s="312" t="n"/>
      <c r="H933" s="312" t="n"/>
      <c r="I933" s="312" t="n"/>
      <c r="J933" s="312" t="n"/>
      <c r="K933" s="312" t="n"/>
      <c r="L933" s="312" t="n"/>
      <c r="M933" s="312" t="n"/>
      <c r="N933" s="312" t="n"/>
      <c r="O933" s="312" t="n"/>
      <c r="P933" s="312" t="n"/>
      <c r="Q933" s="312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</row>
    <row r="934">
      <c r="B934" s="343" t="n"/>
      <c r="C934" s="343" t="n"/>
      <c r="D934" s="317" t="inlineStr">
        <is>
          <t>Biaya Operasi Lain-lain</t>
        </is>
      </c>
      <c r="E934" s="343" t="n"/>
      <c r="F934" s="343" t="n"/>
      <c r="G934" s="343" t="n"/>
      <c r="H934" s="343" t="n"/>
      <c r="I934" s="343" t="n"/>
      <c r="J934" s="343" t="n"/>
      <c r="K934" s="343" t="n"/>
      <c r="L934" s="343" t="n"/>
      <c r="M934" s="343" t="n"/>
      <c r="N934" s="343" t="n"/>
      <c r="O934" s="343" t="n"/>
      <c r="P934" s="343" t="n"/>
      <c r="Q934" s="343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</row>
    <row r="935" ht="15.5" customHeight="1">
      <c r="B935" s="293" t="n">
        <v>45530</v>
      </c>
      <c r="C935" s="294" t="n">
        <v>209</v>
      </c>
      <c r="D935" s="295" t="inlineStr">
        <is>
          <t>printing di snappy</t>
        </is>
      </c>
      <c r="E935" s="287" t="inlineStr">
        <is>
          <t>-</t>
        </is>
      </c>
      <c r="F935" s="296" t="n">
        <v>31000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300" t="n">
        <v>31000</v>
      </c>
      <c r="M935" s="287" t="n"/>
      <c r="N935" s="287" t="n"/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</row>
    <row r="936">
      <c r="B936" s="343" t="n"/>
      <c r="C936" s="343" t="n"/>
      <c r="D936" s="317" t="inlineStr">
        <is>
          <t>Medical</t>
        </is>
      </c>
      <c r="E936" s="343" t="n"/>
      <c r="F936" s="343" t="n"/>
      <c r="G936" s="343" t="n"/>
      <c r="H936" s="343" t="n"/>
      <c r="I936" s="343" t="n"/>
      <c r="J936" s="343" t="n"/>
      <c r="K936" s="343" t="n"/>
      <c r="L936" s="343" t="n"/>
      <c r="M936" s="343" t="n"/>
      <c r="N936" s="343" t="n"/>
      <c r="O936" s="343" t="n"/>
      <c r="P936" s="343" t="n"/>
      <c r="Q936" s="343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</row>
    <row r="937" ht="15.5" customHeight="1">
      <c r="B937" s="293" t="n">
        <v>45566</v>
      </c>
      <c r="C937" s="294" t="n">
        <v>210</v>
      </c>
      <c r="D937" s="295" t="inlineStr">
        <is>
          <t>Biaya Konsul ke 2, Dokter Jantung</t>
        </is>
      </c>
      <c r="E937" s="287" t="inlineStr">
        <is>
          <t>-</t>
        </is>
      </c>
      <c r="F937" s="296" t="n">
        <v>1370000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287" t="n"/>
      <c r="O937" s="287" t="n"/>
      <c r="P937" s="300" t="n">
        <v>1370000</v>
      </c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</row>
    <row r="938">
      <c r="B938" s="343" t="n"/>
      <c r="C938" s="343" t="n"/>
      <c r="D938" s="317" t="inlineStr">
        <is>
          <t>Transportation</t>
        </is>
      </c>
      <c r="E938" s="343" t="n"/>
      <c r="F938" s="343" t="n"/>
      <c r="G938" s="343" t="n"/>
      <c r="H938" s="343" t="n"/>
      <c r="I938" s="343" t="n"/>
      <c r="J938" s="343" t="n"/>
      <c r="K938" s="343" t="n"/>
      <c r="L938" s="343" t="n"/>
      <c r="M938" s="343" t="n"/>
      <c r="N938" s="343" t="n"/>
      <c r="O938" s="343" t="n"/>
      <c r="P938" s="343" t="n"/>
      <c r="Q938" s="343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</row>
    <row r="939" ht="15.5" customHeight="1">
      <c r="B939" s="293" t="n">
        <v>45537</v>
      </c>
      <c r="C939" s="294" t="n">
        <v>211</v>
      </c>
      <c r="D939" s="295" t="inlineStr">
        <is>
          <t>Pengiriman dokumen ke Rachmansyah-Sijak</t>
        </is>
      </c>
      <c r="E939" s="287" t="inlineStr">
        <is>
          <t>-</t>
        </is>
      </c>
      <c r="F939" s="296" t="n">
        <v>18000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300" t="n">
        <v>18000</v>
      </c>
      <c r="M939" s="287" t="n"/>
      <c r="N939" s="287" t="n"/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</row>
    <row r="940">
      <c r="B940" s="311" t="inlineStr">
        <is>
          <t>Expense#37</t>
        </is>
      </c>
      <c r="C940" s="310" t="inlineStr">
        <is>
          <t>:</t>
        </is>
      </c>
      <c r="D940" s="311" t="inlineStr">
        <is>
          <t>MTD SKW-26_sukowati_TMA</t>
        </is>
      </c>
      <c r="E940" s="312" t="n"/>
      <c r="F940" s="312" t="n"/>
      <c r="G940" s="312" t="n"/>
      <c r="H940" s="312" t="n"/>
      <c r="I940" s="312" t="n"/>
      <c r="J940" s="312" t="n"/>
      <c r="K940" s="312" t="n"/>
      <c r="L940" s="312" t="n"/>
      <c r="M940" s="312" t="n"/>
      <c r="N940" s="312" t="n"/>
      <c r="O940" s="312" t="n"/>
      <c r="P940" s="312" t="n"/>
      <c r="Q940" s="312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</row>
    <row r="941">
      <c r="B941" s="343" t="n"/>
      <c r="C941" s="343" t="n"/>
      <c r="D941" s="317" t="inlineStr">
        <is>
          <t>Accommodation</t>
        </is>
      </c>
      <c r="E941" s="343" t="n"/>
      <c r="F941" s="343" t="n"/>
      <c r="G941" s="343" t="n"/>
      <c r="H941" s="343" t="n"/>
      <c r="I941" s="343" t="n"/>
      <c r="J941" s="343" t="n"/>
      <c r="K941" s="343" t="n"/>
      <c r="L941" s="343" t="n"/>
      <c r="M941" s="343" t="n"/>
      <c r="N941" s="343" t="n"/>
      <c r="O941" s="343" t="n"/>
      <c r="P941" s="343" t="n"/>
      <c r="Q941" s="343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</row>
    <row r="942" ht="15.5" customHeight="1">
      <c r="B942" s="293" t="n">
        <v>45558</v>
      </c>
      <c r="C942" s="294" t="n">
        <v>212</v>
      </c>
      <c r="D942" s="295" t="inlineStr">
        <is>
          <t>Hotel 23 Sept - 26 Sept (3 days)</t>
        </is>
      </c>
      <c r="E942" s="287" t="inlineStr">
        <is>
          <t>-</t>
        </is>
      </c>
      <c r="F942" s="296" t="n">
        <v>1584184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300" t="n">
        <v>1584184</v>
      </c>
      <c r="M942" s="287" t="n"/>
      <c r="N942" s="287" t="n"/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</row>
    <row r="943">
      <c r="B943" s="343" t="n"/>
      <c r="C943" s="343" t="n"/>
      <c r="D943" s="317" t="inlineStr">
        <is>
          <t>Allowance</t>
        </is>
      </c>
      <c r="E943" s="343" t="n"/>
      <c r="F943" s="343" t="n"/>
      <c r="G943" s="343" t="n"/>
      <c r="H943" s="343" t="n"/>
      <c r="I943" s="343" t="n"/>
      <c r="J943" s="343" t="n"/>
      <c r="K943" s="343" t="n"/>
      <c r="L943" s="343" t="n"/>
      <c r="M943" s="343" t="n"/>
      <c r="N943" s="343" t="n"/>
      <c r="O943" s="343" t="n"/>
      <c r="P943" s="343" t="n"/>
      <c r="Q943" s="343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</row>
    <row r="944" ht="15.5" customHeight="1">
      <c r="B944" s="293" t="n">
        <v>45558</v>
      </c>
      <c r="C944" s="294" t="n">
        <v>213</v>
      </c>
      <c r="D944" s="295" t="inlineStr">
        <is>
          <t>Field Allowance</t>
        </is>
      </c>
      <c r="E944" s="287" t="inlineStr">
        <is>
          <t>-</t>
        </is>
      </c>
      <c r="F944" s="296" t="n">
        <v>7615500</v>
      </c>
      <c r="G944" s="289" t="inlineStr">
        <is>
          <t>USD</t>
        </is>
      </c>
      <c r="H944" s="297" t="n">
        <v>15231</v>
      </c>
      <c r="I944" s="298" t="n"/>
      <c r="J944" s="298" t="n"/>
      <c r="K944" s="299" t="n"/>
      <c r="L944" s="300" t="n">
        <v>7615500</v>
      </c>
      <c r="M944" s="287" t="n"/>
      <c r="N944" s="287" t="n"/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</row>
    <row r="945">
      <c r="B945" s="343" t="n"/>
      <c r="C945" s="343" t="n"/>
      <c r="D945" s="317" t="inlineStr">
        <is>
          <t>Laundry</t>
        </is>
      </c>
      <c r="E945" s="343" t="n"/>
      <c r="F945" s="343" t="n"/>
      <c r="G945" s="343" t="n"/>
      <c r="H945" s="343" t="n"/>
      <c r="I945" s="343" t="n"/>
      <c r="J945" s="343" t="n"/>
      <c r="K945" s="343" t="n"/>
      <c r="L945" s="343" t="n"/>
      <c r="M945" s="343" t="n"/>
      <c r="N945" s="343" t="n"/>
      <c r="O945" s="343" t="n"/>
      <c r="P945" s="343" t="n"/>
      <c r="Q945" s="343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</row>
    <row r="946" ht="15.5" customHeight="1">
      <c r="B946" s="293" t="n">
        <v>45558</v>
      </c>
      <c r="C946" s="294" t="n">
        <v>214</v>
      </c>
      <c r="D946" s="295" t="inlineStr">
        <is>
          <t>Laundry 6 days 1 Persons @ 50K IDR/day</t>
        </is>
      </c>
      <c r="E946" s="287" t="inlineStr">
        <is>
          <t>-</t>
        </is>
      </c>
      <c r="F946" s="296" t="n">
        <v>250000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300" t="n">
        <v>250000</v>
      </c>
      <c r="M946" s="287" t="n"/>
      <c r="N946" s="287" t="n"/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</row>
    <row r="947">
      <c r="B947" s="343" t="n"/>
      <c r="C947" s="343" t="n"/>
      <c r="D947" s="317" t="inlineStr">
        <is>
          <t>Meal</t>
        </is>
      </c>
      <c r="E947" s="343" t="n"/>
      <c r="F947" s="343" t="n"/>
      <c r="G947" s="343" t="n"/>
      <c r="H947" s="343" t="n"/>
      <c r="I947" s="343" t="n"/>
      <c r="J947" s="343" t="n"/>
      <c r="K947" s="343" t="n"/>
      <c r="L947" s="343" t="n"/>
      <c r="M947" s="343" t="n"/>
      <c r="N947" s="343" t="n"/>
      <c r="O947" s="343" t="n"/>
      <c r="P947" s="343" t="n"/>
      <c r="Q947" s="343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</row>
    <row r="948" ht="15.5" customHeight="1">
      <c r="B948" s="293" t="n">
        <v>45558</v>
      </c>
      <c r="C948" s="294" t="n">
        <v>215</v>
      </c>
      <c r="D948" s="295" t="inlineStr">
        <is>
          <t>Meals</t>
        </is>
      </c>
      <c r="E948" s="287" t="inlineStr">
        <is>
          <t>-</t>
        </is>
      </c>
      <c r="F948" s="296" t="n">
        <v>750000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300" t="n">
        <v>750000</v>
      </c>
      <c r="M948" s="287" t="n"/>
      <c r="N948" s="287" t="n"/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</row>
    <row r="949">
      <c r="B949" s="343" t="n"/>
      <c r="C949" s="343" t="n"/>
      <c r="D949" s="317" t="inlineStr">
        <is>
          <t>Transportation</t>
        </is>
      </c>
      <c r="E949" s="343" t="n"/>
      <c r="F949" s="343" t="n"/>
      <c r="G949" s="343" t="n"/>
      <c r="H949" s="343" t="n"/>
      <c r="I949" s="343" t="n"/>
      <c r="J949" s="343" t="n"/>
      <c r="K949" s="343" t="n"/>
      <c r="L949" s="343" t="n"/>
      <c r="M949" s="343" t="n"/>
      <c r="N949" s="343" t="n"/>
      <c r="O949" s="343" t="n"/>
      <c r="P949" s="343" t="n"/>
      <c r="Q949" s="343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</row>
    <row r="950" ht="15.5" customHeight="1">
      <c r="B950" s="293" t="n">
        <v>45558</v>
      </c>
      <c r="C950" s="294" t="n">
        <v>216</v>
      </c>
      <c r="D950" s="295" t="inlineStr">
        <is>
          <t>Lalamove Kalog-Gowell</t>
        </is>
      </c>
      <c r="E950" s="287" t="inlineStr">
        <is>
          <t>-</t>
        </is>
      </c>
      <c r="F950" s="296" t="n">
        <v>73584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300" t="n">
        <v>73584</v>
      </c>
      <c r="M950" s="287" t="n"/>
      <c r="N950" s="287" t="n"/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</row>
    <row r="951">
      <c r="B951" s="311" t="inlineStr">
        <is>
          <t>Expense#38</t>
        </is>
      </c>
      <c r="C951" s="310" t="inlineStr">
        <is>
          <t>:</t>
        </is>
      </c>
      <c r="D951" s="311" t="inlineStr">
        <is>
          <t>MTD_STM_HDP 01 s/d 03 well (BHI project ndr Gowell) Sumbawa</t>
        </is>
      </c>
      <c r="E951" s="312" t="n"/>
      <c r="F951" s="312" t="n"/>
      <c r="G951" s="312" t="n"/>
      <c r="H951" s="312" t="n"/>
      <c r="I951" s="312" t="n"/>
      <c r="J951" s="312" t="n"/>
      <c r="K951" s="312" t="n"/>
      <c r="L951" s="312" t="n"/>
      <c r="M951" s="312" t="n"/>
      <c r="N951" s="312" t="n"/>
      <c r="O951" s="312" t="n"/>
      <c r="P951" s="312" t="n"/>
      <c r="Q951" s="312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</row>
    <row r="952">
      <c r="B952" s="343" t="n"/>
      <c r="C952" s="343" t="n"/>
      <c r="D952" s="317" t="inlineStr">
        <is>
          <t>Allowance</t>
        </is>
      </c>
      <c r="E952" s="343" t="n"/>
      <c r="F952" s="343" t="n"/>
      <c r="G952" s="343" t="n"/>
      <c r="H952" s="343" t="n"/>
      <c r="I952" s="343" t="n"/>
      <c r="J952" s="343" t="n"/>
      <c r="K952" s="343" t="n"/>
      <c r="L952" s="343" t="n"/>
      <c r="M952" s="343" t="n"/>
      <c r="N952" s="343" t="n"/>
      <c r="O952" s="343" t="n"/>
      <c r="P952" s="343" t="n"/>
      <c r="Q952" s="343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</row>
    <row r="953" ht="15.5" customHeight="1">
      <c r="B953" s="293" t="n">
        <v>45585</v>
      </c>
      <c r="C953" s="294" t="n">
        <v>217</v>
      </c>
      <c r="D953" s="295" t="inlineStr">
        <is>
          <t>Field Allowance for 18 days</t>
        </is>
      </c>
      <c r="E953" s="287" t="inlineStr">
        <is>
          <t>-</t>
        </is>
      </c>
      <c r="F953" s="296" t="n">
        <v>28528200</v>
      </c>
      <c r="G953" s="289" t="inlineStr">
        <is>
          <t>USD</t>
        </is>
      </c>
      <c r="H953" s="297" t="n">
        <v>15849</v>
      </c>
      <c r="I953" s="298" t="n"/>
      <c r="J953" s="298" t="n"/>
      <c r="K953" s="299" t="n"/>
      <c r="L953" s="300" t="n">
        <v>28528200</v>
      </c>
      <c r="M953" s="287" t="n"/>
      <c r="N953" s="287" t="n"/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</row>
    <row r="954">
      <c r="B954" s="343" t="n"/>
      <c r="C954" s="343" t="n"/>
      <c r="D954" s="317" t="inlineStr">
        <is>
          <t>Laundry</t>
        </is>
      </c>
      <c r="E954" s="343" t="n"/>
      <c r="F954" s="343" t="n"/>
      <c r="G954" s="343" t="n"/>
      <c r="H954" s="343" t="n"/>
      <c r="I954" s="343" t="n"/>
      <c r="J954" s="343" t="n"/>
      <c r="K954" s="343" t="n"/>
      <c r="L954" s="343" t="n"/>
      <c r="M954" s="343" t="n"/>
      <c r="N954" s="343" t="n"/>
      <c r="O954" s="343" t="n"/>
      <c r="P954" s="343" t="n"/>
      <c r="Q954" s="343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</row>
    <row r="955" ht="15.5" customHeight="1">
      <c r="B955" s="293" t="n">
        <v>45585</v>
      </c>
      <c r="C955" s="294" t="n">
        <v>218</v>
      </c>
      <c r="D955" s="295" t="inlineStr">
        <is>
          <t>Laundry 18 days @ 50K IDR/day</t>
        </is>
      </c>
      <c r="E955" s="287" t="inlineStr">
        <is>
          <t>-</t>
        </is>
      </c>
      <c r="F955" s="296" t="n">
        <v>900000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300" t="n">
        <v>900000</v>
      </c>
      <c r="M955" s="287" t="n"/>
      <c r="N955" s="287" t="n"/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</row>
    <row r="956">
      <c r="B956" s="343" t="n"/>
      <c r="C956" s="343" t="n"/>
      <c r="D956" s="317" t="inlineStr">
        <is>
          <t>Meal</t>
        </is>
      </c>
      <c r="E956" s="343" t="n"/>
      <c r="F956" s="343" t="n"/>
      <c r="G956" s="343" t="n"/>
      <c r="H956" s="343" t="n"/>
      <c r="I956" s="343" t="n"/>
      <c r="J956" s="343" t="n"/>
      <c r="K956" s="343" t="n"/>
      <c r="L956" s="343" t="n"/>
      <c r="M956" s="343" t="n"/>
      <c r="N956" s="343" t="n"/>
      <c r="O956" s="343" t="n"/>
      <c r="P956" s="343" t="n"/>
      <c r="Q956" s="343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</row>
    <row r="957" ht="15.5" customHeight="1">
      <c r="B957" s="293" t="n">
        <v>45585</v>
      </c>
      <c r="C957" s="294" t="n">
        <v>219</v>
      </c>
      <c r="D957" s="295" t="inlineStr">
        <is>
          <t>Meal 18 days @ 150K IDR/day</t>
        </is>
      </c>
      <c r="E957" s="287" t="inlineStr">
        <is>
          <t>-</t>
        </is>
      </c>
      <c r="F957" s="296" t="n">
        <v>2700000</v>
      </c>
      <c r="G957" s="289" t="inlineStr">
        <is>
          <t>IDR</t>
        </is>
      </c>
      <c r="H957" s="297" t="n">
        <v>1</v>
      </c>
      <c r="I957" s="298" t="n"/>
      <c r="J957" s="298" t="n"/>
      <c r="K957" s="299" t="n"/>
      <c r="L957" s="300" t="n">
        <v>2700000</v>
      </c>
      <c r="M957" s="287" t="n"/>
      <c r="N957" s="287" t="n"/>
      <c r="O957" s="287" t="n"/>
      <c r="P957" s="287" t="n"/>
      <c r="Q957" s="28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</row>
    <row r="958">
      <c r="B958" s="343" t="n"/>
      <c r="C958" s="343" t="n"/>
      <c r="D958" s="317" t="inlineStr">
        <is>
          <t>Transportation</t>
        </is>
      </c>
      <c r="E958" s="343" t="n"/>
      <c r="F958" s="343" t="n"/>
      <c r="G958" s="343" t="n"/>
      <c r="H958" s="343" t="n"/>
      <c r="I958" s="343" t="n"/>
      <c r="J958" s="343" t="n"/>
      <c r="K958" s="343" t="n"/>
      <c r="L958" s="343" t="n"/>
      <c r="M958" s="343" t="n"/>
      <c r="N958" s="343" t="n"/>
      <c r="O958" s="343" t="n"/>
      <c r="P958" s="343" t="n"/>
      <c r="Q958" s="343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</row>
    <row r="959" ht="15.5" customHeight="1">
      <c r="B959" s="293" t="n">
        <v>45585</v>
      </c>
      <c r="C959" s="294" t="n">
        <v>220</v>
      </c>
      <c r="D959" s="295" t="inlineStr">
        <is>
          <t>Taxi Anevril CGK Airport - Home</t>
        </is>
      </c>
      <c r="E959" s="287" t="inlineStr">
        <is>
          <t>-</t>
        </is>
      </c>
      <c r="F959" s="296" t="n">
        <v>250000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300" t="n">
        <v>250000</v>
      </c>
      <c r="M959" s="287" t="n"/>
      <c r="N959" s="287" t="n"/>
      <c r="O959" s="287" t="n"/>
      <c r="P959" s="287" t="n"/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</row>
    <row r="960">
      <c r="B960" s="311" t="inlineStr">
        <is>
          <t>Expense#39</t>
        </is>
      </c>
      <c r="C960" s="310" t="inlineStr">
        <is>
          <t>:</t>
        </is>
      </c>
      <c r="D960" s="311" t="inlineStr">
        <is>
          <t>Training Basic Sea Survival_IBR</t>
        </is>
      </c>
      <c r="E960" s="312" t="n"/>
      <c r="F960" s="312" t="n"/>
      <c r="G960" s="312" t="n"/>
      <c r="H960" s="312" t="n"/>
      <c r="I960" s="312" t="n"/>
      <c r="J960" s="312" t="n"/>
      <c r="K960" s="312" t="n"/>
      <c r="L960" s="312" t="n"/>
      <c r="M960" s="312" t="n"/>
      <c r="N960" s="312" t="n"/>
      <c r="O960" s="312" t="n"/>
      <c r="P960" s="312" t="n"/>
      <c r="Q960" s="312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</row>
    <row r="961">
      <c r="B961" s="343" t="n"/>
      <c r="C961" s="343" t="n"/>
      <c r="D961" s="317" t="inlineStr">
        <is>
          <t>Training</t>
        </is>
      </c>
      <c r="E961" s="343" t="n"/>
      <c r="F961" s="343" t="n"/>
      <c r="G961" s="343" t="n"/>
      <c r="H961" s="343" t="n"/>
      <c r="I961" s="343" t="n"/>
      <c r="J961" s="343" t="n"/>
      <c r="K961" s="343" t="n"/>
      <c r="L961" s="343" t="n"/>
      <c r="M961" s="343" t="n"/>
      <c r="N961" s="343" t="n"/>
      <c r="O961" s="343" t="n"/>
      <c r="P961" s="343" t="n"/>
      <c r="Q961" s="343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</row>
    <row r="962" ht="15.5" customHeight="1">
      <c r="B962" s="293" t="n">
        <v>45622</v>
      </c>
      <c r="C962" s="294" t="n">
        <v>221</v>
      </c>
      <c r="D962" s="295" t="inlineStr">
        <is>
          <t>Basic Sea Survival</t>
        </is>
      </c>
      <c r="E962" s="287" t="inlineStr">
        <is>
          <t>-</t>
        </is>
      </c>
      <c r="F962" s="296" t="n">
        <v>2700000</v>
      </c>
      <c r="G962" s="289" t="inlineStr">
        <is>
          <t>IDR</t>
        </is>
      </c>
      <c r="H962" s="297" t="n">
        <v>1</v>
      </c>
      <c r="I962" s="298" t="n"/>
      <c r="J962" s="298" t="n"/>
      <c r="K962" s="299" t="n"/>
      <c r="L962" s="300" t="n">
        <v>2700000</v>
      </c>
      <c r="M962" s="287" t="n"/>
      <c r="N962" s="287" t="n"/>
      <c r="O962" s="287" t="n"/>
      <c r="P962" s="287" t="n"/>
      <c r="Q962" s="287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</row>
    <row r="963">
      <c r="B963" s="343" t="n"/>
      <c r="C963" s="343" t="n"/>
      <c r="D963" s="317" t="inlineStr">
        <is>
          <t>Transportation</t>
        </is>
      </c>
      <c r="E963" s="343" t="n"/>
      <c r="F963" s="343" t="n"/>
      <c r="G963" s="343" t="n"/>
      <c r="H963" s="343" t="n"/>
      <c r="I963" s="343" t="n"/>
      <c r="J963" s="343" t="n"/>
      <c r="K963" s="343" t="n"/>
      <c r="L963" s="343" t="n"/>
      <c r="M963" s="343" t="n"/>
      <c r="N963" s="343" t="n"/>
      <c r="O963" s="343" t="n"/>
      <c r="P963" s="343" t="n"/>
      <c r="Q963" s="343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</row>
    <row r="964" ht="15.5" customHeight="1">
      <c r="B964" s="293" t="n">
        <v>45622</v>
      </c>
      <c r="C964" s="294" t="n">
        <v>222</v>
      </c>
      <c r="D964" s="295" t="inlineStr">
        <is>
          <t>KRL ( Duku Atas - Sudimara )</t>
        </is>
      </c>
      <c r="E964" s="287" t="inlineStr">
        <is>
          <t>-</t>
        </is>
      </c>
      <c r="F964" s="296" t="n">
        <v>3000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 t="n">
        <v>3000</v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</row>
    <row r="965">
      <c r="B965" s="311" t="inlineStr">
        <is>
          <t>Expense#40</t>
        </is>
      </c>
      <c r="C965" s="310" t="inlineStr">
        <is>
          <t>:</t>
        </is>
      </c>
      <c r="D965" s="311" t="inlineStr">
        <is>
          <t>Non trip 1st - project _ Pety cash 1st - YY</t>
        </is>
      </c>
      <c r="E965" s="312" t="n"/>
      <c r="F965" s="312" t="n"/>
      <c r="G965" s="312" t="n"/>
      <c r="H965" s="312" t="n"/>
      <c r="I965" s="312" t="n"/>
      <c r="J965" s="312" t="n"/>
      <c r="K965" s="312" t="n"/>
      <c r="L965" s="312" t="n"/>
      <c r="M965" s="312" t="n"/>
      <c r="N965" s="312" t="n"/>
      <c r="O965" s="312" t="n"/>
      <c r="P965" s="312" t="n"/>
      <c r="Q965" s="312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</row>
    <row r="966">
      <c r="B966" s="343" t="n"/>
      <c r="C966" s="343" t="n"/>
      <c r="D966" s="317" t="inlineStr">
        <is>
          <t>ATK &amp; Dokumentasi</t>
        </is>
      </c>
      <c r="E966" s="343" t="n"/>
      <c r="F966" s="343" t="n"/>
      <c r="G966" s="343" t="n"/>
      <c r="H966" s="343" t="n"/>
      <c r="I966" s="343" t="n"/>
      <c r="J966" s="343" t="n"/>
      <c r="K966" s="343" t="n"/>
      <c r="L966" s="343" t="n"/>
      <c r="M966" s="343" t="n"/>
      <c r="N966" s="343" t="n"/>
      <c r="O966" s="343" t="n"/>
      <c r="P966" s="343" t="n"/>
      <c r="Q966" s="343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</row>
    <row r="967" ht="15.5" customHeight="1">
      <c r="B967" s="293" t="n">
        <v>45617</v>
      </c>
      <c r="C967" s="294" t="n">
        <v>223</v>
      </c>
      <c r="D967" s="295" t="inlineStr">
        <is>
          <t>Materai 10 pcs</t>
        </is>
      </c>
      <c r="E967" s="287" t="inlineStr">
        <is>
          <t>-</t>
        </is>
      </c>
      <c r="F967" s="296" t="n">
        <v>103000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287" t="n"/>
      <c r="M967" s="300" t="n">
        <v>103000</v>
      </c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</row>
    <row r="968">
      <c r="B968" s="343" t="n"/>
      <c r="C968" s="343" t="n"/>
      <c r="D968" s="317" t="inlineStr">
        <is>
          <t>IT Services</t>
        </is>
      </c>
      <c r="E968" s="343" t="n"/>
      <c r="F968" s="343" t="n"/>
      <c r="G968" s="343" t="n"/>
      <c r="H968" s="343" t="n"/>
      <c r="I968" s="343" t="n"/>
      <c r="J968" s="343" t="n"/>
      <c r="K968" s="343" t="n"/>
      <c r="L968" s="343" t="n"/>
      <c r="M968" s="343" t="n"/>
      <c r="N968" s="343" t="n"/>
      <c r="O968" s="343" t="n"/>
      <c r="P968" s="343" t="n"/>
      <c r="Q968" s="343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</row>
    <row r="969" ht="15.5" customHeight="1">
      <c r="B969" s="293" t="n">
        <v>45121</v>
      </c>
      <c r="C969" s="294" t="n">
        <v>224</v>
      </c>
      <c r="D969" s="295" t="inlineStr">
        <is>
          <t>Anvelope, Plastic map</t>
        </is>
      </c>
      <c r="E969" s="287" t="inlineStr">
        <is>
          <t>-</t>
        </is>
      </c>
      <c r="F969" s="296" t="n">
        <v>12000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287" t="n"/>
      <c r="M969" s="300" t="n">
        <v>12000</v>
      </c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</row>
    <row r="970">
      <c r="B970" s="343" t="n"/>
      <c r="C970" s="343" t="n"/>
      <c r="D970" s="317" t="inlineStr">
        <is>
          <t>Transportation</t>
        </is>
      </c>
      <c r="E970" s="343" t="n"/>
      <c r="F970" s="343" t="n"/>
      <c r="G970" s="343" t="n"/>
      <c r="H970" s="343" t="n"/>
      <c r="I970" s="343" t="n"/>
      <c r="J970" s="343" t="n"/>
      <c r="K970" s="343" t="n"/>
      <c r="L970" s="343" t="n"/>
      <c r="M970" s="343" t="n"/>
      <c r="N970" s="343" t="n"/>
      <c r="O970" s="343" t="n"/>
      <c r="P970" s="343" t="n"/>
      <c r="Q970" s="343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</row>
    <row r="971" ht="15.5" customHeight="1">
      <c r="B971" s="293" t="n">
        <v>45636</v>
      </c>
      <c r="C971" s="294" t="n">
        <v>225</v>
      </c>
      <c r="D971" s="295" t="inlineStr">
        <is>
          <t>Tol &amp; parking fee</t>
        </is>
      </c>
      <c r="E971" s="287" t="inlineStr">
        <is>
          <t>-</t>
        </is>
      </c>
      <c r="F971" s="296" t="n">
        <v>48500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 t="n">
        <v>48500</v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</row>
    <row r="972">
      <c r="B972" s="311" t="inlineStr">
        <is>
          <t>Expense#41</t>
        </is>
      </c>
      <c r="C972" s="310" t="inlineStr">
        <is>
          <t>:</t>
        </is>
      </c>
      <c r="D972" s="311" t="inlineStr">
        <is>
          <t>Starlink Kit_DS</t>
        </is>
      </c>
      <c r="E972" s="312" t="n"/>
      <c r="F972" s="312" t="n"/>
      <c r="G972" s="312" t="n"/>
      <c r="H972" s="312" t="n"/>
      <c r="I972" s="312" t="n"/>
      <c r="J972" s="312" t="n"/>
      <c r="K972" s="312" t="n"/>
      <c r="L972" s="312" t="n"/>
      <c r="M972" s="312" t="n"/>
      <c r="N972" s="312" t="n"/>
      <c r="O972" s="312" t="n"/>
      <c r="P972" s="312" t="n"/>
      <c r="Q972" s="312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</row>
    <row r="973">
      <c r="B973" s="343" t="n"/>
      <c r="C973" s="343" t="n"/>
      <c r="D973" s="317" t="inlineStr">
        <is>
          <t>Elektronik &amp; Gadget</t>
        </is>
      </c>
      <c r="E973" s="343" t="n"/>
      <c r="F973" s="343" t="n"/>
      <c r="G973" s="343" t="n"/>
      <c r="H973" s="343" t="n"/>
      <c r="I973" s="343" t="n"/>
      <c r="J973" s="343" t="n"/>
      <c r="K973" s="343" t="n"/>
      <c r="L973" s="343" t="n"/>
      <c r="M973" s="343" t="n"/>
      <c r="N973" s="343" t="n"/>
      <c r="O973" s="343" t="n"/>
      <c r="P973" s="343" t="n"/>
      <c r="Q973" s="343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</row>
    <row r="974" ht="15.5" customHeight="1">
      <c r="B974" s="293" t="n">
        <v>45607</v>
      </c>
      <c r="C974" s="294" t="n">
        <v>226</v>
      </c>
      <c r="D974" s="295" t="inlineStr">
        <is>
          <t>Starlink Kit</t>
        </is>
      </c>
      <c r="E974" s="287" t="inlineStr">
        <is>
          <t>-</t>
        </is>
      </c>
      <c r="F974" s="296" t="n">
        <v>5583200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287" t="n"/>
      <c r="M974" s="287" t="n"/>
      <c r="N974" s="300" t="n">
        <v>5583200</v>
      </c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</row>
    <row r="975">
      <c r="B975" s="311" t="inlineStr">
        <is>
          <t>Expense#42</t>
        </is>
      </c>
      <c r="C975" s="310" t="inlineStr">
        <is>
          <t>:</t>
        </is>
      </c>
      <c r="D975" s="311" t="inlineStr">
        <is>
          <t>Pelican Case 1650 TMA</t>
        </is>
      </c>
      <c r="E975" s="312" t="n"/>
      <c r="F975" s="312" t="n"/>
      <c r="G975" s="312" t="n"/>
      <c r="H975" s="312" t="n"/>
      <c r="I975" s="312" t="n"/>
      <c r="J975" s="312" t="n"/>
      <c r="K975" s="312" t="n"/>
      <c r="L975" s="312" t="n"/>
      <c r="M975" s="312" t="n"/>
      <c r="N975" s="312" t="n"/>
      <c r="O975" s="312" t="n"/>
      <c r="P975" s="312" t="n"/>
      <c r="Q975" s="312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</row>
    <row r="976">
      <c r="B976" s="343" t="n"/>
      <c r="C976" s="343" t="n"/>
      <c r="D976" s="317" t="inlineStr">
        <is>
          <t>Sparepart</t>
        </is>
      </c>
      <c r="E976" s="343" t="n"/>
      <c r="F976" s="343" t="n"/>
      <c r="G976" s="343" t="n"/>
      <c r="H976" s="343" t="n"/>
      <c r="I976" s="343" t="n"/>
      <c r="J976" s="343" t="n"/>
      <c r="K976" s="343" t="n"/>
      <c r="L976" s="343" t="n"/>
      <c r="M976" s="343" t="n"/>
      <c r="N976" s="343" t="n"/>
      <c r="O976" s="343" t="n"/>
      <c r="P976" s="343" t="n"/>
      <c r="Q976" s="343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</row>
    <row r="977" ht="15.5" customHeight="1">
      <c r="B977" s="293" t="n">
        <v>45640</v>
      </c>
      <c r="C977" s="294" t="n">
        <v>227</v>
      </c>
      <c r="D977" s="295" t="inlineStr">
        <is>
          <t>Pelican Case 1650</t>
        </is>
      </c>
      <c r="E977" s="287" t="inlineStr">
        <is>
          <t>-</t>
        </is>
      </c>
      <c r="F977" s="296" t="n">
        <v>8156000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287" t="n"/>
      <c r="M977" s="287" t="n"/>
      <c r="N977" s="300" t="n">
        <v>8156000</v>
      </c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</row>
    <row r="978">
      <c r="B978" s="311" t="inlineStr">
        <is>
          <t>Expense#43</t>
        </is>
      </c>
      <c r="C978" s="310" t="inlineStr">
        <is>
          <t>:</t>
        </is>
      </c>
      <c r="D978" s="311" t="inlineStr">
        <is>
          <t>Non trip 3rd (follow up MCU concul &amp; visit KPP and Graha Elnusa)_AC</t>
        </is>
      </c>
      <c r="E978" s="312" t="n"/>
      <c r="F978" s="312" t="n"/>
      <c r="G978" s="312" t="n"/>
      <c r="H978" s="312" t="n"/>
      <c r="I978" s="312" t="n"/>
      <c r="J978" s="312" t="n"/>
      <c r="K978" s="312" t="n"/>
      <c r="L978" s="312" t="n"/>
      <c r="M978" s="312" t="n"/>
      <c r="N978" s="312" t="n"/>
      <c r="O978" s="312" t="n"/>
      <c r="P978" s="312" t="n"/>
      <c r="Q978" s="312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</row>
    <row r="979">
      <c r="B979" s="343" t="n"/>
      <c r="C979" s="343" t="n"/>
      <c r="D979" s="317" t="inlineStr">
        <is>
          <t>Medical</t>
        </is>
      </c>
      <c r="E979" s="343" t="n"/>
      <c r="F979" s="343" t="n"/>
      <c r="G979" s="343" t="n"/>
      <c r="H979" s="343" t="n"/>
      <c r="I979" s="343" t="n"/>
      <c r="J979" s="343" t="n"/>
      <c r="K979" s="343" t="n"/>
      <c r="L979" s="343" t="n"/>
      <c r="M979" s="343" t="n"/>
      <c r="N979" s="343" t="n"/>
      <c r="O979" s="343" t="n"/>
      <c r="P979" s="343" t="n"/>
      <c r="Q979" s="343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</row>
    <row r="980" ht="15.5" customHeight="1">
      <c r="B980" s="293" t="n">
        <v>45637</v>
      </c>
      <c r="C980" s="294" t="n">
        <v>228</v>
      </c>
      <c r="D980" s="295" t="inlineStr">
        <is>
          <t>Medicine after konsul jantung 3rd</t>
        </is>
      </c>
      <c r="E980" s="287" t="inlineStr">
        <is>
          <t>-</t>
        </is>
      </c>
      <c r="F980" s="296" t="n">
        <v>417600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287" t="n"/>
      <c r="M980" s="287" t="n"/>
      <c r="N980" s="287" t="n"/>
      <c r="O980" s="287" t="n"/>
      <c r="P980" s="300" t="n">
        <v>417600</v>
      </c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</row>
    <row r="981">
      <c r="B981" s="343" t="n"/>
      <c r="C981" s="343" t="n"/>
      <c r="D981" s="317" t="inlineStr">
        <is>
          <t>Transportation</t>
        </is>
      </c>
      <c r="E981" s="343" t="n"/>
      <c r="F981" s="343" t="n"/>
      <c r="G981" s="343" t="n"/>
      <c r="H981" s="343" t="n"/>
      <c r="I981" s="343" t="n"/>
      <c r="J981" s="343" t="n"/>
      <c r="K981" s="343" t="n"/>
      <c r="L981" s="343" t="n"/>
      <c r="M981" s="343" t="n"/>
      <c r="N981" s="343" t="n"/>
      <c r="O981" s="343" t="n"/>
      <c r="P981" s="343" t="n"/>
      <c r="Q981" s="343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</row>
    <row r="982" ht="15.5" customHeight="1">
      <c r="B982" s="293" t="n">
        <v>45636</v>
      </c>
      <c r="C982" s="294" t="n">
        <v>229</v>
      </c>
      <c r="D982" s="295" t="inlineStr">
        <is>
          <t>Parkir Graha Elnusa (antar dokemen invoice)</t>
        </is>
      </c>
      <c r="E982" s="287" t="inlineStr">
        <is>
          <t>-</t>
        </is>
      </c>
      <c r="F982" s="296" t="n">
        <v>17000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 t="n">
        <v>17000</v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</row>
    <row r="983">
      <c r="B983" s="311" t="inlineStr">
        <is>
          <t>Expense#44</t>
        </is>
      </c>
      <c r="C983" s="310" t="inlineStr">
        <is>
          <t>:</t>
        </is>
      </c>
      <c r="D983" s="311" t="inlineStr">
        <is>
          <t>Meeting presentasi With Elnusa - Bandung &amp;Pembelian Sparepart dari Pei-Genesis.</t>
        </is>
      </c>
      <c r="E983" s="312" t="n"/>
      <c r="F983" s="312" t="n"/>
      <c r="G983" s="312" t="n"/>
      <c r="H983" s="312" t="n"/>
      <c r="I983" s="312" t="n"/>
      <c r="J983" s="312" t="n"/>
      <c r="K983" s="312" t="n"/>
      <c r="L983" s="312" t="n"/>
      <c r="M983" s="312" t="n"/>
      <c r="N983" s="312" t="n"/>
      <c r="O983" s="312" t="n"/>
      <c r="P983" s="312" t="n"/>
      <c r="Q983" s="312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</row>
    <row r="984">
      <c r="B984" s="343" t="n"/>
      <c r="C984" s="343" t="n"/>
      <c r="D984" s="317" t="inlineStr">
        <is>
          <t>Biaya Operasi Lain-lain</t>
        </is>
      </c>
      <c r="E984" s="343" t="n"/>
      <c r="F984" s="343" t="n"/>
      <c r="G984" s="343" t="n"/>
      <c r="H984" s="343" t="n"/>
      <c r="I984" s="343" t="n"/>
      <c r="J984" s="343" t="n"/>
      <c r="K984" s="343" t="n"/>
      <c r="L984" s="343" t="n"/>
      <c r="M984" s="343" t="n"/>
      <c r="N984" s="343" t="n"/>
      <c r="O984" s="343" t="n"/>
      <c r="P984" s="343" t="n"/>
      <c r="Q984" s="343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</row>
    <row r="985" ht="15.5" customHeight="1">
      <c r="B985" s="293" t="n">
        <v>45647</v>
      </c>
      <c r="C985" s="294" t="n">
        <v>230</v>
      </c>
      <c r="D985" s="295" t="inlineStr">
        <is>
          <t>Traveling Bandung - Jakarta</t>
        </is>
      </c>
      <c r="E985" s="287" t="inlineStr">
        <is>
          <t>-</t>
        </is>
      </c>
      <c r="F985" s="296" t="n">
        <v>160000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 t="n">
        <v>160000</v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</row>
    <row r="986">
      <c r="B986" s="343" t="n"/>
      <c r="C986" s="343" t="n"/>
      <c r="D986" s="317" t="inlineStr">
        <is>
          <t>IT Services</t>
        </is>
      </c>
      <c r="E986" s="343" t="n"/>
      <c r="F986" s="343" t="n"/>
      <c r="G986" s="343" t="n"/>
      <c r="H986" s="343" t="n"/>
      <c r="I986" s="343" t="n"/>
      <c r="J986" s="343" t="n"/>
      <c r="K986" s="343" t="n"/>
      <c r="L986" s="343" t="n"/>
      <c r="M986" s="343" t="n"/>
      <c r="N986" s="343" t="n"/>
      <c r="O986" s="343" t="n"/>
      <c r="P986" s="343" t="n"/>
      <c r="Q986" s="343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</row>
    <row r="987" ht="15.5" customHeight="1">
      <c r="B987" s="293" t="n">
        <v>45650</v>
      </c>
      <c r="C987" s="294" t="n">
        <v>231</v>
      </c>
      <c r="D987" s="295" t="inlineStr">
        <is>
          <t>payment for hotel Grand Dafam and</t>
        </is>
      </c>
      <c r="E987" s="287" t="inlineStr">
        <is>
          <t>-</t>
        </is>
      </c>
      <c r="F987" s="296" t="n">
        <v>4913283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287" t="n"/>
      <c r="M987" s="300" t="n">
        <v>4913283</v>
      </c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</row>
    <row r="988">
      <c r="B988" s="343" t="n"/>
      <c r="C988" s="343" t="n"/>
      <c r="D988" s="317" t="inlineStr">
        <is>
          <t>Meal</t>
        </is>
      </c>
      <c r="E988" s="343" t="n"/>
      <c r="F988" s="343" t="n"/>
      <c r="G988" s="343" t="n"/>
      <c r="H988" s="343" t="n"/>
      <c r="I988" s="343" t="n"/>
      <c r="J988" s="343" t="n"/>
      <c r="K988" s="343" t="n"/>
      <c r="L988" s="343" t="n"/>
      <c r="M988" s="343" t="n"/>
      <c r="N988" s="343" t="n"/>
      <c r="O988" s="343" t="n"/>
      <c r="P988" s="343" t="n"/>
      <c r="Q988" s="343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</row>
    <row r="989" ht="15.5" customHeight="1">
      <c r="B989" s="293" t="n">
        <v>45647</v>
      </c>
      <c r="C989" s="294" t="n">
        <v>232</v>
      </c>
      <c r="D989" s="295" t="inlineStr">
        <is>
          <t>Meal</t>
        </is>
      </c>
      <c r="E989" s="287" t="inlineStr">
        <is>
          <t>-</t>
        </is>
      </c>
      <c r="F989" s="296" t="n">
        <v>299900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 t="n">
        <v>299900</v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</row>
    <row r="990">
      <c r="B990" s="343" t="n"/>
      <c r="C990" s="343" t="n"/>
      <c r="D990" s="317" t="inlineStr">
        <is>
          <t>Transportation</t>
        </is>
      </c>
      <c r="E990" s="343" t="n"/>
      <c r="F990" s="343" t="n"/>
      <c r="G990" s="343" t="n"/>
      <c r="H990" s="343" t="n"/>
      <c r="I990" s="343" t="n"/>
      <c r="J990" s="343" t="n"/>
      <c r="K990" s="343" t="n"/>
      <c r="L990" s="343" t="n"/>
      <c r="M990" s="343" t="n"/>
      <c r="N990" s="343" t="n"/>
      <c r="O990" s="343" t="n"/>
      <c r="P990" s="343" t="n"/>
      <c r="Q990" s="343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</row>
    <row r="991" ht="15.5" customHeight="1">
      <c r="B991" s="293" t="n">
        <v>45647</v>
      </c>
      <c r="C991" s="294" t="n">
        <v>233</v>
      </c>
      <c r="D991" s="295" t="inlineStr">
        <is>
          <t>Taksi around the Bandung city for 2 days</t>
        </is>
      </c>
      <c r="E991" s="287" t="inlineStr">
        <is>
          <t>-</t>
        </is>
      </c>
      <c r="F991" s="296" t="n">
        <v>200000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 t="n">
        <v>200000</v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</row>
    <row r="992">
      <c r="B992" s="311" t="inlineStr">
        <is>
          <t>Expense#45</t>
        </is>
      </c>
      <c r="C992" s="310" t="inlineStr">
        <is>
          <t>:</t>
        </is>
      </c>
      <c r="D992" s="311" t="inlineStr">
        <is>
          <t>General Operation_Year 2024 - AM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</row>
    <row r="993">
      <c r="B993" s="343" t="n"/>
      <c r="C993" s="343" t="n"/>
      <c r="D993" s="317" t="inlineStr">
        <is>
          <t>Accommodation</t>
        </is>
      </c>
      <c r="E993" s="343" t="n"/>
      <c r="F993" s="343" t="n"/>
      <c r="G993" s="343" t="n"/>
      <c r="H993" s="343" t="n"/>
      <c r="I993" s="343" t="n"/>
      <c r="J993" s="343" t="n"/>
      <c r="K993" s="343" t="n"/>
      <c r="L993" s="343" t="n"/>
      <c r="M993" s="343" t="n"/>
      <c r="N993" s="343" t="n"/>
      <c r="O993" s="343" t="n"/>
      <c r="P993" s="343" t="n"/>
      <c r="Q993" s="343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</row>
    <row r="994" ht="15.5" customHeight="1">
      <c r="B994" s="293" t="n">
        <v>45647</v>
      </c>
      <c r="C994" s="294" t="n">
        <v>234</v>
      </c>
      <c r="D994" s="295" t="inlineStr">
        <is>
          <t>Hotel 1 night 20 - 21 Dec 2024</t>
        </is>
      </c>
      <c r="E994" s="287" t="inlineStr">
        <is>
          <t>-</t>
        </is>
      </c>
      <c r="F994" s="296" t="n">
        <v>784000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 t="n">
        <v>784000</v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</row>
    <row r="995">
      <c r="B995" s="343" t="n"/>
      <c r="C995" s="343" t="n"/>
      <c r="D995" s="317" t="inlineStr">
        <is>
          <t>Allowance</t>
        </is>
      </c>
      <c r="E995" s="343" t="n"/>
      <c r="F995" s="343" t="n"/>
      <c r="G995" s="343" t="n"/>
      <c r="H995" s="343" t="n"/>
      <c r="I995" s="343" t="n"/>
      <c r="J995" s="343" t="n"/>
      <c r="K995" s="343" t="n"/>
      <c r="L995" s="343" t="n"/>
      <c r="M995" s="343" t="n"/>
      <c r="N995" s="343" t="n"/>
      <c r="O995" s="343" t="n"/>
      <c r="P995" s="343" t="n"/>
      <c r="Q995" s="343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</row>
    <row r="996" ht="15.5" customHeight="1">
      <c r="B996" s="293" t="n">
        <v>45405</v>
      </c>
      <c r="C996" s="294" t="n">
        <v>235</v>
      </c>
      <c r="D996" s="295" t="inlineStr">
        <is>
          <t>Tunjangan Lapangan @ 1.5 juta/day x 2 days</t>
        </is>
      </c>
      <c r="E996" s="287" t="inlineStr">
        <is>
          <t>-</t>
        </is>
      </c>
      <c r="F996" s="296" t="n">
        <v>3000000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 t="n">
        <v>3000000</v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</row>
    <row r="997">
      <c r="B997" s="343" t="n"/>
      <c r="C997" s="343" t="n"/>
      <c r="D997" s="317" t="inlineStr">
        <is>
          <t>Biaya Operasi Lain-lain</t>
        </is>
      </c>
      <c r="E997" s="343" t="n"/>
      <c r="F997" s="343" t="n"/>
      <c r="G997" s="343" t="n"/>
      <c r="H997" s="343" t="n"/>
      <c r="I997" s="343" t="n"/>
      <c r="J997" s="343" t="n"/>
      <c r="K997" s="343" t="n"/>
      <c r="L997" s="343" t="n"/>
      <c r="M997" s="343" t="n"/>
      <c r="N997" s="343" t="n"/>
      <c r="O997" s="343" t="n"/>
      <c r="P997" s="343" t="n"/>
      <c r="Q997" s="343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</row>
    <row r="998" ht="15.5" customHeight="1">
      <c r="B998" s="293" t="n">
        <v>45335</v>
      </c>
      <c r="C998" s="294" t="n">
        <v>236</v>
      </c>
      <c r="D998" s="295" t="inlineStr">
        <is>
          <t>Shipment Benchmark DTR to Malaysia</t>
        </is>
      </c>
      <c r="E998" s="287" t="inlineStr">
        <is>
          <t>-</t>
        </is>
      </c>
      <c r="F998" s="296" t="n">
        <v>13201183.322</v>
      </c>
      <c r="G998" s="289" t="inlineStr">
        <is>
          <t>MYR</t>
        </is>
      </c>
      <c r="H998" s="297" t="n">
        <v>3636.89</v>
      </c>
      <c r="I998" s="298" t="n"/>
      <c r="J998" s="298" t="n"/>
      <c r="K998" s="299" t="n"/>
      <c r="L998" s="300" t="n">
        <v>13201183.322</v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</row>
    <row r="999">
      <c r="B999" s="343" t="n"/>
      <c r="C999" s="343" t="n"/>
      <c r="D999" s="317" t="inlineStr">
        <is>
          <t>IT Services</t>
        </is>
      </c>
      <c r="E999" s="343" t="n"/>
      <c r="F999" s="343" t="n"/>
      <c r="G999" s="343" t="n"/>
      <c r="H999" s="343" t="n"/>
      <c r="I999" s="343" t="n"/>
      <c r="J999" s="343" t="n"/>
      <c r="K999" s="343" t="n"/>
      <c r="L999" s="343" t="n"/>
      <c r="M999" s="343" t="n"/>
      <c r="N999" s="343" t="n"/>
      <c r="O999" s="343" t="n"/>
      <c r="P999" s="343" t="n"/>
      <c r="Q999" s="343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</row>
    <row r="1000" ht="15.5" customHeight="1">
      <c r="B1000" s="293" t="n">
        <v>45428</v>
      </c>
      <c r="C1000" s="294" t="n">
        <v>237</v>
      </c>
      <c r="D1000" s="295" t="inlineStr">
        <is>
          <t>Google Workspace PT. EWI</t>
        </is>
      </c>
      <c r="E1000" s="287" t="inlineStr">
        <is>
          <t>-</t>
        </is>
      </c>
      <c r="F1000" s="296" t="n">
        <v>306982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287" t="n"/>
      <c r="M1000" s="300" t="n">
        <v>306982</v>
      </c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</row>
    <row r="1001">
      <c r="B1001" s="343" t="n"/>
      <c r="C1001" s="343" t="n"/>
      <c r="D1001" s="317" t="inlineStr">
        <is>
          <t>Meal</t>
        </is>
      </c>
      <c r="E1001" s="343" t="n"/>
      <c r="F1001" s="343" t="n"/>
      <c r="G1001" s="343" t="n"/>
      <c r="H1001" s="343" t="n"/>
      <c r="I1001" s="343" t="n"/>
      <c r="J1001" s="343" t="n"/>
      <c r="K1001" s="343" t="n"/>
      <c r="L1001" s="343" t="n"/>
      <c r="M1001" s="343" t="n"/>
      <c r="N1001" s="343" t="n"/>
      <c r="O1001" s="343" t="n"/>
      <c r="P1001" s="343" t="n"/>
      <c r="Q1001" s="343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</row>
    <row r="1002" ht="15.5" customHeight="1">
      <c r="B1002" s="293" t="n">
        <v>45647</v>
      </c>
      <c r="C1002" s="294" t="n">
        <v>238</v>
      </c>
      <c r="D1002" s="295" t="inlineStr">
        <is>
          <t>Meals 2 days @ 150,000/day</t>
        </is>
      </c>
      <c r="E1002" s="287" t="inlineStr">
        <is>
          <t>-</t>
        </is>
      </c>
      <c r="F1002" s="296" t="n">
        <v>300000</v>
      </c>
      <c r="G1002" s="289" t="inlineStr">
        <is>
          <t>IDR</t>
        </is>
      </c>
      <c r="H1002" s="297" t="n">
        <v>1</v>
      </c>
      <c r="I1002" s="298" t="n"/>
      <c r="J1002" s="298" t="n"/>
      <c r="K1002" s="299" t="n"/>
      <c r="L1002" s="300" t="n">
        <v>300000</v>
      </c>
      <c r="M1002" s="287" t="n"/>
      <c r="N1002" s="287" t="n"/>
      <c r="O1002" s="287" t="n"/>
      <c r="P1002" s="287" t="n"/>
      <c r="Q1002" s="28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</row>
    <row r="1003">
      <c r="B1003" s="343" t="n"/>
      <c r="C1003" s="343" t="n"/>
      <c r="D1003" s="317" t="inlineStr">
        <is>
          <t>Transportation</t>
        </is>
      </c>
      <c r="E1003" s="343" t="n"/>
      <c r="F1003" s="343" t="n"/>
      <c r="G1003" s="343" t="n"/>
      <c r="H1003" s="343" t="n"/>
      <c r="I1003" s="343" t="n"/>
      <c r="J1003" s="343" t="n"/>
      <c r="K1003" s="343" t="n"/>
      <c r="L1003" s="343" t="n"/>
      <c r="M1003" s="343" t="n"/>
      <c r="N1003" s="343" t="n"/>
      <c r="O1003" s="343" t="n"/>
      <c r="P1003" s="343" t="n"/>
      <c r="Q1003" s="343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</row>
    <row r="1004" ht="15.5" customHeight="1">
      <c r="B1004" s="293" t="n">
        <v>45647</v>
      </c>
      <c r="C1004" s="294" t="n">
        <v>239</v>
      </c>
      <c r="D1004" s="295" t="inlineStr">
        <is>
          <t>Taxi from KCIC Stationa Halim to Home</t>
        </is>
      </c>
      <c r="E1004" s="287" t="inlineStr">
        <is>
          <t>-</t>
        </is>
      </c>
      <c r="F1004" s="296" t="n">
        <v>100000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 t="n">
        <v>100000</v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</row>
    <row r="1005">
      <c r="B1005" s="311" t="inlineStr">
        <is>
          <t>Expense#46</t>
        </is>
      </c>
      <c r="C1005" s="310" t="inlineStr">
        <is>
          <t>:</t>
        </is>
      </c>
      <c r="D1005" s="311" t="inlineStr">
        <is>
          <t>Non trip - Training BSS - AC</t>
        </is>
      </c>
      <c r="E1005" s="312" t="n"/>
      <c r="F1005" s="312" t="n"/>
      <c r="G1005" s="312" t="n"/>
      <c r="H1005" s="312" t="n"/>
      <c r="I1005" s="312" t="n"/>
      <c r="J1005" s="312" t="n"/>
      <c r="K1005" s="312" t="n"/>
      <c r="L1005" s="312" t="n"/>
      <c r="M1005" s="312" t="n"/>
      <c r="N1005" s="312" t="n"/>
      <c r="O1005" s="312" t="n"/>
      <c r="P1005" s="312" t="n"/>
      <c r="Q1005" s="312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</row>
    <row r="1006">
      <c r="B1006" s="343" t="n"/>
      <c r="C1006" s="343" t="n"/>
      <c r="D1006" s="317" t="inlineStr">
        <is>
          <t>Training</t>
        </is>
      </c>
      <c r="E1006" s="343" t="n"/>
      <c r="F1006" s="343" t="n"/>
      <c r="G1006" s="343" t="n"/>
      <c r="H1006" s="343" t="n"/>
      <c r="I1006" s="343" t="n"/>
      <c r="J1006" s="343" t="n"/>
      <c r="K1006" s="343" t="n"/>
      <c r="L1006" s="343" t="n"/>
      <c r="M1006" s="343" t="n"/>
      <c r="N1006" s="343" t="n"/>
      <c r="O1006" s="343" t="n"/>
      <c r="P1006" s="343" t="n"/>
      <c r="Q1006" s="343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</row>
    <row r="1007" ht="15.5" customHeight="1">
      <c r="B1007" s="293" t="n">
        <v>45636</v>
      </c>
      <c r="C1007" s="294" t="n">
        <v>240</v>
      </c>
      <c r="D1007" s="295" t="inlineStr">
        <is>
          <t>Traning Basic Sea Survival (BSS)</t>
        </is>
      </c>
      <c r="E1007" s="287" t="inlineStr">
        <is>
          <t>-</t>
        </is>
      </c>
      <c r="F1007" s="296" t="n">
        <v>2700000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 t="n">
        <v>2700000</v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</row>
    <row r="1008">
      <c r="B1008" s="311" t="inlineStr">
        <is>
          <t>Expense#47</t>
        </is>
      </c>
      <c r="C1008" s="310" t="inlineStr">
        <is>
          <t>:</t>
        </is>
      </c>
      <c r="D1008" s="311" t="inlineStr">
        <is>
          <t>Trip Rakan : BSTTraining at HSSE Training Center PT Pertamina EP Zone 7 Cirebon</t>
        </is>
      </c>
      <c r="E1008" s="312" t="n"/>
      <c r="F1008" s="312" t="n"/>
      <c r="G1008" s="312" t="n"/>
      <c r="H1008" s="312" t="n"/>
      <c r="I1008" s="312" t="n"/>
      <c r="J1008" s="312" t="n"/>
      <c r="K1008" s="312" t="n"/>
      <c r="L1008" s="312" t="n"/>
      <c r="M1008" s="312" t="n"/>
      <c r="N1008" s="312" t="n"/>
      <c r="O1008" s="312" t="n"/>
      <c r="P1008" s="312" t="n"/>
      <c r="Q1008" s="312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</row>
    <row r="1009">
      <c r="B1009" s="343" t="n"/>
      <c r="C1009" s="343" t="n"/>
      <c r="D1009" s="317" t="inlineStr">
        <is>
          <t>Accommodation</t>
        </is>
      </c>
      <c r="E1009" s="343" t="n"/>
      <c r="F1009" s="343" t="n"/>
      <c r="G1009" s="343" t="n"/>
      <c r="H1009" s="343" t="n"/>
      <c r="I1009" s="343" t="n"/>
      <c r="J1009" s="343" t="n"/>
      <c r="K1009" s="343" t="n"/>
      <c r="L1009" s="343" t="n"/>
      <c r="M1009" s="343" t="n"/>
      <c r="N1009" s="343" t="n"/>
      <c r="O1009" s="343" t="n"/>
      <c r="P1009" s="343" t="n"/>
      <c r="Q1009" s="343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</row>
    <row r="1010" ht="15.5" customHeight="1">
      <c r="B1010" s="293" t="n">
        <v>45655</v>
      </c>
      <c r="C1010" s="294" t="n">
        <v>241</v>
      </c>
      <c r="D1010" s="295" t="inlineStr">
        <is>
          <t>Accomodation Hotel (Pia Hotel 29 - 30 des, 1 Night)</t>
        </is>
      </c>
      <c r="E1010" s="287" t="inlineStr">
        <is>
          <t>-</t>
        </is>
      </c>
      <c r="F1010" s="296" t="n">
        <v>224000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 t="n">
        <v>224000</v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</row>
    <row r="1011">
      <c r="B1011" s="343" t="n"/>
      <c r="C1011" s="343" t="n"/>
      <c r="D1011" s="317" t="inlineStr">
        <is>
          <t>Allowance</t>
        </is>
      </c>
      <c r="E1011" s="343" t="n"/>
      <c r="F1011" s="343" t="n"/>
      <c r="G1011" s="343" t="n"/>
      <c r="H1011" s="343" t="n"/>
      <c r="I1011" s="343" t="n"/>
      <c r="J1011" s="343" t="n"/>
      <c r="K1011" s="343" t="n"/>
      <c r="L1011" s="343" t="n"/>
      <c r="M1011" s="343" t="n"/>
      <c r="N1011" s="343" t="n"/>
      <c r="O1011" s="343" t="n"/>
      <c r="P1011" s="343" t="n"/>
      <c r="Q1011" s="343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</row>
    <row r="1012" ht="15.5" customHeight="1">
      <c r="B1012" s="293" t="n">
        <v>45656</v>
      </c>
      <c r="C1012" s="294" t="n">
        <v>242</v>
      </c>
      <c r="D1012" s="295" t="inlineStr">
        <is>
          <t>Meal Allowance 2 Days (29 - 30 December 2024)@ 150 rb</t>
        </is>
      </c>
      <c r="E1012" s="287" t="inlineStr">
        <is>
          <t>-</t>
        </is>
      </c>
      <c r="F1012" s="296" t="n">
        <v>300000</v>
      </c>
      <c r="G1012" s="289" t="inlineStr">
        <is>
          <t>IDR</t>
        </is>
      </c>
      <c r="H1012" s="297" t="n">
        <v>1</v>
      </c>
      <c r="I1012" s="298" t="n"/>
      <c r="J1012" s="298" t="n"/>
      <c r="K1012" s="299" t="n"/>
      <c r="L1012" s="300" t="n">
        <v>300000</v>
      </c>
      <c r="M1012" s="287" t="n"/>
      <c r="N1012" s="287" t="n"/>
      <c r="O1012" s="287" t="n"/>
      <c r="P1012" s="287" t="n"/>
      <c r="Q1012" s="28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</row>
    <row r="1013">
      <c r="B1013" s="343" t="n"/>
      <c r="C1013" s="343" t="n"/>
      <c r="D1013" s="317" t="inlineStr">
        <is>
          <t>Transportation</t>
        </is>
      </c>
      <c r="E1013" s="343" t="n"/>
      <c r="F1013" s="343" t="n"/>
      <c r="G1013" s="343" t="n"/>
      <c r="H1013" s="343" t="n"/>
      <c r="I1013" s="343" t="n"/>
      <c r="J1013" s="343" t="n"/>
      <c r="K1013" s="343" t="n"/>
      <c r="L1013" s="343" t="n"/>
      <c r="M1013" s="343" t="n"/>
      <c r="N1013" s="343" t="n"/>
      <c r="O1013" s="343" t="n"/>
      <c r="P1013" s="343" t="n"/>
      <c r="Q1013" s="343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</row>
    <row r="1014" ht="15.5" customHeight="1">
      <c r="B1014" s="293" t="n">
        <v>45656</v>
      </c>
      <c r="C1014" s="294" t="n">
        <v>243</v>
      </c>
      <c r="D1014" s="295" t="inlineStr">
        <is>
          <t>Gojek (Gambir Station to Cirendeu)</t>
        </is>
      </c>
      <c r="E1014" s="287" t="inlineStr">
        <is>
          <t>-</t>
        </is>
      </c>
      <c r="F1014" s="296" t="n">
        <v>66000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 t="n">
        <v>66000</v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</row>
    <row r="1015">
      <c r="B1015" s="344" t="inlineStr">
        <is>
          <t>TOTAL</t>
        </is>
      </c>
      <c r="I1015" s="345" t="n">
        <v>356012003</v>
      </c>
      <c r="J1015" s="345" t="n">
        <v>991500000</v>
      </c>
      <c r="K1015" s="345" t="n">
        <v>367745000</v>
      </c>
      <c r="L1015" s="345" t="n">
        <v>1165473146.932</v>
      </c>
      <c r="M1015" s="345" t="n">
        <v>12904641</v>
      </c>
      <c r="N1015" s="345" t="n">
        <v>200517570</v>
      </c>
      <c r="O1015" s="345" t="n">
        <v>4995000</v>
      </c>
      <c r="P1015" s="345" t="n">
        <v>38548717.5</v>
      </c>
      <c r="Q1015" s="345" t="n">
        <v>202920000</v>
      </c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</row>
    <row r="1019">
      <c r="B1019" s="346" t="inlineStr">
        <is>
          <t>Nama Lengkap</t>
        </is>
      </c>
    </row>
    <row r="1020">
      <c r="B1020" s="347" t="inlineStr">
        <is>
          <t>Direktur</t>
        </is>
      </c>
    </row>
  </sheetData>
  <mergeCells count="530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B1020:E1020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B1015:H1015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B1019:E1019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48" t="n"/>
      <c r="B1" s="348" t="n"/>
      <c r="C1" s="348" t="n"/>
      <c r="D1" s="348" t="n"/>
      <c r="E1" s="349" t="n"/>
    </row>
    <row r="2" ht="37.25" customHeight="1">
      <c r="A2" s="348" t="n"/>
      <c r="B2" s="348" t="n"/>
      <c r="C2" s="348" t="n"/>
      <c r="D2" s="348" t="n"/>
      <c r="E2" s="349" t="n"/>
    </row>
    <row r="3" ht="33.6" customHeight="1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45" customHeight="1">
      <c r="A4" s="348" t="n"/>
      <c r="B4" s="353" t="inlineStr">
        <is>
          <t>LABA RUGI | TAHUN 2024</t>
        </is>
      </c>
      <c r="F4" s="351" t="n"/>
      <c r="G4" s="354" t="inlineStr">
        <is>
          <t>NERACA |TAHUN YANG BERAKHIR, 31 DESEMBER 2024</t>
        </is>
      </c>
      <c r="H4" s="354" t="n"/>
      <c r="I4" s="354" t="n"/>
      <c r="J4" s="354" t="n"/>
    </row>
    <row r="5" ht="6" customHeight="1">
      <c r="A5" s="348" t="n"/>
      <c r="B5" s="348" t="n"/>
      <c r="C5" s="348" t="n"/>
      <c r="D5" s="348" t="n"/>
      <c r="E5" s="349" t="n"/>
      <c r="F5" s="351" t="n"/>
      <c r="G5" s="351" t="n"/>
      <c r="H5" s="355" t="n"/>
      <c r="I5" s="355" t="n"/>
      <c r="J5" s="355" t="n"/>
    </row>
    <row r="6" ht="15.4" customHeight="1">
      <c r="A6" s="348" t="n"/>
      <c r="B6" s="356" t="n"/>
      <c r="C6" s="357" t="n"/>
      <c r="D6" s="358" t="inlineStr">
        <is>
          <t>PT. Exspan Wireline Indonesia</t>
        </is>
      </c>
      <c r="E6" s="221" t="n"/>
      <c r="F6" s="351" t="n"/>
      <c r="G6" s="359" t="n"/>
      <c r="H6" s="360" t="n"/>
      <c r="I6" s="358" t="inlineStr">
        <is>
          <t>PT. Exspan Wireline Indonesia</t>
        </is>
      </c>
      <c r="J6" s="221" t="n"/>
    </row>
    <row r="7" ht="15.4" customHeight="1">
      <c r="A7" s="348" t="n"/>
      <c r="B7" s="361" t="n"/>
      <c r="C7" s="362" t="n"/>
      <c r="D7" s="363" t="inlineStr">
        <is>
          <t>(Rp)</t>
        </is>
      </c>
      <c r="E7" s="226" t="n"/>
      <c r="F7" s="351" t="n"/>
      <c r="G7" s="364" t="n"/>
      <c r="H7" s="365" t="n"/>
      <c r="I7" s="363" t="inlineStr">
        <is>
          <t>(Rp)</t>
        </is>
      </c>
      <c r="J7" s="226" t="n"/>
    </row>
    <row r="8" ht="15" customHeight="1">
      <c r="A8" s="366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inlineStr">
        <is>
          <t>AKTIVA</t>
        </is>
      </c>
      <c r="I8" s="373" t="n"/>
      <c r="J8" s="370" t="n"/>
    </row>
    <row r="9" ht="15" customHeight="1">
      <c r="A9" s="366" t="n"/>
      <c r="B9" s="374" t="n"/>
      <c r="C9" s="375" t="inlineStr">
        <is>
          <t>PENDAPATAN LANGSUNG</t>
        </is>
      </c>
      <c r="D9" s="376" t="inlineStr">
        <is>
          <t>Rp</t>
        </is>
      </c>
      <c r="E9" s="377">
        <f>SUM('Revenue-Cost_2024'!F8:F280)</f>
        <v/>
      </c>
      <c r="F9" s="351" t="n"/>
      <c r="G9" s="378" t="inlineStr">
        <is>
          <t>AKTIVA LANCAR</t>
        </is>
      </c>
      <c r="H9" s="379" t="inlineStr">
        <is>
          <t>AKTIVA LANCAR</t>
        </is>
      </c>
      <c r="I9" s="380" t="n"/>
      <c r="J9" s="377" t="n"/>
    </row>
    <row r="10" ht="15" customHeight="1">
      <c r="A10" s="366" t="n"/>
      <c r="B10" s="374" t="n"/>
      <c r="C10" s="375" t="inlineStr">
        <is>
          <t>PENDAPATAN LAIN LAIN</t>
        </is>
      </c>
      <c r="D10" s="376" t="inlineStr">
        <is>
          <t>Rp</t>
        </is>
      </c>
      <c r="E10" s="377">
        <f>SUM('Revenue-Cost_2024'!F281:F301)</f>
        <v/>
      </c>
      <c r="F10" s="351" t="n"/>
      <c r="G10" s="378" t="n"/>
      <c r="H10" s="379" t="inlineStr">
        <is>
          <t xml:space="preserve">  KAS DAN SETARA KAS TAHUN SEBELUMNYA</t>
        </is>
      </c>
      <c r="I10" s="376" t="inlineStr">
        <is>
          <t>Rp</t>
        </is>
      </c>
      <c r="J10" s="377" t="n">
        <v>161401093</v>
      </c>
    </row>
    <row r="11" ht="15" customHeight="1">
      <c r="A11" s="366" t="n"/>
      <c r="B11" s="374" t="n"/>
      <c r="C11" s="375" t="n"/>
      <c r="D11" s="376" t="n"/>
      <c r="E11" s="377" t="n"/>
      <c r="F11" s="351" t="n"/>
      <c r="G11" s="378" t="n"/>
      <c r="H11" s="379" t="inlineStr">
        <is>
          <t xml:space="preserve">  KAS DAN SETARA KAS TAHUN LAPORAN</t>
        </is>
      </c>
      <c r="I11" s="376" t="inlineStr">
        <is>
          <t>Rp</t>
        </is>
      </c>
      <c r="J11" s="377">
        <f>ROUND(E41-'Business Summary'!E13, 0)</f>
        <v/>
      </c>
    </row>
    <row r="12" ht="15" customHeight="1">
      <c r="A12" s="366" t="n"/>
      <c r="B12" s="381" t="inlineStr">
        <is>
          <t>TOTAL PENDAPATAN</t>
        </is>
      </c>
      <c r="C12" s="382" t="n"/>
      <c r="D12" s="383" t="inlineStr">
        <is>
          <t>Rp</t>
        </is>
      </c>
      <c r="E12" s="384">
        <f>SUM(E9:E11)</f>
        <v/>
      </c>
      <c r="F12" s="351" t="n"/>
      <c r="G12" s="378" t="n"/>
      <c r="H12" s="379" t="inlineStr">
        <is>
          <t xml:space="preserve">  PIUTANG USAHA</t>
        </is>
      </c>
      <c r="I12" s="376" t="inlineStr">
        <is>
          <t>Rp</t>
        </is>
      </c>
      <c r="J12" s="377" t="n">
        <v>0</v>
      </c>
    </row>
    <row r="13" ht="15" customHeight="1">
      <c r="A13" s="366" t="n"/>
      <c r="B13" s="374" t="n"/>
      <c r="C13" s="375" t="n"/>
      <c r="D13" s="376" t="n"/>
      <c r="E13" s="377" t="n"/>
      <c r="F13" s="351" t="n"/>
      <c r="G13" s="378" t="n"/>
      <c r="H13" s="379" t="inlineStr">
        <is>
          <t xml:space="preserve">  PAJAK BAYAR DI MUKA (pph23)</t>
        </is>
      </c>
      <c r="I13" s="376" t="inlineStr">
        <is>
          <t>Rp</t>
        </is>
      </c>
      <c r="J13" s="377" t="n">
        <v>0</v>
      </c>
    </row>
    <row r="14" ht="15" customHeight="1">
      <c r="A14" s="366" t="n"/>
      <c r="B14" s="367" t="inlineStr">
        <is>
          <t>BEBAN LANGSUNG</t>
        </is>
      </c>
      <c r="C14" s="368" t="n"/>
      <c r="D14" s="369" t="n"/>
      <c r="E14" s="370" t="n"/>
      <c r="F14" s="351" t="n"/>
      <c r="G14" s="378" t="n"/>
      <c r="H14" s="379" t="inlineStr">
        <is>
          <t xml:space="preserve">  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66" t="n"/>
      <c r="B15" s="374" t="n"/>
      <c r="C15" s="375" t="inlineStr">
        <is>
          <t>BIAYA SEWA PERALATAN</t>
        </is>
      </c>
      <c r="D15" s="376" t="inlineStr">
        <is>
          <t>Rp</t>
        </is>
      </c>
      <c r="E15" s="377">
        <f>'Revenue-Cost_2024'!I1015</f>
        <v/>
      </c>
      <c r="F15" s="351" t="n"/>
      <c r="G15" s="385" t="n"/>
      <c r="H15" s="379" t="inlineStr">
        <is>
          <t xml:space="preserve">  PIUTANG LAIN LAIN</t>
        </is>
      </c>
      <c r="I15" s="376" t="inlineStr">
        <is>
          <t>Rp</t>
        </is>
      </c>
      <c r="J15" s="377" t="n">
        <v>0</v>
      </c>
    </row>
    <row r="16" ht="15" customHeight="1">
      <c r="A16" s="366" t="n"/>
      <c r="B16" s="374" t="n"/>
      <c r="C16" s="375" t="inlineStr">
        <is>
          <t>BIAYA RESEARCH (R&amp;D)</t>
        </is>
      </c>
      <c r="D16" s="376" t="inlineStr">
        <is>
          <t>Rp</t>
        </is>
      </c>
      <c r="E16" s="377">
        <f>'Revenue-Cost_2024'!J1015</f>
        <v/>
      </c>
      <c r="F16" s="351" t="n"/>
      <c r="G16" s="386" t="n"/>
      <c r="H16" s="387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66" t="n"/>
      <c r="B17" s="374" t="n"/>
      <c r="C17" s="375" t="inlineStr">
        <is>
          <t>BIAYA INTERPRETASI LOG DATA</t>
        </is>
      </c>
      <c r="D17" s="376" t="inlineStr">
        <is>
          <t>Rp</t>
        </is>
      </c>
      <c r="E17" s="377">
        <f>'Revenue-Cost_2024'!K1015</f>
        <v/>
      </c>
      <c r="F17" s="351" t="n"/>
      <c r="G17" s="371" t="n"/>
      <c r="H17" s="372" t="inlineStr">
        <is>
          <t>ACTIVA TETAP</t>
        </is>
      </c>
      <c r="I17" s="373" t="n"/>
      <c r="J17" s="370" t="n"/>
    </row>
    <row r="18" ht="15" customHeight="1">
      <c r="A18" s="366" t="n"/>
      <c r="B18" s="374" t="n"/>
      <c r="C18" s="375" t="inlineStr">
        <is>
          <t>BIAYA OPERASI</t>
        </is>
      </c>
      <c r="D18" s="376" t="inlineStr">
        <is>
          <t>Rp</t>
        </is>
      </c>
      <c r="E18" s="377">
        <f>'Revenue-Cost_2024'!L1015</f>
        <v/>
      </c>
      <c r="F18" s="351" t="n"/>
      <c r="G18" s="378" t="inlineStr">
        <is>
          <t>ACTIVA TETAP</t>
        </is>
      </c>
      <c r="H18" s="379" t="n"/>
      <c r="I18" s="380" t="n"/>
      <c r="J18" s="377" t="n"/>
    </row>
    <row r="19" ht="15" customHeight="1">
      <c r="A19" s="366" t="n"/>
      <c r="B19" s="381" t="inlineStr">
        <is>
          <t>TOTAL BIAYA LANGSUNG</t>
        </is>
      </c>
      <c r="C19" s="382" t="n"/>
      <c r="D19" s="383" t="inlineStr">
        <is>
          <t>Rp</t>
        </is>
      </c>
      <c r="E19" s="384">
        <f>SUM(E15:E18)</f>
        <v/>
      </c>
      <c r="F19" s="351" t="n"/>
      <c r="G19" s="378" t="n"/>
      <c r="H19" s="379" t="n"/>
      <c r="I19" s="380" t="n"/>
      <c r="J19" s="377" t="n"/>
    </row>
    <row r="20" ht="15" customHeight="1">
      <c r="A20" s="366" t="n"/>
      <c r="B20" s="374" t="n"/>
      <c r="C20" s="375" t="n"/>
      <c r="D20" s="376" t="n"/>
      <c r="E20" s="377" t="n"/>
      <c r="F20" s="351" t="n"/>
      <c r="G20" s="378" t="n"/>
      <c r="H20" s="379" t="inlineStr">
        <is>
          <t xml:space="preserve">  INVENTARIS KANTOR</t>
        </is>
      </c>
      <c r="I20" s="376" t="inlineStr">
        <is>
          <t>Rp</t>
        </is>
      </c>
      <c r="J20" s="377" t="n">
        <v>0</v>
      </c>
    </row>
    <row r="21" ht="15" customHeight="1">
      <c r="A21" s="366" t="n"/>
      <c r="B21" s="367" t="inlineStr">
        <is>
          <t>BEBAN TIDAK LANGSUNG</t>
        </is>
      </c>
      <c r="C21" s="368" t="n"/>
      <c r="D21" s="369" t="n"/>
      <c r="E21" s="370" t="n"/>
      <c r="F21" s="351" t="n"/>
      <c r="G21" s="378" t="n"/>
      <c r="H21" s="379" t="n"/>
      <c r="I21" s="380" t="n"/>
      <c r="J21" s="377" t="n"/>
    </row>
    <row r="22" ht="15" customHeight="1">
      <c r="A22" s="366" t="n"/>
      <c r="B22" s="374" t="n"/>
      <c r="C22" s="375" t="inlineStr">
        <is>
          <t>BISNIS DEV</t>
        </is>
      </c>
      <c r="D22" s="376" t="inlineStr">
        <is>
          <t>Rp</t>
        </is>
      </c>
      <c r="E22" s="377">
        <f>'Revenue-Cost_2024'!Q1015</f>
        <v/>
      </c>
      <c r="F22" s="351" t="n"/>
      <c r="G22" s="386" t="n"/>
      <c r="H22" s="387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66" t="n"/>
      <c r="B23" s="381" t="inlineStr">
        <is>
          <t>TOTAL BIAYA TIDAK LANGSUNG</t>
        </is>
      </c>
      <c r="C23" s="382" t="n"/>
      <c r="D23" s="383" t="inlineStr">
        <is>
          <t>Rp</t>
        </is>
      </c>
      <c r="E23" s="384">
        <f>SUM(E22:E22)</f>
        <v/>
      </c>
      <c r="F23" s="351" t="n"/>
      <c r="G23" s="378" t="n"/>
      <c r="H23" s="379" t="n"/>
      <c r="I23" s="380" t="n"/>
      <c r="J23" s="377" t="n"/>
    </row>
    <row r="24" ht="15" customHeight="1">
      <c r="A24" s="366" t="n"/>
      <c r="B24" s="374" t="n"/>
      <c r="C24" s="375" t="n"/>
      <c r="D24" s="376" t="n"/>
      <c r="E24" s="377" t="n"/>
      <c r="F24" s="351" t="n"/>
      <c r="G24" s="371" t="inlineStr">
        <is>
          <t>ACTIVA LAIN LAIN</t>
        </is>
      </c>
      <c r="H24" s="372" t="inlineStr">
        <is>
          <t>ACTIVA LAIN LAIN</t>
        </is>
      </c>
      <c r="I24" s="373" t="n"/>
      <c r="J24" s="370" t="n">
        <v>0</v>
      </c>
    </row>
    <row r="25" ht="15" customHeight="1">
      <c r="A25" s="366" t="n"/>
      <c r="B25" s="367" t="inlineStr">
        <is>
          <t>BIAYA ADMINISTRASI DAN UMUM</t>
        </is>
      </c>
      <c r="C25" s="368" t="n"/>
      <c r="D25" s="369" t="n"/>
      <c r="E25" s="370" t="n"/>
      <c r="F25" s="351" t="n"/>
      <c r="G25" s="386" t="n"/>
      <c r="H25" s="387" t="inlineStr">
        <is>
          <t xml:space="preserve">  TOTAL AKTIVA LAIN LAIN</t>
        </is>
      </c>
      <c r="I25" s="388" t="inlineStr">
        <is>
          <t>Rp</t>
        </is>
      </c>
      <c r="J25" s="384" t="n">
        <v>0</v>
      </c>
    </row>
    <row r="26" ht="15" customHeight="1">
      <c r="A26" s="366" t="n"/>
      <c r="B26" s="374" t="n"/>
      <c r="C26" s="375" t="inlineStr">
        <is>
          <t>ADMINISTRASI</t>
        </is>
      </c>
      <c r="D26" s="376" t="inlineStr">
        <is>
          <t>Rp</t>
        </is>
      </c>
      <c r="E26" s="377">
        <f>'Revenue-Cost_2024'!M1015</f>
        <v/>
      </c>
      <c r="F26" s="351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66" t="n"/>
      <c r="B27" s="374" t="n"/>
      <c r="C27" s="375" t="inlineStr">
        <is>
          <t>PEMBELIAN BARANG</t>
        </is>
      </c>
      <c r="D27" s="376" t="inlineStr">
        <is>
          <t>Rp</t>
        </is>
      </c>
      <c r="E27" s="377">
        <f>'Revenue-Cost_2024'!N1015</f>
        <v/>
      </c>
      <c r="F27" s="351" t="n"/>
      <c r="G27" s="378" t="n"/>
      <c r="H27" s="379" t="n"/>
      <c r="I27" s="380" t="n"/>
      <c r="J27" s="377" t="n"/>
    </row>
    <row r="28" ht="15" customHeight="1">
      <c r="A28" s="366" t="n"/>
      <c r="B28" s="374" t="n"/>
      <c r="C28" s="375" t="inlineStr">
        <is>
          <t>SEWA KANTOR</t>
        </is>
      </c>
      <c r="D28" s="376" t="inlineStr">
        <is>
          <t>Rp</t>
        </is>
      </c>
      <c r="E28" s="377">
        <f>'Revenue-Cost_2024'!O1015</f>
        <v/>
      </c>
      <c r="F28" s="351" t="n"/>
      <c r="G28" s="389" t="inlineStr">
        <is>
          <t>TOTAL AKTIVA</t>
        </is>
      </c>
      <c r="H28" s="382" t="inlineStr">
        <is>
          <t>TOTAL AKTIVA</t>
        </is>
      </c>
      <c r="I28" s="383" t="inlineStr">
        <is>
          <t>Rp</t>
        </is>
      </c>
      <c r="J28" s="384">
        <f>J26+J22+J16</f>
        <v/>
      </c>
    </row>
    <row r="29" ht="15" customHeight="1">
      <c r="A29" s="366" t="n"/>
      <c r="B29" s="374" t="n"/>
      <c r="C29" s="375" t="inlineStr">
        <is>
          <t>KESEHATAN</t>
        </is>
      </c>
      <c r="D29" s="376" t="inlineStr">
        <is>
          <t>Rp</t>
        </is>
      </c>
      <c r="E29" s="377">
        <f>'Revenue-Cost_2024'!P1015</f>
        <v/>
      </c>
      <c r="F29" s="351" t="n"/>
      <c r="G29" s="378" t="n"/>
      <c r="H29" s="379" t="n"/>
      <c r="I29" s="380" t="n"/>
      <c r="J29" s="377" t="n"/>
    </row>
    <row r="30" ht="15" customHeight="1">
      <c r="A30" s="366" t="n"/>
      <c r="B30" s="381" t="inlineStr">
        <is>
          <t>TOTAL BIAYA ADMINISTRASI DAN UMUM</t>
        </is>
      </c>
      <c r="C30" s="382" t="n"/>
      <c r="D30" s="383" t="inlineStr">
        <is>
          <t>Rp</t>
        </is>
      </c>
      <c r="E30" s="384">
        <f>SUM(E26:E29)</f>
        <v/>
      </c>
      <c r="F30" s="351" t="n"/>
      <c r="G30" s="371" t="inlineStr">
        <is>
          <t>HUTANG DAN MODAL</t>
        </is>
      </c>
      <c r="H30" s="372" t="inlineStr">
        <is>
          <t>HUTANG DAN MODAL</t>
        </is>
      </c>
      <c r="I30" s="373" t="n"/>
      <c r="J30" s="370" t="n"/>
    </row>
    <row r="31" ht="15" customHeight="1">
      <c r="A31" s="366" t="n"/>
      <c r="B31" s="374" t="n"/>
      <c r="C31" s="375" t="n"/>
      <c r="D31" s="376" t="n"/>
      <c r="E31" s="377" t="n"/>
      <c r="F31" s="351" t="n"/>
      <c r="G31" s="378" t="n"/>
      <c r="H31" s="379" t="n"/>
      <c r="I31" s="380" t="n"/>
      <c r="J31" s="377" t="n"/>
    </row>
    <row r="32" ht="15" customHeight="1">
      <c r="A32" s="366" t="n"/>
      <c r="B32" s="381" t="inlineStr">
        <is>
          <t>TOTAL BIAYA</t>
        </is>
      </c>
      <c r="C32" s="382" t="n"/>
      <c r="D32" s="383" t="inlineStr">
        <is>
          <t>Rp</t>
        </is>
      </c>
      <c r="E32" s="384">
        <f>E19+E23+E30</f>
        <v/>
      </c>
      <c r="F32" s="351" t="n"/>
      <c r="G32" s="371" t="inlineStr">
        <is>
          <t>HUTANG LANCAR</t>
        </is>
      </c>
      <c r="H32" s="372" t="inlineStr">
        <is>
          <t>HUTANG LANCAR</t>
        </is>
      </c>
      <c r="I32" s="373" t="n"/>
      <c r="J32" s="370" t="n"/>
    </row>
    <row r="33" ht="15" customHeight="1">
      <c r="A33" s="366" t="n"/>
      <c r="B33" s="374" t="n"/>
      <c r="C33" s="375" t="n"/>
      <c r="D33" s="376" t="n"/>
      <c r="E33" s="377" t="n"/>
      <c r="F33" s="351" t="n"/>
      <c r="G33" s="378" t="n"/>
      <c r="H33" s="379" t="inlineStr">
        <is>
          <t xml:space="preserve">  HUTANG USAHA</t>
        </is>
      </c>
      <c r="I33" s="376" t="inlineStr">
        <is>
          <t>Rp</t>
        </is>
      </c>
      <c r="J33" s="377" t="n">
        <v>0</v>
      </c>
    </row>
    <row r="34" ht="15" customHeight="1">
      <c r="A34" s="366" t="n"/>
      <c r="B34" s="367" t="inlineStr">
        <is>
          <t>PENDAPATAN/BEBAN LAIN LAIN</t>
        </is>
      </c>
      <c r="C34" s="368" t="n"/>
      <c r="D34" s="369" t="n"/>
      <c r="E34" s="370" t="n"/>
      <c r="F34" s="351" t="n"/>
      <c r="G34" s="378" t="n"/>
      <c r="H34" s="375" t="inlineStr">
        <is>
          <t xml:space="preserve">  HUTANG GAJI</t>
        </is>
      </c>
      <c r="I34" s="376" t="inlineStr">
        <is>
          <t>Rp</t>
        </is>
      </c>
      <c r="J34" s="377" t="n">
        <v>0</v>
      </c>
    </row>
    <row r="35" ht="15" customHeight="1">
      <c r="A35" s="366" t="n"/>
      <c r="B35" s="374" t="n"/>
      <c r="C35" s="375" t="inlineStr">
        <is>
          <t>PENDAPATAN LAIN LAIN</t>
        </is>
      </c>
      <c r="D35" s="376" t="inlineStr">
        <is>
          <t>Rp</t>
        </is>
      </c>
      <c r="E35" s="377" t="n">
        <v>0</v>
      </c>
      <c r="F35" s="351" t="n"/>
      <c r="G35" s="378" t="n"/>
      <c r="H35" s="379" t="inlineStr">
        <is>
          <t xml:space="preserve">  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66" t="n"/>
      <c r="B36" s="374" t="n"/>
      <c r="C36" s="375" t="n"/>
      <c r="D36" s="376" t="n"/>
      <c r="E36" s="377" t="n"/>
      <c r="F36" s="351" t="n"/>
      <c r="G36" s="378" t="n"/>
      <c r="H36" s="379" t="inlineStr">
        <is>
          <t xml:space="preserve">  BIAYA YANG MASIH HARUS DI BAYAR</t>
        </is>
      </c>
      <c r="I36" s="376" t="inlineStr">
        <is>
          <t>Rp</t>
        </is>
      </c>
      <c r="J36" s="377" t="n">
        <v>0</v>
      </c>
    </row>
    <row r="37" ht="15" customHeight="1">
      <c r="A37" s="366" t="n"/>
      <c r="B37" s="381" t="inlineStr">
        <is>
          <t>LABA RUGI SEBELUM PAJAK</t>
        </is>
      </c>
      <c r="C37" s="382" t="n"/>
      <c r="D37" s="383" t="inlineStr">
        <is>
          <t>Rp</t>
        </is>
      </c>
      <c r="E37" s="384">
        <f>E12-E32</f>
        <v/>
      </c>
      <c r="F37" s="351" t="n"/>
      <c r="G37" s="374" t="n"/>
      <c r="H37" s="375" t="n"/>
      <c r="I37" s="376" t="n"/>
      <c r="J37" s="377" t="n"/>
    </row>
    <row r="38" ht="15" customHeight="1">
      <c r="A38" s="366" t="n"/>
      <c r="B38" s="374" t="n"/>
      <c r="C38" s="375" t="n"/>
      <c r="D38" s="376" t="n"/>
      <c r="E38" s="377" t="n"/>
      <c r="F38" s="351" t="n"/>
      <c r="G38" s="386" t="n"/>
      <c r="H38" s="387" t="inlineStr">
        <is>
          <t>TOTAL HUTANG LANCAR</t>
        </is>
      </c>
      <c r="I38" s="388" t="inlineStr">
        <is>
          <t>Rp</t>
        </is>
      </c>
      <c r="J38" s="384">
        <f>SUM(J33:J36)</f>
        <v/>
      </c>
    </row>
    <row r="39" ht="15" customHeight="1">
      <c r="A39" s="366" t="n"/>
      <c r="B39" s="381" t="inlineStr">
        <is>
          <t>CORPORATE TAX (PPh 29)</t>
        </is>
      </c>
      <c r="C39" s="382" t="n"/>
      <c r="D39" s="383" t="inlineStr">
        <is>
          <t>Rp</t>
        </is>
      </c>
      <c r="E39" s="384" t="n">
        <v>0</v>
      </c>
      <c r="F39" s="351" t="n"/>
      <c r="G39" s="378" t="n"/>
      <c r="H39" s="379" t="n"/>
      <c r="I39" s="380" t="n"/>
      <c r="J39" s="377" t="n"/>
    </row>
    <row r="40" ht="15" customHeight="1">
      <c r="A40" s="366" t="n"/>
      <c r="B40" s="374" t="n"/>
      <c r="C40" s="375" t="n"/>
      <c r="D40" s="376" t="n"/>
      <c r="E40" s="377" t="n"/>
      <c r="F40" s="351" t="n"/>
      <c r="G40" s="371" t="inlineStr">
        <is>
          <t>MODAL</t>
        </is>
      </c>
      <c r="H40" s="372" t="inlineStr">
        <is>
          <t>MODAL</t>
        </is>
      </c>
      <c r="I40" s="373" t="n"/>
      <c r="J40" s="370" t="n"/>
    </row>
    <row r="41" ht="15" customHeight="1">
      <c r="A41" s="366" t="n"/>
      <c r="B41" s="390" t="inlineStr">
        <is>
          <t>LABA / RUGI BERSIH</t>
        </is>
      </c>
      <c r="C41" s="391" t="n"/>
      <c r="D41" s="392" t="inlineStr">
        <is>
          <t>Rp</t>
        </is>
      </c>
      <c r="E41" s="393">
        <f>E37-E39</f>
        <v/>
      </c>
      <c r="F41" s="351" t="n"/>
      <c r="G41" s="378" t="n"/>
      <c r="H41" s="379" t="inlineStr">
        <is>
          <t xml:space="preserve">  MODAL SAHAM</t>
        </is>
      </c>
      <c r="I41" s="376" t="inlineStr">
        <is>
          <t>Rp</t>
        </is>
      </c>
      <c r="J41" s="377" t="n">
        <v>0</v>
      </c>
    </row>
    <row r="42" ht="14.25" customHeight="1">
      <c r="A42" s="366" t="n"/>
      <c r="B42" s="366" t="n"/>
      <c r="C42" s="366" t="n"/>
      <c r="D42" s="366" t="n"/>
      <c r="E42" s="366" t="n"/>
      <c r="F42" s="366" t="n"/>
      <c r="G42" s="374" t="n"/>
      <c r="H42" s="375" t="inlineStr">
        <is>
          <t xml:space="preserve">  LABA DI TAHAN</t>
        </is>
      </c>
      <c r="I42" s="376" t="inlineStr">
        <is>
          <t>Rp</t>
        </is>
      </c>
      <c r="J42" s="377" t="n">
        <v>0</v>
      </c>
    </row>
    <row r="43" ht="14.25" customHeight="1">
      <c r="A43" s="366" t="n"/>
      <c r="B43" s="366" t="n"/>
      <c r="C43" s="366" t="n"/>
      <c r="D43" s="366" t="n"/>
      <c r="E43" s="366" t="n"/>
      <c r="F43" s="366" t="n"/>
      <c r="G43" s="374" t="n"/>
      <c r="H43" s="375" t="inlineStr">
        <is>
          <t xml:space="preserve">  TOTAL LABA (RUGI) DITAHAN</t>
        </is>
      </c>
      <c r="I43" s="376" t="inlineStr">
        <is>
          <t>Rp</t>
        </is>
      </c>
      <c r="J43" s="377">
        <f>J28-J38-J41-J42</f>
        <v/>
      </c>
    </row>
    <row r="44" ht="14.25" customHeight="1">
      <c r="A44" s="366" t="n"/>
      <c r="B44" s="366" t="n"/>
      <c r="C44" s="366" t="n"/>
      <c r="D44" s="366" t="n"/>
      <c r="E44" s="366" t="n"/>
      <c r="F44" s="366" t="n"/>
      <c r="G44" s="381" t="n"/>
      <c r="H44" s="382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4.25" customHeight="1">
      <c r="A45" s="366" t="n"/>
      <c r="B45" s="366" t="n"/>
      <c r="C45" s="366" t="n"/>
      <c r="D45" s="366" t="n"/>
      <c r="E45" s="366" t="n"/>
      <c r="F45" s="366" t="n"/>
      <c r="G45" s="374" t="n"/>
      <c r="H45" s="375" t="n"/>
      <c r="I45" s="376" t="n"/>
      <c r="J45" s="377" t="n"/>
    </row>
    <row r="46" ht="14.65" customHeight="1">
      <c r="A46" s="366" t="n"/>
      <c r="B46" s="366" t="n"/>
      <c r="C46" s="366" t="n"/>
      <c r="D46" s="366" t="n"/>
      <c r="E46" s="366" t="n"/>
      <c r="F46" s="366" t="n"/>
      <c r="G46" s="390" t="n"/>
      <c r="H46" s="391" t="inlineStr">
        <is>
          <t>TOTAL HUTANG DAN MODAL</t>
        </is>
      </c>
      <c r="I46" s="392" t="inlineStr">
        <is>
          <t>Rp</t>
        </is>
      </c>
      <c r="J46" s="393">
        <f>J44+J38</f>
        <v/>
      </c>
    </row>
    <row r="47" ht="4.5" customHeight="1">
      <c r="A47" s="366" t="n"/>
      <c r="B47" s="366" t="n"/>
      <c r="C47" s="366" t="n"/>
      <c r="D47" s="366" t="n"/>
      <c r="E47" s="366" t="n"/>
      <c r="F47" s="366" t="n"/>
      <c r="G47" s="366" t="n"/>
      <c r="H47" s="366" t="n"/>
      <c r="I47" s="366" t="n"/>
      <c r="J47" s="366" t="n"/>
    </row>
    <row r="48" ht="50.65" customHeight="1">
      <c r="A48" s="366" t="n"/>
      <c r="B48" s="366" t="n"/>
      <c r="C48" s="366" t="n"/>
      <c r="D48" s="366" t="n"/>
      <c r="E48" s="366" t="n"/>
      <c r="F48" s="366" t="n"/>
      <c r="G48" s="366" t="n"/>
      <c r="H48" s="366" t="n"/>
      <c r="I48" s="366" t="n"/>
      <c r="J48" s="366" t="n"/>
    </row>
    <row r="49" ht="16.8" customHeight="1">
      <c r="A49" s="366" t="n"/>
      <c r="B49" s="394" t="inlineStr">
        <is>
          <t>Nama Lengkap</t>
        </is>
      </c>
      <c r="F49" s="366" t="n"/>
      <c r="G49" s="394" t="inlineStr">
        <is>
          <t>Nama Lengkap</t>
        </is>
      </c>
    </row>
    <row r="50" ht="15.6" customHeight="1">
      <c r="A50" s="366" t="n"/>
      <c r="B50" s="395" t="inlineStr">
        <is>
          <t>Direktur</t>
        </is>
      </c>
      <c r="F50" s="366" t="n"/>
      <c r="G50" s="395" t="inlineStr">
        <is>
          <t>Direktur</t>
        </is>
      </c>
    </row>
    <row r="51" ht="14.25" customHeight="1">
      <c r="A51" s="366" t="n"/>
      <c r="B51" s="366" t="n"/>
      <c r="C51" s="366" t="n"/>
      <c r="D51" s="366" t="n"/>
      <c r="E51" s="366" t="n"/>
      <c r="F51" s="366" t="n"/>
      <c r="G51" s="366" t="n"/>
      <c r="H51" s="366" t="n"/>
    </row>
    <row r="52" ht="14.25" customHeight="1">
      <c r="A52" s="366" t="n"/>
      <c r="B52" s="366" t="n"/>
      <c r="C52" s="366" t="n"/>
      <c r="D52" s="366" t="n"/>
      <c r="E52" s="366" t="n"/>
      <c r="F52" s="366" t="n"/>
      <c r="G52" s="366" t="n"/>
      <c r="H52" s="366" t="n"/>
      <c r="J52" s="396" t="n"/>
    </row>
    <row r="53">
      <c r="A53" s="366" t="n"/>
      <c r="B53" s="366" t="n"/>
      <c r="C53" s="366" t="n"/>
      <c r="D53" s="366" t="n"/>
      <c r="E53" s="366" t="n"/>
      <c r="F53" s="366" t="n"/>
      <c r="G53" s="366" t="n"/>
      <c r="H53" s="366" t="n"/>
    </row>
    <row r="54">
      <c r="A54" s="366" t="n"/>
      <c r="B54" s="366" t="n"/>
      <c r="C54" s="366" t="n"/>
      <c r="D54" s="366" t="n"/>
      <c r="E54" s="366" t="n"/>
      <c r="F54" s="366" t="n"/>
      <c r="G54" s="366" t="n"/>
      <c r="H54" s="366" t="n"/>
    </row>
    <row r="55">
      <c r="A55" s="366" t="n"/>
      <c r="B55" s="366" t="n"/>
      <c r="C55" s="366" t="n"/>
      <c r="D55" s="366" t="n"/>
      <c r="E55" s="366" t="n"/>
      <c r="F55" s="366" t="n"/>
      <c r="G55" s="366" t="n"/>
      <c r="H55" s="366" t="n"/>
    </row>
    <row r="56">
      <c r="A56" s="366" t="n"/>
      <c r="B56" s="366" t="n"/>
      <c r="C56" s="366" t="n"/>
      <c r="D56" s="366" t="n"/>
      <c r="E56" s="366" t="n"/>
      <c r="F56" s="366" t="n"/>
      <c r="G56" s="366" t="n"/>
      <c r="H56" s="366" t="n"/>
    </row>
    <row r="57">
      <c r="A57" s="366" t="n"/>
      <c r="B57" s="366" t="n"/>
      <c r="C57" s="366" t="n"/>
      <c r="D57" s="366" t="n"/>
      <c r="E57" s="366" t="n"/>
      <c r="F57" s="366" t="n"/>
      <c r="G57" s="366" t="n"/>
      <c r="H57" s="366" t="n"/>
    </row>
    <row r="58">
      <c r="A58" s="366" t="n"/>
      <c r="B58" s="366" t="n"/>
      <c r="C58" s="366" t="n"/>
      <c r="D58" s="366" t="n"/>
      <c r="E58" s="366" t="n"/>
      <c r="F58" s="366" t="n"/>
      <c r="G58" s="366" t="n"/>
      <c r="H58" s="366" t="n"/>
    </row>
    <row r="59">
      <c r="A59" s="366" t="n"/>
      <c r="B59" s="366" t="n"/>
      <c r="C59" s="366" t="n"/>
      <c r="D59" s="366" t="n"/>
      <c r="E59" s="366" t="n"/>
      <c r="F59" s="366" t="n"/>
      <c r="G59" s="366" t="n"/>
      <c r="H59" s="366" t="n"/>
    </row>
    <row r="60">
      <c r="A60" s="366" t="n"/>
      <c r="B60" s="366" t="n"/>
      <c r="C60" s="366" t="n"/>
      <c r="D60" s="366" t="n"/>
      <c r="E60" s="366" t="n"/>
      <c r="F60" s="366" t="n"/>
      <c r="G60" s="366" t="n"/>
      <c r="H60" s="366" t="n"/>
    </row>
    <row r="61">
      <c r="A61" s="366" t="n"/>
      <c r="B61" s="366" t="n"/>
      <c r="C61" s="366" t="n"/>
      <c r="D61" s="366" t="n"/>
      <c r="E61" s="366" t="n"/>
      <c r="F61" s="366" t="n"/>
      <c r="G61" s="366" t="n"/>
      <c r="H61" s="366" t="n"/>
    </row>
    <row r="62">
      <c r="A62" s="366" t="n"/>
      <c r="B62" s="366" t="n"/>
      <c r="C62" s="366" t="n"/>
      <c r="D62" s="366" t="n"/>
      <c r="E62" s="366" t="n"/>
      <c r="F62" s="366" t="n"/>
      <c r="G62" s="366" t="n"/>
      <c r="H62" s="366" t="n"/>
    </row>
    <row r="63">
      <c r="A63" s="366" t="n"/>
      <c r="B63" s="366" t="n"/>
      <c r="C63" s="366" t="n"/>
      <c r="D63" s="366" t="n"/>
      <c r="E63" s="366" t="n"/>
      <c r="F63" s="366" t="n"/>
      <c r="G63" s="366" t="n"/>
      <c r="H63" s="366" t="n"/>
    </row>
    <row r="64">
      <c r="A64" s="366" t="n"/>
      <c r="B64" s="366" t="n"/>
      <c r="C64" s="366" t="n"/>
      <c r="D64" s="366" t="n"/>
      <c r="E64" s="366" t="n"/>
      <c r="F64" s="366" t="n"/>
      <c r="G64" s="366" t="n"/>
      <c r="H64" s="366" t="n"/>
    </row>
    <row r="65">
      <c r="A65" s="366" t="n"/>
      <c r="B65" s="366" t="n"/>
      <c r="C65" s="366" t="n"/>
      <c r="D65" s="366" t="n"/>
      <c r="E65" s="366" t="n"/>
      <c r="F65" s="366" t="n"/>
      <c r="G65" s="366" t="n"/>
      <c r="H65" s="366" t="n"/>
    </row>
    <row r="66">
      <c r="A66" s="366" t="n"/>
      <c r="B66" s="366" t="n"/>
      <c r="C66" s="366" t="n"/>
      <c r="D66" s="366" t="n"/>
      <c r="E66" s="366" t="n"/>
      <c r="F66" s="366" t="n"/>
      <c r="G66" s="366" t="n"/>
      <c r="H66" s="366" t="n"/>
    </row>
    <row r="67">
      <c r="A67" s="366" t="n"/>
      <c r="B67" s="366" t="n"/>
      <c r="C67" s="366" t="n"/>
      <c r="D67" s="366" t="n"/>
      <c r="E67" s="366" t="n"/>
      <c r="F67" s="366" t="n"/>
      <c r="G67" s="366" t="n"/>
      <c r="H67" s="366" t="n"/>
    </row>
    <row r="68">
      <c r="A68" s="366" t="n"/>
      <c r="B68" s="366" t="n"/>
      <c r="C68" s="366" t="n"/>
      <c r="D68" s="366" t="n"/>
      <c r="E68" s="366" t="n"/>
      <c r="F68" s="366" t="n"/>
      <c r="G68" s="366" t="n"/>
      <c r="H68" s="366" t="n"/>
    </row>
    <row r="69">
      <c r="A69" s="366" t="n"/>
      <c r="B69" s="366" t="n"/>
      <c r="C69" s="366" t="n"/>
      <c r="D69" s="366" t="n"/>
      <c r="E69" s="366" t="n"/>
      <c r="F69" s="366" t="n"/>
      <c r="G69" s="366" t="n"/>
      <c r="H69" s="366" t="n"/>
    </row>
    <row r="70">
      <c r="A70" s="366" t="n"/>
      <c r="B70" s="366" t="n"/>
      <c r="C70" s="366" t="n"/>
      <c r="D70" s="366" t="n"/>
      <c r="E70" s="366" t="n"/>
      <c r="F70" s="366" t="n"/>
      <c r="G70" s="366" t="n"/>
      <c r="H70" s="366" t="n"/>
    </row>
    <row r="71">
      <c r="A71" s="366" t="n"/>
      <c r="B71" s="366" t="n"/>
      <c r="C71" s="366" t="n"/>
      <c r="D71" s="366" t="n"/>
      <c r="E71" s="366" t="n"/>
      <c r="F71" s="366" t="n"/>
      <c r="G71" s="366" t="n"/>
      <c r="H71" s="366" t="n"/>
    </row>
    <row r="72">
      <c r="A72" s="366" t="n"/>
      <c r="B72" s="366" t="n"/>
      <c r="C72" s="366" t="n"/>
      <c r="D72" s="366" t="n"/>
      <c r="E72" s="366" t="n"/>
      <c r="F72" s="366" t="n"/>
      <c r="G72" s="366" t="n"/>
      <c r="H72" s="366" t="n"/>
    </row>
    <row r="73">
      <c r="A73" s="366" t="n"/>
      <c r="B73" s="366" t="n"/>
      <c r="C73" s="366" t="n"/>
      <c r="D73" s="366" t="n"/>
      <c r="E73" s="366" t="n"/>
      <c r="F73" s="366" t="n"/>
      <c r="G73" s="366" t="n"/>
      <c r="H73" s="366" t="n"/>
    </row>
    <row r="74">
      <c r="A74" s="366" t="n"/>
      <c r="B74" s="366" t="n"/>
      <c r="C74" s="366" t="n"/>
      <c r="D74" s="366" t="n"/>
      <c r="E74" s="366" t="n"/>
      <c r="F74" s="366" t="n"/>
      <c r="G74" s="366" t="n"/>
      <c r="H74" s="366" t="n"/>
    </row>
    <row r="75">
      <c r="A75" s="366" t="n"/>
      <c r="B75" s="366" t="n"/>
      <c r="C75" s="366" t="n"/>
      <c r="D75" s="366" t="n"/>
      <c r="E75" s="366" t="n"/>
      <c r="F75" s="366" t="n"/>
      <c r="G75" s="366" t="n"/>
      <c r="H75" s="366" t="n"/>
    </row>
    <row r="76">
      <c r="A76" s="366" t="n"/>
      <c r="B76" s="366" t="n"/>
      <c r="C76" s="366" t="n"/>
      <c r="D76" s="366" t="n"/>
      <c r="E76" s="366" t="n"/>
      <c r="F76" s="366" t="n"/>
      <c r="G76" s="366" t="n"/>
      <c r="H76" s="366" t="n"/>
    </row>
    <row r="77">
      <c r="A77" s="366" t="n"/>
      <c r="B77" s="366" t="n"/>
      <c r="C77" s="366" t="n"/>
      <c r="D77" s="366" t="n"/>
      <c r="E77" s="366" t="n"/>
      <c r="F77" s="366" t="n"/>
      <c r="G77" s="366" t="n"/>
      <c r="H77" s="366" t="n"/>
    </row>
    <row r="78">
      <c r="A78" s="366" t="n"/>
      <c r="B78" s="366" t="n"/>
      <c r="C78" s="366" t="n"/>
      <c r="D78" s="366" t="n"/>
      <c r="E78" s="366" t="n"/>
      <c r="F78" s="366" t="n"/>
      <c r="G78" s="366" t="n"/>
      <c r="H78" s="366" t="n"/>
    </row>
    <row r="79">
      <c r="A79" s="366" t="n"/>
      <c r="B79" s="366" t="n"/>
      <c r="C79" s="366" t="n"/>
      <c r="D79" s="366" t="n"/>
      <c r="E79" s="366" t="n"/>
      <c r="F79" s="366" t="n"/>
      <c r="G79" s="366" t="n"/>
      <c r="H79" s="366" t="n"/>
    </row>
    <row r="80">
      <c r="A80" s="366" t="n"/>
      <c r="B80" s="366" t="n"/>
      <c r="C80" s="366" t="n"/>
      <c r="D80" s="366" t="n"/>
      <c r="E80" s="366" t="n"/>
      <c r="F80" s="366" t="n"/>
      <c r="G80" s="366" t="n"/>
      <c r="H80" s="366" t="n"/>
    </row>
    <row r="81">
      <c r="A81" s="366" t="n"/>
      <c r="B81" s="366" t="n"/>
      <c r="C81" s="366" t="n"/>
      <c r="D81" s="366" t="n"/>
      <c r="E81" s="366" t="n"/>
      <c r="F81" s="366" t="n"/>
      <c r="G81" s="366" t="n"/>
      <c r="H81" s="366" t="n"/>
    </row>
    <row r="82">
      <c r="A82" s="366" t="n"/>
      <c r="B82" s="366" t="n"/>
      <c r="C82" s="366" t="n"/>
      <c r="D82" s="366" t="n"/>
      <c r="E82" s="366" t="n"/>
      <c r="F82" s="366" t="n"/>
      <c r="G82" s="366" t="n"/>
      <c r="H82" s="366" t="n"/>
    </row>
    <row r="83">
      <c r="A83" s="366" t="n"/>
      <c r="B83" s="366" t="n"/>
      <c r="C83" s="366" t="n"/>
      <c r="D83" s="366" t="n"/>
      <c r="E83" s="366" t="n"/>
      <c r="F83" s="366" t="n"/>
      <c r="G83" s="366" t="n"/>
      <c r="H83" s="366" t="n"/>
    </row>
    <row r="84">
      <c r="A84" s="366" t="n"/>
      <c r="B84" s="366" t="n"/>
      <c r="C84" s="366" t="n"/>
      <c r="D84" s="366" t="n"/>
      <c r="E84" s="366" t="n"/>
      <c r="F84" s="366" t="n"/>
      <c r="G84" s="366" t="n"/>
      <c r="H84" s="366" t="n"/>
    </row>
    <row r="85">
      <c r="A85" s="366" t="n"/>
      <c r="B85" s="366" t="n"/>
      <c r="C85" s="366" t="n"/>
      <c r="D85" s="366" t="n"/>
      <c r="E85" s="366" t="n"/>
      <c r="F85" s="366" t="n"/>
      <c r="G85" s="366" t="n"/>
      <c r="H85" s="366" t="n"/>
    </row>
    <row r="86">
      <c r="A86" s="366" t="n"/>
      <c r="B86" s="366" t="n"/>
      <c r="C86" s="366" t="n"/>
      <c r="D86" s="366" t="n"/>
      <c r="E86" s="366" t="n"/>
      <c r="F86" s="366" t="n"/>
      <c r="G86" s="366" t="n"/>
      <c r="H86" s="366" t="n"/>
    </row>
    <row r="87">
      <c r="A87" s="366" t="n"/>
      <c r="B87" s="366" t="n"/>
      <c r="C87" s="366" t="n"/>
      <c r="D87" s="366" t="n"/>
      <c r="E87" s="366" t="n"/>
      <c r="F87" s="366" t="n"/>
      <c r="G87" s="366" t="n"/>
      <c r="H87" s="366" t="n"/>
    </row>
    <row r="88">
      <c r="A88" s="366" t="n"/>
      <c r="B88" s="366" t="n"/>
      <c r="C88" s="366" t="n"/>
      <c r="D88" s="366" t="n"/>
      <c r="E88" s="366" t="n"/>
      <c r="F88" s="366" t="n"/>
      <c r="G88" s="366" t="n"/>
      <c r="H88" s="366" t="n"/>
    </row>
    <row r="89">
      <c r="A89" s="366" t="n"/>
      <c r="B89" s="366" t="n"/>
      <c r="C89" s="366" t="n"/>
      <c r="D89" s="366" t="n"/>
      <c r="E89" s="366" t="n"/>
      <c r="F89" s="366" t="n"/>
      <c r="G89" s="366" t="n"/>
      <c r="H89" s="366" t="n"/>
    </row>
    <row r="90">
      <c r="A90" s="366" t="n"/>
      <c r="B90" s="366" t="n"/>
      <c r="C90" s="366" t="n"/>
      <c r="D90" s="366" t="n"/>
      <c r="E90" s="366" t="n"/>
      <c r="F90" s="366" t="n"/>
      <c r="G90" s="366" t="n"/>
      <c r="H90" s="366" t="n"/>
    </row>
    <row r="91">
      <c r="A91" s="366" t="n"/>
      <c r="B91" s="366" t="n"/>
      <c r="C91" s="366" t="n"/>
      <c r="D91" s="366" t="n"/>
      <c r="E91" s="366" t="n"/>
      <c r="F91" s="366" t="n"/>
      <c r="G91" s="366" t="n"/>
      <c r="H91" s="366" t="n"/>
    </row>
    <row r="92">
      <c r="A92" s="366" t="n"/>
      <c r="B92" s="366" t="n"/>
      <c r="C92" s="366" t="n"/>
      <c r="D92" s="366" t="n"/>
      <c r="E92" s="366" t="n"/>
      <c r="F92" s="366" t="n"/>
      <c r="G92" s="366" t="n"/>
      <c r="H92" s="366" t="n"/>
    </row>
    <row r="93">
      <c r="A93" s="366" t="n"/>
      <c r="B93" s="366" t="n"/>
      <c r="C93" s="366" t="n"/>
      <c r="D93" s="366" t="n"/>
      <c r="E93" s="366" t="n"/>
      <c r="F93" s="366" t="n"/>
      <c r="G93" s="366" t="n"/>
      <c r="H93" s="366" t="n"/>
    </row>
    <row r="94">
      <c r="A94" s="366" t="n"/>
      <c r="B94" s="366" t="n"/>
      <c r="C94" s="366" t="n"/>
      <c r="D94" s="366" t="n"/>
      <c r="E94" s="366" t="n"/>
      <c r="F94" s="366" t="n"/>
      <c r="G94" s="366" t="n"/>
      <c r="H94" s="366" t="n"/>
    </row>
    <row r="95">
      <c r="A95" s="366" t="n"/>
      <c r="B95" s="366" t="n"/>
      <c r="C95" s="366" t="n"/>
      <c r="D95" s="366" t="n"/>
      <c r="E95" s="366" t="n"/>
      <c r="F95" s="366" t="n"/>
      <c r="G95" s="366" t="n"/>
      <c r="H95" s="366" t="n"/>
    </row>
    <row r="96" ht="64.5" customHeight="1">
      <c r="A96" s="366" t="n"/>
      <c r="B96" s="366" t="n"/>
      <c r="C96" s="366" t="n"/>
      <c r="D96" s="366" t="n"/>
      <c r="E96" s="366" t="n"/>
      <c r="F96" s="366" t="n"/>
      <c r="G96" s="366" t="n"/>
      <c r="H96" s="366" t="n"/>
    </row>
    <row r="97">
      <c r="A97" s="366" t="n"/>
      <c r="B97" s="366" t="n"/>
      <c r="C97" s="366" t="n"/>
      <c r="D97" s="366" t="n"/>
      <c r="E97" s="366" t="n"/>
      <c r="F97" s="366" t="n"/>
      <c r="G97" s="366" t="n"/>
      <c r="H97" s="366" t="n"/>
    </row>
    <row r="98">
      <c r="A98" s="366" t="n"/>
      <c r="B98" s="366" t="n"/>
      <c r="C98" s="366" t="n"/>
      <c r="D98" s="366" t="n"/>
      <c r="E98" s="366" t="n"/>
      <c r="F98" s="366" t="n"/>
      <c r="G98" s="366" t="n"/>
      <c r="H98" s="366" t="n"/>
    </row>
    <row r="99">
      <c r="A99" s="366" t="n"/>
      <c r="B99" s="366" t="n"/>
      <c r="C99" s="366" t="n"/>
      <c r="D99" s="366" t="n"/>
      <c r="E99" s="366" t="n"/>
      <c r="F99" s="366" t="n"/>
      <c r="G99" s="366" t="n"/>
      <c r="H99" s="366" t="n"/>
    </row>
    <row r="100">
      <c r="A100" s="366" t="n"/>
      <c r="B100" s="366" t="n"/>
      <c r="C100" s="366" t="n"/>
      <c r="D100" s="366" t="n"/>
      <c r="E100" s="366" t="n"/>
      <c r="F100" s="366" t="n"/>
      <c r="G100" s="366" t="n"/>
      <c r="H100" s="366" t="n"/>
    </row>
    <row r="101">
      <c r="A101" s="366" t="n"/>
      <c r="B101" s="366" t="n"/>
      <c r="C101" s="366" t="n"/>
      <c r="D101" s="366" t="n"/>
      <c r="E101" s="366" t="n"/>
      <c r="F101" s="366" t="n"/>
      <c r="G101" s="366" t="n"/>
      <c r="H101" s="366" t="n"/>
    </row>
    <row r="102">
      <c r="A102" s="366" t="n"/>
      <c r="B102" s="366" t="n"/>
      <c r="C102" s="366" t="n"/>
      <c r="D102" s="366" t="n"/>
      <c r="E102" s="366" t="n"/>
      <c r="F102" s="366" t="n"/>
      <c r="G102" s="366" t="n"/>
      <c r="H102" s="366" t="n"/>
    </row>
    <row r="103">
      <c r="A103" s="366" t="n"/>
      <c r="B103" s="366" t="n"/>
      <c r="C103" s="366" t="n"/>
      <c r="D103" s="366" t="n"/>
      <c r="E103" s="366" t="n"/>
      <c r="F103" s="366" t="n"/>
      <c r="G103" s="366" t="n"/>
      <c r="H103" s="366" t="n"/>
    </row>
    <row r="104">
      <c r="A104" s="366" t="n"/>
      <c r="B104" s="366" t="n"/>
      <c r="C104" s="366" t="n"/>
      <c r="D104" s="366" t="n"/>
      <c r="E104" s="366" t="n"/>
      <c r="F104" s="366" t="n"/>
      <c r="G104" s="366" t="n"/>
      <c r="H104" s="366" t="n"/>
    </row>
    <row r="105">
      <c r="A105" s="366" t="n"/>
      <c r="B105" s="366" t="n"/>
      <c r="C105" s="366" t="n"/>
      <c r="D105" s="366" t="n"/>
      <c r="E105" s="366" t="n"/>
      <c r="F105" s="366" t="n"/>
      <c r="G105" s="366" t="n"/>
      <c r="H105" s="366" t="n"/>
    </row>
    <row r="106">
      <c r="A106" s="366" t="n"/>
      <c r="B106" s="366" t="n"/>
      <c r="C106" s="366" t="n"/>
      <c r="D106" s="366" t="n"/>
      <c r="E106" s="366" t="n"/>
      <c r="F106" s="366" t="n"/>
      <c r="G106" s="366" t="n"/>
      <c r="H106" s="366" t="n"/>
    </row>
    <row r="107">
      <c r="A107" s="366" t="n"/>
      <c r="B107" s="366" t="n"/>
      <c r="C107" s="366" t="n"/>
      <c r="D107" s="366" t="n"/>
      <c r="E107" s="366" t="n"/>
      <c r="F107" s="366" t="n"/>
      <c r="G107" s="366" t="n"/>
      <c r="H107" s="366" t="n"/>
    </row>
    <row r="108">
      <c r="A108" s="366" t="n"/>
      <c r="B108" s="366" t="n"/>
      <c r="C108" s="366" t="n"/>
      <c r="D108" s="366" t="n"/>
      <c r="E108" s="366" t="n"/>
      <c r="F108" s="366" t="n"/>
      <c r="G108" s="366" t="n"/>
      <c r="H108" s="366" t="n"/>
    </row>
    <row r="109">
      <c r="A109" s="366" t="n"/>
      <c r="B109" s="366" t="n"/>
      <c r="C109" s="366" t="n"/>
      <c r="D109" s="366" t="n"/>
      <c r="E109" s="366" t="n"/>
      <c r="F109" s="366" t="n"/>
      <c r="G109" s="366" t="n"/>
      <c r="H109" s="366" t="n"/>
    </row>
    <row r="110">
      <c r="A110" s="366" t="n"/>
      <c r="B110" s="366" t="n"/>
      <c r="C110" s="366" t="n"/>
      <c r="D110" s="366" t="n"/>
      <c r="E110" s="366" t="n"/>
      <c r="F110" s="366" t="n"/>
      <c r="G110" s="366" t="n"/>
      <c r="H110" s="366" t="n"/>
    </row>
    <row r="111">
      <c r="A111" s="366" t="n"/>
      <c r="B111" s="366" t="n"/>
      <c r="C111" s="366" t="n"/>
      <c r="D111" s="366" t="n"/>
      <c r="E111" s="366" t="n"/>
      <c r="F111" s="366" t="n"/>
      <c r="G111" s="366" t="n"/>
      <c r="H111" s="366" t="n"/>
    </row>
    <row r="112">
      <c r="A112" s="366" t="n"/>
      <c r="B112" s="366" t="n"/>
      <c r="C112" s="366" t="n"/>
      <c r="D112" s="366" t="n"/>
      <c r="E112" s="366" t="n"/>
      <c r="F112" s="366" t="n"/>
      <c r="G112" s="366" t="n"/>
      <c r="H112" s="366" t="n"/>
    </row>
    <row r="113">
      <c r="A113" s="366" t="n"/>
      <c r="B113" s="366" t="n"/>
      <c r="C113" s="366" t="n"/>
      <c r="D113" s="366" t="n"/>
      <c r="E113" s="366" t="n"/>
      <c r="F113" s="366" t="n"/>
      <c r="G113" s="366" t="n"/>
      <c r="H113" s="366" t="n"/>
    </row>
    <row r="114">
      <c r="A114" s="366" t="n"/>
      <c r="B114" s="366" t="n"/>
      <c r="C114" s="366" t="n"/>
      <c r="D114" s="366" t="n"/>
      <c r="E114" s="366" t="n"/>
      <c r="F114" s="366" t="n"/>
      <c r="G114" s="366" t="n"/>
      <c r="H114" s="366" t="n"/>
    </row>
    <row r="115">
      <c r="A115" s="366" t="n"/>
      <c r="B115" s="366" t="n"/>
      <c r="C115" s="366" t="n"/>
      <c r="D115" s="366" t="n"/>
      <c r="E115" s="366" t="n"/>
      <c r="F115" s="366" t="n"/>
      <c r="G115" s="366" t="n"/>
      <c r="H115" s="366" t="n"/>
    </row>
    <row r="116">
      <c r="A116" s="366" t="n"/>
      <c r="B116" s="366" t="n"/>
      <c r="C116" s="366" t="n"/>
      <c r="D116" s="366" t="n"/>
      <c r="E116" s="366" t="n"/>
      <c r="F116" s="366" t="n"/>
      <c r="G116" s="366" t="n"/>
      <c r="H116" s="366" t="n"/>
    </row>
    <row r="117">
      <c r="A117" s="366" t="n"/>
      <c r="B117" s="366" t="n"/>
      <c r="C117" s="366" t="n"/>
      <c r="D117" s="366" t="n"/>
      <c r="E117" s="366" t="n"/>
      <c r="F117" s="366" t="n"/>
      <c r="G117" s="366" t="n"/>
      <c r="H117" s="366" t="n"/>
    </row>
    <row r="118">
      <c r="A118" s="366" t="n"/>
      <c r="B118" s="366" t="n"/>
      <c r="C118" s="366" t="n"/>
      <c r="D118" s="366" t="n"/>
      <c r="E118" s="366" t="n"/>
      <c r="F118" s="366" t="n"/>
      <c r="G118" s="366" t="n"/>
      <c r="H118" s="366" t="n"/>
    </row>
    <row r="119">
      <c r="A119" s="366" t="n"/>
      <c r="B119" s="366" t="n"/>
      <c r="C119" s="366" t="n"/>
      <c r="D119" s="366" t="n"/>
      <c r="E119" s="366" t="n"/>
      <c r="F119" s="366" t="n"/>
      <c r="G119" s="366" t="n"/>
      <c r="H119" s="366" t="n"/>
    </row>
    <row r="120">
      <c r="A120" s="366" t="n"/>
      <c r="B120" s="366" t="n"/>
      <c r="C120" s="366" t="n"/>
      <c r="D120" s="366" t="n"/>
      <c r="E120" s="366" t="n"/>
      <c r="F120" s="366" t="n"/>
      <c r="G120" s="366" t="n"/>
      <c r="H120" s="366" t="n"/>
    </row>
    <row r="121">
      <c r="A121" s="366" t="n"/>
      <c r="B121" s="366" t="n"/>
      <c r="C121" s="366" t="n"/>
      <c r="D121" s="366" t="n"/>
      <c r="E121" s="366" t="n"/>
      <c r="F121" s="366" t="n"/>
      <c r="G121" s="366" t="n"/>
      <c r="H121" s="366" t="n"/>
    </row>
    <row r="122">
      <c r="A122" s="366" t="n"/>
      <c r="B122" s="366" t="n"/>
      <c r="C122" s="366" t="n"/>
      <c r="D122" s="366" t="n"/>
      <c r="E122" s="366" t="n"/>
      <c r="F122" s="366" t="n"/>
      <c r="G122" s="366" t="n"/>
      <c r="H122" s="366" t="n"/>
    </row>
    <row r="123">
      <c r="A123" s="366" t="n"/>
      <c r="B123" s="366" t="n"/>
      <c r="C123" s="366" t="n"/>
      <c r="D123" s="366" t="n"/>
      <c r="E123" s="366" t="n"/>
      <c r="F123" s="366" t="n"/>
      <c r="G123" s="366" t="n"/>
      <c r="H123" s="366" t="n"/>
    </row>
    <row r="124">
      <c r="A124" s="366" t="n"/>
      <c r="B124" s="366" t="n"/>
      <c r="C124" s="366" t="n"/>
      <c r="D124" s="366" t="n"/>
      <c r="E124" s="366" t="n"/>
      <c r="F124" s="366" t="n"/>
      <c r="G124" s="366" t="n"/>
      <c r="H124" s="366" t="n"/>
    </row>
    <row r="125">
      <c r="A125" s="366" t="n"/>
      <c r="B125" s="366" t="n"/>
      <c r="C125" s="366" t="n"/>
      <c r="D125" s="366" t="n"/>
      <c r="E125" s="366" t="n"/>
      <c r="F125" s="366" t="n"/>
      <c r="G125" s="366" t="n"/>
      <c r="H125" s="366" t="n"/>
    </row>
    <row r="126">
      <c r="A126" s="366" t="n"/>
      <c r="B126" s="366" t="n"/>
      <c r="C126" s="366" t="n"/>
      <c r="D126" s="366" t="n"/>
      <c r="E126" s="366" t="n"/>
      <c r="F126" s="366" t="n"/>
      <c r="G126" s="366" t="n"/>
      <c r="H126" s="366" t="n"/>
    </row>
    <row r="127">
      <c r="A127" s="366" t="n"/>
      <c r="B127" s="366" t="n"/>
      <c r="C127" s="366" t="n"/>
      <c r="D127" s="366" t="n"/>
      <c r="E127" s="366" t="n"/>
      <c r="F127" s="366" t="n"/>
      <c r="G127" s="366" t="n"/>
      <c r="H127" s="366" t="n"/>
    </row>
    <row r="128">
      <c r="A128" s="366" t="n"/>
      <c r="B128" s="366" t="n"/>
      <c r="C128" s="366" t="n"/>
      <c r="D128" s="366" t="n"/>
      <c r="E128" s="366" t="n"/>
      <c r="F128" s="366" t="n"/>
      <c r="G128" s="366" t="n"/>
      <c r="H128" s="366" t="n"/>
    </row>
    <row r="129">
      <c r="A129" s="366" t="n"/>
      <c r="B129" s="366" t="n"/>
      <c r="C129" s="366" t="n"/>
      <c r="D129" s="366" t="n"/>
      <c r="E129" s="366" t="n"/>
      <c r="F129" s="366" t="n"/>
      <c r="G129" s="366" t="n"/>
      <c r="H129" s="366" t="n"/>
    </row>
    <row r="130">
      <c r="A130" s="366" t="n"/>
      <c r="B130" s="366" t="n"/>
      <c r="C130" s="366" t="n"/>
      <c r="D130" s="366" t="n"/>
      <c r="E130" s="366" t="n"/>
      <c r="F130" s="366" t="n"/>
      <c r="G130" s="366" t="n"/>
      <c r="H130" s="366" t="n"/>
    </row>
    <row r="131">
      <c r="A131" s="366" t="n"/>
      <c r="B131" s="366" t="n"/>
      <c r="C131" s="366" t="n"/>
      <c r="D131" s="366" t="n"/>
      <c r="E131" s="366" t="n"/>
      <c r="F131" s="366" t="n"/>
      <c r="G131" s="366" t="n"/>
      <c r="H131" s="366" t="n"/>
    </row>
    <row r="132">
      <c r="A132" s="366" t="n"/>
      <c r="B132" s="366" t="n"/>
      <c r="C132" s="366" t="n"/>
      <c r="D132" s="366" t="n"/>
      <c r="E132" s="366" t="n"/>
      <c r="F132" s="366" t="n"/>
      <c r="G132" s="366" t="n"/>
      <c r="H132" s="366" t="n"/>
    </row>
    <row r="133">
      <c r="A133" s="366" t="n"/>
      <c r="B133" s="366" t="n"/>
      <c r="C133" s="366" t="n"/>
      <c r="D133" s="366" t="n"/>
      <c r="E133" s="366" t="n"/>
      <c r="F133" s="366" t="n"/>
      <c r="G133" s="366" t="n"/>
      <c r="H133" s="366" t="n"/>
    </row>
    <row r="134">
      <c r="A134" s="366" t="n"/>
      <c r="B134" s="366" t="n"/>
      <c r="C134" s="366" t="n"/>
      <c r="D134" s="366" t="n"/>
      <c r="E134" s="366" t="n"/>
      <c r="F134" s="366" t="n"/>
      <c r="G134" s="366" t="n"/>
      <c r="H134" s="366" t="n"/>
    </row>
    <row r="135">
      <c r="A135" s="366" t="n"/>
      <c r="B135" s="366" t="n"/>
      <c r="C135" s="366" t="n"/>
      <c r="D135" s="366" t="n"/>
      <c r="E135" s="366" t="n"/>
      <c r="F135" s="366" t="n"/>
      <c r="G135" s="366" t="n"/>
      <c r="H135" s="366" t="n"/>
    </row>
    <row r="136">
      <c r="A136" s="366" t="n"/>
      <c r="B136" s="366" t="n"/>
      <c r="C136" s="366" t="n"/>
      <c r="D136" s="366" t="n"/>
      <c r="E136" s="366" t="n"/>
      <c r="F136" s="366" t="n"/>
      <c r="G136" s="366" t="n"/>
      <c r="H136" s="366" t="n"/>
    </row>
    <row r="137">
      <c r="A137" s="366" t="n"/>
      <c r="B137" s="366" t="n"/>
      <c r="C137" s="366" t="n"/>
      <c r="D137" s="366" t="n"/>
      <c r="E137" s="366" t="n"/>
      <c r="F137" s="366" t="n"/>
      <c r="G137" s="366" t="n"/>
      <c r="H137" s="366" t="n"/>
    </row>
    <row r="138">
      <c r="A138" s="366" t="n"/>
      <c r="B138" s="366" t="n"/>
      <c r="C138" s="366" t="n"/>
      <c r="D138" s="366" t="n"/>
      <c r="E138" s="366" t="n"/>
      <c r="F138" s="366" t="n"/>
      <c r="G138" s="366" t="n"/>
      <c r="H138" s="366" t="n"/>
    </row>
    <row r="139">
      <c r="A139" s="366" t="n"/>
      <c r="B139" s="366" t="n"/>
      <c r="C139" s="366" t="n"/>
      <c r="D139" s="366" t="n"/>
      <c r="E139" s="366" t="n"/>
      <c r="F139" s="366" t="n"/>
      <c r="G139" s="366" t="n"/>
      <c r="H139" s="366" t="n"/>
    </row>
    <row r="140">
      <c r="A140" s="366" t="n"/>
      <c r="B140" s="366" t="n"/>
      <c r="C140" s="366" t="n"/>
      <c r="D140" s="366" t="n"/>
      <c r="E140" s="366" t="n"/>
      <c r="F140" s="366" t="n"/>
      <c r="G140" s="366" t="n"/>
      <c r="H140" s="366" t="n"/>
    </row>
    <row r="141">
      <c r="A141" s="366" t="n"/>
      <c r="B141" s="366" t="n"/>
      <c r="C141" s="366" t="n"/>
      <c r="D141" s="366" t="n"/>
      <c r="E141" s="366" t="n"/>
      <c r="F141" s="366" t="n"/>
      <c r="G141" s="366" t="n"/>
      <c r="H141" s="366" t="n"/>
    </row>
    <row r="142">
      <c r="A142" s="366" t="n"/>
      <c r="B142" s="366" t="n"/>
      <c r="C142" s="366" t="n"/>
      <c r="D142" s="366" t="n"/>
      <c r="E142" s="366" t="n"/>
      <c r="F142" s="366" t="n"/>
      <c r="G142" s="366" t="n"/>
      <c r="H142" s="366" t="n"/>
    </row>
    <row r="143">
      <c r="A143" s="366" t="n"/>
      <c r="B143" s="366" t="n"/>
      <c r="C143" s="366" t="n"/>
      <c r="D143" s="366" t="n"/>
      <c r="E143" s="366" t="n"/>
      <c r="F143" s="366" t="n"/>
      <c r="G143" s="366" t="n"/>
      <c r="H143" s="366" t="n"/>
    </row>
    <row r="144">
      <c r="A144" s="366" t="n"/>
      <c r="B144" s="366" t="n"/>
      <c r="C144" s="366" t="n"/>
      <c r="D144" s="366" t="n"/>
      <c r="E144" s="366" t="n"/>
      <c r="F144" s="366" t="n"/>
      <c r="G144" s="366" t="n"/>
      <c r="H144" s="366" t="n"/>
    </row>
    <row r="145">
      <c r="A145" s="366" t="n"/>
      <c r="B145" s="366" t="n"/>
      <c r="C145" s="366" t="n"/>
      <c r="D145" s="366" t="n"/>
      <c r="E145" s="366" t="n"/>
      <c r="F145" s="366" t="n"/>
      <c r="G145" s="366" t="n"/>
      <c r="H145" s="366" t="n"/>
    </row>
    <row r="146">
      <c r="A146" s="366" t="n"/>
      <c r="B146" s="366" t="n"/>
      <c r="C146" s="366" t="n"/>
      <c r="D146" s="366" t="n"/>
      <c r="E146" s="366" t="n"/>
      <c r="F146" s="366" t="n"/>
      <c r="G146" s="366" t="n"/>
      <c r="H146" s="366" t="n"/>
    </row>
    <row r="147">
      <c r="A147" s="366" t="n"/>
      <c r="B147" s="366" t="n"/>
      <c r="C147" s="366" t="n"/>
      <c r="D147" s="366" t="n"/>
      <c r="E147" s="366" t="n"/>
      <c r="F147" s="366" t="n"/>
      <c r="G147" s="366" t="n"/>
      <c r="H147" s="366" t="n"/>
    </row>
    <row r="148">
      <c r="A148" s="366" t="n"/>
      <c r="B148" s="366" t="n"/>
      <c r="C148" s="366" t="n"/>
      <c r="D148" s="366" t="n"/>
      <c r="E148" s="366" t="n"/>
      <c r="F148" s="366" t="n"/>
      <c r="G148" s="366" t="n"/>
      <c r="H148" s="366" t="n"/>
    </row>
    <row r="149">
      <c r="A149" s="366" t="n"/>
      <c r="B149" s="366" t="n"/>
      <c r="C149" s="366" t="n"/>
      <c r="D149" s="366" t="n"/>
      <c r="E149" s="366" t="n"/>
      <c r="F149" s="366" t="n"/>
      <c r="G149" s="366" t="n"/>
      <c r="H149" s="366" t="n"/>
    </row>
    <row r="150">
      <c r="A150" s="366" t="n"/>
      <c r="B150" s="366" t="n"/>
      <c r="C150" s="366" t="n"/>
      <c r="D150" s="366" t="n"/>
      <c r="E150" s="366" t="n"/>
      <c r="F150" s="366" t="n"/>
      <c r="G150" s="366" t="n"/>
      <c r="H150" s="366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48" t="n"/>
      <c r="B1" s="348" t="n"/>
      <c r="C1" s="348" t="n"/>
      <c r="D1" s="348" t="n"/>
      <c r="E1" s="349" t="n"/>
    </row>
    <row r="2" ht="37.25" customHeight="1">
      <c r="A2" s="348" t="n"/>
      <c r="B2" s="348" t="n"/>
      <c r="C2" s="348" t="n"/>
      <c r="D2" s="348" t="n"/>
      <c r="E2" s="349" t="n"/>
    </row>
    <row r="3" ht="33.6" customHeight="1">
      <c r="A3" s="348" t="n"/>
      <c r="B3" s="350" t="inlineStr">
        <is>
          <t>PT. EXSPAN WIRELINE INDONESIA</t>
        </is>
      </c>
      <c r="F3" s="351" t="n"/>
    </row>
    <row r="4" ht="20.45" customHeight="1">
      <c r="A4" s="348" t="n"/>
      <c r="B4" s="353" t="inlineStr">
        <is>
          <t>BUSINESS SUMMARY | TAHUN 2024</t>
        </is>
      </c>
      <c r="F4" s="351" t="n"/>
    </row>
    <row r="5" ht="6" customHeight="1">
      <c r="A5" s="348" t="n"/>
      <c r="B5" s="348" t="n"/>
      <c r="C5" s="348" t="n"/>
      <c r="D5" s="348" t="n"/>
      <c r="E5" s="349" t="n"/>
      <c r="F5" s="351" t="n"/>
    </row>
    <row r="6" ht="20" customHeight="1">
      <c r="A6" s="348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1" t="n"/>
    </row>
    <row r="7" ht="20" customHeight="1">
      <c r="A7" s="348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SUM('Revenue-Cost_2024'!F8:F301)</f>
        <v/>
      </c>
      <c r="F7" s="351" t="n"/>
    </row>
    <row r="8" ht="20" customHeight="1">
      <c r="A8" s="348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E7-SUM('Revenue-Cost_2024'!N8:N301)</f>
        <v/>
      </c>
      <c r="F8" s="351" t="n"/>
    </row>
    <row r="9" ht="20" customHeight="1">
      <c r="A9" s="348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SUM('Revenue-Cost_2024'!I1015:Q1015)</f>
        <v/>
      </c>
      <c r="F9" s="351" t="n"/>
    </row>
    <row r="10" ht="20" customHeight="1">
      <c r="A10" s="348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1" t="n"/>
    </row>
    <row r="11" ht="20" customHeight="1">
      <c r="A11" s="348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1" t="n"/>
    </row>
    <row r="12" ht="20" customHeight="1">
      <c r="A12" s="348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SUM('Revenue-Cost_2024'!N8:N301)</f>
        <v/>
      </c>
      <c r="F12" s="351" t="n"/>
    </row>
    <row r="13" ht="20" customHeight="1">
      <c r="A13" s="348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1" t="n"/>
    </row>
    <row r="14" ht="20" customHeight="1">
      <c r="A14" s="348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1" t="n"/>
    </row>
    <row r="15" ht="20" customHeight="1">
      <c r="A15" s="348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1" t="n"/>
    </row>
    <row r="16" ht="20" customHeight="1">
      <c r="A16" s="348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53207545</v>
      </c>
      <c r="F16" s="351" t="n"/>
    </row>
    <row r="17" ht="13.9" customHeight="1">
      <c r="A17" s="348" t="n"/>
      <c r="B17" s="348" t="n"/>
      <c r="C17" s="348" t="n"/>
      <c r="D17" s="348" t="n"/>
      <c r="E17" s="349" t="n"/>
      <c r="F17" s="351" t="n"/>
    </row>
    <row r="18" ht="17.65" customHeight="1">
      <c r="A18" s="348" t="n"/>
      <c r="B18" s="404" t="inlineStr">
        <is>
          <t>DEVIDEN</t>
        </is>
      </c>
      <c r="F18" s="351" t="n"/>
    </row>
    <row r="19" ht="20" customHeight="1">
      <c r="A19" s="348" t="n"/>
      <c r="B19" s="405" t="inlineStr">
        <is>
          <t>#</t>
        </is>
      </c>
      <c r="C19" s="405" t="inlineStr">
        <is>
          <t>Nama Lengkap</t>
        </is>
      </c>
      <c r="D19" s="406" t="inlineStr">
        <is>
          <t>Rp</t>
        </is>
      </c>
      <c r="E19" s="407" t="inlineStr">
        <is>
          <t>Amount</t>
        </is>
      </c>
      <c r="F19" s="351" t="n"/>
      <c r="G19" s="408" t="inlineStr"/>
    </row>
    <row r="20" ht="20" customHeight="1">
      <c r="A20" s="348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413" t="n"/>
      <c r="G20" s="414" t="inlineStr">
        <is>
          <t>Pajak 10%</t>
        </is>
      </c>
    </row>
    <row r="21" ht="20" customHeight="1">
      <c r="A21" s="415" t="n"/>
      <c r="B21" s="416" t="n">
        <v>2</v>
      </c>
      <c r="C21" s="417" t="inlineStr">
        <is>
          <t>Alan Muhadjir</t>
        </is>
      </c>
      <c r="D21" s="418" t="inlineStr">
        <is>
          <t>Rp</t>
        </is>
      </c>
      <c r="E21" s="419">
        <f>IF(C21="","",ROUND($E$15/COUNTA($C$20:$C$21), 0))</f>
        <v/>
      </c>
      <c r="F21" s="413" t="n"/>
      <c r="G21" s="420" t="inlineStr">
        <is>
          <t>Pajak 10%</t>
        </is>
      </c>
    </row>
    <row r="22" ht="14.25" customHeight="1">
      <c r="A22" s="415" t="n"/>
      <c r="B22" s="420" t="n"/>
      <c r="C22" s="420" t="n"/>
      <c r="D22" s="420" t="n"/>
      <c r="E22" s="420" t="n"/>
      <c r="F22" s="413" t="n"/>
      <c r="G22" s="420" t="n"/>
    </row>
    <row r="23">
      <c r="B23" s="420" t="n"/>
      <c r="C23" s="420" t="n"/>
      <c r="D23" s="420" t="n"/>
      <c r="E23" s="420" t="n"/>
      <c r="F23" s="420" t="n"/>
      <c r="G23" s="420" t="n"/>
    </row>
    <row r="24">
      <c r="B24" s="420" t="n"/>
      <c r="C24" s="420" t="n"/>
      <c r="D24" s="420" t="n"/>
      <c r="E24" s="420" t="n"/>
      <c r="F24" s="420" t="n"/>
      <c r="G24" s="420" t="n"/>
    </row>
    <row r="25">
      <c r="B25" s="420" t="n"/>
      <c r="C25" s="420" t="n"/>
      <c r="D25" s="420" t="n"/>
      <c r="E25" s="420" t="n"/>
      <c r="F25" s="420" t="n"/>
      <c r="G25" s="420" t="n"/>
    </row>
    <row r="26">
      <c r="B26" s="420" t="n"/>
      <c r="C26" s="420" t="n"/>
      <c r="D26" s="420" t="n"/>
      <c r="E26" s="420" t="n"/>
      <c r="F26" s="420" t="n"/>
      <c r="G26" s="420" t="n"/>
    </row>
    <row r="27">
      <c r="B27" s="420" t="n"/>
      <c r="C27" s="420" t="n"/>
      <c r="D27" s="420" t="n"/>
      <c r="E27" s="420" t="n"/>
      <c r="F27" s="420" t="n"/>
      <c r="G27" s="420" t="n"/>
    </row>
    <row r="28">
      <c r="B28" s="420" t="n"/>
      <c r="C28" s="420" t="n"/>
      <c r="D28" s="420" t="n"/>
      <c r="E28" s="420" t="n"/>
      <c r="F28" s="420" t="n"/>
      <c r="G28" s="420" t="n"/>
    </row>
    <row r="29">
      <c r="B29" s="420" t="n"/>
      <c r="C29" s="420" t="n"/>
      <c r="D29" s="420" t="n"/>
      <c r="E29" s="420" t="n"/>
      <c r="F29" s="420" t="n"/>
      <c r="G29" s="420" t="n"/>
    </row>
    <row r="30">
      <c r="B30" s="420" t="n"/>
      <c r="C30" s="420" t="n"/>
      <c r="D30" s="420" t="n"/>
      <c r="E30" s="420" t="n"/>
      <c r="F30" s="420" t="n"/>
      <c r="G30" s="420" t="n"/>
    </row>
    <row r="31">
      <c r="B31" s="420" t="n"/>
      <c r="C31" s="420" t="n"/>
      <c r="D31" s="420" t="n"/>
      <c r="E31" s="420" t="n"/>
      <c r="F31" s="420" t="n"/>
      <c r="G31" s="420" t="n"/>
    </row>
    <row r="32">
      <c r="B32" s="420" t="n"/>
      <c r="C32" s="420" t="n"/>
      <c r="D32" s="420" t="n"/>
      <c r="E32" s="420" t="n"/>
      <c r="F32" s="420" t="n"/>
      <c r="G32" s="420" t="n"/>
    </row>
    <row r="33">
      <c r="B33" s="420" t="n"/>
      <c r="C33" s="420" t="n"/>
      <c r="D33" s="420" t="n"/>
      <c r="E33" s="420" t="n"/>
      <c r="F33" s="420" t="n"/>
      <c r="G33" s="420" t="n"/>
    </row>
    <row r="34">
      <c r="B34" s="420" t="n"/>
      <c r="C34" s="420" t="n"/>
      <c r="D34" s="420" t="n"/>
      <c r="E34" s="420" t="n"/>
      <c r="F34" s="420" t="n"/>
      <c r="G34" s="420" t="n"/>
    </row>
    <row r="35">
      <c r="B35" s="420" t="n"/>
      <c r="C35" s="420" t="n"/>
      <c r="D35" s="420" t="n"/>
      <c r="E35" s="420" t="n"/>
      <c r="F35" s="420" t="n"/>
      <c r="G35" s="420" t="n"/>
    </row>
    <row r="36">
      <c r="B36" s="420" t="n"/>
      <c r="C36" s="420" t="n"/>
      <c r="D36" s="420" t="n"/>
      <c r="E36" s="420" t="n"/>
      <c r="F36" s="420" t="n"/>
      <c r="G36" s="420" t="n"/>
    </row>
    <row r="37">
      <c r="B37" s="420" t="n"/>
      <c r="C37" s="420" t="n"/>
      <c r="D37" s="420" t="n"/>
      <c r="E37" s="420" t="n"/>
      <c r="F37" s="420" t="n"/>
      <c r="G37" s="420" t="n"/>
    </row>
    <row r="38">
      <c r="B38" s="420" t="n"/>
      <c r="C38" s="420" t="n"/>
      <c r="D38" s="420" t="n"/>
      <c r="E38" s="420" t="n"/>
      <c r="F38" s="420" t="n"/>
      <c r="G38" s="420" t="n"/>
    </row>
    <row r="39">
      <c r="B39" s="420" t="n"/>
      <c r="C39" s="420" t="n"/>
      <c r="D39" s="420" t="n"/>
      <c r="E39" s="420" t="n"/>
      <c r="F39" s="420" t="n"/>
      <c r="G39" s="420" t="n"/>
    </row>
    <row r="40">
      <c r="B40" s="420" t="n"/>
      <c r="C40" s="420" t="n"/>
      <c r="D40" s="420" t="n"/>
      <c r="E40" s="420" t="n"/>
      <c r="F40" s="420" t="n"/>
      <c r="G40" s="420" t="n"/>
    </row>
    <row r="41">
      <c r="B41" s="420" t="n"/>
      <c r="C41" s="420" t="n"/>
      <c r="D41" s="420" t="n"/>
      <c r="E41" s="420" t="n"/>
      <c r="F41" s="420" t="n"/>
      <c r="G41" s="420" t="n"/>
    </row>
    <row r="42">
      <c r="B42" s="420" t="n"/>
      <c r="C42" s="420" t="n"/>
      <c r="D42" s="420" t="n"/>
      <c r="E42" s="420" t="n"/>
      <c r="F42" s="420" t="n"/>
      <c r="G42" s="420" t="n"/>
    </row>
    <row r="43">
      <c r="B43" s="420" t="n"/>
      <c r="C43" s="420" t="n"/>
      <c r="D43" s="420" t="n"/>
      <c r="E43" s="420" t="n"/>
      <c r="F43" s="420" t="n"/>
      <c r="G43" s="420" t="n"/>
    </row>
    <row r="44">
      <c r="B44" s="420" t="n"/>
      <c r="C44" s="420" t="n"/>
      <c r="D44" s="420" t="n"/>
      <c r="E44" s="420" t="n"/>
      <c r="F44" s="420" t="n"/>
      <c r="G44" s="420" t="n"/>
    </row>
    <row r="45">
      <c r="B45" s="420" t="n"/>
      <c r="C45" s="420" t="n"/>
      <c r="D45" s="420" t="n"/>
      <c r="E45" s="420" t="n"/>
      <c r="F45" s="420" t="n"/>
      <c r="G45" s="420" t="n"/>
    </row>
    <row r="46">
      <c r="B46" s="420" t="n"/>
      <c r="C46" s="420" t="n"/>
      <c r="D46" s="420" t="n"/>
      <c r="E46" s="420" t="n"/>
      <c r="F46" s="420" t="n"/>
      <c r="G46" s="420" t="n"/>
    </row>
    <row r="47">
      <c r="B47" s="420" t="n"/>
      <c r="C47" s="420" t="n"/>
      <c r="D47" s="420" t="n"/>
      <c r="E47" s="420" t="n"/>
      <c r="F47" s="420" t="n"/>
      <c r="G47" s="420" t="n"/>
    </row>
    <row r="48">
      <c r="B48" s="420" t="n"/>
      <c r="C48" s="420" t="n"/>
      <c r="D48" s="420" t="n"/>
      <c r="E48" s="420" t="n"/>
      <c r="F48" s="420" t="n"/>
      <c r="G48" s="420" t="n"/>
    </row>
    <row r="49">
      <c r="B49" s="420" t="n"/>
      <c r="C49" s="420" t="n"/>
      <c r="D49" s="420" t="n"/>
      <c r="E49" s="420" t="n"/>
      <c r="F49" s="420" t="n"/>
      <c r="G49" s="420" t="n"/>
    </row>
    <row r="50">
      <c r="B50" s="420" t="n"/>
      <c r="C50" s="420" t="n"/>
      <c r="D50" s="420" t="n"/>
      <c r="E50" s="420" t="n"/>
      <c r="F50" s="420" t="n"/>
      <c r="G50" s="420" t="n"/>
    </row>
    <row r="51">
      <c r="B51" s="420" t="n"/>
      <c r="C51" s="420" t="n"/>
      <c r="D51" s="420" t="n"/>
      <c r="E51" s="420" t="n"/>
      <c r="F51" s="420" t="n"/>
      <c r="G51" s="420" t="n"/>
    </row>
    <row r="52">
      <c r="B52" s="420" t="n"/>
      <c r="C52" s="420" t="n"/>
      <c r="D52" s="420" t="n"/>
      <c r="E52" s="420" t="n"/>
      <c r="F52" s="420" t="n"/>
      <c r="G52" s="420" t="n"/>
    </row>
    <row r="53">
      <c r="B53" s="420" t="n"/>
      <c r="C53" s="420" t="n"/>
      <c r="D53" s="420" t="n"/>
      <c r="E53" s="420" t="n"/>
      <c r="F53" s="420" t="n"/>
      <c r="G53" s="420" t="n"/>
    </row>
    <row r="54">
      <c r="B54" s="420" t="n"/>
      <c r="C54" s="420" t="n"/>
      <c r="D54" s="420" t="n"/>
      <c r="E54" s="420" t="n"/>
      <c r="F54" s="420" t="n"/>
      <c r="G54" s="420" t="n"/>
    </row>
    <row r="55">
      <c r="B55" s="420" t="n"/>
      <c r="C55" s="420" t="n"/>
      <c r="D55" s="420" t="n"/>
      <c r="E55" s="420" t="n"/>
      <c r="F55" s="420" t="n"/>
      <c r="G55" s="420" t="n"/>
    </row>
    <row r="56">
      <c r="B56" s="420" t="n"/>
      <c r="C56" s="420" t="n"/>
      <c r="D56" s="420" t="n"/>
      <c r="E56" s="420" t="n"/>
      <c r="F56" s="420" t="n"/>
      <c r="G56" s="420" t="n"/>
    </row>
    <row r="57">
      <c r="B57" s="420" t="n"/>
      <c r="C57" s="420" t="n"/>
      <c r="D57" s="420" t="n"/>
      <c r="E57" s="420" t="n"/>
      <c r="F57" s="420" t="n"/>
      <c r="G57" s="420" t="n"/>
    </row>
    <row r="58">
      <c r="B58" s="420" t="n"/>
      <c r="C58" s="420" t="n"/>
      <c r="D58" s="420" t="n"/>
      <c r="E58" s="420" t="n"/>
      <c r="F58" s="420" t="n"/>
      <c r="G58" s="420" t="n"/>
    </row>
    <row r="59">
      <c r="B59" s="420" t="n"/>
      <c r="C59" s="420" t="n"/>
      <c r="D59" s="420" t="n"/>
      <c r="E59" s="420" t="n"/>
      <c r="F59" s="420" t="n"/>
      <c r="G59" s="420" t="n"/>
    </row>
    <row r="60">
      <c r="B60" s="420" t="n"/>
      <c r="C60" s="420" t="n"/>
      <c r="D60" s="420" t="n"/>
      <c r="E60" s="420" t="n"/>
      <c r="F60" s="420" t="n"/>
      <c r="G60" s="420" t="n"/>
    </row>
    <row r="61">
      <c r="B61" s="420" t="n"/>
      <c r="C61" s="420" t="n"/>
      <c r="D61" s="420" t="n"/>
      <c r="E61" s="420" t="n"/>
      <c r="F61" s="420" t="n"/>
      <c r="G61" s="420" t="n"/>
    </row>
    <row r="62">
      <c r="B62" s="420" t="n"/>
      <c r="C62" s="420" t="n"/>
      <c r="D62" s="420" t="n"/>
      <c r="E62" s="420" t="n"/>
      <c r="F62" s="420" t="n"/>
      <c r="G62" s="420" t="n"/>
    </row>
    <row r="63" ht="64.5" customHeight="1">
      <c r="B63" s="420" t="n"/>
      <c r="C63" s="420" t="n"/>
      <c r="D63" s="420" t="n"/>
      <c r="E63" s="420" t="n"/>
      <c r="F63" s="420" t="n"/>
      <c r="G63" s="420" t="n"/>
    </row>
    <row r="64">
      <c r="B64" s="420" t="n"/>
      <c r="C64" s="420" t="n"/>
      <c r="D64" s="420" t="n"/>
      <c r="E64" s="420" t="n"/>
      <c r="F64" s="420" t="n"/>
      <c r="G64" s="420" t="n"/>
    </row>
    <row r="65">
      <c r="B65" s="420" t="n"/>
      <c r="C65" s="420" t="n"/>
      <c r="D65" s="420" t="n"/>
      <c r="E65" s="420" t="n"/>
      <c r="F65" s="420" t="n"/>
      <c r="G65" s="420" t="n"/>
    </row>
    <row r="66">
      <c r="B66" s="420" t="n"/>
      <c r="C66" s="420" t="n"/>
      <c r="D66" s="420" t="n"/>
      <c r="E66" s="420" t="n"/>
      <c r="F66" s="420" t="n"/>
      <c r="G66" s="420" t="n"/>
    </row>
    <row r="67">
      <c r="B67" s="420" t="n"/>
      <c r="C67" s="420" t="n"/>
      <c r="D67" s="420" t="n"/>
      <c r="E67" s="420" t="n"/>
      <c r="F67" s="420" t="n"/>
      <c r="G67" s="420" t="n"/>
    </row>
    <row r="68">
      <c r="B68" s="420" t="n"/>
      <c r="C68" s="420" t="n"/>
      <c r="D68" s="420" t="n"/>
      <c r="E68" s="420" t="n"/>
      <c r="F68" s="420" t="n"/>
      <c r="G68" s="420" t="n"/>
    </row>
    <row r="69">
      <c r="B69" s="420" t="n"/>
      <c r="C69" s="420" t="n"/>
      <c r="D69" s="420" t="n"/>
      <c r="E69" s="420" t="n"/>
      <c r="F69" s="420" t="n"/>
      <c r="G69" s="420" t="n"/>
    </row>
    <row r="70">
      <c r="B70" s="420" t="n"/>
      <c r="C70" s="420" t="n"/>
      <c r="D70" s="420" t="n"/>
      <c r="E70" s="420" t="n"/>
      <c r="F70" s="420" t="n"/>
      <c r="G70" s="420" t="n"/>
    </row>
    <row r="71">
      <c r="B71" s="420" t="n"/>
      <c r="C71" s="420" t="n"/>
      <c r="D71" s="420" t="n"/>
      <c r="E71" s="420" t="n"/>
      <c r="F71" s="420" t="n"/>
      <c r="G71" s="420" t="n"/>
    </row>
    <row r="72">
      <c r="B72" s="420" t="n"/>
      <c r="C72" s="420" t="n"/>
      <c r="D72" s="420" t="n"/>
      <c r="E72" s="420" t="n"/>
      <c r="F72" s="420" t="n"/>
      <c r="G72" s="420" t="n"/>
    </row>
    <row r="73">
      <c r="B73" s="420" t="n"/>
      <c r="C73" s="420" t="n"/>
      <c r="D73" s="420" t="n"/>
      <c r="E73" s="420" t="n"/>
      <c r="F73" s="420" t="n"/>
      <c r="G73" s="420" t="n"/>
    </row>
    <row r="74">
      <c r="B74" s="420" t="n"/>
      <c r="C74" s="420" t="n"/>
      <c r="D74" s="420" t="n"/>
      <c r="E74" s="420" t="n"/>
      <c r="F74" s="420" t="n"/>
      <c r="G74" s="420" t="n"/>
    </row>
    <row r="75">
      <c r="B75" s="420" t="n"/>
      <c r="C75" s="420" t="n"/>
      <c r="D75" s="420" t="n"/>
      <c r="E75" s="420" t="n"/>
      <c r="F75" s="420" t="n"/>
      <c r="G75" s="420" t="n"/>
    </row>
    <row r="76">
      <c r="B76" s="420" t="n"/>
      <c r="C76" s="420" t="n"/>
      <c r="D76" s="420" t="n"/>
      <c r="E76" s="420" t="n"/>
      <c r="F76" s="420" t="n"/>
      <c r="G76" s="420" t="n"/>
    </row>
    <row r="77">
      <c r="B77" s="420" t="n"/>
      <c r="C77" s="420" t="n"/>
      <c r="D77" s="420" t="n"/>
      <c r="E77" s="420" t="n"/>
      <c r="F77" s="420" t="n"/>
      <c r="G77" s="420" t="n"/>
    </row>
    <row r="78">
      <c r="B78" s="420" t="n"/>
      <c r="C78" s="420" t="n"/>
      <c r="D78" s="420" t="n"/>
      <c r="E78" s="420" t="n"/>
      <c r="F78" s="420" t="n"/>
      <c r="G78" s="420" t="n"/>
    </row>
    <row r="79">
      <c r="B79" s="420" t="n"/>
      <c r="C79" s="420" t="n"/>
      <c r="D79" s="420" t="n"/>
      <c r="E79" s="420" t="n"/>
      <c r="F79" s="420" t="n"/>
      <c r="G79" s="420" t="n"/>
    </row>
    <row r="80">
      <c r="B80" s="420" t="n"/>
      <c r="C80" s="420" t="n"/>
      <c r="D80" s="420" t="n"/>
      <c r="E80" s="420" t="n"/>
      <c r="F80" s="420" t="n"/>
      <c r="G80" s="42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2026-04-27T22:33:14Z</dcterms:modified>
  <cp:lastModifiedBy>Diofavian - Student</cp:lastModifiedBy>
</cp:coreProperties>
</file>