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3" fontId="26" fillId="10" borderId="15" applyAlignment="1" pivotButton="0" quotePrefix="0" xfId="0">
      <alignment horizontal="center" vertical="center" wrapText="1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40" fillId="0" borderId="15" applyAlignment="1" pivotButton="0" quotePrefix="0" xfId="0">
      <alignment horizontal="left" vertical="center"/>
    </xf>
    <xf numFmtId="3" fontId="40" fillId="0" borderId="15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41" fillId="0" borderId="15" applyAlignment="1" pivotButton="0" quotePrefix="0" xfId="0">
      <alignment horizontal="left" vertical="center"/>
    </xf>
    <xf numFmtId="3" fontId="41" fillId="0" borderId="15" applyAlignment="1" pivotButton="0" quotePrefix="0" xfId="0">
      <alignment horizontal="right" vertical="center"/>
    </xf>
    <xf numFmtId="173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41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2" fillId="6" borderId="6" pivotButton="0" quotePrefix="0" xfId="0"/>
    <xf numFmtId="0" fontId="12" fillId="6" borderId="16" pivotButton="0" quotePrefix="0" xfId="0"/>
    <xf numFmtId="3" fontId="12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41" fillId="0" borderId="22" applyAlignment="1" pivotButton="0" quotePrefix="0" xfId="0">
      <alignment horizontal="left" vertical="center"/>
    </xf>
    <xf numFmtId="3" fontId="41" fillId="0" borderId="2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23" applyAlignment="1" pivotButton="0" quotePrefix="0" xfId="0">
      <alignment horizontal="center" vertical="center"/>
    </xf>
    <xf numFmtId="165" fontId="42" fillId="6" borderId="24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23" applyAlignment="1" pivotButton="0" quotePrefix="0" xfId="0">
      <alignment horizontal="right" vertical="center"/>
    </xf>
    <xf numFmtId="3" fontId="43" fillId="6" borderId="24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23" applyAlignment="1" pivotButton="0" quotePrefix="0" xfId="0">
      <alignment horizontal="right" vertical="center"/>
    </xf>
    <xf numFmtId="3" fontId="43" fillId="0" borderId="2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 (E)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 (D)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 (B)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 (I)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 (F)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 (C)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 (G)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 (A)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1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2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3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4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5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7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8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9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10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11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12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13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14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 (F)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15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16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17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18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19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20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 (A)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1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2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3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4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5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6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7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 (F)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9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10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11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 (A)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1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2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3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4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5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 (F)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1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2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3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4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5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6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7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8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 (H)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 (A)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 (A)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2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3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4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5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6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(A)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2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3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4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5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6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7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8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 (A)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2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3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4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5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6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 (A)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 (A)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2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3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4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5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6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7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 (F)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8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 (A)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2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3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4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5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6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7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 (A)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 (H)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 (F)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2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 (H)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 (A)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 (A)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2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3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4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5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 (F)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6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7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8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 (A)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2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3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4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5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6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7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8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9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10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11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12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 (A)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2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3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4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 (A)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2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3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4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5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6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7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8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9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10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11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 (F)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12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 (A)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 (F)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2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3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 (A)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2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3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4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5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6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7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8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 (F)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9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10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 (H)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1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3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4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 (A)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1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3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4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5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6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7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8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9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10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11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12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13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 (F)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14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15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16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 (A)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1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3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4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5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6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 (A)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 (F)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 (A)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1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3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4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5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6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7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8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9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 (A)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1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3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4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5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6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7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8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 (H)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9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10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11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12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13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14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15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 (F)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16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17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18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19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20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21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22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23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 (A)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1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3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4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5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6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7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8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9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10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11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12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13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14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15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16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17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18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19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 (H)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20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 (F)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21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22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23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24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 (A)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 (F)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 (A)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1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2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 (A)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1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2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4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5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6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7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8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9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10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11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 (A)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1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2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4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5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6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 (A)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1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2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4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5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6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7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8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9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10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11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12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13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14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15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16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17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18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19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20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21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22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23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 (A)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1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2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4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5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6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8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 (A)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10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11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12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13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14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15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16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17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18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 (A)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1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2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4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5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 (H)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6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7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8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9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10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11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12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13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14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 (A)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1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2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4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5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6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7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8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9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10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 (A)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1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2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4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5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6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 (A)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1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2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3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5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6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 (E)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1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2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3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 (A)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5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6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7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8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9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10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11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12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13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14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15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16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 (F)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 (F)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1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 (A)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1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2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3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5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6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 (H)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7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8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9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10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11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12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13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14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 (E)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1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 (A)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2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3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5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6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 (E)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1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2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3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5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 (A)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6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7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8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9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10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11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12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13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14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15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16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17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18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19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20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21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22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 (A)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1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 (A)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1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2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3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5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6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7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8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9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30" customWidth="1" min="2" max="2"/>
    <col width="30" customWidth="1" min="3" max="3"/>
    <col width="5" customWidth="1" min="4" max="4"/>
    <col width="20" customWidth="1" min="5" max="5"/>
    <col width="1.1328125" customWidth="1" min="6" max="6"/>
    <col width="5.53125" customWidth="1" min="7" max="7"/>
    <col width="38.33203125" customWidth="1" min="8" max="8"/>
    <col width="3.6640625" customWidth="1" min="9" max="9"/>
    <col width="30.132812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275" t="inlineStr">
        <is>
          <t>PENDAPATAN</t>
        </is>
      </c>
      <c r="C8" s="275" t="n"/>
      <c r="D8" s="275" t="n"/>
      <c r="E8" s="368" t="n"/>
      <c r="F8" s="352" t="n"/>
      <c r="G8" s="369" t="inlineStr">
        <is>
          <t>AKTIVA</t>
        </is>
      </c>
      <c r="H8" s="370" t="n"/>
      <c r="I8" s="371" t="n"/>
      <c r="J8" s="372" t="n"/>
    </row>
    <row r="9" ht="15" customHeight="1">
      <c r="A9" s="367" t="n"/>
      <c r="B9" s="373" t="n"/>
      <c r="C9" s="373" t="inlineStr">
        <is>
          <t xml:space="preserve">    PENDAPATAN LANGSUNG</t>
        </is>
      </c>
      <c r="D9" s="373" t="inlineStr">
        <is>
          <t>Rp</t>
        </is>
      </c>
      <c r="E9" s="374">
        <f>SUM('Revenue-Cost_2024'!L8:L20)</f>
        <v/>
      </c>
      <c r="F9" s="352" t="n"/>
      <c r="G9" s="375" t="inlineStr">
        <is>
          <t>AKTIVA LANCAR</t>
        </is>
      </c>
      <c r="H9" s="376" t="n"/>
      <c r="I9" s="375" t="n"/>
      <c r="J9" s="377" t="n"/>
    </row>
    <row r="10" ht="15" customHeight="1">
      <c r="A10" s="367" t="n"/>
      <c r="B10" s="373" t="n"/>
      <c r="C10" s="373" t="inlineStr">
        <is>
          <t xml:space="preserve">    PENDAPATAN LAIN LAIN</t>
        </is>
      </c>
      <c r="D10" s="373" t="inlineStr">
        <is>
          <t>Rp</t>
        </is>
      </c>
      <c r="E10" s="374">
        <f>SUM('Revenue-Cost_2024'!L21:L21)</f>
        <v/>
      </c>
      <c r="F10" s="352" t="n"/>
      <c r="G10" s="378" t="n"/>
      <c r="H10" s="379" t="inlineStr">
        <is>
          <t>KAS DAN SETARA KAS TAHUN SEBELUMNYA</t>
        </is>
      </c>
      <c r="I10" s="380" t="inlineStr">
        <is>
          <t>Rp</t>
        </is>
      </c>
      <c r="J10" s="381" t="n">
        <v>0</v>
      </c>
    </row>
    <row r="11" ht="15" customHeight="1">
      <c r="A11" s="367" t="n"/>
      <c r="B11" s="373" t="n"/>
      <c r="C11" s="373" t="n"/>
      <c r="D11" s="373" t="n"/>
      <c r="E11" s="374" t="n"/>
      <c r="F11" s="352" t="n"/>
      <c r="G11" s="378" t="n"/>
      <c r="H11" s="379" t="inlineStr">
        <is>
          <t>KAS DAN SETARA KAS TAHUN LAPORAN</t>
        </is>
      </c>
      <c r="I11" s="380" t="inlineStr">
        <is>
          <t>Rp</t>
        </is>
      </c>
      <c r="J11" s="381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2" t="n"/>
      <c r="D12" s="382" t="inlineStr">
        <is>
          <t>Rp</t>
        </is>
      </c>
      <c r="E12" s="383">
        <f>SUM(E9:E11)</f>
        <v/>
      </c>
      <c r="F12" s="352" t="n"/>
      <c r="G12" s="378" t="n"/>
      <c r="H12" s="379" t="inlineStr">
        <is>
          <t>PIUTANG USAHA</t>
        </is>
      </c>
      <c r="I12" s="380" t="inlineStr">
        <is>
          <t>Rp</t>
        </is>
      </c>
      <c r="J12" s="381" t="n">
        <v>0</v>
      </c>
    </row>
    <row r="13" ht="15" customHeight="1">
      <c r="A13" s="367" t="n"/>
      <c r="B13" s="373" t="n"/>
      <c r="C13" s="373" t="n"/>
      <c r="D13" s="373" t="n"/>
      <c r="E13" s="374" t="n"/>
      <c r="F13" s="352" t="n"/>
      <c r="G13" s="378" t="n"/>
      <c r="H13" s="379" t="inlineStr">
        <is>
          <t>PAJAK BAYAR DI MUKA (pph23)</t>
        </is>
      </c>
      <c r="I13" s="380" t="inlineStr">
        <is>
          <t>Rp</t>
        </is>
      </c>
      <c r="J13" s="381" t="n">
        <v>0</v>
      </c>
    </row>
    <row r="14" ht="15" customHeight="1">
      <c r="A14" s="367" t="n"/>
      <c r="B14" s="275" t="inlineStr">
        <is>
          <t>BEBAN LANGSUNG</t>
        </is>
      </c>
      <c r="C14" s="275" t="n"/>
      <c r="D14" s="275" t="n"/>
      <c r="E14" s="368" t="n"/>
      <c r="F14" s="352" t="n"/>
      <c r="G14" s="378" t="n"/>
      <c r="H14" s="379" t="inlineStr">
        <is>
          <t>BIAYA BAYAR DI MUKA</t>
        </is>
      </c>
      <c r="I14" s="380" t="inlineStr">
        <is>
          <t>Rp</t>
        </is>
      </c>
      <c r="J14" s="381" t="n">
        <v>0</v>
      </c>
    </row>
    <row r="15" ht="15" customHeight="1">
      <c r="A15" s="367" t="n"/>
      <c r="B15" s="373" t="n"/>
      <c r="C15" s="373" t="inlineStr">
        <is>
          <t xml:space="preserve">    BIAYA RESEARCH (R&amp;D)</t>
        </is>
      </c>
      <c r="D15" s="373" t="inlineStr">
        <is>
          <t>Rp</t>
        </is>
      </c>
      <c r="E15" s="374">
        <f>'Revenue-Cost_2024'!I639</f>
        <v/>
      </c>
      <c r="F15" s="352" t="n"/>
      <c r="G15" s="384" t="n"/>
      <c r="H15" s="379" t="inlineStr">
        <is>
          <t>PIUTANG LAIN LAIN</t>
        </is>
      </c>
      <c r="I15" s="380" t="inlineStr">
        <is>
          <t>Rp</t>
        </is>
      </c>
      <c r="J15" s="381" t="n">
        <v>0</v>
      </c>
    </row>
    <row r="16" ht="15" customHeight="1">
      <c r="A16" s="367" t="n"/>
      <c r="B16" s="373" t="n"/>
      <c r="C16" s="373" t="inlineStr">
        <is>
          <t xml:space="preserve">    BIAYA SEWA PERALATAN</t>
        </is>
      </c>
      <c r="D16" s="373" t="inlineStr">
        <is>
          <t>Rp</t>
        </is>
      </c>
      <c r="E16" s="374">
        <f>'Revenue-Cost_2024'!J639</f>
        <v/>
      </c>
      <c r="F16" s="352" t="n"/>
      <c r="G16" s="385" t="n"/>
      <c r="H16" s="386" t="inlineStr">
        <is>
          <t>TOTAL AKTIVA LANCAR</t>
        </is>
      </c>
      <c r="I16" s="387" t="inlineStr">
        <is>
          <t>Rp</t>
        </is>
      </c>
      <c r="J16" s="388">
        <f>SUM(J10:J15)</f>
        <v/>
      </c>
    </row>
    <row r="17" ht="15" customHeight="1">
      <c r="A17" s="367" t="n"/>
      <c r="B17" s="373" t="n"/>
      <c r="C17" s="373" t="inlineStr">
        <is>
          <t xml:space="preserve">    BIAYA INTERPRETASI LOG DATA</t>
        </is>
      </c>
      <c r="D17" s="373" t="inlineStr">
        <is>
          <t>Rp</t>
        </is>
      </c>
      <c r="E17" s="374">
        <f>'Revenue-Cost_2024'!K639</f>
        <v/>
      </c>
      <c r="F17" s="352" t="n"/>
      <c r="G17" s="378" t="n"/>
      <c r="H17" s="379" t="n"/>
      <c r="I17" s="389" t="n"/>
      <c r="J17" s="390" t="n"/>
    </row>
    <row r="18" ht="15" customHeight="1">
      <c r="A18" s="367" t="n"/>
      <c r="B18" s="373" t="n"/>
      <c r="C18" s="373" t="inlineStr">
        <is>
          <t xml:space="preserve">    BIAYA OPERASI</t>
        </is>
      </c>
      <c r="D18" s="373" t="inlineStr">
        <is>
          <t>Rp</t>
        </is>
      </c>
      <c r="E18" s="374">
        <f>'Revenue-Cost_2024'!L639</f>
        <v/>
      </c>
      <c r="F18" s="352" t="n"/>
      <c r="G18" s="375" t="inlineStr">
        <is>
          <t>ACTIVA TETAP</t>
        </is>
      </c>
      <c r="H18" s="391" t="n"/>
      <c r="I18" s="369" t="n"/>
      <c r="J18" s="381" t="n"/>
    </row>
    <row r="19" ht="15" customHeight="1">
      <c r="A19" s="367" t="n"/>
      <c r="B19" s="382" t="inlineStr">
        <is>
          <t>TOTAL BIAYA LANGSUNG</t>
        </is>
      </c>
      <c r="C19" s="382" t="n"/>
      <c r="D19" s="382" t="inlineStr">
        <is>
          <t>Rp</t>
        </is>
      </c>
      <c r="E19" s="383">
        <f>SUM(E15:E18)</f>
        <v/>
      </c>
      <c r="F19" s="352" t="n"/>
      <c r="G19" s="375" t="n"/>
      <c r="H19" s="391" t="n"/>
      <c r="I19" s="369" t="n"/>
      <c r="J19" s="381" t="n"/>
    </row>
    <row r="20" ht="15" customHeight="1">
      <c r="A20" s="367" t="n"/>
      <c r="B20" s="373" t="n"/>
      <c r="C20" s="373" t="n"/>
      <c r="D20" s="373" t="n"/>
      <c r="E20" s="374" t="n"/>
      <c r="F20" s="352" t="n"/>
      <c r="G20" s="378" t="n"/>
      <c r="H20" s="379" t="inlineStr">
        <is>
          <t>INVENTARIS KANTOR</t>
        </is>
      </c>
      <c r="I20" s="380" t="inlineStr">
        <is>
          <t>Rp</t>
        </is>
      </c>
      <c r="J20" s="381" t="n">
        <v>0</v>
      </c>
    </row>
    <row r="21" ht="15" customHeight="1">
      <c r="A21" s="367" t="n"/>
      <c r="B21" s="275" t="inlineStr">
        <is>
          <t>BEBAN TIDAK LANGSUNG</t>
        </is>
      </c>
      <c r="C21" s="275" t="n"/>
      <c r="D21" s="275" t="n"/>
      <c r="E21" s="368" t="n"/>
      <c r="F21" s="352" t="n"/>
      <c r="G21" s="378" t="n"/>
      <c r="H21" s="391" t="n"/>
      <c r="I21" s="392" t="n"/>
      <c r="J21" s="393" t="n"/>
    </row>
    <row r="22" ht="15" customHeight="1">
      <c r="A22" s="367" t="n"/>
      <c r="B22" s="373" t="n"/>
      <c r="C22" s="373" t="n"/>
      <c r="D22" s="373" t="inlineStr">
        <is>
          <t>Rp</t>
        </is>
      </c>
      <c r="E22" s="374" t="n">
        <v>0</v>
      </c>
      <c r="F22" s="352" t="n"/>
      <c r="G22" s="385" t="n"/>
      <c r="H22" s="386" t="inlineStr">
        <is>
          <t>TOTAL AKTIVA TETAP</t>
        </is>
      </c>
      <c r="I22" s="387" t="inlineStr">
        <is>
          <t>Rp</t>
        </is>
      </c>
      <c r="J22" s="388">
        <f>J20</f>
        <v/>
      </c>
    </row>
    <row r="23" ht="15" customHeight="1">
      <c r="A23" s="367" t="n"/>
      <c r="B23" s="382" t="inlineStr">
        <is>
          <t>TOTAL BIAYA TIDAK LANGSUNG</t>
        </is>
      </c>
      <c r="C23" s="382" t="n"/>
      <c r="D23" s="382" t="inlineStr">
        <is>
          <t>Rp</t>
        </is>
      </c>
      <c r="E23" s="383">
        <f>SUM(E22:E22)</f>
        <v/>
      </c>
      <c r="F23" s="352" t="n"/>
      <c r="G23" s="378" t="n"/>
      <c r="H23" s="379" t="n"/>
      <c r="I23" s="389" t="n"/>
      <c r="J23" s="372" t="n"/>
    </row>
    <row r="24" ht="15" customHeight="1">
      <c r="A24" s="367" t="n"/>
      <c r="B24" s="373" t="n"/>
      <c r="C24" s="373" t="n"/>
      <c r="D24" s="373" t="n"/>
      <c r="E24" s="374" t="n"/>
      <c r="F24" s="352" t="n"/>
      <c r="G24" s="375" t="inlineStr">
        <is>
          <t>ACTIVA LAIN LAIN</t>
        </is>
      </c>
      <c r="H24" s="391" t="n"/>
      <c r="I24" s="369" t="n"/>
      <c r="J24" s="381" t="n">
        <v>0</v>
      </c>
    </row>
    <row r="25" ht="15" customHeight="1">
      <c r="A25" s="367" t="n"/>
      <c r="B25" s="275" t="inlineStr">
        <is>
          <t>BIAYA ADMINISTRASI DAN UMUM</t>
        </is>
      </c>
      <c r="C25" s="275" t="n"/>
      <c r="D25" s="275" t="n"/>
      <c r="E25" s="368" t="n"/>
      <c r="F25" s="352" t="n"/>
      <c r="G25" s="378" t="n"/>
      <c r="H25" s="379" t="n"/>
      <c r="I25" s="394" t="n"/>
      <c r="J25" s="395" t="n">
        <v>0</v>
      </c>
    </row>
    <row r="26" ht="15" customHeight="1">
      <c r="A26" s="367" t="n"/>
      <c r="B26" s="373" t="n"/>
      <c r="C26" s="373" t="inlineStr">
        <is>
          <t xml:space="preserve">    DIOFAVIAN</t>
        </is>
      </c>
      <c r="D26" s="373" t="inlineStr">
        <is>
          <t>Rp</t>
        </is>
      </c>
      <c r="E26" s="374">
        <f>'Revenue-Cost_2024'!M639</f>
        <v/>
      </c>
      <c r="F26" s="352" t="n"/>
      <c r="G26" s="385" t="n"/>
      <c r="H26" s="386" t="inlineStr">
        <is>
          <t>TOTAL AKTIVA LAIN LAIN</t>
        </is>
      </c>
      <c r="I26" s="387" t="inlineStr">
        <is>
          <t>Rp</t>
        </is>
      </c>
      <c r="J26" s="388">
        <f>SUM(J25:J25)</f>
        <v/>
      </c>
    </row>
    <row r="27" ht="15" customHeight="1">
      <c r="A27" s="367" t="n"/>
      <c r="B27" s="373" t="n"/>
      <c r="C27" s="373" t="inlineStr">
        <is>
          <t xml:space="preserve">    ADMINISTRASI</t>
        </is>
      </c>
      <c r="D27" s="373" t="inlineStr">
        <is>
          <t>Rp</t>
        </is>
      </c>
      <c r="E27" s="374">
        <f>'Revenue-Cost_2024'!N639</f>
        <v/>
      </c>
      <c r="F27" s="352" t="n"/>
      <c r="G27" s="378" t="n"/>
      <c r="H27" s="379" t="n"/>
      <c r="I27" s="396" t="n"/>
      <c r="J27" s="397" t="n"/>
    </row>
    <row r="28" ht="15" customHeight="1">
      <c r="A28" s="367" t="n"/>
      <c r="B28" s="373" t="n"/>
      <c r="C28" s="373" t="inlineStr">
        <is>
          <t xml:space="preserve">    PEMBELIAN BARANG</t>
        </is>
      </c>
      <c r="D28" s="373" t="inlineStr">
        <is>
          <t>Rp</t>
        </is>
      </c>
      <c r="E28" s="374">
        <f>'Revenue-Cost_2024'!O639</f>
        <v/>
      </c>
      <c r="F28" s="352" t="n"/>
      <c r="G28" s="398" t="inlineStr">
        <is>
          <t>TOTAL AKTIVA</t>
        </is>
      </c>
      <c r="H28" s="399" t="n"/>
      <c r="I28" s="387" t="inlineStr">
        <is>
          <t>Rp</t>
        </is>
      </c>
      <c r="J28" s="400">
        <f>J26+J22+J16</f>
        <v/>
      </c>
    </row>
    <row r="29" ht="15" customHeight="1">
      <c r="A29" s="367" t="n"/>
      <c r="B29" s="373" t="n"/>
      <c r="C29" s="373" t="inlineStr">
        <is>
          <t xml:space="preserve">    SEWA KANTOR</t>
        </is>
      </c>
      <c r="D29" s="373" t="inlineStr">
        <is>
          <t>Rp</t>
        </is>
      </c>
      <c r="E29" s="374">
        <f>'Revenue-Cost_2024'!P639</f>
        <v/>
      </c>
      <c r="F29" s="352" t="n"/>
      <c r="G29" s="401" t="n"/>
      <c r="H29" s="402" t="n"/>
      <c r="I29" s="401" t="n"/>
      <c r="J29" s="390" t="n"/>
    </row>
    <row r="30" ht="15" customHeight="1">
      <c r="A30" s="367" t="n"/>
      <c r="B30" s="373" t="n"/>
      <c r="C30" s="373" t="inlineStr">
        <is>
          <t xml:space="preserve">    KESEHATAN</t>
        </is>
      </c>
      <c r="D30" s="373" t="inlineStr">
        <is>
          <t>Rp</t>
        </is>
      </c>
      <c r="E30" s="374">
        <f>'Revenue-Cost_2024'!Q639</f>
        <v/>
      </c>
      <c r="F30" s="352" t="n"/>
      <c r="G30" s="403" t="inlineStr">
        <is>
          <t>HUTANG DAN MODAL</t>
        </is>
      </c>
      <c r="H30" s="370" t="n"/>
      <c r="I30" s="403" t="n"/>
      <c r="J30" s="404" t="n"/>
    </row>
    <row r="31" ht="15" customHeight="1">
      <c r="A31" s="367" t="n"/>
      <c r="B31" s="373" t="n"/>
      <c r="C31" s="373" t="inlineStr">
        <is>
          <t xml:space="preserve">    BISNIS DEV</t>
        </is>
      </c>
      <c r="D31" s="373" t="inlineStr">
        <is>
          <t>Rp</t>
        </is>
      </c>
      <c r="E31" s="374">
        <f>'Revenue-Cost_2024'!R639</f>
        <v/>
      </c>
      <c r="F31" s="352" t="n"/>
      <c r="G31" s="403" t="n"/>
      <c r="H31" s="370" t="n"/>
      <c r="I31" s="403" t="n"/>
      <c r="J31" s="404" t="n"/>
    </row>
    <row r="32" ht="15" customHeight="1">
      <c r="A32" s="367" t="n"/>
      <c r="B32" s="373" t="n"/>
      <c r="C32" s="373" t="inlineStr">
        <is>
          <t xml:space="preserve">    ASDASD</t>
        </is>
      </c>
      <c r="D32" s="373" t="inlineStr">
        <is>
          <t>Rp</t>
        </is>
      </c>
      <c r="E32" s="374">
        <f>'Revenue-Cost_2024'!S639</f>
        <v/>
      </c>
      <c r="F32" s="352" t="n"/>
      <c r="G32" s="375" t="inlineStr">
        <is>
          <t>HUTANG LANCAR</t>
        </is>
      </c>
      <c r="H32" s="376" t="n"/>
      <c r="I32" s="375" t="n"/>
      <c r="J32" s="377" t="n"/>
    </row>
    <row r="33" ht="15" customHeight="1">
      <c r="A33" s="367" t="n"/>
      <c r="B33" s="373" t="n"/>
      <c r="C33" s="373" t="inlineStr">
        <is>
          <t xml:space="preserve">    MAKANAN JEPANG</t>
        </is>
      </c>
      <c r="D33" s="373" t="inlineStr">
        <is>
          <t>Rp</t>
        </is>
      </c>
      <c r="E33" s="374">
        <f>'Revenue-Cost_2024'!T639</f>
        <v/>
      </c>
      <c r="F33" s="352" t="n"/>
      <c r="G33" s="378" t="n"/>
      <c r="H33" s="379" t="inlineStr">
        <is>
          <t>HUTANG USAHA</t>
        </is>
      </c>
      <c r="I33" s="380" t="inlineStr">
        <is>
          <t>Rp</t>
        </is>
      </c>
      <c r="J33" s="381" t="n">
        <v>0</v>
      </c>
    </row>
    <row r="34" ht="15" customHeight="1">
      <c r="A34" s="367" t="n"/>
      <c r="B34" s="373" t="n"/>
      <c r="C34" s="373" t="inlineStr">
        <is>
          <t xml:space="preserve">    AAAAA</t>
        </is>
      </c>
      <c r="D34" s="373" t="inlineStr">
        <is>
          <t>Rp</t>
        </is>
      </c>
      <c r="E34" s="374">
        <f>'Revenue-Cost_2024'!U639</f>
        <v/>
      </c>
      <c r="F34" s="352" t="n"/>
      <c r="G34" s="378" t="n"/>
      <c r="H34" s="405" t="inlineStr">
        <is>
          <t>HUTANG GAJI</t>
        </is>
      </c>
      <c r="I34" s="380" t="inlineStr">
        <is>
          <t>Rp</t>
        </is>
      </c>
      <c r="J34" s="381" t="n">
        <v>0</v>
      </c>
    </row>
    <row r="35" ht="15" customHeight="1">
      <c r="A35" s="367" t="n"/>
      <c r="B35" s="373" t="n"/>
      <c r="C35" s="373" t="inlineStr">
        <is>
          <t xml:space="preserve">    BBBBB</t>
        </is>
      </c>
      <c r="D35" s="373" t="inlineStr">
        <is>
          <t>Rp</t>
        </is>
      </c>
      <c r="E35" s="374">
        <f>'Revenue-Cost_2024'!V639</f>
        <v/>
      </c>
      <c r="F35" s="352" t="n"/>
      <c r="G35" s="378" t="n"/>
      <c r="H35" s="379" t="inlineStr">
        <is>
          <t>HUTANG PEMEGANG SAHAM</t>
        </is>
      </c>
      <c r="I35" s="380" t="inlineStr">
        <is>
          <t>Rp</t>
        </is>
      </c>
      <c r="J35" s="381" t="n">
        <v>0</v>
      </c>
    </row>
    <row r="36" ht="15" customHeight="1">
      <c r="A36" s="367" t="n"/>
      <c r="B36" s="373" t="n"/>
      <c r="C36" s="373" t="inlineStr">
        <is>
          <t xml:space="preserve">    ASDSAD</t>
        </is>
      </c>
      <c r="D36" s="373" t="inlineStr">
        <is>
          <t>Rp</t>
        </is>
      </c>
      <c r="E36" s="374">
        <f>'Revenue-Cost_2024'!W639</f>
        <v/>
      </c>
      <c r="F36" s="352" t="n"/>
      <c r="G36" s="378" t="n"/>
      <c r="H36" s="379" t="inlineStr">
        <is>
          <t>BIAYA YANG MASIH HARUS DI BAYAR</t>
        </is>
      </c>
      <c r="I36" s="380" t="inlineStr">
        <is>
          <t>Rp</t>
        </is>
      </c>
      <c r="J36" s="381" t="n">
        <v>0</v>
      </c>
    </row>
    <row r="37" ht="15" customHeight="1">
      <c r="A37" s="367" t="n"/>
      <c r="B37" s="373" t="n"/>
      <c r="C37" s="373" t="inlineStr">
        <is>
          <t xml:space="preserve">    DFGDFGDFGD</t>
        </is>
      </c>
      <c r="D37" s="373" t="inlineStr">
        <is>
          <t>Rp</t>
        </is>
      </c>
      <c r="E37" s="374">
        <f>'Revenue-Cost_2024'!X639</f>
        <v/>
      </c>
      <c r="F37" s="352" t="n"/>
      <c r="G37" s="406" t="n"/>
      <c r="H37" s="407" t="n"/>
      <c r="I37" s="406" t="n"/>
      <c r="J37" s="408" t="n"/>
    </row>
    <row r="38" ht="15" customHeight="1">
      <c r="A38" s="367" t="n"/>
      <c r="B38" s="373" t="n"/>
      <c r="C38" s="373" t="inlineStr">
        <is>
          <t xml:space="preserve">    12312</t>
        </is>
      </c>
      <c r="D38" s="373" t="inlineStr">
        <is>
          <t>Rp</t>
        </is>
      </c>
      <c r="E38" s="374">
        <f>'Revenue-Cost_2024'!Y639</f>
        <v/>
      </c>
      <c r="F38" s="352" t="n"/>
      <c r="G38" s="385" t="n"/>
      <c r="H38" s="386" t="inlineStr">
        <is>
          <t>TOTAL HUTANG LANCAR</t>
        </is>
      </c>
      <c r="I38" s="409" t="n"/>
      <c r="J38" s="38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2" t="n"/>
      <c r="D39" s="382" t="inlineStr">
        <is>
          <t>Rp</t>
        </is>
      </c>
      <c r="E39" s="383">
        <f>SUM(E26:E38)</f>
        <v/>
      </c>
      <c r="F39" s="352" t="n"/>
      <c r="G39" s="378" t="n"/>
      <c r="H39" s="391" t="n"/>
      <c r="I39" s="410" t="n"/>
      <c r="J39" s="372" t="n"/>
    </row>
    <row r="40" ht="15" customHeight="1">
      <c r="A40" s="367" t="n"/>
      <c r="B40" s="373" t="n"/>
      <c r="C40" s="373" t="n"/>
      <c r="D40" s="373" t="n"/>
      <c r="E40" s="374" t="n"/>
      <c r="F40" s="352" t="n"/>
      <c r="G40" s="375" t="inlineStr">
        <is>
          <t>MODAL</t>
        </is>
      </c>
      <c r="H40" s="376" t="n"/>
      <c r="I40" s="375" t="n"/>
      <c r="J40" s="377" t="n"/>
    </row>
    <row r="41" ht="15" customHeight="1">
      <c r="A41" s="367" t="n"/>
      <c r="B41" s="382" t="inlineStr">
        <is>
          <t>TOTAL BIAYA</t>
        </is>
      </c>
      <c r="C41" s="382" t="n"/>
      <c r="D41" s="382" t="inlineStr">
        <is>
          <t>Rp</t>
        </is>
      </c>
      <c r="E41" s="383">
        <f>E19+E23+E39</f>
        <v/>
      </c>
      <c r="F41" s="352" t="n"/>
      <c r="G41" s="378" t="n"/>
      <c r="H41" s="379" t="inlineStr">
        <is>
          <t>MODAL SAHAM</t>
        </is>
      </c>
      <c r="I41" s="380" t="inlineStr">
        <is>
          <t>Rp</t>
        </is>
      </c>
      <c r="J41" s="381" t="n">
        <v>0</v>
      </c>
    </row>
    <row r="42" ht="15" customHeight="1">
      <c r="A42" s="367" t="n"/>
      <c r="B42" s="373" t="n"/>
      <c r="C42" s="373" t="n"/>
      <c r="D42" s="373" t="n"/>
      <c r="E42" s="374" t="n"/>
      <c r="F42" s="352" t="n"/>
      <c r="G42" s="378" t="n"/>
      <c r="H42" s="379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67" t="n"/>
      <c r="B43" s="275" t="inlineStr">
        <is>
          <t>PENDAPATAN/BEBAN LAIN LAIN</t>
        </is>
      </c>
      <c r="C43" s="275" t="n"/>
      <c r="D43" s="275" t="n"/>
      <c r="E43" s="368" t="n"/>
      <c r="F43" s="352" t="n"/>
      <c r="G43" s="375" t="n"/>
      <c r="H43" s="379" t="inlineStr">
        <is>
          <t>TOTAL LABA (RUGI) DITAHAN</t>
        </is>
      </c>
      <c r="I43" s="411" t="inlineStr">
        <is>
          <t>Rp</t>
        </is>
      </c>
      <c r="J43" s="395">
        <f>J28-J38-J41-J42</f>
        <v/>
      </c>
    </row>
    <row r="44" ht="15" customHeight="1">
      <c r="A44" s="367" t="n"/>
      <c r="B44" s="373" t="n"/>
      <c r="C44" s="373" t="inlineStr">
        <is>
          <t xml:space="preserve">    PENDAPATAN LAINNYA</t>
        </is>
      </c>
      <c r="D44" s="373" t="inlineStr">
        <is>
          <t>Rp</t>
        </is>
      </c>
      <c r="E44" s="374" t="n">
        <v>0</v>
      </c>
      <c r="F44" s="352" t="n"/>
      <c r="G44" s="385" t="n"/>
      <c r="H44" s="386" t="inlineStr">
        <is>
          <t>TOTAL MODAL</t>
        </is>
      </c>
      <c r="I44" s="387" t="inlineStr">
        <is>
          <t>Rp</t>
        </is>
      </c>
      <c r="J44" s="388">
        <f>SUM(J41:J43)</f>
        <v/>
      </c>
    </row>
    <row r="45" ht="15" customHeight="1">
      <c r="A45" s="367" t="n"/>
      <c r="B45" s="373" t="n"/>
      <c r="C45" s="373" t="n"/>
      <c r="D45" s="373" t="n"/>
      <c r="E45" s="374" t="n"/>
      <c r="F45" s="352" t="n"/>
      <c r="G45" s="378" t="n"/>
      <c r="H45" s="379" t="n"/>
      <c r="I45" s="396" t="n"/>
      <c r="J45" s="397" t="n"/>
    </row>
    <row r="46" ht="15" customHeight="1">
      <c r="A46" s="367" t="n"/>
      <c r="B46" s="382" t="inlineStr">
        <is>
          <t>LABA RUGI SEBELUM PAJAK</t>
        </is>
      </c>
      <c r="C46" s="382" t="n"/>
      <c r="D46" s="382" t="inlineStr">
        <is>
          <t>Rp</t>
        </is>
      </c>
      <c r="E46" s="383">
        <f>E12-E41</f>
        <v/>
      </c>
      <c r="F46" s="352" t="n"/>
      <c r="G46" s="412" t="inlineStr">
        <is>
          <t>TOTAL HUTANG DAN MODAL</t>
        </is>
      </c>
      <c r="H46" s="413" t="n"/>
      <c r="I46" s="414" t="inlineStr">
        <is>
          <t>Rp</t>
        </is>
      </c>
      <c r="J46" s="415">
        <f>J44+J38</f>
        <v/>
      </c>
    </row>
    <row r="47" ht="15" customHeight="1">
      <c r="A47" s="367" t="n"/>
      <c r="B47" s="373" t="n"/>
      <c r="C47" s="373" t="n"/>
      <c r="D47" s="373" t="n"/>
      <c r="E47" s="374" t="n"/>
      <c r="F47" s="352" t="n"/>
    </row>
    <row r="48" ht="15" customHeight="1">
      <c r="A48" s="367" t="n"/>
      <c r="B48" s="382" t="inlineStr">
        <is>
          <t>CORPORATE TAX (PPh 29)</t>
        </is>
      </c>
      <c r="C48" s="382" t="n"/>
      <c r="D48" s="382" t="inlineStr">
        <is>
          <t>Rp</t>
        </is>
      </c>
      <c r="E48" s="383" t="n">
        <v>0</v>
      </c>
      <c r="F48" s="367" t="n"/>
      <c r="G48" s="367" t="n"/>
      <c r="H48" s="367" t="n"/>
    </row>
    <row r="49" ht="15" customHeight="1">
      <c r="A49" s="367" t="n"/>
      <c r="B49" s="373" t="n"/>
      <c r="C49" s="373" t="n"/>
      <c r="D49" s="373" t="n"/>
      <c r="E49" s="374" t="n"/>
      <c r="F49" s="367" t="n"/>
      <c r="G49" s="367" t="n"/>
      <c r="H49" s="367" t="n"/>
    </row>
    <row r="50" ht="15" customHeight="1">
      <c r="A50" s="367" t="n"/>
      <c r="B50" s="416" t="inlineStr">
        <is>
          <t>LABA / RUGI BERSIH</t>
        </is>
      </c>
      <c r="C50" s="416" t="n"/>
      <c r="D50" s="416" t="inlineStr">
        <is>
          <t>Rp</t>
        </is>
      </c>
      <c r="E50" s="417">
        <f>E46-E48</f>
        <v/>
      </c>
      <c r="F50" s="367" t="n"/>
      <c r="G50" s="367" t="n"/>
      <c r="H50" s="367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418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419" t="inlineStr">
        <is>
          <t>Direktur</t>
        </is>
      </c>
      <c r="D54" s="367" t="n"/>
      <c r="E54" s="367" t="n"/>
      <c r="F54" s="367" t="n"/>
      <c r="G54" s="367" t="n"/>
      <c r="H54" s="419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420" t="inlineStr">
        <is>
          <t>#</t>
        </is>
      </c>
      <c r="C6" s="420" t="inlineStr">
        <is>
          <t>Items</t>
        </is>
      </c>
      <c r="D6" s="421" t="inlineStr">
        <is>
          <t>Amount</t>
        </is>
      </c>
      <c r="E6" s="227" t="n"/>
      <c r="F6" s="352" t="n"/>
    </row>
    <row r="7" ht="20" customHeight="1">
      <c r="A7" s="349" t="n"/>
      <c r="B7" s="422" t="n">
        <v>1</v>
      </c>
      <c r="C7" s="423" t="inlineStr">
        <is>
          <t>Revenue</t>
        </is>
      </c>
      <c r="D7" s="424" t="inlineStr">
        <is>
          <t>Rp</t>
        </is>
      </c>
      <c r="E7" s="425">
        <f>SUM('Revenue-Cost_2024'!L8:L21)</f>
        <v/>
      </c>
      <c r="F7" s="352" t="n"/>
    </row>
    <row r="8" ht="20" customHeight="1">
      <c r="A8" s="349" t="n"/>
      <c r="B8" s="422" t="n">
        <v>2</v>
      </c>
      <c r="C8" s="423" t="inlineStr">
        <is>
          <t>Revenue Diterima (Setelah Pajak)</t>
        </is>
      </c>
      <c r="D8" s="424" t="inlineStr">
        <is>
          <t>Rp</t>
        </is>
      </c>
      <c r="E8" s="425">
        <f>E7-SUM('Revenue-Cost_2024'!N8:N21)</f>
        <v/>
      </c>
      <c r="F8" s="352" t="n"/>
    </row>
    <row r="9" ht="20" customHeight="1">
      <c r="A9" s="349" t="n"/>
      <c r="B9" s="422" t="n">
        <v>3</v>
      </c>
      <c r="C9" s="423" t="inlineStr">
        <is>
          <t>Biaya</t>
        </is>
      </c>
      <c r="D9" s="424" t="inlineStr">
        <is>
          <t>Rp</t>
        </is>
      </c>
      <c r="E9" s="425">
        <f>SUM('Revenue-Cost_2024'!I639:Y639)</f>
        <v/>
      </c>
      <c r="F9" s="352" t="n"/>
    </row>
    <row r="10" ht="20" customHeight="1">
      <c r="A10" s="349" t="n"/>
      <c r="B10" s="422" t="n">
        <v>4</v>
      </c>
      <c r="C10" s="423" t="inlineStr">
        <is>
          <t>Profit SebelumTax</t>
        </is>
      </c>
      <c r="D10" s="424" t="inlineStr">
        <is>
          <t>Rp</t>
        </is>
      </c>
      <c r="E10" s="425">
        <f>E7-E9</f>
        <v/>
      </c>
      <c r="F10" s="352" t="n"/>
    </row>
    <row r="11" ht="20" customHeight="1">
      <c r="A11" s="349" t="n"/>
      <c r="B11" s="422" t="n">
        <v>5</v>
      </c>
      <c r="C11" s="423" t="inlineStr">
        <is>
          <t>PPh Badan (22%*50%)</t>
        </is>
      </c>
      <c r="D11" s="424" t="inlineStr">
        <is>
          <t>Rp</t>
        </is>
      </c>
      <c r="E11" s="425">
        <f>E10*22%*50%</f>
        <v/>
      </c>
      <c r="F11" s="352" t="n"/>
    </row>
    <row r="12" ht="20" customHeight="1">
      <c r="A12" s="349" t="n"/>
      <c r="B12" s="422" t="n">
        <v>6</v>
      </c>
      <c r="C12" s="423" t="inlineStr">
        <is>
          <t>PPh 23 Dipotong oleh client</t>
        </is>
      </c>
      <c r="D12" s="424" t="inlineStr">
        <is>
          <t>Rp</t>
        </is>
      </c>
      <c r="E12" s="425">
        <f>SUM('Revenue-Cost_2024'!N8:N21)</f>
        <v/>
      </c>
      <c r="F12" s="352" t="n"/>
    </row>
    <row r="13" ht="20" customHeight="1">
      <c r="A13" s="349" t="n"/>
      <c r="B13" s="422" t="n">
        <v>7</v>
      </c>
      <c r="C13" s="423" t="inlineStr">
        <is>
          <t>Kekurangan Bayar PPh Badan</t>
        </is>
      </c>
      <c r="D13" s="424" t="inlineStr">
        <is>
          <t>Rp</t>
        </is>
      </c>
      <c r="E13" s="426">
        <f>E11-E12</f>
        <v/>
      </c>
      <c r="F13" s="352" t="n"/>
    </row>
    <row r="14" ht="20" customHeight="1">
      <c r="A14" s="349" t="n"/>
      <c r="B14" s="422" t="n">
        <v>8</v>
      </c>
      <c r="C14" s="423" t="inlineStr">
        <is>
          <t>Profit After Tax</t>
        </is>
      </c>
      <c r="D14" s="424" t="inlineStr">
        <is>
          <t>Rp</t>
        </is>
      </c>
      <c r="E14" s="425">
        <f>E10-E13</f>
        <v/>
      </c>
      <c r="F14" s="352" t="n"/>
    </row>
    <row r="15" ht="20" customHeight="1">
      <c r="A15" s="349" t="n"/>
      <c r="B15" s="422" t="n">
        <v>9</v>
      </c>
      <c r="C15" s="423" t="inlineStr">
        <is>
          <t>Deviden Dibagi</t>
        </is>
      </c>
      <c r="D15" s="424" t="inlineStr">
        <is>
          <t>Rp</t>
        </is>
      </c>
      <c r="E15" s="425">
        <f>E14-E16</f>
        <v/>
      </c>
      <c r="F15" s="352" t="n"/>
    </row>
    <row r="16" ht="20" customHeight="1">
      <c r="A16" s="349" t="n"/>
      <c r="B16" s="422" t="n">
        <v>10</v>
      </c>
      <c r="C16" s="423" t="inlineStr">
        <is>
          <t>Profit Ditahan</t>
        </is>
      </c>
      <c r="D16" s="424" t="inlineStr">
        <is>
          <t>Rp</t>
        </is>
      </c>
      <c r="E16" s="425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27" t="inlineStr">
        <is>
          <t>DEVIDEN</t>
        </is>
      </c>
      <c r="F18" s="352" t="n"/>
    </row>
    <row r="19" ht="20" customHeight="1">
      <c r="A19" s="349" t="n"/>
      <c r="B19" s="428" t="inlineStr">
        <is>
          <t>#</t>
        </is>
      </c>
      <c r="C19" s="428" t="inlineStr">
        <is>
          <t>Nama Lengkap</t>
        </is>
      </c>
      <c r="D19" s="429" t="inlineStr"/>
      <c r="E19" s="430" t="inlineStr">
        <is>
          <t>Amount</t>
        </is>
      </c>
      <c r="F19" s="352" t="inlineStr"/>
      <c r="G19" s="431" t="inlineStr">
        <is>
          <t>Pajak</t>
        </is>
      </c>
    </row>
    <row r="20" ht="18" customHeight="1">
      <c r="A20" s="349" t="n"/>
      <c r="B20" s="432" t="n">
        <v>1</v>
      </c>
      <c r="C20" s="433" t="inlineStr">
        <is>
          <t>Anevril Chairulsyah</t>
        </is>
      </c>
      <c r="D20" s="434" t="inlineStr">
        <is>
          <t>Rp</t>
        </is>
      </c>
      <c r="E20" s="435">
        <f>IF(C20="","",ROUND($E$15/COUNTA($C$20:$C$21), 0))</f>
        <v/>
      </c>
      <c r="F20" s="352" t="n"/>
      <c r="G20" s="436" t="inlineStr">
        <is>
          <t>Pajak 10%</t>
        </is>
      </c>
    </row>
    <row r="21" ht="20" customHeight="1">
      <c r="A21" s="437" t="n"/>
      <c r="B21" s="438" t="n">
        <v>2</v>
      </c>
      <c r="C21" s="439" t="inlineStr">
        <is>
          <t>Alan Muhadjir</t>
        </is>
      </c>
      <c r="D21" s="440" t="inlineStr">
        <is>
          <t>Rp</t>
        </is>
      </c>
      <c r="E21" s="441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37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2026-04-19T17:03:41Z</dcterms:modified>
  <cp:lastModifiedBy>Diofavian - Student</cp:lastModifiedBy>
</cp:coreProperties>
</file>