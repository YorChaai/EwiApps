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0" fillId="0" borderId="20" pivotButton="0" quotePrefix="0" xfId="0"/>
    <xf numFmtId="0" fontId="4" fillId="2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9" fontId="4" fillId="3" borderId="20" applyAlignment="1" pivotButton="0" quotePrefix="0" xfId="0">
      <alignment horizontal="center"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/>
    </xf>
    <xf numFmtId="0" fontId="35" fillId="0" borderId="20" pivotButton="0" quotePrefix="0" xfId="0"/>
    <xf numFmtId="165" fontId="10" fillId="0" borderId="20" pivotButton="0" quotePrefix="0" xfId="0"/>
    <xf numFmtId="0" fontId="10" fillId="0" borderId="20" pivotButton="0" quotePrefix="0" xfId="0"/>
    <xf numFmtId="15" fontId="35" fillId="0" borderId="20" pivotButton="0" quotePrefix="0" xfId="0"/>
    <xf numFmtId="165" fontId="35" fillId="0" borderId="2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309" t="n"/>
      <c r="C7" s="309" t="n"/>
      <c r="D7" s="309" t="inlineStr">
        <is>
          <t>Belum ada data pendapatan</t>
        </is>
      </c>
      <c r="E7" s="309" t="n"/>
      <c r="F7" s="310" t="n"/>
      <c r="G7" s="309" t="n"/>
      <c r="H7" s="309" t="n"/>
      <c r="I7" s="309" t="n"/>
      <c r="J7" s="309" t="n"/>
      <c r="K7" s="309" t="n"/>
      <c r="L7" s="311" t="n"/>
      <c r="M7" s="312" t="n"/>
      <c r="N7" s="312" t="n"/>
      <c r="O7" s="309" t="n"/>
    </row>
    <row r="8" hidden="1" ht="15.5" customHeight="1" s="297">
      <c r="B8" s="313" t="inlineStr">
        <is>
          <t>REVENUE (IDR)</t>
        </is>
      </c>
      <c r="C8" s="314" t="n"/>
      <c r="D8" s="315" t="n"/>
      <c r="E8" s="316">
        <f>SUM(E7:E7)</f>
        <v/>
      </c>
      <c r="F8" s="317" t="n"/>
      <c r="G8" s="314" t="n"/>
      <c r="H8" s="314" t="n"/>
      <c r="I8" s="314" t="n"/>
      <c r="J8" s="318" t="n"/>
      <c r="K8" s="319">
        <f>SUM(K7:K7)</f>
        <v/>
      </c>
      <c r="L8" s="320">
        <f>SUM(L7:L7)</f>
        <v/>
      </c>
      <c r="M8" s="320">
        <f>SUM(M7:M7)</f>
        <v/>
      </c>
      <c r="N8" s="320">
        <f>SUM(N7:N7)</f>
        <v/>
      </c>
      <c r="O8" s="317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F20" s="17" t="n"/>
      <c r="G20" s="15" t="n"/>
      <c r="H20" s="15" t="n"/>
      <c r="I20" s="15" t="n"/>
      <c r="J20" s="18" t="n"/>
      <c r="M20" s="20" t="n"/>
      <c r="N20" s="20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13" t="n"/>
      <c r="C42" s="314" t="n"/>
      <c r="D42" s="318" t="n"/>
      <c r="E42" s="335" t="inlineStr">
        <is>
          <t>TOTAL</t>
        </is>
      </c>
      <c r="F42" s="336">
        <f>SUM(F41:F41)</f>
        <v/>
      </c>
      <c r="G42" s="337" t="inlineStr">
        <is>
          <t>IDR</t>
        </is>
      </c>
      <c r="H42" s="337" t="n">
        <v>1</v>
      </c>
      <c r="I42" s="338">
        <f>SUM(I41:I41)</f>
        <v/>
      </c>
      <c r="J42" s="338">
        <f>SUM(J41:J41)</f>
        <v/>
      </c>
      <c r="K42" s="339">
        <f>SUM(K41:K41)</f>
        <v/>
      </c>
      <c r="L42" s="339">
        <f>SUM(L41:L41)</f>
        <v/>
      </c>
      <c r="M42" s="339">
        <f>SUM(M41:M41)</f>
        <v/>
      </c>
      <c r="N42" s="339">
        <f>SUM(N41:N41)</f>
        <v/>
      </c>
      <c r="O42" s="339">
        <f>SUM(O41:O41)</f>
        <v/>
      </c>
      <c r="P42" s="339">
        <f>SUM(P41:P41)</f>
        <v/>
      </c>
      <c r="Q42" s="339">
        <f>SUM(Q41:Q41)</f>
        <v/>
      </c>
      <c r="R42" s="339">
        <f>SUM(R41:R41)</f>
        <v/>
      </c>
      <c r="S42" s="339">
        <f>SUM(S41:S41)</f>
        <v/>
      </c>
      <c r="T42" s="339">
        <f>SUM(T41:T41)</f>
        <v/>
      </c>
      <c r="U42" s="339">
        <f>SUM(U41:U41)</f>
        <v/>
      </c>
      <c r="V42" s="339">
        <f>SUM(V41:V41)</f>
        <v/>
      </c>
      <c r="W42" s="339">
        <f>SUM(W41:W41)</f>
        <v/>
      </c>
      <c r="X42" s="339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0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0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0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0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0" t="n">
        <v>45071</v>
      </c>
      <c r="C638" s="141" t="n"/>
      <c r="D638" s="145" t="inlineStr">
        <is>
          <t>Materai 15 pcs</t>
        </is>
      </c>
      <c r="E638" s="145" t="n"/>
      <c r="F638" s="35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0" t="n">
        <v>45085</v>
      </c>
      <c r="C639" s="141" t="n"/>
      <c r="D639" s="145" t="inlineStr">
        <is>
          <t>Plastic folder 3 pcs</t>
        </is>
      </c>
      <c r="E639" s="145" t="n"/>
      <c r="F639" s="35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3" t="n"/>
      <c r="K741" s="353" t="n"/>
      <c r="L741" s="353" t="n"/>
      <c r="M741" s="353" t="n"/>
      <c r="N741" s="353" t="n"/>
      <c r="O741" s="35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4" t="n"/>
      <c r="K742" s="354" t="n"/>
      <c r="L742" s="353" t="n"/>
      <c r="M742" s="354" t="n"/>
      <c r="N742" s="354" t="n"/>
      <c r="O742" s="35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4" t="n"/>
      <c r="K743" s="354" t="n"/>
      <c r="L743" s="353" t="n"/>
      <c r="M743" s="354" t="n"/>
      <c r="N743" s="354" t="n"/>
      <c r="O743" s="35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4" t="n"/>
      <c r="K744" s="354" t="n"/>
      <c r="L744" s="353" t="n"/>
      <c r="M744" s="354" t="n"/>
      <c r="N744" s="354" t="n"/>
      <c r="O744" s="35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4" t="n"/>
      <c r="K745" s="354" t="n"/>
      <c r="L745" s="353" t="n"/>
      <c r="M745" s="354" t="n"/>
      <c r="N745" s="354" t="n"/>
      <c r="O745" s="35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4" t="n"/>
      <c r="K746" s="354" t="n"/>
      <c r="L746" s="353" t="n"/>
      <c r="M746" s="354" t="n"/>
      <c r="N746" s="354" t="n"/>
      <c r="O746" s="35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4" t="n"/>
      <c r="K747" s="354" t="n"/>
      <c r="L747" s="353" t="n"/>
      <c r="M747" s="354" t="n"/>
      <c r="N747" s="354" t="n"/>
      <c r="O747" s="35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4" t="n"/>
      <c r="K748" s="354" t="n"/>
      <c r="L748" s="353" t="n"/>
      <c r="M748" s="354" t="n"/>
      <c r="N748" s="354" t="n"/>
      <c r="O748" s="35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4" t="n"/>
      <c r="K749" s="354" t="n"/>
      <c r="L749" s="354" t="n"/>
      <c r="M749" s="354" t="n"/>
      <c r="N749" s="354" t="n"/>
      <c r="O749" s="35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22">
    <mergeCell ref="K25:L25"/>
    <mergeCell ref="D34:E34"/>
    <mergeCell ref="B1:J1"/>
    <mergeCell ref="D36:E36"/>
    <mergeCell ref="D31:E31"/>
    <mergeCell ref="D25:E26"/>
    <mergeCell ref="I25:J25"/>
    <mergeCell ref="C25:C26"/>
    <mergeCell ref="D32:E32"/>
    <mergeCell ref="B22:E22"/>
    <mergeCell ref="M25:N25"/>
    <mergeCell ref="O25:P25"/>
    <mergeCell ref="D28:E28"/>
    <mergeCell ref="G25:G26"/>
    <mergeCell ref="D30:E30"/>
    <mergeCell ref="D33:E33"/>
    <mergeCell ref="D29:E29"/>
    <mergeCell ref="C750:H750"/>
    <mergeCell ref="B25:B26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5" customHeight="1" s="297">
      <c r="A4" s="355" t="n"/>
      <c r="B4" s="360" t="inlineStr">
        <is>
          <t>LABA RUGI | TAHUN 2027</t>
        </is>
      </c>
      <c r="F4" s="358" t="n"/>
      <c r="G4" s="361" t="inlineStr">
        <is>
          <t>NERACA | TAHUN YANG BERAKHIR, 31 DESEMBER 2027</t>
        </is>
      </c>
      <c r="H4" s="361" t="n"/>
      <c r="I4" s="361" t="n"/>
      <c r="J4" s="361" t="n"/>
      <c r="K4" s="362" t="inlineStr">
        <is>
          <t>CATATAN KEAMANAN</t>
        </is>
      </c>
    </row>
    <row r="5" ht="6" customHeight="1" s="297">
      <c r="A5" s="355" t="n"/>
      <c r="B5" s="355" t="n"/>
      <c r="C5" s="355" t="n"/>
      <c r="D5" s="355" t="n"/>
      <c r="E5" s="356" t="n"/>
      <c r="F5" s="358" t="n"/>
      <c r="G5" s="358" t="n"/>
      <c r="H5" s="363" t="n"/>
      <c r="I5" s="363" t="n"/>
      <c r="J5" s="363" t="n"/>
      <c r="K5" t="inlineStr">
        <is>
          <t>Kolom ini aman dari overwrite sistem.</t>
        </is>
      </c>
    </row>
    <row r="6" ht="15.5" customHeight="1" s="297">
      <c r="A6" s="355" t="n"/>
      <c r="B6" s="364" t="n"/>
      <c r="C6" s="365" t="n"/>
      <c r="D6" s="366" t="inlineStr">
        <is>
          <t>PT. Exspan Wireline Indonesia</t>
        </is>
      </c>
      <c r="E6" s="289" t="n"/>
      <c r="F6" s="358" t="n"/>
      <c r="G6" s="367" t="n"/>
      <c r="H6" s="368" t="n"/>
      <c r="I6" s="366" t="inlineStr">
        <is>
          <t>PT. Exspan Wireline Indonesia</t>
        </is>
      </c>
      <c r="J6" s="289" t="n"/>
      <c r="K6" t="inlineStr">
        <is>
          <t>Diverifikasi pada: 2026-03-30 17:38</t>
        </is>
      </c>
    </row>
    <row r="7" ht="15.5" customHeight="1" s="297">
      <c r="A7" s="355" t="n"/>
      <c r="B7" s="369" t="n"/>
      <c r="C7" s="370" t="n"/>
      <c r="D7" s="371" t="inlineStr">
        <is>
          <t>(Rp)</t>
        </is>
      </c>
      <c r="E7" s="290" t="n"/>
      <c r="F7" s="358" t="n"/>
      <c r="G7" s="372" t="n"/>
      <c r="H7" s="373" t="n"/>
      <c r="I7" s="371" t="inlineStr">
        <is>
          <t>(Rp)</t>
        </is>
      </c>
      <c r="J7" s="290" t="n"/>
    </row>
    <row r="8">
      <c r="A8" s="355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81" t="n"/>
    </row>
    <row r="9">
      <c r="A9" s="355" t="n"/>
      <c r="B9" s="382" t="n"/>
      <c r="C9" s="375" t="inlineStr">
        <is>
          <t>PENDAPATAN LANGSUNG</t>
        </is>
      </c>
      <c r="D9" s="382" t="inlineStr">
        <is>
          <t>Rp</t>
        </is>
      </c>
      <c r="E9" s="383">
        <f>SUM('Revenue-Cost_2027'!F8:F20)</f>
        <v/>
      </c>
      <c r="F9" s="358" t="n"/>
      <c r="G9" s="384" t="inlineStr">
        <is>
          <t>AKTIVA LANCAR</t>
        </is>
      </c>
      <c r="H9" s="385" t="n"/>
      <c r="I9" s="384" t="n"/>
      <c r="J9" s="386" t="n"/>
    </row>
    <row r="10">
      <c r="A10" s="355" t="n"/>
      <c r="B10" s="382" t="n"/>
      <c r="C10" s="375" t="inlineStr">
        <is>
          <t>PENDAPATAN LAIN LAIN</t>
        </is>
      </c>
      <c r="D10" s="382" t="inlineStr">
        <is>
          <t>Rp</t>
        </is>
      </c>
      <c r="E10" s="383">
        <f>SUM('Revenue-Cost_2027'!F21)</f>
        <v/>
      </c>
      <c r="F10" s="358" t="n"/>
      <c r="G10" s="387" t="n"/>
      <c r="H10" s="388" t="inlineStr">
        <is>
          <t>KAS DAN SETARA KAS TAHUN SEBELUMNYA</t>
        </is>
      </c>
      <c r="I10" s="382" t="inlineStr">
        <is>
          <t>Rp</t>
        </is>
      </c>
      <c r="J10" s="389" t="n">
        <v>0</v>
      </c>
    </row>
    <row r="11">
      <c r="A11" s="355" t="n"/>
      <c r="B11" s="382" t="n"/>
      <c r="C11" s="375" t="n"/>
      <c r="D11" s="390" t="n"/>
      <c r="E11" s="391" t="n"/>
      <c r="F11" s="358" t="n"/>
      <c r="G11" s="387" t="n"/>
      <c r="H11" s="388" t="inlineStr">
        <is>
          <t>KAS DAN SETARA KAS TAHUN LAPORAN</t>
        </is>
      </c>
      <c r="I11" s="382" t="inlineStr">
        <is>
          <t>Rp</t>
        </is>
      </c>
      <c r="J11" s="389">
        <f>E46-'Business Summary'!E13</f>
        <v/>
      </c>
    </row>
    <row r="12">
      <c r="A12" s="355" t="n"/>
      <c r="B12" s="392" t="inlineStr">
        <is>
          <t>TOTALPENDAPATAN</t>
        </is>
      </c>
      <c r="C12" s="393" t="n"/>
      <c r="D12" s="394" t="inlineStr">
        <is>
          <t>Rp</t>
        </is>
      </c>
      <c r="E12" s="395">
        <f>SUM(E9:E11)</f>
        <v/>
      </c>
      <c r="F12" s="358" t="n"/>
      <c r="G12" s="387" t="n"/>
      <c r="H12" s="388" t="inlineStr">
        <is>
          <t>PIUTANG USAHA</t>
        </is>
      </c>
      <c r="I12" s="382" t="inlineStr">
        <is>
          <t>Rp</t>
        </is>
      </c>
      <c r="J12" s="389" t="n">
        <v>0</v>
      </c>
    </row>
    <row r="13">
      <c r="A13" s="355" t="n"/>
      <c r="B13" s="382" t="n"/>
      <c r="C13" s="375" t="n"/>
      <c r="D13" s="376" t="n"/>
      <c r="E13" s="396" t="n"/>
      <c r="F13" s="358" t="n"/>
      <c r="G13" s="387" t="n"/>
      <c r="H13" s="388" t="inlineStr">
        <is>
          <t>PAJAK BAYAR DI MUKA (pph23)</t>
        </is>
      </c>
      <c r="I13" s="382" t="inlineStr">
        <is>
          <t>Rp</t>
        </is>
      </c>
      <c r="J13" s="389" t="n">
        <v>0</v>
      </c>
    </row>
    <row r="14">
      <c r="A14" s="355" t="n"/>
      <c r="B14" s="397" t="inlineStr">
        <is>
          <t>BEBAN LANGSUNG</t>
        </is>
      </c>
      <c r="C14" s="375" t="n"/>
      <c r="D14" s="382" t="n"/>
      <c r="E14" s="398" t="n"/>
      <c r="F14" s="358" t="n"/>
      <c r="G14" s="387" t="n"/>
      <c r="H14" s="388" t="inlineStr">
        <is>
          <t>BIAYA BAYAR DI MUKA</t>
        </is>
      </c>
      <c r="I14" s="382" t="inlineStr">
        <is>
          <t>Rp</t>
        </is>
      </c>
      <c r="J14" s="389" t="n">
        <v>0</v>
      </c>
    </row>
    <row r="15">
      <c r="A15" s="355" t="n"/>
      <c r="B15" s="399" t="n"/>
      <c r="C15" s="375" t="inlineStr">
        <is>
          <t xml:space="preserve">Biaya Operasi </t>
        </is>
      </c>
      <c r="D15" s="382" t="inlineStr">
        <is>
          <t>Rp</t>
        </is>
      </c>
      <c r="E15" s="398">
        <f>'Revenue-Cost_2027'!I750</f>
        <v/>
      </c>
      <c r="F15" s="358" t="n"/>
      <c r="G15" s="400" t="n"/>
      <c r="H15" s="388" t="inlineStr">
        <is>
          <t>PIUTANG LAIN LAIN</t>
        </is>
      </c>
      <c r="I15" s="382" t="inlineStr">
        <is>
          <t>Rp</t>
        </is>
      </c>
      <c r="J15" s="389" t="n">
        <v>0</v>
      </c>
    </row>
    <row r="16">
      <c r="A16" s="355" t="n"/>
      <c r="B16" s="399" t="n"/>
      <c r="C16" s="375" t="inlineStr">
        <is>
          <t>Biaya research (R &amp; D)</t>
        </is>
      </c>
      <c r="D16" s="382" t="inlineStr">
        <is>
          <t>Rp</t>
        </is>
      </c>
      <c r="E16" s="398">
        <f>'Revenue-Cost_2027'!J750</f>
        <v/>
      </c>
      <c r="F16" s="358" t="n"/>
      <c r="G16" s="401" t="n"/>
      <c r="H16" s="402" t="inlineStr">
        <is>
          <t>TOTAL AKTIVA LANCAR</t>
        </is>
      </c>
      <c r="I16" s="394" t="inlineStr">
        <is>
          <t>Rp</t>
        </is>
      </c>
      <c r="J16" s="403">
        <f>SUM(J10:J15)</f>
        <v/>
      </c>
    </row>
    <row r="17">
      <c r="A17" s="355" t="n"/>
      <c r="B17" s="399" t="n"/>
      <c r="C17" s="375" t="inlineStr">
        <is>
          <t>BIAYA SEWA PERALATAN</t>
        </is>
      </c>
      <c r="D17" s="382" t="inlineStr">
        <is>
          <t>Rp</t>
        </is>
      </c>
      <c r="E17" s="398">
        <f>'Revenue-Cost_2027'!K750</f>
        <v/>
      </c>
      <c r="F17" s="358" t="n"/>
      <c r="G17" s="387" t="n"/>
      <c r="H17" s="388" t="n"/>
      <c r="I17" s="404" t="n"/>
      <c r="J17" s="405" t="n"/>
    </row>
    <row r="18">
      <c r="A18" s="355" t="n"/>
      <c r="B18" s="399" t="n"/>
      <c r="C18" s="375" t="inlineStr">
        <is>
          <t>BIAYA Data Processing</t>
        </is>
      </c>
      <c r="D18" s="382" t="inlineStr">
        <is>
          <t>Rp</t>
        </is>
      </c>
      <c r="E18" s="398">
        <f>'Revenue-Cost_2027'!L750</f>
        <v/>
      </c>
      <c r="F18" s="358" t="n"/>
      <c r="G18" s="384" t="inlineStr">
        <is>
          <t>ACTIVA TETAP</t>
        </is>
      </c>
      <c r="H18" s="406" t="n"/>
      <c r="I18" s="378" t="n"/>
      <c r="J18" s="389" t="n"/>
    </row>
    <row r="19">
      <c r="A19" s="355" t="n"/>
      <c r="B19" s="399" t="n"/>
      <c r="C19" s="375" t="n"/>
      <c r="D19" s="382" t="n"/>
      <c r="E19" s="398" t="n"/>
      <c r="F19" s="358" t="n"/>
      <c r="G19" s="384" t="n"/>
      <c r="H19" s="406" t="n"/>
      <c r="I19" s="378" t="n"/>
      <c r="J19" s="389" t="n"/>
    </row>
    <row r="20">
      <c r="A20" s="355" t="n"/>
      <c r="B20" s="399" t="n"/>
      <c r="C20" s="375" t="n"/>
      <c r="D20" s="390" t="n"/>
      <c r="E20" s="407" t="n"/>
      <c r="F20" s="358" t="n"/>
      <c r="G20" s="387" t="n"/>
      <c r="H20" s="388" t="inlineStr">
        <is>
          <t>INVENTARIS KANTOR</t>
        </is>
      </c>
      <c r="I20" s="382" t="inlineStr">
        <is>
          <t>Rp</t>
        </is>
      </c>
      <c r="J20" s="389" t="n">
        <v>0</v>
      </c>
    </row>
    <row r="21">
      <c r="A21" s="355" t="n"/>
      <c r="B21" s="392" t="inlineStr">
        <is>
          <t>TOTAL BIAYA LANGSUNG</t>
        </is>
      </c>
      <c r="C21" s="393" t="n"/>
      <c r="D21" s="394" t="inlineStr">
        <is>
          <t>Rp</t>
        </is>
      </c>
      <c r="E21" s="408">
        <f>SUM(E15:E20)</f>
        <v/>
      </c>
      <c r="F21" s="358" t="n"/>
      <c r="G21" s="387" t="n"/>
      <c r="H21" s="406" t="n"/>
      <c r="I21" s="409" t="n"/>
      <c r="J21" s="410" t="n"/>
    </row>
    <row r="22">
      <c r="A22" s="355" t="n"/>
      <c r="B22" s="382" t="n"/>
      <c r="C22" s="375" t="n"/>
      <c r="D22" s="376" t="n"/>
      <c r="E22" s="411" t="n"/>
      <c r="F22" s="358" t="n"/>
      <c r="G22" s="401" t="n"/>
      <c r="H22" s="402" t="inlineStr">
        <is>
          <t>TOTAL AKTIVA TETAP</t>
        </is>
      </c>
      <c r="I22" s="394" t="inlineStr">
        <is>
          <t>Rp</t>
        </is>
      </c>
      <c r="J22" s="403">
        <f>J20</f>
        <v/>
      </c>
    </row>
    <row r="23">
      <c r="A23" s="355" t="n"/>
      <c r="B23" s="397" t="inlineStr">
        <is>
          <t>BEBAN TIDAK LANGSUNG</t>
        </is>
      </c>
      <c r="C23" s="375" t="n"/>
      <c r="D23" s="382" t="n"/>
      <c r="E23" s="398">
        <f>'Revenue-Cost_2027'!Q750</f>
        <v/>
      </c>
      <c r="F23" s="358" t="n"/>
      <c r="G23" s="387" t="n"/>
      <c r="H23" s="388" t="n"/>
      <c r="I23" s="404" t="n"/>
      <c r="J23" s="381" t="n"/>
    </row>
    <row r="24">
      <c r="A24" s="355" t="n"/>
      <c r="B24" s="382" t="n"/>
      <c r="C24" s="375" t="n"/>
      <c r="D24" s="382" t="n"/>
      <c r="E24" s="398" t="n"/>
      <c r="F24" s="358" t="n"/>
      <c r="G24" s="384" t="inlineStr">
        <is>
          <t>ACTIVA LAIN LAIN</t>
        </is>
      </c>
      <c r="H24" s="406" t="n"/>
      <c r="I24" s="378" t="n"/>
      <c r="J24" s="389" t="n">
        <v>0</v>
      </c>
    </row>
    <row r="25">
      <c r="A25" s="355" t="n"/>
      <c r="B25" s="382" t="n"/>
      <c r="C25" s="375" t="n"/>
      <c r="D25" s="382" t="inlineStr">
        <is>
          <t>Rp</t>
        </is>
      </c>
      <c r="E25" s="398" t="n"/>
      <c r="F25" s="358" t="n"/>
      <c r="G25" s="387" t="n"/>
      <c r="H25" s="388" t="n"/>
      <c r="I25" s="412" t="n"/>
      <c r="J25" s="413" t="n">
        <v>0</v>
      </c>
    </row>
    <row r="26">
      <c r="A26" s="355" t="n"/>
      <c r="B26" s="382" t="n"/>
      <c r="C26" s="375" t="n"/>
      <c r="D26" s="390" t="n"/>
      <c r="E26" s="407" t="n"/>
      <c r="F26" s="358" t="n"/>
      <c r="G26" s="401" t="n"/>
      <c r="H26" s="402" t="inlineStr">
        <is>
          <t>TOTAL AKTIVA LAIN LAIN</t>
        </is>
      </c>
      <c r="I26" s="394" t="inlineStr">
        <is>
          <t>Rp</t>
        </is>
      </c>
      <c r="J26" s="403">
        <f>SUM(J25:J25)</f>
        <v/>
      </c>
    </row>
    <row r="27">
      <c r="A27" s="355" t="n"/>
      <c r="B27" s="392" t="inlineStr">
        <is>
          <t>TOTAL BIAYA TIDAK LANGSUNG</t>
        </is>
      </c>
      <c r="C27" s="393" t="n"/>
      <c r="D27" s="394" t="inlineStr">
        <is>
          <t>Rp</t>
        </is>
      </c>
      <c r="E27" s="408">
        <f>SUM(E22:E26)</f>
        <v/>
      </c>
      <c r="F27" s="358" t="n"/>
      <c r="G27" s="387" t="n"/>
      <c r="H27" s="388" t="n"/>
      <c r="I27" s="414" t="n"/>
      <c r="J27" s="415" t="n"/>
    </row>
    <row r="28">
      <c r="A28" s="355" t="n"/>
      <c r="B28" s="382" t="n"/>
      <c r="C28" s="375" t="n"/>
      <c r="D28" s="376" t="n"/>
      <c r="E28" s="411" t="n"/>
      <c r="F28" s="358" t="n"/>
      <c r="G28" s="392" t="inlineStr">
        <is>
          <t>TOTAL AKTIVA</t>
        </is>
      </c>
      <c r="H28" s="393" t="n"/>
      <c r="I28" s="394" t="inlineStr">
        <is>
          <t>Rp</t>
        </is>
      </c>
      <c r="J28" s="416">
        <f>J26+J22+J16</f>
        <v/>
      </c>
    </row>
    <row r="29">
      <c r="A29" s="355" t="n"/>
      <c r="B29" s="397" t="inlineStr">
        <is>
          <t>BIAYA ADMINISTRASI DAN UMUM</t>
        </is>
      </c>
      <c r="C29" s="375" t="n"/>
      <c r="D29" s="382" t="n"/>
      <c r="E29" s="398" t="n"/>
      <c r="F29" s="358" t="n"/>
      <c r="G29" s="417" t="n"/>
      <c r="H29" s="418" t="n"/>
      <c r="I29" s="417" t="n"/>
      <c r="J29" s="405" t="n"/>
    </row>
    <row r="30">
      <c r="A30" s="355" t="n"/>
      <c r="B30" s="399" t="n"/>
      <c r="C30" s="375" t="inlineStr">
        <is>
          <t>BIAYA ADMINISTRASI</t>
        </is>
      </c>
      <c r="D30" s="382" t="inlineStr">
        <is>
          <t>Rp</t>
        </is>
      </c>
      <c r="E30" s="398">
        <f>'Revenue-Cost_2027'!M750</f>
        <v/>
      </c>
      <c r="F30" s="358" t="n"/>
      <c r="G30" s="419" t="inlineStr">
        <is>
          <t>HUTANG DAN MODAL</t>
        </is>
      </c>
      <c r="H30" s="379" t="n"/>
      <c r="I30" s="419" t="n"/>
      <c r="J30" s="420" t="n"/>
    </row>
    <row r="31">
      <c r="A31" s="355" t="n"/>
      <c r="B31" s="399" t="n"/>
      <c r="C31" s="375" t="inlineStr">
        <is>
          <t>BIAYA PEMBELIAN Barang</t>
        </is>
      </c>
      <c r="D31" s="382" t="inlineStr">
        <is>
          <t>Rp</t>
        </is>
      </c>
      <c r="E31" s="398">
        <f>'Revenue-Cost_2027'!N750</f>
        <v/>
      </c>
      <c r="F31" s="358" t="n"/>
      <c r="G31" s="419" t="n"/>
      <c r="H31" s="379" t="n"/>
      <c r="I31" s="419" t="n"/>
      <c r="J31" s="420" t="n"/>
    </row>
    <row r="32">
      <c r="A32" s="355" t="n"/>
      <c r="B32" s="399" t="n"/>
      <c r="C32" s="375" t="inlineStr">
        <is>
          <t>BIAYA SEWA KANTOR</t>
        </is>
      </c>
      <c r="D32" s="382" t="inlineStr">
        <is>
          <t>Rp</t>
        </is>
      </c>
      <c r="E32" s="398">
        <f>'Revenue-Cost_2027'!O750</f>
        <v/>
      </c>
      <c r="F32" s="358" t="n"/>
      <c r="G32" s="384" t="inlineStr">
        <is>
          <t>HUTANG LANCAR</t>
        </is>
      </c>
      <c r="H32" s="385" t="n"/>
      <c r="I32" s="384" t="n"/>
      <c r="J32" s="386" t="n"/>
    </row>
    <row r="33">
      <c r="A33" s="355" t="n"/>
      <c r="B33" s="399" t="n"/>
      <c r="C33" s="375" t="inlineStr">
        <is>
          <t>BIAYA KESEHATAN</t>
        </is>
      </c>
      <c r="D33" s="382" t="inlineStr">
        <is>
          <t>Rp</t>
        </is>
      </c>
      <c r="E33" s="398">
        <f>'Revenue-Cost_2027'!P750</f>
        <v/>
      </c>
      <c r="F33" s="358" t="n"/>
      <c r="G33" s="387" t="n"/>
      <c r="H33" s="388" t="inlineStr">
        <is>
          <t>HUTANG USAHA</t>
        </is>
      </c>
      <c r="I33" s="382" t="inlineStr">
        <is>
          <t>Rp</t>
        </is>
      </c>
      <c r="J33" s="389" t="n">
        <v>0</v>
      </c>
    </row>
    <row r="34">
      <c r="A34" s="355" t="n"/>
      <c r="B34" s="399" t="n"/>
      <c r="C34" s="375" t="n"/>
      <c r="D34" s="390" t="n"/>
      <c r="E34" s="407" t="n"/>
      <c r="F34" s="358" t="n"/>
      <c r="G34" s="387" t="n"/>
      <c r="H34" s="421" t="inlineStr">
        <is>
          <t>HUTANG GAJI</t>
        </is>
      </c>
      <c r="I34" s="382" t="inlineStr">
        <is>
          <t>Rp</t>
        </is>
      </c>
      <c r="J34" s="389" t="n">
        <v>0</v>
      </c>
    </row>
    <row r="35">
      <c r="A35" s="355" t="n"/>
      <c r="B35" s="392" t="inlineStr">
        <is>
          <t>TOTAL BIAYA ADMINISTRASI DAN UMUM</t>
        </is>
      </c>
      <c r="C35" s="393" t="n"/>
      <c r="D35" s="394" t="inlineStr">
        <is>
          <t>Rp</t>
        </is>
      </c>
      <c r="E35" s="395">
        <f>SUM(E30:E34)</f>
        <v/>
      </c>
      <c r="F35" s="358" t="n"/>
      <c r="G35" s="387" t="n"/>
      <c r="H35" s="388" t="inlineStr">
        <is>
          <t>HUTANG PEMEGANG SAHAM</t>
        </is>
      </c>
      <c r="I35" s="382" t="inlineStr">
        <is>
          <t>Rp</t>
        </is>
      </c>
      <c r="J35" s="389" t="n">
        <v>0</v>
      </c>
    </row>
    <row r="36">
      <c r="A36" s="355" t="n"/>
      <c r="B36" s="399" t="n"/>
      <c r="C36" s="375" t="n"/>
      <c r="D36" s="394" t="n"/>
      <c r="E36" s="422" t="n"/>
      <c r="F36" s="358" t="n"/>
      <c r="G36" s="387" t="n"/>
      <c r="H36" s="388" t="inlineStr">
        <is>
          <t>BIAYA YANG MASIH HARUS DI BAYAR</t>
        </is>
      </c>
      <c r="I36" s="382" t="inlineStr">
        <is>
          <t>Rp</t>
        </is>
      </c>
      <c r="J36" s="389" t="n">
        <v>0</v>
      </c>
    </row>
    <row r="37">
      <c r="A37" s="355" t="n"/>
      <c r="B37" s="392" t="inlineStr">
        <is>
          <t>TOTAL BIAYA</t>
        </is>
      </c>
      <c r="C37" s="393" t="n"/>
      <c r="D37" s="394" t="inlineStr">
        <is>
          <t>Rp</t>
        </is>
      </c>
      <c r="E37" s="395">
        <f>E35+E21+E27</f>
        <v/>
      </c>
      <c r="F37" s="358" t="n"/>
      <c r="G37" s="423" t="n"/>
      <c r="H37" s="424" t="n"/>
      <c r="I37" s="423" t="n"/>
      <c r="J37" s="425" t="n"/>
    </row>
    <row r="38">
      <c r="A38" s="355" t="n"/>
      <c r="B38" s="374" t="n"/>
      <c r="C38" s="426" t="n"/>
      <c r="D38" s="376" t="n"/>
      <c r="E38" s="427" t="n"/>
      <c r="F38" s="358" t="n"/>
      <c r="G38" s="401" t="n"/>
      <c r="H38" s="402" t="inlineStr">
        <is>
          <t>TOTAL HUTANG LANCAR</t>
        </is>
      </c>
      <c r="I38" s="428" t="n"/>
      <c r="J38" s="403">
        <f>SUM(J33:J36)</f>
        <v/>
      </c>
    </row>
    <row r="39">
      <c r="A39" s="355" t="n"/>
      <c r="B39" s="397" t="inlineStr">
        <is>
          <t xml:space="preserve">PENDAPATAN/BEBAN LAIN LAIN </t>
        </is>
      </c>
      <c r="C39" s="375" t="n"/>
      <c r="D39" s="382" t="inlineStr">
        <is>
          <t>Rp</t>
        </is>
      </c>
      <c r="E39" s="429" t="n"/>
      <c r="F39" s="358" t="n"/>
      <c r="G39" s="387" t="n"/>
      <c r="H39" s="406" t="n"/>
      <c r="I39" s="430" t="n"/>
      <c r="J39" s="381" t="n"/>
    </row>
    <row r="40">
      <c r="A40" s="355" t="n"/>
      <c r="B40" s="397" t="n"/>
      <c r="C40" s="375" t="inlineStr">
        <is>
          <t>PENDAPATAN LAINNYA</t>
        </is>
      </c>
      <c r="D40" s="382" t="inlineStr">
        <is>
          <t>Rp</t>
        </is>
      </c>
      <c r="E40" s="383" t="n">
        <v>0</v>
      </c>
      <c r="F40" s="358" t="n"/>
      <c r="G40" s="384" t="inlineStr">
        <is>
          <t>MODAL</t>
        </is>
      </c>
      <c r="H40" s="385" t="n"/>
      <c r="I40" s="384" t="n"/>
      <c r="J40" s="386" t="n"/>
    </row>
    <row r="41">
      <c r="A41" s="355" t="n"/>
      <c r="B41" s="397" t="n"/>
      <c r="C41" s="375" t="n"/>
      <c r="D41" s="390" t="n"/>
      <c r="E41" s="431" t="n"/>
      <c r="F41" s="358" t="n"/>
      <c r="G41" s="387" t="n"/>
      <c r="H41" s="388" t="inlineStr">
        <is>
          <t>MODAL SAHAM</t>
        </is>
      </c>
      <c r="I41" s="382" t="inlineStr">
        <is>
          <t>Rp</t>
        </is>
      </c>
      <c r="J41" s="389" t="n">
        <v>0</v>
      </c>
    </row>
    <row r="42">
      <c r="A42" s="355" t="n"/>
      <c r="B42" s="392" t="inlineStr">
        <is>
          <t>LABA RUGI SEBELUM PAJAK</t>
        </is>
      </c>
      <c r="C42" s="393" t="n"/>
      <c r="D42" s="394" t="inlineStr">
        <is>
          <t>Rp</t>
        </is>
      </c>
      <c r="E42" s="395">
        <f>E12-E37</f>
        <v/>
      </c>
      <c r="F42" s="358" t="n"/>
      <c r="G42" s="387" t="n"/>
      <c r="H42" s="388" t="inlineStr">
        <is>
          <t>LABA DI TAHAN</t>
        </is>
      </c>
      <c r="I42" s="382" t="inlineStr">
        <is>
          <t>Rp</t>
        </is>
      </c>
      <c r="J42" s="389" t="n">
        <v>0</v>
      </c>
    </row>
    <row r="43">
      <c r="A43" s="355" t="n"/>
      <c r="B43" s="432" t="n"/>
      <c r="C43" s="426" t="n"/>
      <c r="D43" s="376" t="n"/>
      <c r="E43" s="396" t="n"/>
      <c r="F43" s="358" t="n"/>
      <c r="G43" s="384" t="n"/>
      <c r="H43" s="388" t="inlineStr">
        <is>
          <t>TOTAL LABA (RUGI) DITAHAN</t>
        </is>
      </c>
      <c r="I43" s="390" t="inlineStr">
        <is>
          <t>Rp</t>
        </is>
      </c>
      <c r="J43" s="413">
        <f>J28-J38-J41-J42</f>
        <v/>
      </c>
    </row>
    <row r="44">
      <c r="A44" s="355" t="n"/>
      <c r="B44" s="397" t="inlineStr">
        <is>
          <t>CORPORATE TAX (PPh 29)</t>
        </is>
      </c>
      <c r="D44" s="382" t="inlineStr">
        <is>
          <t>Rp</t>
        </is>
      </c>
      <c r="E44" s="383" t="n">
        <v>0</v>
      </c>
      <c r="F44" s="358" t="n"/>
      <c r="G44" s="401" t="n"/>
      <c r="H44" s="402" t="inlineStr">
        <is>
          <t>TOTAL MODAL</t>
        </is>
      </c>
      <c r="I44" s="394" t="inlineStr">
        <is>
          <t>Rp</t>
        </is>
      </c>
      <c r="J44" s="403">
        <f>SUM(J41:J43)</f>
        <v/>
      </c>
    </row>
    <row r="45">
      <c r="A45" s="355" t="n"/>
      <c r="B45" s="397" t="n"/>
      <c r="C45" s="375" t="n"/>
      <c r="D45" s="390" t="n"/>
      <c r="E45" s="431" t="n"/>
      <c r="F45" s="358" t="n"/>
      <c r="G45" s="387" t="n"/>
      <c r="H45" s="388" t="n"/>
      <c r="I45" s="414" t="n"/>
      <c r="J45" s="415" t="n"/>
    </row>
    <row r="46" ht="15" customHeight="1" s="297">
      <c r="A46" s="355" t="n"/>
      <c r="B46" s="433" t="inlineStr">
        <is>
          <t>LABA / RUGI BERSIH</t>
        </is>
      </c>
      <c r="C46" s="303" t="n"/>
      <c r="D46" s="434" t="n"/>
      <c r="E46" s="435">
        <f>E42-E44</f>
        <v/>
      </c>
      <c r="F46" s="358" t="n"/>
      <c r="G46" s="436" t="inlineStr">
        <is>
          <t>TOTAL HUTANG DAN MODAL</t>
        </is>
      </c>
      <c r="H46" s="437" t="n"/>
      <c r="I46" s="434" t="inlineStr">
        <is>
          <t>Rp</t>
        </is>
      </c>
      <c r="J46" s="438">
        <f>J44+J38</f>
        <v/>
      </c>
    </row>
    <row r="47" ht="4.5" customHeight="1" s="297">
      <c r="A47" s="355" t="n"/>
      <c r="F47" s="358" t="n"/>
    </row>
    <row r="48" ht="50.65" customHeight="1" s="297">
      <c r="A48" s="355" t="n"/>
      <c r="F48" s="358" t="n"/>
      <c r="G48" s="439" t="n"/>
    </row>
    <row r="49" ht="16.75" customHeight="1" s="297">
      <c r="A49" s="355" t="n"/>
      <c r="B49" s="440" t="n"/>
      <c r="F49" s="358" t="n"/>
      <c r="G49" s="440" t="n"/>
    </row>
    <row r="50" ht="15.65" customHeight="1" s="297">
      <c r="A50" s="375" t="n"/>
      <c r="B50" s="441" t="inlineStr">
        <is>
          <t>Direktur</t>
        </is>
      </c>
      <c r="F50" s="358" t="n"/>
      <c r="G50" s="441" t="inlineStr">
        <is>
          <t>Direktur</t>
        </is>
      </c>
    </row>
    <row r="51">
      <c r="A51" s="375" t="n"/>
      <c r="F51" s="358" t="n"/>
    </row>
    <row r="52">
      <c r="A52" s="375" t="n"/>
      <c r="F52" s="358" t="n"/>
      <c r="J52" s="44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</row>
    <row r="4" ht="20.5" customHeight="1" s="297">
      <c r="A4" s="355" t="n"/>
      <c r="B4" s="360" t="inlineStr">
        <is>
          <t>BUSINESS SUMMARY | TAHUN 2027</t>
        </is>
      </c>
      <c r="F4" s="358" t="n"/>
    </row>
    <row r="5" ht="6" customHeight="1" s="297">
      <c r="A5" s="355" t="n"/>
      <c r="B5" s="355" t="n"/>
      <c r="C5" s="355" t="n"/>
      <c r="D5" s="355" t="n"/>
      <c r="E5" s="356" t="n"/>
      <c r="F5" s="358" t="n"/>
    </row>
    <row r="6" ht="19" customHeight="1" s="297">
      <c r="A6" s="355" t="n"/>
      <c r="B6" s="443" t="inlineStr">
        <is>
          <t>#</t>
        </is>
      </c>
      <c r="C6" s="443" t="inlineStr">
        <is>
          <t>Items</t>
        </is>
      </c>
      <c r="D6" s="444" t="inlineStr">
        <is>
          <t>Amount</t>
        </is>
      </c>
      <c r="E6" s="279" t="n"/>
      <c r="F6" s="358" t="n"/>
    </row>
    <row r="7" ht="19" customHeight="1" s="297">
      <c r="A7" s="355" t="n"/>
      <c r="B7" s="445" t="n">
        <v>1</v>
      </c>
      <c r="C7" s="446" t="inlineStr">
        <is>
          <t>Revenue</t>
        </is>
      </c>
      <c r="D7" s="447" t="inlineStr">
        <is>
          <t>Rp</t>
        </is>
      </c>
      <c r="E7" s="448">
        <f>'Revenue-Cost_2027'!F22</f>
        <v/>
      </c>
      <c r="F7" s="358" t="n"/>
    </row>
    <row r="8" ht="19" customHeight="1" s="297">
      <c r="A8" s="355" t="n"/>
      <c r="B8" s="445" t="n">
        <v>2</v>
      </c>
      <c r="C8" s="446" t="inlineStr">
        <is>
          <t>Revenue Diterima (Setelah Pajak)</t>
        </is>
      </c>
      <c r="D8" s="447" t="inlineStr">
        <is>
          <t>Rp</t>
        </is>
      </c>
      <c r="E8" s="448">
        <f>E7-'Revenue-Cost_2027'!N22</f>
        <v/>
      </c>
      <c r="F8" s="358" t="n"/>
    </row>
    <row r="9" ht="19" customHeight="1" s="297">
      <c r="A9" s="355" t="n"/>
      <c r="B9" s="445" t="n">
        <v>3</v>
      </c>
      <c r="C9" s="446" t="inlineStr">
        <is>
          <t>Biaya</t>
        </is>
      </c>
      <c r="D9" s="447" t="inlineStr">
        <is>
          <t>Rp</t>
        </is>
      </c>
      <c r="E9" s="448">
        <f>SUM('Revenue-Cost_2027'!I750:Q750)</f>
        <v/>
      </c>
      <c r="F9" s="358" t="n"/>
    </row>
    <row r="10" ht="19" customHeight="1" s="297">
      <c r="A10" s="355" t="n"/>
      <c r="B10" s="445" t="n">
        <v>4</v>
      </c>
      <c r="C10" s="446" t="inlineStr">
        <is>
          <t>Profit SebelumTax</t>
        </is>
      </c>
      <c r="D10" s="447" t="inlineStr">
        <is>
          <t>Rp</t>
        </is>
      </c>
      <c r="E10" s="448">
        <f>E7-E9</f>
        <v/>
      </c>
      <c r="F10" s="358" t="n"/>
    </row>
    <row r="11" ht="19" customHeight="1" s="297">
      <c r="A11" s="355" t="n"/>
      <c r="B11" s="445" t="n">
        <v>5</v>
      </c>
      <c r="C11" s="446" t="inlineStr">
        <is>
          <t>PPh Badan (22%*50%)</t>
        </is>
      </c>
      <c r="D11" s="447" t="inlineStr">
        <is>
          <t>Rp</t>
        </is>
      </c>
      <c r="E11" s="448">
        <f>E10*22%*50%</f>
        <v/>
      </c>
      <c r="F11" s="358" t="n"/>
    </row>
    <row r="12" ht="19" customHeight="1" s="297">
      <c r="A12" s="355" t="n"/>
      <c r="B12" s="445" t="n">
        <v>6</v>
      </c>
      <c r="C12" s="446" t="inlineStr">
        <is>
          <t>PPh 23 Dipotong oleh client</t>
        </is>
      </c>
      <c r="D12" s="447" t="inlineStr">
        <is>
          <t>Rp</t>
        </is>
      </c>
      <c r="E12" s="448">
        <f>'Revenue-Cost_2027'!N22</f>
        <v/>
      </c>
      <c r="F12" s="358" t="n"/>
    </row>
    <row r="13" ht="19" customHeight="1" s="297">
      <c r="A13" s="355" t="n"/>
      <c r="B13" s="445" t="n">
        <v>7</v>
      </c>
      <c r="C13" s="446" t="inlineStr">
        <is>
          <t>Kekurangan Bayar PPh Badan</t>
        </is>
      </c>
      <c r="D13" s="447" t="inlineStr">
        <is>
          <t>Rp</t>
        </is>
      </c>
      <c r="E13" s="449">
        <f>E11-E12</f>
        <v/>
      </c>
      <c r="F13" s="358" t="n"/>
    </row>
    <row r="14" ht="19" customHeight="1" s="297">
      <c r="A14" s="355" t="n"/>
      <c r="B14" s="445" t="n">
        <v>8</v>
      </c>
      <c r="C14" s="446" t="inlineStr">
        <is>
          <t>Profit After Tax</t>
        </is>
      </c>
      <c r="D14" s="447" t="inlineStr">
        <is>
          <t>Rp</t>
        </is>
      </c>
      <c r="E14" s="448">
        <f>E10-E13</f>
        <v/>
      </c>
      <c r="F14" s="358" t="n"/>
    </row>
    <row r="15" ht="19" customHeight="1" s="297">
      <c r="A15" s="355" t="n"/>
      <c r="B15" s="445" t="n">
        <v>9</v>
      </c>
      <c r="C15" s="446" t="inlineStr">
        <is>
          <t>Deviden Dibagi</t>
        </is>
      </c>
      <c r="D15" s="447" t="inlineStr">
        <is>
          <t>Rp</t>
        </is>
      </c>
      <c r="E15" s="448">
        <f>E14-E16</f>
        <v/>
      </c>
      <c r="F15" s="358" t="n"/>
    </row>
    <row r="16" ht="19" customHeight="1" s="297">
      <c r="A16" s="355" t="n"/>
      <c r="B16" s="445" t="n">
        <v>10</v>
      </c>
      <c r="C16" s="446" t="inlineStr">
        <is>
          <t>Profit Ditahan</t>
        </is>
      </c>
      <c r="D16" s="447" t="inlineStr">
        <is>
          <t>Rp</t>
        </is>
      </c>
      <c r="E16" s="448" t="n">
        <v>0</v>
      </c>
      <c r="F16" s="358" t="n"/>
    </row>
    <row r="17">
      <c r="A17" s="355" t="n"/>
      <c r="B17" s="355" t="n"/>
      <c r="C17" s="355" t="n"/>
      <c r="D17" s="355" t="n"/>
      <c r="E17" s="356" t="n"/>
      <c r="F17" s="358" t="n"/>
    </row>
    <row r="18" ht="18" customHeight="1" s="297">
      <c r="A18" s="355" t="n"/>
      <c r="B18" s="450" t="inlineStr">
        <is>
          <t>DEVIDEN</t>
        </is>
      </c>
      <c r="F18" s="358" t="n"/>
    </row>
    <row r="19" ht="19" customHeight="1" s="297">
      <c r="A19" s="355" t="n"/>
      <c r="B19" s="451" t="inlineStr">
        <is>
          <t>#</t>
        </is>
      </c>
      <c r="C19" s="451" t="inlineStr">
        <is>
          <t>Nama Lengkap</t>
        </is>
      </c>
      <c r="D19" s="451" t="inlineStr"/>
      <c r="E19" s="452" t="inlineStr">
        <is>
          <t>Amount</t>
        </is>
      </c>
      <c r="F19" s="358" t="inlineStr"/>
      <c r="G19" s="453" t="inlineStr">
        <is>
          <t>Pajak</t>
        </is>
      </c>
    </row>
    <row r="20" ht="19" customHeight="1" s="297">
      <c r="A20" s="355" t="n"/>
      <c r="B20" s="271" t="n"/>
      <c r="C20" s="272" t="n"/>
      <c r="D20" s="446" t="n"/>
      <c r="E20" s="454" t="n"/>
      <c r="F20" s="358" t="n"/>
      <c r="G20" s="455" t="n"/>
    </row>
    <row r="21" ht="48.75" customHeight="1" s="297">
      <c r="A21" s="375" t="n"/>
      <c r="F21" s="358" t="n"/>
    </row>
    <row r="22">
      <c r="A22" s="375" t="n"/>
      <c r="F22" s="35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2026-03-30T10:38:45Z</dcterms:modified>
  <cp:lastModifiedBy>Diofavian - Student</cp:lastModifiedBy>
</cp:coreProperties>
</file>