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173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3" fontId="34" fillId="6" borderId="3" pivotButton="0" quotePrefix="0" xfId="0"/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3" fontId="34" fillId="13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3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3" fontId="33" fillId="6" borderId="12" pivotButton="0" quotePrefix="0" xfId="0"/>
    <xf numFmtId="37" fontId="34" fillId="0" borderId="14" pivotButton="0" quotePrefix="0" xfId="0"/>
    <xf numFmtId="173" fontId="34" fillId="6" borderId="12" pivotButton="0" quotePrefix="0" xfId="0"/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37" fontId="34" fillId="0" borderId="3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3" borderId="10" applyAlignment="1" pivotButton="0" quotePrefix="0" xfId="0">
      <alignment horizontal="left"/>
    </xf>
    <xf numFmtId="37" fontId="33" fillId="6" borderId="14" pivotButton="0" quotePrefix="0" xfId="0"/>
    <xf numFmtId="2" fontId="33" fillId="13" borderId="2" applyAlignment="1" pivotButton="0" quotePrefix="0" xfId="0">
      <alignment horizontal="left"/>
    </xf>
    <xf numFmtId="37" fontId="33" fillId="6" borderId="7" pivotButton="0" quotePrefix="0" xfId="0"/>
    <xf numFmtId="173" fontId="34" fillId="6" borderId="2" pivotButton="0" quotePrefix="0" xfId="0"/>
    <xf numFmtId="173" fontId="33" fillId="6" borderId="17" applyAlignment="1" pivotButton="0" quotePrefix="0" xfId="0">
      <alignment horizontal="left"/>
    </xf>
    <xf numFmtId="0" fontId="0" fillId="0" borderId="18" pivotButton="0" quotePrefix="0" xfId="0"/>
    <xf numFmtId="0" fontId="34" fillId="6" borderId="19" pivotButton="0" quotePrefix="0" xfId="0"/>
    <xf numFmtId="37" fontId="33" fillId="6" borderId="18" pivotButton="0" quotePrefix="0" xfId="0"/>
    <xf numFmtId="2" fontId="33" fillId="13" borderId="19" pivotButton="0" quotePrefix="0" xfId="0"/>
    <xf numFmtId="2" fontId="33" fillId="13" borderId="20" pivotButton="0" quotePrefix="0" xfId="0"/>
    <xf numFmtId="3" fontId="33" fillId="13" borderId="18" applyAlignment="1" pivotButton="0" quotePrefix="0" xfId="0">
      <alignment horizontal="right"/>
    </xf>
    <xf numFmtId="2" fontId="34" fillId="13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4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40" fillId="6" borderId="15" applyAlignment="1" pivotButton="0" quotePrefix="0" xfId="0">
      <alignment horizontal="center" vertical="center"/>
    </xf>
    <xf numFmtId="0" fontId="40" fillId="6" borderId="15" applyAlignment="1" pivotButton="0" quotePrefix="0" xfId="0">
      <alignment horizontal="left" vertical="center"/>
    </xf>
    <xf numFmtId="0" fontId="40" fillId="6" borderId="21" applyAlignment="1" pivotButton="0" quotePrefix="0" xfId="0">
      <alignment horizontal="right" vertical="center"/>
    </xf>
    <xf numFmtId="3" fontId="40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0" fillId="0" borderId="15" applyAlignment="1" pivotButton="0" quotePrefix="0" xfId="0">
      <alignment horizontal="center" vertical="center"/>
    </xf>
    <xf numFmtId="0" fontId="40" fillId="0" borderId="15" applyAlignment="1" pivotButton="0" quotePrefix="0" xfId="0">
      <alignment horizontal="left" vertical="center"/>
    </xf>
    <xf numFmtId="0" fontId="40" fillId="0" borderId="21" applyAlignment="1" pivotButton="0" quotePrefix="0" xfId="0">
      <alignment horizontal="right" vertical="center"/>
    </xf>
    <xf numFmtId="3" fontId="40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>
        <v>1998587</v>
      </c>
      <c r="J42" s="291" t="n"/>
      <c r="K42" s="292" t="n"/>
      <c r="L42" s="281" t="n"/>
      <c r="M42" s="281" t="n"/>
      <c r="N42" s="281" t="n"/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1" t="n"/>
      <c r="J44" s="291" t="n"/>
      <c r="K44" s="292" t="n"/>
      <c r="L44" s="281" t="n"/>
      <c r="M44" s="293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1" t="n"/>
      <c r="J45" s="291" t="n"/>
      <c r="K45" s="292" t="n"/>
      <c r="L45" s="281" t="n"/>
      <c r="M45" s="293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1" t="n"/>
      <c r="J46" s="291" t="n"/>
      <c r="K46" s="292" t="n"/>
      <c r="L46" s="281" t="n"/>
      <c r="M46" s="293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1" t="n"/>
      <c r="J48" s="290" t="n">
        <v>77672400</v>
      </c>
      <c r="K48" s="292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1" t="n"/>
      <c r="J49" s="290" t="n">
        <v>2500000</v>
      </c>
      <c r="K49" s="292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1" t="n"/>
      <c r="J50" s="290" t="n">
        <v>3500000</v>
      </c>
      <c r="K50" s="292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1" t="n"/>
      <c r="J51" s="290" t="n">
        <v>3000000</v>
      </c>
      <c r="K51" s="292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1" t="n"/>
      <c r="J52" s="290" t="n">
        <v>3000000</v>
      </c>
      <c r="K52" s="292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1" t="n"/>
      <c r="J53" s="290" t="n">
        <v>3000000</v>
      </c>
      <c r="K53" s="292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1" t="n"/>
      <c r="J54" s="290" t="n">
        <v>18000000</v>
      </c>
      <c r="K54" s="292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1" t="n"/>
      <c r="J55" s="290" t="n">
        <v>300000000</v>
      </c>
      <c r="K55" s="292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1" t="n"/>
      <c r="J56" s="290" t="n">
        <v>3000000</v>
      </c>
      <c r="K56" s="292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1" t="n"/>
      <c r="J57" s="290" t="n">
        <v>3000000</v>
      </c>
      <c r="K57" s="292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1" t="n"/>
      <c r="J58" s="290" t="n">
        <v>25000000</v>
      </c>
      <c r="K58" s="292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1" t="n"/>
      <c r="J59" s="290" t="n">
        <v>25000000</v>
      </c>
      <c r="K59" s="292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1" t="n"/>
      <c r="J60" s="290" t="n">
        <v>25000000</v>
      </c>
      <c r="K60" s="292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1" t="n"/>
      <c r="J61" s="290" t="n">
        <v>20000000</v>
      </c>
      <c r="K61" s="292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1" t="n"/>
      <c r="J62" s="290" t="n">
        <v>3000000</v>
      </c>
      <c r="K62" s="292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1" t="n"/>
      <c r="J63" s="290" t="n">
        <v>3000000</v>
      </c>
      <c r="K63" s="292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1" t="n"/>
      <c r="J64" s="290" t="n">
        <v>3000000</v>
      </c>
      <c r="K64" s="292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1" t="n"/>
      <c r="J65" s="290" t="n">
        <v>3000000</v>
      </c>
      <c r="K65" s="292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1" t="n"/>
      <c r="J66" s="290" t="n">
        <v>100000000</v>
      </c>
      <c r="K66" s="292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1" t="n"/>
      <c r="J67" s="290" t="n">
        <v>38838700</v>
      </c>
      <c r="K67" s="292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1" t="n"/>
      <c r="J68" s="290" t="n">
        <v>3000000</v>
      </c>
      <c r="K68" s="292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1" t="n"/>
      <c r="J69" s="290" t="n">
        <v>39201350</v>
      </c>
      <c r="K69" s="292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1" t="n"/>
      <c r="J70" s="290" t="n">
        <v>15000000</v>
      </c>
      <c r="K70" s="292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0" t="n">
        <v>100000000</v>
      </c>
      <c r="J72" s="291" t="n"/>
      <c r="K72" s="292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0" t="n">
        <v>100000000</v>
      </c>
      <c r="J73" s="291" t="n"/>
      <c r="K73" s="292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0" t="n">
        <v>100000000</v>
      </c>
      <c r="J74" s="291" t="n"/>
      <c r="K74" s="292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0" t="n">
        <v>150000000</v>
      </c>
      <c r="J75" s="291" t="n"/>
      <c r="K75" s="292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0" t="n">
        <v>400000000</v>
      </c>
      <c r="J76" s="291" t="n"/>
      <c r="K76" s="292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0" t="n">
        <v>141500000</v>
      </c>
      <c r="J77" s="291" t="n"/>
      <c r="K77" s="292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1" t="n"/>
      <c r="J79" s="291" t="n"/>
      <c r="K79" s="292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1" t="n"/>
      <c r="J80" s="291" t="n"/>
      <c r="K80" s="292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1" t="n"/>
      <c r="J81" s="291" t="n"/>
      <c r="K81" s="292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1" t="n"/>
      <c r="J82" s="291" t="n"/>
      <c r="K82" s="292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1" t="n"/>
      <c r="J84" s="291" t="n"/>
      <c r="K84" s="292" t="n"/>
      <c r="L84" s="281" t="n"/>
      <c r="M84" s="281" t="n"/>
      <c r="N84" s="281" t="n"/>
      <c r="O84" s="293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1" t="n"/>
      <c r="J85" s="291" t="n"/>
      <c r="K85" s="292" t="n"/>
      <c r="L85" s="281" t="n"/>
      <c r="M85" s="281" t="n"/>
      <c r="N85" s="281" t="n"/>
      <c r="O85" s="293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1" t="n"/>
      <c r="J86" s="291" t="n"/>
      <c r="K86" s="292" t="n"/>
      <c r="L86" s="281" t="n"/>
      <c r="M86" s="281" t="n"/>
      <c r="N86" s="281" t="n"/>
      <c r="O86" s="293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1" t="n"/>
      <c r="J87" s="291" t="n"/>
      <c r="K87" s="292" t="n"/>
      <c r="L87" s="281" t="n"/>
      <c r="M87" s="281" t="n"/>
      <c r="N87" s="281" t="n"/>
      <c r="O87" s="293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1" t="n"/>
      <c r="J88" s="291" t="n"/>
      <c r="K88" s="292" t="n"/>
      <c r="L88" s="281" t="n"/>
      <c r="M88" s="281" t="n"/>
      <c r="N88" s="281" t="n"/>
      <c r="O88" s="293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1" t="n"/>
      <c r="J89" s="291" t="n"/>
      <c r="K89" s="292" t="n"/>
      <c r="L89" s="281" t="n"/>
      <c r="M89" s="281" t="n"/>
      <c r="N89" s="281" t="n"/>
      <c r="O89" s="293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>
        <v>29640916</v>
      </c>
      <c r="J91" s="291" t="n"/>
      <c r="K91" s="292" t="n"/>
      <c r="L91" s="281" t="n"/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>
        <v>29640916</v>
      </c>
      <c r="J92" s="291" t="n"/>
      <c r="K92" s="292" t="n"/>
      <c r="L92" s="281" t="n"/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>
        <v>29640916</v>
      </c>
      <c r="J93" s="291" t="n"/>
      <c r="K93" s="292" t="n"/>
      <c r="L93" s="281" t="n"/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>
        <v>29640916</v>
      </c>
      <c r="J94" s="291" t="n"/>
      <c r="K94" s="292" t="n"/>
      <c r="L94" s="281" t="n"/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>
        <v>29640916</v>
      </c>
      <c r="J95" s="291" t="n"/>
      <c r="K95" s="292" t="n"/>
      <c r="L95" s="281" t="n"/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>
        <v>29640916</v>
      </c>
      <c r="J96" s="291" t="n"/>
      <c r="K96" s="292" t="n"/>
      <c r="L96" s="281" t="n"/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>
        <v>16165271</v>
      </c>
      <c r="J97" s="291" t="n"/>
      <c r="K97" s="292" t="n"/>
      <c r="L97" s="281" t="n"/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>
        <v>25967616</v>
      </c>
      <c r="J98" s="291" t="n"/>
      <c r="K98" s="292" t="n"/>
      <c r="L98" s="281" t="n"/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>
        <v>32101247</v>
      </c>
      <c r="J99" s="291" t="n"/>
      <c r="K99" s="292" t="n"/>
      <c r="L99" s="281" t="n"/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>
        <v>29640916</v>
      </c>
      <c r="J100" s="291" t="n"/>
      <c r="K100" s="292" t="n"/>
      <c r="L100" s="281" t="n"/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>
        <v>74291457</v>
      </c>
      <c r="J101" s="291" t="n"/>
      <c r="K101" s="292" t="n"/>
      <c r="L101" s="281" t="n"/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1" t="n"/>
      <c r="J103" s="291" t="n"/>
      <c r="K103" s="292" t="n"/>
      <c r="L103" s="281" t="n"/>
      <c r="M103" s="281" t="n"/>
      <c r="N103" s="281" t="n"/>
      <c r="O103" s="281" t="n"/>
      <c r="P103" s="293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1" t="n"/>
      <c r="J107" s="290" t="n">
        <v>1608000</v>
      </c>
      <c r="K107" s="292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1" t="n"/>
      <c r="J108" s="290" t="n">
        <v>250000</v>
      </c>
      <c r="K108" s="292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1" t="n"/>
      <c r="J109" s="290" t="n">
        <v>200000</v>
      </c>
      <c r="K109" s="292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1" t="n"/>
      <c r="J110" s="290" t="n">
        <v>3300000</v>
      </c>
      <c r="K110" s="292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1" t="n"/>
      <c r="J111" s="290" t="n">
        <v>900000</v>
      </c>
      <c r="K111" s="292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1" t="n"/>
      <c r="J112" s="290" t="n">
        <v>18000000</v>
      </c>
      <c r="K112" s="292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1" t="n"/>
      <c r="J113" s="290" t="n">
        <v>1119500</v>
      </c>
      <c r="K113" s="292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1" t="n"/>
      <c r="J114" s="290" t="n">
        <v>250000</v>
      </c>
      <c r="K114" s="292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1" t="n"/>
      <c r="J115" s="290" t="n">
        <v>1498484</v>
      </c>
      <c r="K115" s="292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1" t="n"/>
      <c r="J116" s="290" t="n">
        <v>378000</v>
      </c>
      <c r="K116" s="292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1" t="n"/>
      <c r="J117" s="290" t="n">
        <v>1350000</v>
      </c>
      <c r="K117" s="292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1" t="n"/>
      <c r="J118" s="290" t="n">
        <v>1966300</v>
      </c>
      <c r="K118" s="292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1" t="n"/>
      <c r="J119" s="290" t="n">
        <v>4050000</v>
      </c>
      <c r="K119" s="292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1" t="n"/>
      <c r="J120" s="290" t="n">
        <v>42589800</v>
      </c>
      <c r="K120" s="292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1" t="n"/>
      <c r="J122" s="291" t="n"/>
      <c r="K122" s="292" t="n"/>
      <c r="L122" s="281" t="n"/>
      <c r="M122" s="281" t="n"/>
      <c r="N122" s="281" t="n"/>
      <c r="O122" s="293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1" t="n"/>
      <c r="J123" s="291" t="n"/>
      <c r="K123" s="292" t="n"/>
      <c r="L123" s="281" t="n"/>
      <c r="M123" s="281" t="n"/>
      <c r="N123" s="281" t="n"/>
      <c r="O123" s="293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1" t="n"/>
      <c r="J124" s="291" t="n"/>
      <c r="K124" s="292" t="n"/>
      <c r="L124" s="281" t="n"/>
      <c r="M124" s="281" t="n"/>
      <c r="N124" s="281" t="n"/>
      <c r="O124" s="293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1" t="n"/>
      <c r="J125" s="291" t="n"/>
      <c r="K125" s="292" t="n"/>
      <c r="L125" s="281" t="n"/>
      <c r="M125" s="281" t="n"/>
      <c r="N125" s="281" t="n"/>
      <c r="O125" s="293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1" t="n"/>
      <c r="J126" s="291" t="n"/>
      <c r="K126" s="292" t="n"/>
      <c r="L126" s="281" t="n"/>
      <c r="M126" s="281" t="n"/>
      <c r="N126" s="281" t="n"/>
      <c r="O126" s="293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1" t="n"/>
      <c r="J127" s="291" t="n"/>
      <c r="K127" s="292" t="n"/>
      <c r="L127" s="281" t="n"/>
      <c r="M127" s="281" t="n"/>
      <c r="N127" s="281" t="n"/>
      <c r="O127" s="293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1" t="n"/>
      <c r="J130" s="290" t="n">
        <v>250000</v>
      </c>
      <c r="K130" s="292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1" t="n"/>
      <c r="J131" s="290" t="n">
        <v>200000</v>
      </c>
      <c r="K131" s="292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1" t="n"/>
      <c r="J132" s="290" t="n">
        <v>1000106</v>
      </c>
      <c r="K132" s="292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1" t="n"/>
      <c r="J133" s="290" t="n">
        <v>250000</v>
      </c>
      <c r="K133" s="292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1" t="n"/>
      <c r="J134" s="290" t="n">
        <v>105000</v>
      </c>
      <c r="K134" s="292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1" t="n"/>
      <c r="J135" s="290" t="n">
        <v>1500000</v>
      </c>
      <c r="K135" s="292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1" t="n"/>
      <c r="J136" s="290" t="n">
        <v>4500000</v>
      </c>
      <c r="K136" s="292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1" t="n"/>
      <c r="J137" s="290" t="n">
        <v>11705250</v>
      </c>
      <c r="K137" s="292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1" t="n"/>
      <c r="J139" s="291" t="n"/>
      <c r="K139" s="292" t="n"/>
      <c r="L139" s="281" t="n"/>
      <c r="M139" s="281" t="n"/>
      <c r="N139" s="281" t="n"/>
      <c r="O139" s="293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1" t="n"/>
      <c r="J140" s="291" t="n"/>
      <c r="K140" s="292" t="n"/>
      <c r="L140" s="281" t="n"/>
      <c r="M140" s="281" t="n"/>
      <c r="N140" s="281" t="n"/>
      <c r="O140" s="293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1" t="n"/>
      <c r="J141" s="291" t="n"/>
      <c r="K141" s="292" t="n"/>
      <c r="L141" s="281" t="n"/>
      <c r="M141" s="281" t="n"/>
      <c r="N141" s="281" t="n"/>
      <c r="O141" s="293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1" t="n"/>
      <c r="J144" s="290" t="n">
        <v>250000</v>
      </c>
      <c r="K144" s="292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1" t="n"/>
      <c r="J145" s="290" t="n">
        <v>250000</v>
      </c>
      <c r="K145" s="292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1" t="n"/>
      <c r="J146" s="290" t="n">
        <v>300000</v>
      </c>
      <c r="K146" s="292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1" t="n"/>
      <c r="J147" s="290" t="n">
        <v>900000</v>
      </c>
      <c r="K147" s="292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1" t="n"/>
      <c r="J148" s="290" t="n">
        <v>9501000</v>
      </c>
      <c r="K148" s="292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1" t="n"/>
      <c r="J151" s="291" t="n"/>
      <c r="K151" s="292" t="n"/>
      <c r="L151" s="281" t="n"/>
      <c r="M151" s="281" t="n"/>
      <c r="N151" s="281" t="n"/>
      <c r="O151" s="293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1" t="n"/>
      <c r="J152" s="291" t="n"/>
      <c r="K152" s="292" t="n"/>
      <c r="L152" s="281" t="n"/>
      <c r="M152" s="281" t="n"/>
      <c r="N152" s="281" t="n"/>
      <c r="O152" s="293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1" t="n"/>
      <c r="J153" s="291" t="n"/>
      <c r="K153" s="292" t="n"/>
      <c r="L153" s="281" t="n"/>
      <c r="M153" s="281" t="n"/>
      <c r="N153" s="281" t="n"/>
      <c r="O153" s="293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1" t="n"/>
      <c r="J154" s="291" t="n"/>
      <c r="K154" s="292" t="n"/>
      <c r="L154" s="281" t="n"/>
      <c r="M154" s="281" t="n"/>
      <c r="N154" s="281" t="n"/>
      <c r="O154" s="293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1" t="n"/>
      <c r="J155" s="291" t="n"/>
      <c r="K155" s="292" t="n"/>
      <c r="L155" s="281" t="n"/>
      <c r="M155" s="281" t="n"/>
      <c r="N155" s="281" t="n"/>
      <c r="O155" s="293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1" t="n"/>
      <c r="J156" s="291" t="n"/>
      <c r="K156" s="292" t="n"/>
      <c r="L156" s="281" t="n"/>
      <c r="M156" s="281" t="n"/>
      <c r="N156" s="281" t="n"/>
      <c r="O156" s="293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1" t="n"/>
      <c r="J157" s="291" t="n"/>
      <c r="K157" s="292" t="n"/>
      <c r="L157" s="281" t="n"/>
      <c r="M157" s="281" t="n"/>
      <c r="N157" s="281" t="n"/>
      <c r="O157" s="293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1" t="n"/>
      <c r="J158" s="291" t="n"/>
      <c r="K158" s="292" t="n"/>
      <c r="L158" s="281" t="n"/>
      <c r="M158" s="281" t="n"/>
      <c r="N158" s="281" t="n"/>
      <c r="O158" s="293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1" t="n"/>
      <c r="J161" s="291" t="n"/>
      <c r="K161" s="292" t="n"/>
      <c r="L161" s="281" t="n"/>
      <c r="M161" s="281" t="n"/>
      <c r="N161" s="281" t="n"/>
      <c r="O161" s="281" t="n"/>
      <c r="P161" s="281" t="n"/>
      <c r="Q161" s="293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1" t="n"/>
      <c r="J164" s="290" t="n">
        <v>38121</v>
      </c>
      <c r="K164" s="292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1" t="n"/>
      <c r="J165" s="290" t="n">
        <v>250000</v>
      </c>
      <c r="K165" s="292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1" t="n"/>
      <c r="J166" s="290" t="n">
        <v>105879</v>
      </c>
      <c r="K166" s="292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1" t="n"/>
      <c r="J167" s="290" t="n">
        <v>250000</v>
      </c>
      <c r="K167" s="292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1" t="n"/>
      <c r="J168" s="290" t="n">
        <v>250000</v>
      </c>
      <c r="K168" s="292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1" t="n"/>
      <c r="J169" s="290" t="n">
        <v>750000</v>
      </c>
      <c r="K169" s="292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1" t="n"/>
      <c r="J170" s="290" t="n">
        <v>160000</v>
      </c>
      <c r="K170" s="292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1" t="n"/>
      <c r="J171" s="290" t="n">
        <v>39654</v>
      </c>
      <c r="K171" s="292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1" t="n"/>
      <c r="J172" s="290" t="n">
        <v>39654</v>
      </c>
      <c r="K172" s="292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1" t="n"/>
      <c r="J173" s="290" t="n">
        <v>18000</v>
      </c>
      <c r="K173" s="292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1" t="n"/>
      <c r="J174" s="290" t="n">
        <v>167297</v>
      </c>
      <c r="K174" s="292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1" t="n"/>
      <c r="J177" s="290" t="n">
        <v>284308</v>
      </c>
      <c r="K177" s="292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1" t="n"/>
      <c r="J178" s="290" t="n">
        <v>298000</v>
      </c>
      <c r="K178" s="292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1" t="n"/>
      <c r="J179" s="290" t="n">
        <v>1357481</v>
      </c>
      <c r="K179" s="292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1" t="n"/>
      <c r="J180" s="290" t="n">
        <v>100000</v>
      </c>
      <c r="K180" s="292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1" t="n"/>
      <c r="J181" s="290" t="n">
        <v>300000</v>
      </c>
      <c r="K181" s="292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1" t="n"/>
      <c r="J182" s="290" t="n">
        <v>3251400</v>
      </c>
      <c r="K182" s="292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1" t="n"/>
      <c r="J185" s="290" t="n">
        <v>1387800</v>
      </c>
      <c r="K185" s="292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1" t="n"/>
      <c r="J186" s="290" t="n">
        <v>234140</v>
      </c>
      <c r="K186" s="292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1" t="n"/>
      <c r="J187" s="290" t="n">
        <v>232000</v>
      </c>
      <c r="K187" s="292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1" t="n"/>
      <c r="J188" s="290" t="n">
        <v>103400</v>
      </c>
      <c r="K188" s="292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1" t="n"/>
      <c r="J189" s="290" t="n">
        <v>600000</v>
      </c>
      <c r="K189" s="292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1" t="n"/>
      <c r="J190" s="290" t="n">
        <v>27000</v>
      </c>
      <c r="K190" s="292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1" t="n"/>
      <c r="J191" s="290" t="n">
        <v>360000</v>
      </c>
      <c r="K191" s="292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1" t="n"/>
      <c r="J192" s="290" t="n">
        <v>276900</v>
      </c>
      <c r="K192" s="292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1" t="n"/>
      <c r="J195" s="290" t="n">
        <v>255500</v>
      </c>
      <c r="K195" s="292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1" t="n"/>
      <c r="J196" s="290" t="n">
        <v>150000</v>
      </c>
      <c r="K196" s="292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1" t="n"/>
      <c r="J197" s="290" t="n">
        <v>150000</v>
      </c>
      <c r="K197" s="292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1" t="n"/>
      <c r="J198" s="290" t="n">
        <v>450000</v>
      </c>
      <c r="K198" s="292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1" t="n"/>
      <c r="J199" s="290" t="n">
        <v>4815300</v>
      </c>
      <c r="K199" s="292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1" t="n"/>
      <c r="J200" s="290" t="n">
        <v>128000</v>
      </c>
      <c r="K200" s="292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>
        <v>1203813.75</v>
      </c>
      <c r="J203" s="291" t="n"/>
      <c r="K203" s="292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1" t="n"/>
      <c r="J205" s="290" t="n">
        <v>3292802</v>
      </c>
      <c r="K205" s="292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1" t="n"/>
      <c r="J206" s="290" t="n">
        <v>350000</v>
      </c>
      <c r="K206" s="292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1" t="n"/>
      <c r="J207" s="290" t="n">
        <v>657000</v>
      </c>
      <c r="K207" s="292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1" t="n"/>
      <c r="J208" s="290" t="n">
        <v>1050000</v>
      </c>
      <c r="K208" s="292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1" t="n"/>
      <c r="J209" s="290" t="n">
        <v>6420340</v>
      </c>
      <c r="K209" s="292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1" t="n"/>
      <c r="J210" s="290" t="n">
        <v>75000</v>
      </c>
      <c r="K210" s="292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1" t="n"/>
      <c r="J212" s="291" t="n"/>
      <c r="K212" s="292" t="n"/>
      <c r="L212" s="281" t="n"/>
      <c r="M212" s="281" t="n"/>
      <c r="N212" s="281" t="n"/>
      <c r="O212" s="293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1" t="n"/>
      <c r="J215" s="290" t="n">
        <v>1950000</v>
      </c>
      <c r="K215" s="292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1" t="n"/>
      <c r="J216" s="290" t="n">
        <v>200000</v>
      </c>
      <c r="K216" s="292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1" t="n"/>
      <c r="J217" s="290" t="n">
        <v>101800</v>
      </c>
      <c r="K217" s="292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1" t="n"/>
      <c r="J218" s="290" t="n">
        <v>481900</v>
      </c>
      <c r="K218" s="292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1" t="n"/>
      <c r="J219" s="290" t="n">
        <v>600000</v>
      </c>
      <c r="K219" s="292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1" t="n"/>
      <c r="J220" s="290" t="n">
        <v>1605085</v>
      </c>
      <c r="K220" s="292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1" t="n"/>
      <c r="J221" s="290" t="n">
        <v>78500</v>
      </c>
      <c r="K221" s="292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1" t="n"/>
      <c r="J224" s="290" t="n">
        <v>9693878</v>
      </c>
      <c r="K224" s="292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1" t="n"/>
      <c r="J227" s="291" t="n"/>
      <c r="K227" s="292" t="n"/>
      <c r="L227" s="281" t="n"/>
      <c r="M227" s="281" t="n"/>
      <c r="N227" s="281" t="n"/>
      <c r="O227" s="281" t="n"/>
      <c r="P227" s="281" t="n"/>
      <c r="Q227" s="293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2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1" t="n"/>
      <c r="J229" s="291" t="n"/>
      <c r="K229" s="292" t="n"/>
      <c r="L229" s="281" t="n"/>
      <c r="M229" s="281" t="n"/>
      <c r="N229" s="281" t="n"/>
      <c r="O229" s="293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1" t="n"/>
      <c r="J232" s="291" t="n"/>
      <c r="K232" s="292" t="n"/>
      <c r="L232" s="281" t="n"/>
      <c r="M232" s="281" t="n"/>
      <c r="N232" s="281" t="n"/>
      <c r="O232" s="281" t="n"/>
      <c r="P232" s="281" t="n"/>
      <c r="Q232" s="293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1" t="n"/>
      <c r="J235" s="290" t="n">
        <v>773238</v>
      </c>
      <c r="K235" s="292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1" t="n"/>
      <c r="J236" s="290" t="n">
        <v>296853</v>
      </c>
      <c r="K236" s="292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1" t="n"/>
      <c r="J237" s="290" t="n">
        <v>250000</v>
      </c>
      <c r="K237" s="292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1" t="n"/>
      <c r="J238" s="290" t="n">
        <v>900000</v>
      </c>
      <c r="K238" s="292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1" t="n"/>
      <c r="J239" s="290" t="n">
        <v>2430000</v>
      </c>
      <c r="K239" s="292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2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1" t="n"/>
      <c r="J242" s="290" t="n">
        <v>232520</v>
      </c>
      <c r="K242" s="292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1" t="n"/>
      <c r="J243" s="290" t="n">
        <v>312000</v>
      </c>
      <c r="K243" s="292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1" t="n"/>
      <c r="J244" s="290" t="n">
        <v>900000</v>
      </c>
      <c r="K244" s="292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1" t="n"/>
      <c r="J245" s="290" t="n">
        <v>300000</v>
      </c>
      <c r="K245" s="292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1" t="n"/>
      <c r="J246" s="290" t="n">
        <v>150</v>
      </c>
      <c r="K246" s="292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3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1" t="n"/>
      <c r="J248" s="291" t="n"/>
      <c r="K248" s="292" t="n"/>
      <c r="L248" s="281" t="n"/>
      <c r="M248" s="281" t="n"/>
      <c r="N248" s="281" t="n"/>
      <c r="O248" s="293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1" t="n"/>
      <c r="J249" s="291" t="n"/>
      <c r="K249" s="292" t="n"/>
      <c r="L249" s="281" t="n"/>
      <c r="M249" s="281" t="n"/>
      <c r="N249" s="281" t="n"/>
      <c r="O249" s="293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1" t="n"/>
      <c r="J250" s="291" t="n"/>
      <c r="K250" s="292" t="n"/>
      <c r="L250" s="281" t="n"/>
      <c r="M250" s="281" t="n"/>
      <c r="N250" s="281" t="n"/>
      <c r="O250" s="293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1" t="n"/>
      <c r="J253" s="290" t="n">
        <v>1650000</v>
      </c>
      <c r="K253" s="292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1" t="n"/>
      <c r="J254" s="290" t="n">
        <v>300000</v>
      </c>
      <c r="K254" s="292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1" t="n"/>
      <c r="J255" s="290" t="n">
        <v>1418800</v>
      </c>
      <c r="K255" s="292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1" t="n"/>
      <c r="J256" s="290" t="n">
        <v>166000</v>
      </c>
      <c r="K256" s="292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1" t="n"/>
      <c r="J257" s="290" t="n">
        <v>60000</v>
      </c>
      <c r="K257" s="292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1" t="n"/>
      <c r="J258" s="290" t="n">
        <v>2900000</v>
      </c>
      <c r="K258" s="292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1" t="n"/>
      <c r="J259" s="290" t="n">
        <v>400000</v>
      </c>
      <c r="K259" s="292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1" t="n"/>
      <c r="J260" s="290" t="n">
        <v>709300</v>
      </c>
      <c r="K260" s="292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1" t="n"/>
      <c r="J261" s="290" t="n">
        <v>900000</v>
      </c>
      <c r="K261" s="292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1" t="n"/>
      <c r="J262" s="290" t="n">
        <v>9717600</v>
      </c>
      <c r="K262" s="292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1" t="n"/>
      <c r="J263" s="290" t="n">
        <v>300000</v>
      </c>
      <c r="K263" s="292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1" t="n"/>
      <c r="J264" s="290" t="n">
        <v>1326410</v>
      </c>
      <c r="K264" s="292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1" t="n"/>
      <c r="J267" s="290" t="n">
        <v>233000</v>
      </c>
      <c r="K267" s="292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1" t="n"/>
      <c r="J268" s="290" t="n">
        <v>73000</v>
      </c>
      <c r="K268" s="292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1" t="n"/>
      <c r="J269" s="290" t="n">
        <v>9693878</v>
      </c>
      <c r="K269" s="292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1" t="n"/>
      <c r="J270" s="290" t="n">
        <v>59000</v>
      </c>
      <c r="K270" s="292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1" t="n"/>
      <c r="J273" s="290" t="n">
        <v>720000</v>
      </c>
      <c r="K273" s="292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1" t="n"/>
      <c r="J274" s="290" t="n">
        <v>200000</v>
      </c>
      <c r="K274" s="292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1" t="n"/>
      <c r="J275" s="290" t="n">
        <v>995500</v>
      </c>
      <c r="K275" s="292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1" t="n"/>
      <c r="J276" s="290" t="n">
        <v>273500</v>
      </c>
      <c r="K276" s="292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1" t="n"/>
      <c r="J277" s="290" t="n">
        <v>224000</v>
      </c>
      <c r="K277" s="292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1" t="n"/>
      <c r="J278" s="290" t="n">
        <v>2000000</v>
      </c>
      <c r="K278" s="292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1" t="n"/>
      <c r="J279" s="290" t="n">
        <v>330000</v>
      </c>
      <c r="K279" s="292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1" t="n"/>
      <c r="J280" s="290" t="n">
        <v>270000</v>
      </c>
      <c r="K280" s="292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1" t="n"/>
      <c r="J281" s="290" t="n">
        <v>1004000</v>
      </c>
      <c r="K281" s="292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1" t="n"/>
      <c r="J282" s="290" t="n">
        <v>600000</v>
      </c>
      <c r="K282" s="292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1" t="n"/>
      <c r="J283" s="290" t="n">
        <v>6551200</v>
      </c>
      <c r="K283" s="292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1" t="n"/>
      <c r="J285" s="291" t="n"/>
      <c r="K285" s="292" t="n"/>
      <c r="L285" s="281" t="n"/>
      <c r="M285" s="281" t="n"/>
      <c r="N285" s="281" t="n"/>
      <c r="O285" s="293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1" t="n"/>
      <c r="J288" s="290" t="n">
        <v>594804</v>
      </c>
      <c r="K288" s="292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1" t="n"/>
      <c r="J290" s="291" t="n"/>
      <c r="K290" s="292" t="n"/>
      <c r="L290" s="281" t="n"/>
      <c r="M290" s="281" t="n"/>
      <c r="N290" s="281" t="n"/>
      <c r="O290" s="293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1" t="n"/>
      <c r="J291" s="291" t="n"/>
      <c r="K291" s="292" t="n"/>
      <c r="L291" s="281" t="n"/>
      <c r="M291" s="281" t="n"/>
      <c r="N291" s="281" t="n"/>
      <c r="O291" s="293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2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1" t="n"/>
      <c r="J294" s="290" t="n">
        <v>344305</v>
      </c>
      <c r="K294" s="292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1" t="n"/>
      <c r="J295" s="290" t="n">
        <v>34620</v>
      </c>
      <c r="K295" s="292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1" t="n"/>
      <c r="J296" s="290" t="n">
        <v>4912100</v>
      </c>
      <c r="K296" s="292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1" t="n"/>
      <c r="J297" s="290" t="n">
        <v>250000</v>
      </c>
      <c r="K297" s="292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1" t="n"/>
      <c r="J298" s="290" t="n">
        <v>249264</v>
      </c>
      <c r="K298" s="292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1" t="n"/>
      <c r="J299" s="290" t="n">
        <v>27696</v>
      </c>
      <c r="K299" s="292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1" t="n"/>
      <c r="J300" s="290" t="n">
        <v>283987.86</v>
      </c>
      <c r="K300" s="292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1" t="n"/>
      <c r="J301" s="290" t="n">
        <v>259120</v>
      </c>
      <c r="K301" s="292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1" t="n"/>
      <c r="J303" s="291" t="n"/>
      <c r="K303" s="292" t="n"/>
      <c r="L303" s="281" t="n"/>
      <c r="M303" s="281" t="n"/>
      <c r="N303" s="281" t="n"/>
      <c r="O303" s="293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1" t="n"/>
      <c r="J304" s="291" t="n"/>
      <c r="K304" s="292" t="n"/>
      <c r="L304" s="281" t="n"/>
      <c r="M304" s="281" t="n"/>
      <c r="N304" s="281" t="n"/>
      <c r="O304" s="293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1" t="n"/>
      <c r="J307" s="291" t="n"/>
      <c r="K307" s="292" t="n"/>
      <c r="L307" s="281" t="n"/>
      <c r="M307" s="281" t="n"/>
      <c r="N307" s="281" t="n"/>
      <c r="O307" s="281" t="n"/>
      <c r="P307" s="281" t="n"/>
      <c r="Q307" s="293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1" t="n"/>
      <c r="J308" s="291" t="n"/>
      <c r="K308" s="292" t="n"/>
      <c r="L308" s="281" t="n"/>
      <c r="M308" s="281" t="n"/>
      <c r="N308" s="281" t="n"/>
      <c r="O308" s="281" t="n"/>
      <c r="P308" s="281" t="n"/>
      <c r="Q308" s="293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1" t="n"/>
      <c r="J309" s="291" t="n"/>
      <c r="K309" s="292" t="n"/>
      <c r="L309" s="281" t="n"/>
      <c r="M309" s="281" t="n"/>
      <c r="N309" s="281" t="n"/>
      <c r="O309" s="281" t="n"/>
      <c r="P309" s="281" t="n"/>
      <c r="Q309" s="293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1" t="n"/>
      <c r="J310" s="291" t="n"/>
      <c r="K310" s="292" t="n"/>
      <c r="L310" s="281" t="n"/>
      <c r="M310" s="281" t="n"/>
      <c r="N310" s="281" t="n"/>
      <c r="O310" s="281" t="n"/>
      <c r="P310" s="281" t="n"/>
      <c r="Q310" s="293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1" t="n"/>
      <c r="J313" s="290" t="n">
        <v>985367</v>
      </c>
      <c r="K313" s="292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1" t="n"/>
      <c r="J314" s="290" t="n">
        <v>225520</v>
      </c>
      <c r="K314" s="292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1" t="n"/>
      <c r="J315" s="290" t="n">
        <v>292060</v>
      </c>
      <c r="K315" s="292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1" t="n"/>
      <c r="J316" s="290" t="n">
        <v>400000</v>
      </c>
      <c r="K316" s="292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1" t="n"/>
      <c r="J317" s="290" t="n">
        <v>190430</v>
      </c>
      <c r="K317" s="292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1" t="n"/>
      <c r="J318" s="290" t="n">
        <v>1175717</v>
      </c>
      <c r="K318" s="292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1" t="n"/>
      <c r="J319" s="290" t="n">
        <v>262000</v>
      </c>
      <c r="K319" s="292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1" t="n"/>
      <c r="J320" s="290" t="n">
        <v>235000</v>
      </c>
      <c r="K320" s="292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1" t="n"/>
      <c r="J321" s="290" t="n">
        <v>3500000</v>
      </c>
      <c r="K321" s="292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1" t="n"/>
      <c r="J322" s="290" t="n">
        <v>2160000</v>
      </c>
      <c r="K322" s="292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1" t="n"/>
      <c r="J323" s="290" t="n">
        <v>1050000</v>
      </c>
      <c r="K323" s="292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1" t="n"/>
      <c r="J324" s="290" t="n">
        <v>350000</v>
      </c>
      <c r="K324" s="292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1" t="n"/>
      <c r="J325" s="290" t="n">
        <v>700</v>
      </c>
      <c r="K325" s="292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1" t="n"/>
      <c r="J327" s="291" t="n"/>
      <c r="K327" s="292" t="n"/>
      <c r="L327" s="281" t="n"/>
      <c r="M327" s="281" t="n"/>
      <c r="N327" s="281" t="n"/>
      <c r="O327" s="293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1" t="n"/>
      <c r="J328" s="291" t="n"/>
      <c r="K328" s="292" t="n"/>
      <c r="L328" s="281" t="n"/>
      <c r="M328" s="281" t="n"/>
      <c r="N328" s="281" t="n"/>
      <c r="O328" s="293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1" t="n"/>
      <c r="J329" s="291" t="n"/>
      <c r="K329" s="292" t="n"/>
      <c r="L329" s="281" t="n"/>
      <c r="M329" s="281" t="n"/>
      <c r="N329" s="281" t="n"/>
      <c r="O329" s="293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1" t="n"/>
      <c r="J332" s="290" t="n">
        <v>600000</v>
      </c>
      <c r="K332" s="292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1" t="n"/>
      <c r="J333" s="290" t="n">
        <v>200000</v>
      </c>
      <c r="K333" s="292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1" t="n"/>
      <c r="J334" s="290" t="n">
        <v>1630000</v>
      </c>
      <c r="K334" s="292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1" t="n"/>
      <c r="J335" s="290" t="n">
        <v>1050000</v>
      </c>
      <c r="K335" s="292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1" t="n"/>
      <c r="J336" s="290" t="n">
        <v>350000</v>
      </c>
      <c r="K336" s="292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1" t="n"/>
      <c r="J337" s="290" t="n">
        <v>2852500</v>
      </c>
      <c r="K337" s="292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1" t="n"/>
      <c r="J340" s="290" t="n">
        <v>500000</v>
      </c>
      <c r="K340" s="292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1" t="n"/>
      <c r="J341" s="290" t="n">
        <v>1500000</v>
      </c>
      <c r="K341" s="292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1" t="n"/>
      <c r="J342" s="290" t="n">
        <v>16100000</v>
      </c>
      <c r="K342" s="292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1" t="n"/>
      <c r="J344" s="291" t="n"/>
      <c r="K344" s="292" t="n"/>
      <c r="L344" s="281" t="n"/>
      <c r="M344" s="281" t="n"/>
      <c r="N344" s="281" t="n"/>
      <c r="O344" s="293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1" t="n"/>
      <c r="J347" s="290" t="n">
        <v>673500</v>
      </c>
      <c r="K347" s="292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1" t="n"/>
      <c r="J348" s="290" t="n">
        <v>154000</v>
      </c>
      <c r="K348" s="292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1" t="n"/>
      <c r="J349" s="290" t="n">
        <v>129000</v>
      </c>
      <c r="K349" s="292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1" t="n"/>
      <c r="J350" s="290" t="n">
        <v>1591200</v>
      </c>
      <c r="K350" s="292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1" t="n"/>
      <c r="J351" s="290" t="n">
        <v>795600</v>
      </c>
      <c r="K351" s="292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1" t="n"/>
      <c r="J352" s="290" t="n">
        <v>45000</v>
      </c>
      <c r="K352" s="292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1" t="n"/>
      <c r="J353" s="290" t="n">
        <v>750000</v>
      </c>
      <c r="K353" s="292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1" t="n"/>
      <c r="J354" s="290" t="n">
        <v>250000</v>
      </c>
      <c r="K354" s="292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1" t="n"/>
      <c r="J355" s="290" t="n">
        <v>500</v>
      </c>
      <c r="K355" s="292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1" t="n"/>
      <c r="J358" s="290" t="n">
        <v>144100</v>
      </c>
      <c r="K358" s="292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1" t="n"/>
      <c r="J359" s="290" t="n">
        <v>157000</v>
      </c>
      <c r="K359" s="292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1" t="n"/>
      <c r="J360" s="290" t="n">
        <v>164100</v>
      </c>
      <c r="K360" s="292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1" t="n"/>
      <c r="J361" s="290" t="n">
        <v>291000</v>
      </c>
      <c r="K361" s="292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1" t="n"/>
      <c r="J362" s="290" t="n">
        <v>81000</v>
      </c>
      <c r="K362" s="292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1" t="n"/>
      <c r="J363" s="290" t="n">
        <v>177350</v>
      </c>
      <c r="K363" s="292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1" t="n"/>
      <c r="J364" s="290" t="n">
        <v>319700</v>
      </c>
      <c r="K364" s="292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1" t="n"/>
      <c r="J365" s="290" t="n">
        <v>217350</v>
      </c>
      <c r="K365" s="292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1" t="n"/>
      <c r="J367" s="291" t="n"/>
      <c r="K367" s="292" t="n"/>
      <c r="L367" s="281" t="n"/>
      <c r="M367" s="281" t="n"/>
      <c r="N367" s="281" t="n"/>
      <c r="O367" s="281" t="n"/>
      <c r="P367" s="281" t="n"/>
      <c r="Q367" s="293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1" t="n"/>
      <c r="J368" s="291" t="n"/>
      <c r="K368" s="292" t="n"/>
      <c r="L368" s="281" t="n"/>
      <c r="M368" s="281" t="n"/>
      <c r="N368" s="281" t="n"/>
      <c r="O368" s="281" t="n"/>
      <c r="P368" s="281" t="n"/>
      <c r="Q368" s="293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1" t="n"/>
      <c r="J369" s="291" t="n"/>
      <c r="K369" s="292" t="n"/>
      <c r="L369" s="281" t="n"/>
      <c r="M369" s="281" t="n"/>
      <c r="N369" s="281" t="n"/>
      <c r="O369" s="281" t="n"/>
      <c r="P369" s="281" t="n"/>
      <c r="Q369" s="293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1" t="n"/>
      <c r="J370" s="291" t="n"/>
      <c r="K370" s="292" t="n"/>
      <c r="L370" s="281" t="n"/>
      <c r="M370" s="281" t="n"/>
      <c r="N370" s="281" t="n"/>
      <c r="O370" s="281" t="n"/>
      <c r="P370" s="281" t="n"/>
      <c r="Q370" s="293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1" t="n"/>
      <c r="J371" s="291" t="n"/>
      <c r="K371" s="292" t="n"/>
      <c r="L371" s="281" t="n"/>
      <c r="M371" s="281" t="n"/>
      <c r="N371" s="281" t="n"/>
      <c r="O371" s="281" t="n"/>
      <c r="P371" s="281" t="n"/>
      <c r="Q371" s="293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1" t="n"/>
      <c r="J372" s="291" t="n"/>
      <c r="K372" s="292" t="n"/>
      <c r="L372" s="281" t="n"/>
      <c r="M372" s="281" t="n"/>
      <c r="N372" s="281" t="n"/>
      <c r="O372" s="281" t="n"/>
      <c r="P372" s="281" t="n"/>
      <c r="Q372" s="293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1" t="n"/>
      <c r="J373" s="291" t="n"/>
      <c r="K373" s="292" t="n"/>
      <c r="L373" s="281" t="n"/>
      <c r="M373" s="281" t="n"/>
      <c r="N373" s="281" t="n"/>
      <c r="O373" s="281" t="n"/>
      <c r="P373" s="281" t="n"/>
      <c r="Q373" s="293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1" t="n"/>
      <c r="J375" s="291" t="n"/>
      <c r="K375" s="292" t="n"/>
      <c r="L375" s="281" t="n"/>
      <c r="M375" s="281" t="n"/>
      <c r="N375" s="281" t="n"/>
      <c r="O375" s="293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1" t="n"/>
      <c r="J376" s="291" t="n"/>
      <c r="K376" s="292" t="n"/>
      <c r="L376" s="281" t="n"/>
      <c r="M376" s="281" t="n"/>
      <c r="N376" s="281" t="n"/>
      <c r="O376" s="293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1" t="n"/>
      <c r="J377" s="291" t="n"/>
      <c r="K377" s="292" t="n"/>
      <c r="L377" s="281" t="n"/>
      <c r="M377" s="281" t="n"/>
      <c r="N377" s="281" t="n"/>
      <c r="O377" s="293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1" t="n"/>
      <c r="J378" s="291" t="n"/>
      <c r="K378" s="292" t="n"/>
      <c r="L378" s="281" t="n"/>
      <c r="M378" s="281" t="n"/>
      <c r="N378" s="281" t="n"/>
      <c r="O378" s="293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1" t="n"/>
      <c r="J379" s="291" t="n"/>
      <c r="K379" s="292" t="n"/>
      <c r="L379" s="281" t="n"/>
      <c r="M379" s="281" t="n"/>
      <c r="N379" s="281" t="n"/>
      <c r="O379" s="293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1" t="n"/>
      <c r="J380" s="291" t="n"/>
      <c r="K380" s="292" t="n"/>
      <c r="L380" s="281" t="n"/>
      <c r="M380" s="281" t="n"/>
      <c r="N380" s="281" t="n"/>
      <c r="O380" s="293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1" t="n"/>
      <c r="J381" s="291" t="n"/>
      <c r="K381" s="292" t="n"/>
      <c r="L381" s="281" t="n"/>
      <c r="M381" s="281" t="n"/>
      <c r="N381" s="281" t="n"/>
      <c r="O381" s="293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1" t="n"/>
      <c r="J382" s="291" t="n"/>
      <c r="K382" s="292" t="n"/>
      <c r="L382" s="281" t="n"/>
      <c r="M382" s="281" t="n"/>
      <c r="N382" s="281" t="n"/>
      <c r="O382" s="293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1" t="n"/>
      <c r="J385" s="290" t="n">
        <v>98000</v>
      </c>
      <c r="K385" s="292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1" t="n"/>
      <c r="J386" s="290" t="n">
        <v>483000</v>
      </c>
      <c r="K386" s="292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1" t="n"/>
      <c r="J387" s="290" t="n">
        <v>199900</v>
      </c>
      <c r="K387" s="292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1" t="n"/>
      <c r="J388" s="290" t="n">
        <v>275000</v>
      </c>
      <c r="K388" s="292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1" t="n"/>
      <c r="J389" s="290" t="n">
        <v>69000</v>
      </c>
      <c r="K389" s="292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1" t="n"/>
      <c r="J390" s="290" t="n">
        <v>109800</v>
      </c>
      <c r="K390" s="292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1" t="n"/>
      <c r="J391" s="290" t="n">
        <v>157000</v>
      </c>
      <c r="K391" s="292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1" t="n"/>
      <c r="J392" s="290" t="n">
        <v>80000</v>
      </c>
      <c r="K392" s="292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1" t="n"/>
      <c r="J393" s="290" t="n">
        <v>2700000</v>
      </c>
      <c r="K393" s="292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1" t="n"/>
      <c r="J394" s="290" t="n">
        <v>96600</v>
      </c>
      <c r="K394" s="292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1" t="n"/>
      <c r="J395" s="290" t="n">
        <v>270350</v>
      </c>
      <c r="K395" s="292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1" t="n"/>
      <c r="J396" s="290" t="n">
        <v>401000</v>
      </c>
      <c r="K396" s="292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1" t="n"/>
      <c r="J397" s="290" t="n">
        <v>56600</v>
      </c>
      <c r="K397" s="292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1" t="n"/>
      <c r="J398" s="290" t="n">
        <v>118100</v>
      </c>
      <c r="K398" s="292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1" t="n"/>
      <c r="J399" s="290" t="n">
        <v>11000000</v>
      </c>
      <c r="K399" s="292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1" t="n"/>
      <c r="J400" s="290" t="n">
        <v>496000</v>
      </c>
      <c r="K400" s="292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1" t="n"/>
      <c r="J401" s="290" t="n">
        <v>500000</v>
      </c>
      <c r="K401" s="292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1" t="n"/>
      <c r="J402" s="290" t="n">
        <v>1500000</v>
      </c>
      <c r="K402" s="292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1" t="n"/>
      <c r="J403" s="290" t="n">
        <v>16100000</v>
      </c>
      <c r="K403" s="292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1" t="n"/>
      <c r="J405" s="291" t="n"/>
      <c r="K405" s="292" t="n"/>
      <c r="L405" s="281" t="n"/>
      <c r="M405" s="281" t="n"/>
      <c r="N405" s="281" t="n"/>
      <c r="O405" s="281" t="n"/>
      <c r="P405" s="281" t="n"/>
      <c r="Q405" s="293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1" t="n"/>
      <c r="J407" s="291" t="n"/>
      <c r="K407" s="292" t="n"/>
      <c r="L407" s="281" t="n"/>
      <c r="M407" s="281" t="n"/>
      <c r="N407" s="281" t="n"/>
      <c r="O407" s="293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1" t="n"/>
      <c r="J408" s="291" t="n"/>
      <c r="K408" s="292" t="n"/>
      <c r="L408" s="281" t="n"/>
      <c r="M408" s="281" t="n"/>
      <c r="N408" s="281" t="n"/>
      <c r="O408" s="293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1" t="n"/>
      <c r="J409" s="291" t="n"/>
      <c r="K409" s="292" t="n"/>
      <c r="L409" s="281" t="n"/>
      <c r="M409" s="281" t="n"/>
      <c r="N409" s="281" t="n"/>
      <c r="O409" s="293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1" t="n"/>
      <c r="J410" s="291" t="n"/>
      <c r="K410" s="292" t="n"/>
      <c r="L410" s="281" t="n"/>
      <c r="M410" s="281" t="n"/>
      <c r="N410" s="281" t="n"/>
      <c r="O410" s="293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1" t="n"/>
      <c r="J413" s="290" t="n">
        <v>276500</v>
      </c>
      <c r="K413" s="292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1" t="n"/>
      <c r="J414" s="290" t="n">
        <v>63568</v>
      </c>
      <c r="K414" s="292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1" t="n"/>
      <c r="J415" s="290" t="n">
        <v>159682</v>
      </c>
      <c r="K415" s="292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1" t="n"/>
      <c r="J416" s="290" t="n">
        <v>500000</v>
      </c>
      <c r="K416" s="292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1" t="n"/>
      <c r="J417" s="290" t="n">
        <v>263200</v>
      </c>
      <c r="K417" s="292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1" t="n"/>
      <c r="J418" s="290" t="n">
        <v>1500000</v>
      </c>
      <c r="K418" s="292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1" t="n"/>
      <c r="J419" s="290" t="n">
        <v>15513000</v>
      </c>
      <c r="K419" s="292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1" t="n"/>
      <c r="J420" s="290" t="n">
        <v>161885</v>
      </c>
      <c r="K420" s="292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1" t="n"/>
      <c r="J422" s="291" t="n"/>
      <c r="K422" s="292" t="n"/>
      <c r="L422" s="281" t="n"/>
      <c r="M422" s="281" t="n"/>
      <c r="N422" s="281" t="n"/>
      <c r="O422" s="293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1" t="n"/>
      <c r="J425" s="290" t="n">
        <v>900000</v>
      </c>
      <c r="K425" s="292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1" t="n"/>
      <c r="J426" s="290" t="n">
        <v>300000</v>
      </c>
      <c r="K426" s="292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1" t="n"/>
      <c r="J427" s="290" t="n">
        <v>2317500</v>
      </c>
      <c r="K427" s="292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1" t="n"/>
      <c r="J430" s="290" t="n">
        <v>1800000</v>
      </c>
      <c r="K430" s="292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1" t="n"/>
      <c r="J431" s="290" t="n">
        <v>300000</v>
      </c>
      <c r="K431" s="292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1" t="n"/>
      <c r="J432" s="290" t="n">
        <v>904682</v>
      </c>
      <c r="K432" s="292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1" t="n"/>
      <c r="J433" s="290" t="n">
        <v>256500</v>
      </c>
      <c r="K433" s="292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1" t="n"/>
      <c r="J434" s="290" t="n">
        <v>224000</v>
      </c>
      <c r="K434" s="292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1" t="n"/>
      <c r="J435" s="290" t="n">
        <v>3000000</v>
      </c>
      <c r="K435" s="292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1" t="n"/>
      <c r="J436" s="290" t="n">
        <v>400000</v>
      </c>
      <c r="K436" s="292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1" t="n"/>
      <c r="J437" s="290" t="n">
        <v>310660</v>
      </c>
      <c r="K437" s="292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1" t="n"/>
      <c r="J438" s="290" t="n">
        <v>9262800</v>
      </c>
      <c r="K438" s="292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1" t="n"/>
      <c r="J439" s="290" t="n">
        <v>900000</v>
      </c>
      <c r="K439" s="292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1" t="n"/>
      <c r="J440" s="290" t="n">
        <v>836100</v>
      </c>
      <c r="K440" s="292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1" t="n"/>
      <c r="J443" s="290" t="n">
        <v>241280</v>
      </c>
      <c r="K443" s="292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1" t="n"/>
      <c r="J444" s="290" t="n">
        <v>250000</v>
      </c>
      <c r="K444" s="292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1" t="n"/>
      <c r="J445" s="290" t="n">
        <v>240000</v>
      </c>
      <c r="K445" s="292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1" t="n"/>
      <c r="J446" s="290" t="n">
        <v>750000</v>
      </c>
      <c r="K446" s="292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1" t="n"/>
      <c r="J447" s="290" t="n">
        <v>250000</v>
      </c>
      <c r="K447" s="292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1" t="n"/>
      <c r="J448" s="290" t="n">
        <v>500</v>
      </c>
      <c r="K448" s="292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1" t="n"/>
      <c r="J451" s="290" t="n">
        <v>1680000</v>
      </c>
      <c r="K451" s="292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1" t="n"/>
      <c r="J452" s="290" t="n">
        <v>350000</v>
      </c>
      <c r="K452" s="292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1" t="n"/>
      <c r="J453" s="290" t="n">
        <v>200000</v>
      </c>
      <c r="K453" s="292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1" t="n"/>
      <c r="J454" s="290" t="n">
        <v>215000</v>
      </c>
      <c r="K454" s="292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1" t="n"/>
      <c r="J455" s="290" t="n">
        <v>197000</v>
      </c>
      <c r="K455" s="292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1" t="n"/>
      <c r="J456" s="290" t="n">
        <v>200000</v>
      </c>
      <c r="K456" s="292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1" t="n"/>
      <c r="J457" s="290" t="n">
        <v>220000</v>
      </c>
      <c r="K457" s="292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1" t="n"/>
      <c r="J458" s="290" t="n">
        <v>112000</v>
      </c>
      <c r="K458" s="292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1" t="n"/>
      <c r="J459" s="290" t="n">
        <v>117000</v>
      </c>
      <c r="K459" s="292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1" t="n"/>
      <c r="J460" s="290" t="n">
        <v>40000</v>
      </c>
      <c r="K460" s="292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1" t="n"/>
      <c r="J461" s="290" t="n">
        <v>65000</v>
      </c>
      <c r="K461" s="292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1" t="n"/>
      <c r="J462" s="290" t="n">
        <v>150000</v>
      </c>
      <c r="K462" s="292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1" t="n"/>
      <c r="J463" s="290" t="n">
        <v>120000</v>
      </c>
      <c r="K463" s="292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1" t="n"/>
      <c r="J464" s="290" t="n">
        <v>172000</v>
      </c>
      <c r="K464" s="292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1" t="n"/>
      <c r="J465" s="290" t="n">
        <v>300000</v>
      </c>
      <c r="K465" s="292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1" t="n"/>
      <c r="J466" s="290" t="n">
        <v>65000</v>
      </c>
      <c r="K466" s="292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1" t="n"/>
      <c r="J467" s="290" t="n">
        <v>200000</v>
      </c>
      <c r="K467" s="292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1" t="n"/>
      <c r="J468" s="290" t="n">
        <v>240000</v>
      </c>
      <c r="K468" s="292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1" t="n"/>
      <c r="J469" s="290" t="n">
        <v>230000</v>
      </c>
      <c r="K469" s="292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1" t="n"/>
      <c r="J470" s="290" t="n">
        <v>110000</v>
      </c>
      <c r="K470" s="292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1" t="n"/>
      <c r="J471" s="290" t="n">
        <v>47000</v>
      </c>
      <c r="K471" s="292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1" t="n"/>
      <c r="J472" s="290" t="n">
        <v>2668750</v>
      </c>
      <c r="K472" s="292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1" t="n"/>
      <c r="J473" s="290" t="n">
        <v>1050000</v>
      </c>
      <c r="K473" s="292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1" t="n"/>
      <c r="J476" s="290" t="n">
        <v>796800</v>
      </c>
      <c r="K476" s="292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1" t="n"/>
      <c r="J477" s="290" t="n">
        <v>250000</v>
      </c>
      <c r="K477" s="292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1" t="n"/>
      <c r="J478" s="290" t="n">
        <v>804500</v>
      </c>
      <c r="K478" s="292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1" t="n"/>
      <c r="J479" s="290" t="n">
        <v>250000</v>
      </c>
      <c r="K479" s="292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1" t="n"/>
      <c r="J480" s="290" t="n">
        <v>4000000</v>
      </c>
      <c r="K480" s="292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1" t="n"/>
      <c r="J481" s="290" t="n">
        <v>400000</v>
      </c>
      <c r="K481" s="292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1" t="n"/>
      <c r="J482" s="290" t="n">
        <v>900000</v>
      </c>
      <c r="K482" s="292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1" t="n"/>
      <c r="J483" s="290" t="n">
        <v>12160000</v>
      </c>
      <c r="K483" s="292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1" t="n"/>
      <c r="J486" s="290" t="n">
        <v>274000</v>
      </c>
      <c r="K486" s="292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1" t="n"/>
      <c r="J487" s="290" t="n">
        <v>144500</v>
      </c>
      <c r="K487" s="292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1" t="n"/>
      <c r="J488" s="290" t="n">
        <v>160000</v>
      </c>
      <c r="K488" s="292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1" t="n"/>
      <c r="J489" s="290" t="n">
        <v>64500</v>
      </c>
      <c r="K489" s="292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1" t="n"/>
      <c r="J490" s="290" t="n">
        <v>64500</v>
      </c>
      <c r="K490" s="292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1" t="n"/>
      <c r="J491" s="290" t="n">
        <v>232500</v>
      </c>
      <c r="K491" s="292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1" t="n"/>
      <c r="J492" s="290" t="n">
        <v>112500</v>
      </c>
      <c r="K492" s="292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1" t="n"/>
      <c r="J493" s="290" t="n">
        <v>50500</v>
      </c>
      <c r="K493" s="292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1" t="n"/>
      <c r="J494" s="290" t="n">
        <v>59000</v>
      </c>
      <c r="K494" s="292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1" t="n"/>
      <c r="J495" s="290" t="n">
        <v>171000</v>
      </c>
      <c r="K495" s="292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1" t="n"/>
      <c r="J496" s="290" t="n">
        <v>256800</v>
      </c>
      <c r="K496" s="292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1" t="n"/>
      <c r="J497" s="290" t="n">
        <v>245000</v>
      </c>
      <c r="K497" s="292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1" t="n"/>
      <c r="J498" s="290" t="n">
        <v>180000</v>
      </c>
      <c r="K498" s="292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1" t="n"/>
      <c r="J499" s="290" t="n">
        <v>700000</v>
      </c>
      <c r="K499" s="292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1" t="n"/>
      <c r="J500" s="290" t="n">
        <v>166000</v>
      </c>
      <c r="K500" s="292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1" t="n"/>
      <c r="J501" s="290" t="n">
        <v>222650</v>
      </c>
      <c r="K501" s="292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1" t="n"/>
      <c r="J502" s="290" t="n">
        <v>100000</v>
      </c>
      <c r="K502" s="292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1" t="n"/>
      <c r="J503" s="290" t="n">
        <v>300000</v>
      </c>
      <c r="K503" s="292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1" t="n"/>
      <c r="J506" s="290" t="n">
        <v>25000</v>
      </c>
      <c r="K506" s="292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1" t="n"/>
      <c r="J507" s="290" t="n">
        <v>18000</v>
      </c>
      <c r="K507" s="292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1" t="n"/>
      <c r="J508" s="290" t="n">
        <v>31000</v>
      </c>
      <c r="K508" s="292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1" t="n"/>
      <c r="J509" s="290" t="n">
        <v>10000</v>
      </c>
      <c r="K509" s="292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1" t="n"/>
      <c r="J510" s="290" t="n">
        <v>18000</v>
      </c>
      <c r="K510" s="292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1" t="n"/>
      <c r="J512" s="291" t="n"/>
      <c r="K512" s="292" t="n"/>
      <c r="L512" s="281" t="n"/>
      <c r="M512" s="281" t="n"/>
      <c r="N512" s="281" t="n"/>
      <c r="O512" s="281" t="n"/>
      <c r="P512" s="281" t="n"/>
      <c r="Q512" s="293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1" t="n"/>
      <c r="J513" s="291" t="n"/>
      <c r="K513" s="292" t="n"/>
      <c r="L513" s="281" t="n"/>
      <c r="M513" s="281" t="n"/>
      <c r="N513" s="281" t="n"/>
      <c r="O513" s="281" t="n"/>
      <c r="P513" s="281" t="n"/>
      <c r="Q513" s="293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1" t="n"/>
      <c r="J514" s="291" t="n"/>
      <c r="K514" s="292" t="n"/>
      <c r="L514" s="281" t="n"/>
      <c r="M514" s="281" t="n"/>
      <c r="N514" s="281" t="n"/>
      <c r="O514" s="281" t="n"/>
      <c r="P514" s="281" t="n"/>
      <c r="Q514" s="293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1" t="n"/>
      <c r="J515" s="291" t="n"/>
      <c r="K515" s="292" t="n"/>
      <c r="L515" s="281" t="n"/>
      <c r="M515" s="281" t="n"/>
      <c r="N515" s="281" t="n"/>
      <c r="O515" s="281" t="n"/>
      <c r="P515" s="281" t="n"/>
      <c r="Q515" s="293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1" t="n"/>
      <c r="J516" s="291" t="n"/>
      <c r="K516" s="292" t="n"/>
      <c r="L516" s="281" t="n"/>
      <c r="M516" s="281" t="n"/>
      <c r="N516" s="281" t="n"/>
      <c r="O516" s="281" t="n"/>
      <c r="P516" s="281" t="n"/>
      <c r="Q516" s="293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1" t="n"/>
      <c r="J517" s="291" t="n"/>
      <c r="K517" s="292" t="n"/>
      <c r="L517" s="281" t="n"/>
      <c r="M517" s="281" t="n"/>
      <c r="N517" s="281" t="n"/>
      <c r="O517" s="281" t="n"/>
      <c r="P517" s="281" t="n"/>
      <c r="Q517" s="293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1" t="n"/>
      <c r="J518" s="291" t="n"/>
      <c r="K518" s="292" t="n"/>
      <c r="L518" s="281" t="n"/>
      <c r="M518" s="281" t="n"/>
      <c r="N518" s="281" t="n"/>
      <c r="O518" s="281" t="n"/>
      <c r="P518" s="281" t="n"/>
      <c r="Q518" s="293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1" t="n"/>
      <c r="J519" s="291" t="n"/>
      <c r="K519" s="292" t="n"/>
      <c r="L519" s="281" t="n"/>
      <c r="M519" s="281" t="n"/>
      <c r="N519" s="281" t="n"/>
      <c r="O519" s="281" t="n"/>
      <c r="P519" s="281" t="n"/>
      <c r="Q519" s="293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1" t="n"/>
      <c r="J520" s="291" t="n"/>
      <c r="K520" s="292" t="n"/>
      <c r="L520" s="281" t="n"/>
      <c r="M520" s="281" t="n"/>
      <c r="N520" s="281" t="n"/>
      <c r="O520" s="281" t="n"/>
      <c r="P520" s="281" t="n"/>
      <c r="Q520" s="293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1" t="n"/>
      <c r="J523" s="290" t="n">
        <v>1584184</v>
      </c>
      <c r="K523" s="292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1" t="n"/>
      <c r="J524" s="290" t="n">
        <v>250000</v>
      </c>
      <c r="K524" s="292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1" t="n"/>
      <c r="J525" s="290" t="n">
        <v>1213500</v>
      </c>
      <c r="K525" s="292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1" t="n"/>
      <c r="J526" s="290" t="n">
        <v>132500</v>
      </c>
      <c r="K526" s="292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1" t="n"/>
      <c r="J527" s="290" t="n">
        <v>280400</v>
      </c>
      <c r="K527" s="292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1" t="n"/>
      <c r="J528" s="290" t="n">
        <v>326600</v>
      </c>
      <c r="K528" s="292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1" t="n"/>
      <c r="J529" s="290" t="n">
        <v>1653500</v>
      </c>
      <c r="K529" s="292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1" t="n"/>
      <c r="J530" s="290" t="n">
        <v>73584</v>
      </c>
      <c r="K530" s="292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1" t="n"/>
      <c r="J531" s="290" t="n">
        <v>7615500</v>
      </c>
      <c r="K531" s="292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1" t="n"/>
      <c r="J532" s="290" t="n">
        <v>750000</v>
      </c>
      <c r="K532" s="292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1" t="n"/>
      <c r="J535" s="290" t="n">
        <v>250000</v>
      </c>
      <c r="K535" s="292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1" t="n"/>
      <c r="J536" s="290" t="n">
        <v>250000</v>
      </c>
      <c r="K536" s="292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1" t="n"/>
      <c r="J537" s="290" t="n">
        <v>900000</v>
      </c>
      <c r="K537" s="292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1" t="n"/>
      <c r="J538" s="290" t="n">
        <v>1102050</v>
      </c>
      <c r="K538" s="292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1" t="n"/>
      <c r="J539" s="290" t="n">
        <v>2700000</v>
      </c>
      <c r="K539" s="292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1" t="n"/>
      <c r="J540" s="290" t="n">
        <v>28528200</v>
      </c>
      <c r="K540" s="292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1" t="n"/>
      <c r="J543" s="290" t="n">
        <v>2700000</v>
      </c>
      <c r="K543" s="292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1" t="n"/>
      <c r="J544" s="290" t="n">
        <v>15000</v>
      </c>
      <c r="K544" s="292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1" t="n"/>
      <c r="J545" s="290" t="n">
        <v>15000</v>
      </c>
      <c r="K545" s="292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1" t="n"/>
      <c r="J546" s="290" t="n">
        <v>15000</v>
      </c>
      <c r="K546" s="292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1" t="n"/>
      <c r="J547" s="290" t="n">
        <v>14000</v>
      </c>
      <c r="K547" s="292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1" t="n"/>
      <c r="J548" s="290" t="n">
        <v>3000</v>
      </c>
      <c r="K548" s="292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1" t="n"/>
      <c r="J551" s="291" t="n"/>
      <c r="K551" s="292" t="n"/>
      <c r="L551" s="281" t="n"/>
      <c r="M551" s="281" t="n"/>
      <c r="N551" s="293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1" t="n"/>
      <c r="J552" s="291" t="n"/>
      <c r="K552" s="292" t="n"/>
      <c r="L552" s="281" t="n"/>
      <c r="M552" s="281" t="n"/>
      <c r="N552" s="293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1" t="n"/>
      <c r="J553" s="291" t="n"/>
      <c r="K553" s="292" t="n"/>
      <c r="L553" s="281" t="n"/>
      <c r="M553" s="281" t="n"/>
      <c r="N553" s="293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1" t="n"/>
      <c r="J554" s="291" t="n"/>
      <c r="K554" s="292" t="n"/>
      <c r="L554" s="281" t="n"/>
      <c r="M554" s="281" t="n"/>
      <c r="N554" s="293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1" t="n"/>
      <c r="J556" s="290" t="n">
        <v>18000</v>
      </c>
      <c r="K556" s="292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1" t="n"/>
      <c r="J557" s="290" t="n">
        <v>8000</v>
      </c>
      <c r="K557" s="292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1" t="n"/>
      <c r="J558" s="290" t="n">
        <v>15000</v>
      </c>
      <c r="K558" s="292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1" t="n"/>
      <c r="J559" s="290" t="n">
        <v>10000</v>
      </c>
      <c r="K559" s="292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1" t="n"/>
      <c r="J560" s="290" t="n">
        <v>275000</v>
      </c>
      <c r="K560" s="292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1" t="n"/>
      <c r="J561" s="290" t="n">
        <v>31500</v>
      </c>
      <c r="K561" s="292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1" t="n"/>
      <c r="J562" s="290" t="n">
        <v>266000</v>
      </c>
      <c r="K562" s="292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1" t="n"/>
      <c r="J563" s="290" t="n">
        <v>53500</v>
      </c>
      <c r="K563" s="292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1" t="n"/>
      <c r="J564" s="290" t="n">
        <v>269000</v>
      </c>
      <c r="K564" s="292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1" t="n"/>
      <c r="J565" s="290" t="n">
        <v>43450</v>
      </c>
      <c r="K565" s="292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1" t="n"/>
      <c r="J566" s="290" t="n">
        <v>290000</v>
      </c>
      <c r="K566" s="292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1" t="n"/>
      <c r="J567" s="290" t="n">
        <v>48500</v>
      </c>
      <c r="K567" s="292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1" t="n"/>
      <c r="J570" s="291" t="n"/>
      <c r="K570" s="292" t="n"/>
      <c r="L570" s="281" t="n"/>
      <c r="M570" s="281" t="n"/>
      <c r="N570" s="281" t="n"/>
      <c r="O570" s="293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1" t="n"/>
      <c r="J573" s="291" t="n"/>
      <c r="K573" s="292" t="n"/>
      <c r="L573" s="281" t="n"/>
      <c r="M573" s="281" t="n"/>
      <c r="N573" s="281" t="n"/>
      <c r="O573" s="293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1" t="n"/>
      <c r="J576" s="290" t="n">
        <v>276216</v>
      </c>
      <c r="K576" s="292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1" t="n"/>
      <c r="J577" s="290" t="n">
        <v>79500</v>
      </c>
      <c r="K577" s="292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1" t="n"/>
      <c r="J578" s="290" t="n">
        <v>29000</v>
      </c>
      <c r="K578" s="292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1" t="n"/>
      <c r="J579" s="290" t="n">
        <v>17000</v>
      </c>
      <c r="K579" s="292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1" t="n"/>
      <c r="J580" s="290" t="n">
        <v>155680</v>
      </c>
      <c r="K580" s="292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1" t="n"/>
      <c r="J581" s="290" t="n">
        <v>17000</v>
      </c>
      <c r="K581" s="292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1" t="n"/>
      <c r="J583" s="291" t="n"/>
      <c r="K583" s="292" t="n"/>
      <c r="L583" s="281" t="n"/>
      <c r="M583" s="281" t="n"/>
      <c r="N583" s="281" t="n"/>
      <c r="O583" s="281" t="n"/>
      <c r="P583" s="281" t="n"/>
      <c r="Q583" s="293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1" t="n"/>
      <c r="J584" s="291" t="n"/>
      <c r="K584" s="292" t="n"/>
      <c r="L584" s="281" t="n"/>
      <c r="M584" s="281" t="n"/>
      <c r="N584" s="281" t="n"/>
      <c r="O584" s="281" t="n"/>
      <c r="P584" s="281" t="n"/>
      <c r="Q584" s="293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1" t="n"/>
      <c r="J585" s="291" t="n"/>
      <c r="K585" s="292" t="n"/>
      <c r="L585" s="281" t="n"/>
      <c r="M585" s="281" t="n"/>
      <c r="N585" s="281" t="n"/>
      <c r="O585" s="281" t="n"/>
      <c r="P585" s="281" t="n"/>
      <c r="Q585" s="293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1" t="n"/>
      <c r="J586" s="291" t="n"/>
      <c r="K586" s="292" t="n"/>
      <c r="L586" s="281" t="n"/>
      <c r="M586" s="281" t="n"/>
      <c r="N586" s="281" t="n"/>
      <c r="O586" s="281" t="n"/>
      <c r="P586" s="281" t="n"/>
      <c r="Q586" s="293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1" t="n"/>
      <c r="J587" s="291" t="n"/>
      <c r="K587" s="292" t="n"/>
      <c r="L587" s="281" t="n"/>
      <c r="M587" s="281" t="n"/>
      <c r="N587" s="281" t="n"/>
      <c r="O587" s="281" t="n"/>
      <c r="P587" s="281" t="n"/>
      <c r="Q587" s="293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1" t="n"/>
      <c r="J588" s="291" t="n"/>
      <c r="K588" s="292" t="n"/>
      <c r="L588" s="281" t="n"/>
      <c r="M588" s="281" t="n"/>
      <c r="N588" s="281" t="n"/>
      <c r="O588" s="281" t="n"/>
      <c r="P588" s="281" t="n"/>
      <c r="Q588" s="293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1" t="n"/>
      <c r="J589" s="291" t="n"/>
      <c r="K589" s="292" t="n"/>
      <c r="L589" s="281" t="n"/>
      <c r="M589" s="281" t="n"/>
      <c r="N589" s="281" t="n"/>
      <c r="O589" s="281" t="n"/>
      <c r="P589" s="281" t="n"/>
      <c r="Q589" s="293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1" t="n"/>
      <c r="J590" s="291" t="n"/>
      <c r="K590" s="292" t="n"/>
      <c r="L590" s="281" t="n"/>
      <c r="M590" s="281" t="n"/>
      <c r="N590" s="281" t="n"/>
      <c r="O590" s="281" t="n"/>
      <c r="P590" s="281" t="n"/>
      <c r="Q590" s="293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1" t="n"/>
      <c r="J593" s="291" t="n"/>
      <c r="K593" s="292" t="n"/>
      <c r="L593" s="281" t="n"/>
      <c r="M593" s="281" t="n"/>
      <c r="N593" s="293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1" t="n"/>
      <c r="J595" s="290" t="n">
        <v>160000</v>
      </c>
      <c r="K595" s="292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1" t="n"/>
      <c r="J596" s="290" t="n">
        <v>195585</v>
      </c>
      <c r="K596" s="292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1" t="n"/>
      <c r="J597" s="290" t="n">
        <v>200000</v>
      </c>
      <c r="K597" s="292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1" t="n"/>
      <c r="J598" s="290" t="n">
        <v>160000</v>
      </c>
      <c r="K598" s="292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1" t="n"/>
      <c r="J599" s="290" t="n">
        <v>299900</v>
      </c>
      <c r="K599" s="292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1" t="n"/>
      <c r="J602" s="291" t="n"/>
      <c r="K602" s="292" t="n"/>
      <c r="L602" s="281" t="n"/>
      <c r="M602" s="281" t="n"/>
      <c r="N602" s="293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1" t="n"/>
      <c r="J603" s="291" t="n"/>
      <c r="K603" s="292" t="n"/>
      <c r="L603" s="281" t="n"/>
      <c r="M603" s="281" t="n"/>
      <c r="N603" s="293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1" t="n"/>
      <c r="J604" s="291" t="n"/>
      <c r="K604" s="292" t="n"/>
      <c r="L604" s="281" t="n"/>
      <c r="M604" s="281" t="n"/>
      <c r="N604" s="293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1" t="n"/>
      <c r="J605" s="291" t="n"/>
      <c r="K605" s="292" t="n"/>
      <c r="L605" s="281" t="n"/>
      <c r="M605" s="281" t="n"/>
      <c r="N605" s="293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1" t="n"/>
      <c r="J606" s="291" t="n"/>
      <c r="K606" s="292" t="n"/>
      <c r="L606" s="281" t="n"/>
      <c r="M606" s="281" t="n"/>
      <c r="N606" s="293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1" t="n"/>
      <c r="J608" s="290" t="n">
        <v>13201183.322</v>
      </c>
      <c r="K608" s="292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1" t="n"/>
      <c r="J609" s="290" t="n">
        <v>200000</v>
      </c>
      <c r="K609" s="292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1" t="n"/>
      <c r="J610" s="290" t="n">
        <v>1803353</v>
      </c>
      <c r="K610" s="292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1" t="n"/>
      <c r="J611" s="290" t="n">
        <v>181844.5</v>
      </c>
      <c r="K611" s="292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1" t="n"/>
      <c r="J612" s="290" t="n">
        <v>1897983</v>
      </c>
      <c r="K612" s="292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1" t="n"/>
      <c r="J613" s="290" t="n">
        <v>181844.5</v>
      </c>
      <c r="K613" s="292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1" t="n"/>
      <c r="J614" s="290" t="n">
        <v>200000</v>
      </c>
      <c r="K614" s="292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1" t="n"/>
      <c r="J615" s="290" t="n">
        <v>600000</v>
      </c>
      <c r="K615" s="292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1" t="n"/>
      <c r="J616" s="290" t="n">
        <v>3000000</v>
      </c>
      <c r="K616" s="292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1" t="n"/>
      <c r="J617" s="290" t="n">
        <v>3000000</v>
      </c>
      <c r="K617" s="292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1" t="n"/>
      <c r="J618" s="290" t="n">
        <v>300000</v>
      </c>
      <c r="K618" s="292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1" t="n"/>
      <c r="J619" s="290" t="n">
        <v>3000000</v>
      </c>
      <c r="K619" s="292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1" t="n"/>
      <c r="J620" s="290" t="n">
        <v>100000</v>
      </c>
      <c r="K620" s="292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1" t="n"/>
      <c r="J621" s="290" t="n">
        <v>400000</v>
      </c>
      <c r="K621" s="292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1" t="n"/>
      <c r="J622" s="290" t="n">
        <v>784000</v>
      </c>
      <c r="K622" s="292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1" t="n"/>
      <c r="J623" s="290" t="n">
        <v>100000</v>
      </c>
      <c r="K623" s="292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1" t="n"/>
      <c r="J624" s="290" t="n">
        <v>300000</v>
      </c>
      <c r="K624" s="292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1" t="n"/>
      <c r="J627" s="290" t="n">
        <v>2700000</v>
      </c>
      <c r="K627" s="292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1" t="n"/>
      <c r="J630" s="290" t="n">
        <v>200000</v>
      </c>
      <c r="K630" s="292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1" t="n"/>
      <c r="J631" s="290" t="n">
        <v>61500</v>
      </c>
      <c r="K631" s="292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1" t="n"/>
      <c r="J632" s="290" t="n">
        <v>12500</v>
      </c>
      <c r="K632" s="292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1" t="n"/>
      <c r="J633" s="290" t="n">
        <v>224000</v>
      </c>
      <c r="K633" s="292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1" t="n"/>
      <c r="J634" s="290" t="n">
        <v>140000</v>
      </c>
      <c r="K634" s="292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1" t="n"/>
      <c r="J635" s="290" t="n">
        <v>11000</v>
      </c>
      <c r="K635" s="292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1" t="n"/>
      <c r="J636" s="290" t="n">
        <v>11000</v>
      </c>
      <c r="K636" s="292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1" t="n"/>
      <c r="J637" s="290" t="n">
        <v>66000</v>
      </c>
      <c r="K637" s="292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1" t="n"/>
      <c r="J638" s="290" t="n">
        <v>300000</v>
      </c>
      <c r="K638" s="292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350" t="n"/>
      <c r="B9" s="376" t="n"/>
      <c r="C9" s="369" t="inlineStr">
        <is>
          <t>PENDAPATAN LANGSUNG</t>
        </is>
      </c>
      <c r="D9" s="376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350" t="n"/>
      <c r="B10" s="376" t="n"/>
      <c r="C10" s="369" t="inlineStr">
        <is>
          <t>PENDAPATAN LAIN LAIN</t>
        </is>
      </c>
      <c r="D10" s="376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76" t="inlineStr">
        <is>
          <t>Rp</t>
        </is>
      </c>
      <c r="J10" s="383" t="n">
        <v>0</v>
      </c>
    </row>
    <row r="11">
      <c r="A11" s="350" t="n"/>
      <c r="B11" s="376" t="n"/>
      <c r="C11" s="369" t="n"/>
      <c r="D11" s="384" t="n"/>
      <c r="E11" s="385" t="n"/>
      <c r="F11" s="353" t="n"/>
      <c r="G11" s="381" t="n"/>
      <c r="H11" s="382" t="inlineStr">
        <is>
          <t>KAS DAN SETARA KAS TAHUN LAPORAN</t>
        </is>
      </c>
      <c r="I11" s="376" t="inlineStr">
        <is>
          <t>Rp</t>
        </is>
      </c>
      <c r="J11" s="383">
        <f>E46-'Business Summary'!E13</f>
        <v/>
      </c>
    </row>
    <row r="12">
      <c r="A12" s="350" t="n"/>
      <c r="B12" s="386" t="inlineStr">
        <is>
          <t>TOTALPENDAPATAN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1" t="n"/>
      <c r="H12" s="382" t="inlineStr">
        <is>
          <t>PIUTANG USAHA</t>
        </is>
      </c>
      <c r="I12" s="376" t="inlineStr">
        <is>
          <t>Rp</t>
        </is>
      </c>
      <c r="J12" s="383" t="n">
        <v>0</v>
      </c>
    </row>
    <row r="13">
      <c r="A13" s="350" t="n"/>
      <c r="B13" s="376" t="n"/>
      <c r="C13" s="369" t="n"/>
      <c r="D13" s="370" t="n"/>
      <c r="E13" s="390" t="n"/>
      <c r="F13" s="353" t="n"/>
      <c r="G13" s="381" t="n"/>
      <c r="H13" s="382" t="inlineStr">
        <is>
          <t>PAJAK BAYAR DI MUKA (pph23)</t>
        </is>
      </c>
      <c r="I13" s="376" t="inlineStr">
        <is>
          <t>Rp</t>
        </is>
      </c>
      <c r="J13" s="383" t="n">
        <v>0</v>
      </c>
    </row>
    <row r="14">
      <c r="A14" s="350" t="n"/>
      <c r="B14" s="391" t="inlineStr">
        <is>
          <t>BEBAN LANGSUNG</t>
        </is>
      </c>
      <c r="C14" s="369" t="n"/>
      <c r="D14" s="376" t="n"/>
      <c r="E14" s="392" t="n"/>
      <c r="F14" s="353" t="n"/>
      <c r="G14" s="381" t="n"/>
      <c r="H14" s="382" t="inlineStr">
        <is>
          <t>BIAYA BAYAR DI MUKA</t>
        </is>
      </c>
      <c r="I14" s="376" t="inlineStr">
        <is>
          <t>Rp</t>
        </is>
      </c>
      <c r="J14" s="383" t="n">
        <v>0</v>
      </c>
    </row>
    <row r="15">
      <c r="A15" s="350" t="n"/>
      <c r="B15" s="393" t="n"/>
      <c r="C15" s="369" t="inlineStr">
        <is>
          <t xml:space="preserve">Biaya Operasi </t>
        </is>
      </c>
      <c r="D15" s="376" t="inlineStr">
        <is>
          <t>Rp</t>
        </is>
      </c>
      <c r="E15" s="392">
        <f>'Revenue-Cost_2024'!I639</f>
        <v/>
      </c>
      <c r="F15" s="353" t="n"/>
      <c r="G15" s="394" t="n"/>
      <c r="H15" s="382" t="inlineStr">
        <is>
          <t>PIUTANG LAIN LAIN</t>
        </is>
      </c>
      <c r="I15" s="376" t="inlineStr">
        <is>
          <t>Rp</t>
        </is>
      </c>
      <c r="J15" s="383" t="n">
        <v>0</v>
      </c>
    </row>
    <row r="16">
      <c r="A16" s="350" t="n"/>
      <c r="B16" s="393" t="n"/>
      <c r="C16" s="369" t="inlineStr">
        <is>
          <t>Biaya research (R &amp; D)</t>
        </is>
      </c>
      <c r="D16" s="376" t="inlineStr">
        <is>
          <t>Rp</t>
        </is>
      </c>
      <c r="E16" s="392">
        <f>'Revenue-Cost_2024'!J639</f>
        <v/>
      </c>
      <c r="F16" s="353" t="n"/>
      <c r="G16" s="395" t="n"/>
      <c r="H16" s="396" t="inlineStr">
        <is>
          <t>TOTAL AKTIVA LANCAR</t>
        </is>
      </c>
      <c r="I16" s="388" t="inlineStr">
        <is>
          <t>Rp</t>
        </is>
      </c>
      <c r="J16" s="397">
        <f>SUM(J10:J15)</f>
        <v/>
      </c>
    </row>
    <row r="17">
      <c r="A17" s="350" t="n"/>
      <c r="B17" s="393" t="n"/>
      <c r="C17" s="369" t="inlineStr">
        <is>
          <t>BIAYA SEWA PERALATAN</t>
        </is>
      </c>
      <c r="D17" s="376" t="inlineStr">
        <is>
          <t>Rp</t>
        </is>
      </c>
      <c r="E17" s="392">
        <f>'Revenue-Cost_2024'!K639</f>
        <v/>
      </c>
      <c r="F17" s="353" t="n"/>
      <c r="G17" s="381" t="n"/>
      <c r="H17" s="382" t="n"/>
      <c r="I17" s="398" t="n"/>
      <c r="J17" s="399" t="n"/>
    </row>
    <row r="18">
      <c r="A18" s="350" t="n"/>
      <c r="B18" s="393" t="n"/>
      <c r="C18" s="369" t="inlineStr">
        <is>
          <t>BIAYA Data Processing</t>
        </is>
      </c>
      <c r="D18" s="376" t="inlineStr">
        <is>
          <t>Rp</t>
        </is>
      </c>
      <c r="E18" s="392">
        <f>'Revenue-Cost_2024'!L639</f>
        <v/>
      </c>
      <c r="F18" s="353" t="n"/>
      <c r="G18" s="378" t="inlineStr">
        <is>
          <t>ACTIVA TETAP</t>
        </is>
      </c>
      <c r="H18" s="400" t="n"/>
      <c r="I18" s="372" t="n"/>
      <c r="J18" s="383" t="n"/>
    </row>
    <row r="19">
      <c r="A19" s="350" t="n"/>
      <c r="B19" s="393" t="n"/>
      <c r="C19" s="369" t="n"/>
      <c r="D19" s="376" t="n"/>
      <c r="E19" s="392" t="n"/>
      <c r="F19" s="353" t="n"/>
      <c r="G19" s="378" t="n"/>
      <c r="H19" s="400" t="n"/>
      <c r="I19" s="372" t="n"/>
      <c r="J19" s="383" t="n"/>
    </row>
    <row r="20">
      <c r="A20" s="350" t="n"/>
      <c r="B20" s="393" t="n"/>
      <c r="C20" s="369" t="n"/>
      <c r="D20" s="384" t="n"/>
      <c r="E20" s="401" t="n"/>
      <c r="F20" s="353" t="n"/>
      <c r="G20" s="381" t="n"/>
      <c r="H20" s="382" t="inlineStr">
        <is>
          <t>INVENTARIS KANTOR</t>
        </is>
      </c>
      <c r="I20" s="376" t="inlineStr">
        <is>
          <t>Rp</t>
        </is>
      </c>
      <c r="J20" s="383" t="n">
        <v>0</v>
      </c>
    </row>
    <row r="21">
      <c r="A21" s="350" t="n"/>
      <c r="B21" s="386" t="inlineStr">
        <is>
          <t>TOTAL BIAYA LANGSUNG</t>
        </is>
      </c>
      <c r="C21" s="387" t="n"/>
      <c r="D21" s="388" t="inlineStr">
        <is>
          <t>Rp</t>
        </is>
      </c>
      <c r="E21" s="402">
        <f>SUM(E15:E20)</f>
        <v/>
      </c>
      <c r="F21" s="353" t="n"/>
      <c r="G21" s="381" t="n"/>
      <c r="H21" s="400" t="n"/>
      <c r="I21" s="403" t="n"/>
      <c r="J21" s="404" t="n"/>
    </row>
    <row r="22">
      <c r="A22" s="350" t="n"/>
      <c r="B22" s="376" t="n"/>
      <c r="C22" s="369" t="n"/>
      <c r="D22" s="370" t="n"/>
      <c r="E22" s="405" t="n"/>
      <c r="F22" s="353" t="n"/>
      <c r="G22" s="395" t="n"/>
      <c r="H22" s="396" t="inlineStr">
        <is>
          <t>TOTAL AKTIVA TETAP</t>
        </is>
      </c>
      <c r="I22" s="388" t="inlineStr">
        <is>
          <t>Rp</t>
        </is>
      </c>
      <c r="J22" s="397">
        <f>J20</f>
        <v/>
      </c>
    </row>
    <row r="23">
      <c r="A23" s="350" t="n"/>
      <c r="B23" s="391" t="inlineStr">
        <is>
          <t>BEBAN TIDAK LANGSUNG</t>
        </is>
      </c>
      <c r="C23" s="369" t="n"/>
      <c r="D23" s="376" t="n"/>
      <c r="E23" s="392">
        <f>'Revenue-Cost_2024'!Q639</f>
        <v/>
      </c>
      <c r="F23" s="353" t="n"/>
      <c r="G23" s="381" t="n"/>
      <c r="H23" s="382" t="n"/>
      <c r="I23" s="398" t="n"/>
      <c r="J23" s="375" t="n"/>
    </row>
    <row r="24">
      <c r="A24" s="350" t="n"/>
      <c r="B24" s="376" t="n"/>
      <c r="C24" s="369" t="n"/>
      <c r="D24" s="376" t="n"/>
      <c r="E24" s="392" t="n"/>
      <c r="F24" s="353" t="n"/>
      <c r="G24" s="378" t="inlineStr">
        <is>
          <t>ACTIVA LAIN LAIN</t>
        </is>
      </c>
      <c r="H24" s="400" t="n"/>
      <c r="I24" s="372" t="n"/>
      <c r="J24" s="383" t="n">
        <v>0</v>
      </c>
    </row>
    <row r="25">
      <c r="A25" s="350" t="n"/>
      <c r="B25" s="376" t="n"/>
      <c r="C25" s="369" t="n"/>
      <c r="D25" s="376" t="inlineStr">
        <is>
          <t>Rp</t>
        </is>
      </c>
      <c r="E25" s="392" t="n"/>
      <c r="F25" s="353" t="n"/>
      <c r="G25" s="381" t="n"/>
      <c r="H25" s="382" t="n"/>
      <c r="I25" s="406" t="n"/>
      <c r="J25" s="407" t="n">
        <v>0</v>
      </c>
    </row>
    <row r="26">
      <c r="A26" s="350" t="n"/>
      <c r="B26" s="376" t="n"/>
      <c r="C26" s="369" t="n"/>
      <c r="D26" s="384" t="n"/>
      <c r="E26" s="401" t="n"/>
      <c r="F26" s="353" t="n"/>
      <c r="G26" s="395" t="n"/>
      <c r="H26" s="396" t="inlineStr">
        <is>
          <t>TOTAL AKTIVA LAIN LAIN</t>
        </is>
      </c>
      <c r="I26" s="388" t="inlineStr">
        <is>
          <t>Rp</t>
        </is>
      </c>
      <c r="J26" s="397">
        <f>SUM(J25:J25)</f>
        <v/>
      </c>
    </row>
    <row r="27">
      <c r="A27" s="350" t="n"/>
      <c r="B27" s="386" t="inlineStr">
        <is>
          <t>TOTAL BIAYA TIDAK LANGSUNG</t>
        </is>
      </c>
      <c r="C27" s="387" t="n"/>
      <c r="D27" s="388" t="inlineStr">
        <is>
          <t>Rp</t>
        </is>
      </c>
      <c r="E27" s="402">
        <f>SUM(E22:E26)</f>
        <v/>
      </c>
      <c r="F27" s="353" t="n"/>
      <c r="G27" s="381" t="n"/>
      <c r="H27" s="382" t="n"/>
      <c r="I27" s="408" t="n"/>
      <c r="J27" s="409" t="n"/>
    </row>
    <row r="28">
      <c r="A28" s="350" t="n"/>
      <c r="B28" s="376" t="n"/>
      <c r="C28" s="369" t="n"/>
      <c r="D28" s="370" t="n"/>
      <c r="E28" s="405" t="n"/>
      <c r="F28" s="353" t="n"/>
      <c r="G28" s="386" t="inlineStr">
        <is>
          <t>TOTAL AKTIVA</t>
        </is>
      </c>
      <c r="H28" s="387" t="n"/>
      <c r="I28" s="388" t="inlineStr">
        <is>
          <t>Rp</t>
        </is>
      </c>
      <c r="J28" s="410">
        <f>J26+J22+J16</f>
        <v/>
      </c>
    </row>
    <row r="29">
      <c r="A29" s="350" t="n"/>
      <c r="B29" s="391" t="inlineStr">
        <is>
          <t>BIAYA ADMINISTRASI DAN UMUM</t>
        </is>
      </c>
      <c r="C29" s="369" t="n"/>
      <c r="D29" s="376" t="n"/>
      <c r="E29" s="392" t="n"/>
      <c r="F29" s="353" t="n"/>
      <c r="G29" s="411" t="n"/>
      <c r="H29" s="412" t="n"/>
      <c r="I29" s="411" t="n"/>
      <c r="J29" s="399" t="n"/>
    </row>
    <row r="30">
      <c r="A30" s="350" t="n"/>
      <c r="B30" s="393" t="n"/>
      <c r="C30" s="369" t="inlineStr">
        <is>
          <t>BIAYA ADMINISTRASI</t>
        </is>
      </c>
      <c r="D30" s="376" t="inlineStr">
        <is>
          <t>Rp</t>
        </is>
      </c>
      <c r="E30" s="392">
        <f>'Revenue-Cost_2024'!M639</f>
        <v/>
      </c>
      <c r="F30" s="353" t="n"/>
      <c r="G30" s="413" t="inlineStr">
        <is>
          <t>HUTANG DAN MODAL</t>
        </is>
      </c>
      <c r="H30" s="373" t="n"/>
      <c r="I30" s="413" t="n"/>
      <c r="J30" s="414" t="n"/>
    </row>
    <row r="31">
      <c r="A31" s="350" t="n"/>
      <c r="B31" s="393" t="n"/>
      <c r="C31" s="369" t="inlineStr">
        <is>
          <t>BIAYA PEMBELIAN Barang</t>
        </is>
      </c>
      <c r="D31" s="376" t="inlineStr">
        <is>
          <t>Rp</t>
        </is>
      </c>
      <c r="E31" s="392">
        <f>'Revenue-Cost_2024'!N639</f>
        <v/>
      </c>
      <c r="F31" s="353" t="n"/>
      <c r="G31" s="413" t="n"/>
      <c r="H31" s="373" t="n"/>
      <c r="I31" s="413" t="n"/>
      <c r="J31" s="414" t="n"/>
    </row>
    <row r="32">
      <c r="A32" s="350" t="n"/>
      <c r="B32" s="393" t="n"/>
      <c r="C32" s="369" t="inlineStr">
        <is>
          <t>BIAYA SEWA KANTOR</t>
        </is>
      </c>
      <c r="D32" s="376" t="inlineStr">
        <is>
          <t>Rp</t>
        </is>
      </c>
      <c r="E32" s="392">
        <f>'Revenue-Cost_2024'!O639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350" t="n"/>
      <c r="B33" s="393" t="n"/>
      <c r="C33" s="369" t="inlineStr">
        <is>
          <t>BIAYA KESEHATAN</t>
        </is>
      </c>
      <c r="D33" s="376" t="inlineStr">
        <is>
          <t>Rp</t>
        </is>
      </c>
      <c r="E33" s="392">
        <f>'Revenue-Cost_2024'!P639</f>
        <v/>
      </c>
      <c r="F33" s="353" t="n"/>
      <c r="G33" s="381" t="n"/>
      <c r="H33" s="382" t="inlineStr">
        <is>
          <t>HUTANG USAHA</t>
        </is>
      </c>
      <c r="I33" s="376" t="inlineStr">
        <is>
          <t>Rp</t>
        </is>
      </c>
      <c r="J33" s="383" t="n">
        <v>0</v>
      </c>
    </row>
    <row r="34">
      <c r="A34" s="350" t="n"/>
      <c r="B34" s="393" t="n"/>
      <c r="C34" s="369" t="n"/>
      <c r="D34" s="384" t="n"/>
      <c r="E34" s="401" t="n"/>
      <c r="F34" s="353" t="n"/>
      <c r="G34" s="381" t="n"/>
      <c r="H34" s="415" t="inlineStr">
        <is>
          <t>HUTANG GAJI</t>
        </is>
      </c>
      <c r="I34" s="376" t="inlineStr">
        <is>
          <t>Rp</t>
        </is>
      </c>
      <c r="J34" s="383" t="n">
        <v>0</v>
      </c>
    </row>
    <row r="35">
      <c r="A35" s="350" t="n"/>
      <c r="B35" s="386" t="inlineStr">
        <is>
          <t>TOTAL BIAYA ADMINISTRASI DAN UMUM</t>
        </is>
      </c>
      <c r="C35" s="387" t="n"/>
      <c r="D35" s="388" t="inlineStr">
        <is>
          <t>Rp</t>
        </is>
      </c>
      <c r="E35" s="389">
        <f>SUM(E30:E34)</f>
        <v/>
      </c>
      <c r="F35" s="353" t="n"/>
      <c r="G35" s="381" t="n"/>
      <c r="H35" s="382" t="inlineStr">
        <is>
          <t>HUTANG PEMEGANG SAHAM</t>
        </is>
      </c>
      <c r="I35" s="376" t="inlineStr">
        <is>
          <t>Rp</t>
        </is>
      </c>
      <c r="J35" s="383" t="n">
        <v>0</v>
      </c>
    </row>
    <row r="36">
      <c r="A36" s="350" t="n"/>
      <c r="B36" s="393" t="n"/>
      <c r="C36" s="369" t="n"/>
      <c r="D36" s="388" t="n"/>
      <c r="E36" s="416" t="n"/>
      <c r="F36" s="353" t="n"/>
      <c r="G36" s="381" t="n"/>
      <c r="H36" s="382" t="inlineStr">
        <is>
          <t>BIAYA YANG MASIH HARUS DI BAYAR</t>
        </is>
      </c>
      <c r="I36" s="376" t="inlineStr">
        <is>
          <t>Rp</t>
        </is>
      </c>
      <c r="J36" s="383" t="n">
        <v>0</v>
      </c>
    </row>
    <row r="37">
      <c r="A37" s="350" t="n"/>
      <c r="B37" s="386" t="inlineStr">
        <is>
          <t>TOTAL BIAYA</t>
        </is>
      </c>
      <c r="C37" s="387" t="n"/>
      <c r="D37" s="388" t="inlineStr">
        <is>
          <t>Rp</t>
        </is>
      </c>
      <c r="E37" s="389">
        <f>E35+E21+E27</f>
        <v/>
      </c>
      <c r="F37" s="353" t="n"/>
      <c r="G37" s="417" t="n"/>
      <c r="H37" s="418" t="n"/>
      <c r="I37" s="417" t="n"/>
      <c r="J37" s="419" t="n"/>
    </row>
    <row r="38">
      <c r="A38" s="350" t="n"/>
      <c r="B38" s="368" t="n"/>
      <c r="C38" s="420" t="n"/>
      <c r="D38" s="370" t="n"/>
      <c r="E38" s="421" t="n"/>
      <c r="F38" s="353" t="n"/>
      <c r="G38" s="395" t="n"/>
      <c r="H38" s="396" t="inlineStr">
        <is>
          <t>TOTAL HUTANG LANCAR</t>
        </is>
      </c>
      <c r="I38" s="422" t="n"/>
      <c r="J38" s="397">
        <f>SUM(J33:J36)</f>
        <v/>
      </c>
    </row>
    <row r="39">
      <c r="A39" s="350" t="n"/>
      <c r="B39" s="391" t="inlineStr">
        <is>
          <t xml:space="preserve">PENDAPATAN/BEBAN LAIN LAIN </t>
        </is>
      </c>
      <c r="C39" s="369" t="n"/>
      <c r="D39" s="376" t="inlineStr">
        <is>
          <t>Rp</t>
        </is>
      </c>
      <c r="E39" s="423" t="n"/>
      <c r="F39" s="353" t="n"/>
      <c r="G39" s="381" t="n"/>
      <c r="H39" s="400" t="n"/>
      <c r="I39" s="424" t="n"/>
      <c r="J39" s="375" t="n"/>
    </row>
    <row r="40">
      <c r="A40" s="350" t="n"/>
      <c r="B40" s="391" t="n"/>
      <c r="C40" s="369" t="inlineStr">
        <is>
          <t>PENDAPATAN LAINNYA</t>
        </is>
      </c>
      <c r="D40" s="376" t="inlineStr">
        <is>
          <t>Rp</t>
        </is>
      </c>
      <c r="E40" s="377" t="n">
        <v>0</v>
      </c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350" t="n"/>
      <c r="B41" s="391" t="n"/>
      <c r="C41" s="369" t="n"/>
      <c r="D41" s="384" t="n"/>
      <c r="E41" s="425" t="n"/>
      <c r="F41" s="353" t="n"/>
      <c r="G41" s="381" t="n"/>
      <c r="H41" s="382" t="inlineStr">
        <is>
          <t>MODAL SAHAM</t>
        </is>
      </c>
      <c r="I41" s="376" t="inlineStr">
        <is>
          <t>Rp</t>
        </is>
      </c>
      <c r="J41" s="383" t="n">
        <v>0</v>
      </c>
    </row>
    <row r="42">
      <c r="A42" s="350" t="n"/>
      <c r="B42" s="386" t="inlineStr">
        <is>
          <t>LABA RUGI SEBELUM PAJAK</t>
        </is>
      </c>
      <c r="C42" s="387" t="n"/>
      <c r="D42" s="388" t="inlineStr">
        <is>
          <t>Rp</t>
        </is>
      </c>
      <c r="E42" s="389">
        <f>E12-E37</f>
        <v/>
      </c>
      <c r="F42" s="353" t="n"/>
      <c r="G42" s="381" t="n"/>
      <c r="H42" s="382" t="inlineStr">
        <is>
          <t>LABA DI TAHAN</t>
        </is>
      </c>
      <c r="I42" s="376" t="inlineStr">
        <is>
          <t>Rp</t>
        </is>
      </c>
      <c r="J42" s="383" t="n">
        <v>0</v>
      </c>
    </row>
    <row r="43">
      <c r="A43" s="350" t="n"/>
      <c r="B43" s="426" t="n"/>
      <c r="C43" s="420" t="n"/>
      <c r="D43" s="370" t="n"/>
      <c r="E43" s="390" t="n"/>
      <c r="F43" s="353" t="n"/>
      <c r="G43" s="378" t="n"/>
      <c r="H43" s="382" t="inlineStr">
        <is>
          <t>TOTAL LABA (RUGI) DITAHAN</t>
        </is>
      </c>
      <c r="I43" s="384" t="inlineStr">
        <is>
          <t>Rp</t>
        </is>
      </c>
      <c r="J43" s="407">
        <f>J28-J38-J41-J42</f>
        <v/>
      </c>
    </row>
    <row r="44">
      <c r="A44" s="350" t="n"/>
      <c r="B44" s="391" t="inlineStr">
        <is>
          <t>CORPORATE TAX (PPh 29)</t>
        </is>
      </c>
      <c r="D44" s="376" t="inlineStr">
        <is>
          <t>Rp</t>
        </is>
      </c>
      <c r="E44" s="377" t="n">
        <v>0</v>
      </c>
      <c r="F44" s="353" t="n"/>
      <c r="G44" s="395" t="n"/>
      <c r="H44" s="396" t="inlineStr">
        <is>
          <t>TOTAL MODAL</t>
        </is>
      </c>
      <c r="I44" s="388" t="inlineStr">
        <is>
          <t>Rp</t>
        </is>
      </c>
      <c r="J44" s="397">
        <f>SUM(J41:J43)</f>
        <v/>
      </c>
    </row>
    <row r="45">
      <c r="A45" s="350" t="n"/>
      <c r="B45" s="391" t="n"/>
      <c r="C45" s="369" t="n"/>
      <c r="D45" s="384" t="n"/>
      <c r="E45" s="425" t="n"/>
      <c r="F45" s="353" t="n"/>
      <c r="G45" s="381" t="n"/>
      <c r="H45" s="382" t="n"/>
      <c r="I45" s="408" t="n"/>
      <c r="J45" s="409" t="n"/>
    </row>
    <row r="46" ht="15" customHeight="1">
      <c r="A46" s="350" t="n"/>
      <c r="B46" s="427" t="inlineStr">
        <is>
          <t>LABA / RUGI BERSIH</t>
        </is>
      </c>
      <c r="C46" s="428" t="n"/>
      <c r="D46" s="429" t="n"/>
      <c r="E46" s="430">
        <f>E42-E44</f>
        <v/>
      </c>
      <c r="F46" s="353" t="n"/>
      <c r="G46" s="431" t="inlineStr">
        <is>
          <t>TOTAL HUTANG DAN MODAL</t>
        </is>
      </c>
      <c r="H46" s="432" t="n"/>
      <c r="I46" s="429" t="inlineStr">
        <is>
          <t>Rp</t>
        </is>
      </c>
      <c r="J46" s="433">
        <f>J44+J38</f>
        <v/>
      </c>
    </row>
    <row r="47" ht="4.5" customHeight="1">
      <c r="A47" s="350" t="n"/>
      <c r="F47" s="353" t="n"/>
    </row>
    <row r="48" ht="50.65" customHeight="1">
      <c r="A48" s="350" t="n"/>
      <c r="F48" s="353" t="n"/>
      <c r="G48" s="434" t="n"/>
    </row>
    <row r="49" ht="16.75" customHeight="1">
      <c r="A49" s="350" t="n"/>
      <c r="B49" s="435" t="n"/>
      <c r="F49" s="353" t="n"/>
      <c r="G49" s="435" t="n"/>
    </row>
    <row r="50" ht="15.65" customHeight="1">
      <c r="A50" s="369" t="n"/>
      <c r="B50" s="436" t="inlineStr">
        <is>
          <t>Direktur</t>
        </is>
      </c>
      <c r="F50" s="353" t="n"/>
      <c r="G50" s="436" t="inlineStr">
        <is>
          <t>Direktur</t>
        </is>
      </c>
    </row>
    <row r="51">
      <c r="A51" s="369" t="n"/>
      <c r="F51" s="353" t="n"/>
    </row>
    <row r="52">
      <c r="A52" s="369" t="n"/>
      <c r="F52" s="353" t="n"/>
      <c r="J52" s="437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38" t="inlineStr">
        <is>
          <t>#</t>
        </is>
      </c>
      <c r="C6" s="438" t="inlineStr">
        <is>
          <t>Items</t>
        </is>
      </c>
      <c r="D6" s="439" t="inlineStr">
        <is>
          <t>Amount</t>
        </is>
      </c>
      <c r="E6" s="227" t="n"/>
      <c r="F6" s="353" t="n"/>
    </row>
    <row r="7" ht="20" customHeight="1">
      <c r="A7" s="350" t="n"/>
      <c r="B7" s="440" t="n">
        <v>1</v>
      </c>
      <c r="C7" s="441" t="inlineStr">
        <is>
          <t>Revenue</t>
        </is>
      </c>
      <c r="D7" s="442" t="inlineStr">
        <is>
          <t>Rp</t>
        </is>
      </c>
      <c r="E7" s="443">
        <f>SUM('Revenue-Cost_2024'!L8:L21)</f>
        <v/>
      </c>
      <c r="F7" s="353" t="n"/>
    </row>
    <row r="8" ht="20" customHeight="1">
      <c r="A8" s="350" t="n"/>
      <c r="B8" s="440" t="n">
        <v>2</v>
      </c>
      <c r="C8" s="441" t="inlineStr">
        <is>
          <t>Revenue Diterima (Setelah Pajak)</t>
        </is>
      </c>
      <c r="D8" s="442" t="inlineStr">
        <is>
          <t>Rp</t>
        </is>
      </c>
      <c r="E8" s="443">
        <f>E7-SUM('Revenue-Cost_2024'!N8:N21)</f>
        <v/>
      </c>
      <c r="F8" s="353" t="n"/>
    </row>
    <row r="9" ht="20" customHeight="1">
      <c r="A9" s="350" t="n"/>
      <c r="B9" s="440" t="n">
        <v>3</v>
      </c>
      <c r="C9" s="441" t="inlineStr">
        <is>
          <t>Biaya</t>
        </is>
      </c>
      <c r="D9" s="442" t="inlineStr">
        <is>
          <t>Rp</t>
        </is>
      </c>
      <c r="E9" s="443">
        <f>SUM('Revenue-Cost_2024'!I639:Q639)</f>
        <v/>
      </c>
      <c r="F9" s="353" t="n"/>
    </row>
    <row r="10" ht="20" customHeight="1">
      <c r="A10" s="350" t="n"/>
      <c r="B10" s="440" t="n">
        <v>4</v>
      </c>
      <c r="C10" s="441" t="inlineStr">
        <is>
          <t>Profit SebelumTax</t>
        </is>
      </c>
      <c r="D10" s="442" t="inlineStr">
        <is>
          <t>Rp</t>
        </is>
      </c>
      <c r="E10" s="443">
        <f>E7-E9</f>
        <v/>
      </c>
      <c r="F10" s="353" t="n"/>
    </row>
    <row r="11" ht="20" customHeight="1">
      <c r="A11" s="350" t="n"/>
      <c r="B11" s="440" t="n">
        <v>5</v>
      </c>
      <c r="C11" s="441" t="inlineStr">
        <is>
          <t>PPh Badan (22%*50%)</t>
        </is>
      </c>
      <c r="D11" s="442" t="inlineStr">
        <is>
          <t>Rp</t>
        </is>
      </c>
      <c r="E11" s="443">
        <f>E10*22%*50%</f>
        <v/>
      </c>
      <c r="F11" s="353" t="n"/>
    </row>
    <row r="12" ht="20" customHeight="1">
      <c r="A12" s="350" t="n"/>
      <c r="B12" s="440" t="n">
        <v>6</v>
      </c>
      <c r="C12" s="441" t="inlineStr">
        <is>
          <t>PPh 23 Dipotong oleh client</t>
        </is>
      </c>
      <c r="D12" s="442" t="inlineStr">
        <is>
          <t>Rp</t>
        </is>
      </c>
      <c r="E12" s="443">
        <f>SUM('Revenue-Cost_2024'!N8:N21)</f>
        <v/>
      </c>
      <c r="F12" s="353" t="n"/>
    </row>
    <row r="13" ht="20" customHeight="1">
      <c r="A13" s="350" t="n"/>
      <c r="B13" s="440" t="n">
        <v>7</v>
      </c>
      <c r="C13" s="441" t="inlineStr">
        <is>
          <t>Kekurangan Bayar PPh Badan</t>
        </is>
      </c>
      <c r="D13" s="442" t="inlineStr">
        <is>
          <t>Rp</t>
        </is>
      </c>
      <c r="E13" s="444">
        <f>E11-E12</f>
        <v/>
      </c>
      <c r="F13" s="353" t="n"/>
    </row>
    <row r="14" ht="20" customHeight="1">
      <c r="A14" s="350" t="n"/>
      <c r="B14" s="440" t="n">
        <v>8</v>
      </c>
      <c r="C14" s="441" t="inlineStr">
        <is>
          <t>Profit After Tax</t>
        </is>
      </c>
      <c r="D14" s="442" t="inlineStr">
        <is>
          <t>Rp</t>
        </is>
      </c>
      <c r="E14" s="443">
        <f>E10-E13</f>
        <v/>
      </c>
      <c r="F14" s="353" t="n"/>
    </row>
    <row r="15" ht="20" customHeight="1">
      <c r="A15" s="350" t="n"/>
      <c r="B15" s="440" t="n">
        <v>9</v>
      </c>
      <c r="C15" s="441" t="inlineStr">
        <is>
          <t>Deviden Dibagi</t>
        </is>
      </c>
      <c r="D15" s="442" t="inlineStr">
        <is>
          <t>Rp</t>
        </is>
      </c>
      <c r="E15" s="443">
        <f>E14-E16</f>
        <v/>
      </c>
      <c r="F15" s="353" t="n"/>
    </row>
    <row r="16" ht="20" customHeight="1">
      <c r="A16" s="350" t="n"/>
      <c r="B16" s="440" t="n">
        <v>10</v>
      </c>
      <c r="C16" s="441" t="inlineStr">
        <is>
          <t>Profit Ditahan</t>
        </is>
      </c>
      <c r="D16" s="442" t="inlineStr">
        <is>
          <t>Rp</t>
        </is>
      </c>
      <c r="E16" s="44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45" t="inlineStr">
        <is>
          <t>DEVIDEN</t>
        </is>
      </c>
      <c r="F18" s="353" t="n"/>
    </row>
    <row r="19" ht="20" customHeight="1">
      <c r="A19" s="350" t="n"/>
      <c r="B19" s="446" t="inlineStr">
        <is>
          <t>#</t>
        </is>
      </c>
      <c r="C19" s="446" t="inlineStr">
        <is>
          <t>Nama Lengkap</t>
        </is>
      </c>
      <c r="D19" s="447" t="inlineStr"/>
      <c r="E19" s="448" t="inlineStr">
        <is>
          <t>Amount</t>
        </is>
      </c>
      <c r="F19" s="353" t="inlineStr"/>
      <c r="G19" s="449" t="inlineStr">
        <is>
          <t>Pajak</t>
        </is>
      </c>
    </row>
    <row r="20" ht="19" customHeight="1">
      <c r="A20" s="350" t="n"/>
      <c r="B20" s="450" t="n">
        <v>1</v>
      </c>
      <c r="C20" s="451" t="inlineStr">
        <is>
          <t>Anevril Chairulsyah</t>
        </is>
      </c>
      <c r="D20" s="452" t="inlineStr">
        <is>
          <t>Rp</t>
        </is>
      </c>
      <c r="E20" s="453">
        <f>IF(C20="","",ROUND($E$15/COUNTA($C$20:$C$21), 0))</f>
        <v/>
      </c>
      <c r="F20" s="353" t="n"/>
      <c r="G20" s="454" t="inlineStr">
        <is>
          <t>Pajak 10%</t>
        </is>
      </c>
    </row>
    <row r="21" ht="20" customHeight="1">
      <c r="A21" s="369" t="n"/>
      <c r="B21" s="455" t="n">
        <v>2</v>
      </c>
      <c r="C21" s="456" t="inlineStr">
        <is>
          <t>Alan Muhadjir</t>
        </is>
      </c>
      <c r="D21" s="457" t="inlineStr">
        <is>
          <t>Rp</t>
        </is>
      </c>
      <c r="E21" s="458">
        <f>IF(C21="","",ROUND($E$15/COUNTA($C$20:$C$21), 0))</f>
        <v/>
      </c>
      <c r="F21" s="353" t="n"/>
      <c r="G21" t="inlineStr">
        <is>
          <t>Pajak 10%</t>
        </is>
      </c>
    </row>
    <row r="22">
      <c r="A22" s="369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2026-04-19T08:23:13Z</dcterms:modified>
  <cp:lastModifiedBy>Diofavian - Student</cp:lastModifiedBy>
</cp:coreProperties>
</file>