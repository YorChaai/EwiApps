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41" fillId="0" borderId="25" applyAlignment="1" pivotButton="0" quotePrefix="0" xfId="0">
      <alignment horizontal="lef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3" fontId="41" fillId="0" borderId="26" applyAlignment="1" pivotButton="0" quotePrefix="0" xfId="0">
      <alignment horizontal="right" vertical="center"/>
    </xf>
    <xf numFmtId="2" fontId="41" fillId="0" borderId="25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4" applyAlignment="1" pivotButton="0" quotePrefix="0" xfId="0">
      <alignment horizontal="lef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4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30" applyAlignment="1" pivotButton="0" quotePrefix="0" xfId="0">
      <alignment horizontal="left" vertical="center"/>
    </xf>
    <xf numFmtId="3" fontId="41" fillId="0" borderId="29" applyAlignment="1" pivotButton="0" quotePrefix="0" xfId="0">
      <alignment horizontal="right" vertical="center"/>
    </xf>
    <xf numFmtId="2" fontId="41" fillId="0" borderId="28" applyAlignment="1" pivotButton="0" quotePrefix="0" xfId="0">
      <alignment horizontal="left" vertical="center"/>
    </xf>
    <xf numFmtId="2" fontId="41" fillId="0" borderId="29" applyAlignment="1" pivotButton="0" quotePrefix="0" xfId="0">
      <alignment horizontal="left" vertical="center"/>
    </xf>
    <xf numFmtId="173" fontId="40" fillId="0" borderId="22" applyAlignment="1" pivotButton="0" quotePrefix="0" xfId="0">
      <alignment horizontal="left" vertical="center"/>
    </xf>
    <xf numFmtId="2" fontId="41" fillId="0" borderId="30" applyAlignment="1" pivotButton="0" quotePrefix="0" xfId="0">
      <alignment horizontal="left" vertical="center"/>
    </xf>
    <xf numFmtId="41" fontId="40" fillId="0" borderId="22" applyAlignment="1" pivotButton="0" quotePrefix="0" xfId="0">
      <alignment horizontal="left" vertical="center"/>
    </xf>
    <xf numFmtId="0" fontId="41" fillId="0" borderId="31" applyAlignment="1" pivotButton="0" quotePrefix="0" xfId="0">
      <alignment horizontal="left" vertical="center"/>
    </xf>
    <xf numFmtId="0" fontId="41" fillId="0" borderId="32" applyAlignment="1" pivotButton="0" quotePrefix="0" xfId="0">
      <alignment horizontal="left" vertical="center"/>
    </xf>
    <xf numFmtId="0" fontId="41" fillId="0" borderId="33" applyAlignment="1" pivotButton="0" quotePrefix="0" xfId="0">
      <alignment horizontal="left" vertical="center"/>
    </xf>
    <xf numFmtId="3" fontId="41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34" applyAlignment="1" pivotButton="0" quotePrefix="0" xfId="0">
      <alignment horizontal="center" vertical="center"/>
    </xf>
    <xf numFmtId="165" fontId="42" fillId="6" borderId="35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34" applyAlignment="1" pivotButton="0" quotePrefix="0" xfId="0">
      <alignment horizontal="right" vertical="center"/>
    </xf>
    <xf numFmtId="3" fontId="43" fillId="6" borderId="35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34" applyAlignment="1" pivotButton="0" quotePrefix="0" xfId="0">
      <alignment horizontal="right" vertical="center"/>
    </xf>
    <xf numFmtId="3" fontId="43" fillId="0" borderId="35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 (E)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31-Dec-24</t>
        </is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 (D)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01-May-24</t>
        </is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inlineStr">
        <is>
          <t>21-Aug-24</t>
        </is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inlineStr">
        <is>
          <t>24-Oct-24</t>
        </is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 (A)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13-Jan-24</t>
        </is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01-Feb-24</t>
        </is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inlineStr">
        <is>
          <t>05-Mar-24</t>
        </is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28-Mar-24</t>
        </is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06-Apr-24</t>
        </is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inlineStr">
        <is>
          <t>04-May-24</t>
        </is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inlineStr">
        <is>
          <t>10-May-24</t>
        </is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inlineStr">
        <is>
          <t>03-Jun-24</t>
        </is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inlineStr">
        <is>
          <t>03-Jun-24</t>
        </is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inlineStr">
        <is>
          <t>30-Jun-24</t>
        </is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inlineStr">
        <is>
          <t>05-Jul-24</t>
        </is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inlineStr">
        <is>
          <t>07-Jul-24</t>
        </is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inlineStr">
        <is>
          <t>19-Jul-24</t>
        </is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inlineStr">
        <is>
          <t>20-Jul-24</t>
        </is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inlineStr">
        <is>
          <t>28-Jul-24</t>
        </is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inlineStr">
        <is>
          <t>31-Aug-24</t>
        </is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inlineStr">
        <is>
          <t>03-Oct-24</t>
        </is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inlineStr">
        <is>
          <t>03-Oct-24</t>
        </is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inlineStr">
        <is>
          <t>16-Oct-24</t>
        </is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inlineStr">
        <is>
          <t>05-Nov-24</t>
        </is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inlineStr">
        <is>
          <t>29-Nov-24</t>
        </is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inlineStr">
        <is>
          <t>18-Dec-24</t>
        </is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inlineStr">
        <is>
          <t>25-Dec-24</t>
        </is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 (B)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13-Mar-24</t>
        </is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inlineStr">
        <is>
          <t>06-May-24</t>
        </is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inlineStr">
        <is>
          <t>29-Jul-24</t>
        </is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inlineStr">
        <is>
          <t>13-Sep-24</t>
        </is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inlineStr">
        <is>
          <t>05-Dec-24</t>
        </is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inlineStr">
        <is>
          <t>27-Dec-24</t>
        </is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 (I)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10-Jul-24</t>
        </is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inlineStr">
        <is>
          <t>15-Aug-24</t>
        </is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inlineStr">
        <is>
          <t>04-Sep-24</t>
        </is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inlineStr">
        <is>
          <t>29-Nov-24</t>
        </is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 (F)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30-Jun-24</t>
        </is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inlineStr">
        <is>
          <t>03-Jul-24</t>
        </is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inlineStr">
        <is>
          <t>28-Jul-24</t>
        </is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inlineStr">
        <is>
          <t>15-Aug-24</t>
        </is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inlineStr">
        <is>
          <t>21-Sep-24</t>
        </is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inlineStr">
        <is>
          <t>04-Dec-24</t>
        </is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 (C)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inlineStr">
        <is>
          <t>11-Jan-24</t>
        </is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inlineStr">
        <is>
          <t>11-Jan-24</t>
        </is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inlineStr">
        <is>
          <t>03-Jun-24</t>
        </is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inlineStr">
        <is>
          <t>04-Jun-24</t>
        </is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inlineStr">
        <is>
          <t>02-Sep-24</t>
        </is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inlineStr">
        <is>
          <t>04-Oct-24</t>
        </is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inlineStr">
        <is>
          <t>04-Oct-24</t>
        </is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inlineStr">
        <is>
          <t>04-Oct-24</t>
        </is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inlineStr">
        <is>
          <t>07-Oct-24</t>
        </is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inlineStr">
        <is>
          <t>11-Oct-24</t>
        </is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 (G)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inlineStr">
        <is>
          <t>06-Dec-24</t>
        </is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 (A)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1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inlineStr">
        <is>
          <t>07-Feb-24</t>
        </is>
      </c>
      <c r="C108" s="278" t="n">
        <v>2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inlineStr">
        <is>
          <t>07-Feb-24</t>
        </is>
      </c>
      <c r="C109" s="278" t="n">
        <v>3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inlineStr">
        <is>
          <t>07-Feb-24</t>
        </is>
      </c>
      <c r="C110" s="278" t="n">
        <v>4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inlineStr">
        <is>
          <t>08-Feb-24</t>
        </is>
      </c>
      <c r="C111" s="278" t="n">
        <v>5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inlineStr">
        <is>
          <t>08-Feb-24</t>
        </is>
      </c>
      <c r="C112" s="278" t="n">
        <v>6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inlineStr">
        <is>
          <t>04-Mar-24</t>
        </is>
      </c>
      <c r="C113" s="278" t="n">
        <v>7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inlineStr">
        <is>
          <t>04-Mar-24</t>
        </is>
      </c>
      <c r="C114" s="278" t="n">
        <v>8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inlineStr">
        <is>
          <t>04-Mar-24</t>
        </is>
      </c>
      <c r="C115" s="278" t="n">
        <v>9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inlineStr">
        <is>
          <t>04-Mar-24</t>
        </is>
      </c>
      <c r="C116" s="278" t="n">
        <v>10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inlineStr">
        <is>
          <t>04-Mar-24</t>
        </is>
      </c>
      <c r="C117" s="278" t="n">
        <v>11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inlineStr">
        <is>
          <t>04-Mar-24</t>
        </is>
      </c>
      <c r="C118" s="278" t="n">
        <v>12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inlineStr">
        <is>
          <t>04-Mar-24</t>
        </is>
      </c>
      <c r="C119" s="278" t="n">
        <v>13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inlineStr">
        <is>
          <t>04-Mar-24</t>
        </is>
      </c>
      <c r="C120" s="278" t="n">
        <v>14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 (F)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07-Feb-24</t>
        </is>
      </c>
      <c r="C122" s="278" t="n">
        <v>15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inlineStr">
        <is>
          <t>19-Feb-24</t>
        </is>
      </c>
      <c r="C123" s="278" t="n">
        <v>16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inlineStr">
        <is>
          <t>19-Feb-24</t>
        </is>
      </c>
      <c r="C124" s="278" t="n">
        <v>17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inlineStr">
        <is>
          <t>22-Feb-24</t>
        </is>
      </c>
      <c r="C125" s="278" t="n">
        <v>18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inlineStr">
        <is>
          <t>25-Feb-24</t>
        </is>
      </c>
      <c r="C126" s="278" t="n">
        <v>19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inlineStr">
        <is>
          <t>28-Feb-24</t>
        </is>
      </c>
      <c r="C127" s="278" t="n">
        <v>20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 (A)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07-Feb-24</t>
        </is>
      </c>
      <c r="C130" s="278" t="n">
        <v>1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inlineStr">
        <is>
          <t>04-Mar-24</t>
        </is>
      </c>
      <c r="C131" s="278" t="n">
        <v>2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inlineStr">
        <is>
          <t>06-Mar-24</t>
        </is>
      </c>
      <c r="C132" s="278" t="n">
        <v>3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inlineStr">
        <is>
          <t>07-Mar-24</t>
        </is>
      </c>
      <c r="C133" s="278" t="n">
        <v>4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inlineStr">
        <is>
          <t>07-Mar-24</t>
        </is>
      </c>
      <c r="C134" s="278" t="n">
        <v>5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inlineStr">
        <is>
          <t>07-Mar-24</t>
        </is>
      </c>
      <c r="C135" s="278" t="n">
        <v>6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inlineStr">
        <is>
          <t>07-Mar-24</t>
        </is>
      </c>
      <c r="C136" s="278" t="n">
        <v>7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inlineStr">
        <is>
          <t>07-Mar-24</t>
        </is>
      </c>
      <c r="C137" s="278" t="n">
        <v>8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 (F)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02-Feb-24</t>
        </is>
      </c>
      <c r="C139" s="278" t="n">
        <v>9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inlineStr">
        <is>
          <t>03-Mar-24</t>
        </is>
      </c>
      <c r="C140" s="278" t="n">
        <v>10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inlineStr">
        <is>
          <t>07-Mar-24</t>
        </is>
      </c>
      <c r="C141" s="278" t="n">
        <v>11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 (A)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19-Mar-24</t>
        </is>
      </c>
      <c r="C144" s="278" t="n">
        <v>1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inlineStr">
        <is>
          <t>24-Mar-24</t>
        </is>
      </c>
      <c r="C145" s="278" t="n">
        <v>2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inlineStr">
        <is>
          <t>24-Mar-24</t>
        </is>
      </c>
      <c r="C146" s="278" t="n">
        <v>3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inlineStr">
        <is>
          <t>24-Mar-24</t>
        </is>
      </c>
      <c r="C147" s="278" t="n">
        <v>4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inlineStr">
        <is>
          <t>24-Mar-24</t>
        </is>
      </c>
      <c r="C148" s="278" t="n">
        <v>5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 (F)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03-Mar-24</t>
        </is>
      </c>
      <c r="C151" s="278" t="n">
        <v>1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inlineStr">
        <is>
          <t>18-Mar-24</t>
        </is>
      </c>
      <c r="C152" s="278" t="n">
        <v>2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inlineStr">
        <is>
          <t>18-Mar-24</t>
        </is>
      </c>
      <c r="C153" s="278" t="n">
        <v>3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inlineStr">
        <is>
          <t>18-Mar-24</t>
        </is>
      </c>
      <c r="C154" s="278" t="n">
        <v>4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inlineStr">
        <is>
          <t>18-Mar-24</t>
        </is>
      </c>
      <c r="C155" s="278" t="n">
        <v>5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inlineStr">
        <is>
          <t>18-Mar-24</t>
        </is>
      </c>
      <c r="C156" s="278" t="n">
        <v>6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inlineStr">
        <is>
          <t>18-Mar-24</t>
        </is>
      </c>
      <c r="C157" s="278" t="n">
        <v>7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inlineStr">
        <is>
          <t>19-Mar-24</t>
        </is>
      </c>
      <c r="C158" s="278" t="n">
        <v>8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 (H)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inlineStr">
        <is>
          <t>02-Apr-24</t>
        </is>
      </c>
      <c r="C161" s="278" t="n">
        <v>1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 (A)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03-Apr-24</t>
        </is>
      </c>
      <c r="C164" s="278" t="n">
        <v>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inlineStr">
        <is>
          <t>16-Apr-24</t>
        </is>
      </c>
      <c r="C165" s="278" t="n">
        <v>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inlineStr">
        <is>
          <t>16-Apr-24</t>
        </is>
      </c>
      <c r="C166" s="278" t="n">
        <v>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inlineStr">
        <is>
          <t>20-Apr-24</t>
        </is>
      </c>
      <c r="C167" s="278" t="n">
        <v>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inlineStr">
        <is>
          <t>20-Apr-24</t>
        </is>
      </c>
      <c r="C168" s="278" t="n">
        <v>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inlineStr">
        <is>
          <t>20-Apr-24</t>
        </is>
      </c>
      <c r="C169" s="278" t="n">
        <v>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inlineStr">
        <is>
          <t>20-Apr-24</t>
        </is>
      </c>
      <c r="C170" s="278" t="n">
        <v>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inlineStr">
        <is>
          <t>21-Apr-24</t>
        </is>
      </c>
      <c r="C171" s="278" t="n">
        <v>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inlineStr">
        <is>
          <t>21-Apr-24</t>
        </is>
      </c>
      <c r="C172" s="278" t="n">
        <v>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inlineStr">
        <is>
          <t>23-Apr-24</t>
        </is>
      </c>
      <c r="C173" s="278" t="n">
        <v>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inlineStr">
        <is>
          <t>25-Apr-24</t>
        </is>
      </c>
      <c r="C174" s="278" t="n">
        <v>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 (A)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26-Apr-24</t>
        </is>
      </c>
      <c r="C177" s="278" t="n">
        <v>1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inlineStr">
        <is>
          <t>28-Apr-24</t>
        </is>
      </c>
      <c r="C178" s="278" t="n">
        <v>2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inlineStr">
        <is>
          <t>28-Apr-24</t>
        </is>
      </c>
      <c r="C179" s="278" t="n">
        <v>3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inlineStr">
        <is>
          <t>28-Apr-24</t>
        </is>
      </c>
      <c r="C180" s="278" t="n">
        <v>4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inlineStr">
        <is>
          <t>28-Apr-24</t>
        </is>
      </c>
      <c r="C181" s="278" t="n">
        <v>5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inlineStr">
        <is>
          <t>28-Apr-24</t>
        </is>
      </c>
      <c r="C182" s="278" t="n">
        <v>6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 (A)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06-May-24</t>
        </is>
      </c>
      <c r="C185" s="278" t="n">
        <v>1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inlineStr">
        <is>
          <t>07-May-24</t>
        </is>
      </c>
      <c r="C186" s="278" t="n">
        <v>2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inlineStr">
        <is>
          <t>07-May-24</t>
        </is>
      </c>
      <c r="C187" s="278" t="n">
        <v>3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inlineStr">
        <is>
          <t>07-May-24</t>
        </is>
      </c>
      <c r="C188" s="278" t="n">
        <v>4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inlineStr">
        <is>
          <t>08-May-24</t>
        </is>
      </c>
      <c r="C189" s="278" t="n">
        <v>5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inlineStr">
        <is>
          <t>08-May-24</t>
        </is>
      </c>
      <c r="C190" s="278" t="n">
        <v>6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inlineStr">
        <is>
          <t>08-May-24</t>
        </is>
      </c>
      <c r="C191" s="278" t="n">
        <v>7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inlineStr">
        <is>
          <t>09-May-24</t>
        </is>
      </c>
      <c r="C192" s="278" t="n">
        <v>8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 (A)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1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inlineStr">
        <is>
          <t>21-Apr-24</t>
        </is>
      </c>
      <c r="C196" s="278" t="n">
        <v>2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inlineStr">
        <is>
          <t>21-Apr-24</t>
        </is>
      </c>
      <c r="C197" s="278" t="n">
        <v>3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inlineStr">
        <is>
          <t>21-Apr-24</t>
        </is>
      </c>
      <c r="C198" s="278" t="n">
        <v>4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inlineStr">
        <is>
          <t>21-Apr-24</t>
        </is>
      </c>
      <c r="C199" s="278" t="n">
        <v>5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inlineStr">
        <is>
          <t>08-May-24</t>
        </is>
      </c>
      <c r="C200" s="278" t="n">
        <v>6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 (A)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inlineStr">
        <is>
          <t>25-Apr-24</t>
        </is>
      </c>
      <c r="C203" s="278" t="n">
        <v>1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 (A)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2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inlineStr">
        <is>
          <t>25-Apr-24</t>
        </is>
      </c>
      <c r="C206" s="278" t="n">
        <v>3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inlineStr">
        <is>
          <t>25-Apr-24</t>
        </is>
      </c>
      <c r="C207" s="278" t="n">
        <v>4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inlineStr">
        <is>
          <t>25-Apr-24</t>
        </is>
      </c>
      <c r="C208" s="278" t="n">
        <v>5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inlineStr">
        <is>
          <t>25-Apr-24</t>
        </is>
      </c>
      <c r="C209" s="278" t="n">
        <v>6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inlineStr">
        <is>
          <t>29-Apr-24</t>
        </is>
      </c>
      <c r="C210" s="278" t="n">
        <v>7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 (F)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inlineStr">
        <is>
          <t>19-Apr-24</t>
        </is>
      </c>
      <c r="C212" s="278" t="n">
        <v>8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 (A)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1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inlineStr">
        <is>
          <t>19-Apr-24</t>
        </is>
      </c>
      <c r="C216" s="278" t="n">
        <v>2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inlineStr">
        <is>
          <t>19-Apr-24</t>
        </is>
      </c>
      <c r="C217" s="278" t="n">
        <v>3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inlineStr">
        <is>
          <t>19-Apr-24</t>
        </is>
      </c>
      <c r="C218" s="278" t="n">
        <v>4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inlineStr">
        <is>
          <t>19-Apr-24</t>
        </is>
      </c>
      <c r="C219" s="278" t="n">
        <v>5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inlineStr">
        <is>
          <t>19-Apr-24</t>
        </is>
      </c>
      <c r="C220" s="278" t="n">
        <v>6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inlineStr">
        <is>
          <t>22-Apr-24</t>
        </is>
      </c>
      <c r="C221" s="278" t="n">
        <v>7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 (A)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17-May-24</t>
        </is>
      </c>
      <c r="C224" s="278" t="n">
        <v>1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 (H)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inlineStr">
        <is>
          <t>20-May-24</t>
        </is>
      </c>
      <c r="C227" s="278" t="n">
        <v>1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 (F)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inlineStr">
        <is>
          <t>21-May-24</t>
        </is>
      </c>
      <c r="C229" s="278" t="n">
        <v>2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 (H)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20-May-24</t>
        </is>
      </c>
      <c r="C232" s="278" t="n">
        <v>1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 (A)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21-May-24</t>
        </is>
      </c>
      <c r="C235" s="278" t="n">
        <v>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inlineStr">
        <is>
          <t>24-May-24</t>
        </is>
      </c>
      <c r="C236" s="278" t="n">
        <v>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inlineStr">
        <is>
          <t>24-May-24</t>
        </is>
      </c>
      <c r="C237" s="278" t="n">
        <v>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inlineStr">
        <is>
          <t>25-May-24</t>
        </is>
      </c>
      <c r="C238" s="278" t="n">
        <v>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inlineStr">
        <is>
          <t>25-May-24</t>
        </is>
      </c>
      <c r="C239" s="278" t="n">
        <v>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 (A)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1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inlineStr">
        <is>
          <t>25-May-24</t>
        </is>
      </c>
      <c r="C243" s="278" t="n">
        <v>2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inlineStr">
        <is>
          <t>25-May-24</t>
        </is>
      </c>
      <c r="C244" s="278" t="n">
        <v>3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inlineStr">
        <is>
          <t>25-May-24</t>
        </is>
      </c>
      <c r="C245" s="278" t="n">
        <v>4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inlineStr">
        <is>
          <t>25-May-24</t>
        </is>
      </c>
      <c r="C246" s="278" t="n">
        <v>5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 (F)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25-May-24</t>
        </is>
      </c>
      <c r="C248" s="278" t="n">
        <v>6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inlineStr">
        <is>
          <t>27-May-24</t>
        </is>
      </c>
      <c r="C249" s="278" t="n">
        <v>7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inlineStr">
        <is>
          <t>31-May-24</t>
        </is>
      </c>
      <c r="C250" s="278" t="n">
        <v>8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 (A)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1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inlineStr">
        <is>
          <t>25-May-24</t>
        </is>
      </c>
      <c r="C254" s="278" t="n">
        <v>2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inlineStr">
        <is>
          <t>25-May-24</t>
        </is>
      </c>
      <c r="C255" s="278" t="n">
        <v>3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inlineStr">
        <is>
          <t>25-May-24</t>
        </is>
      </c>
      <c r="C256" s="278" t="n">
        <v>4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inlineStr">
        <is>
          <t>25-May-24</t>
        </is>
      </c>
      <c r="C257" s="278" t="n">
        <v>5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inlineStr">
        <is>
          <t>25-May-24</t>
        </is>
      </c>
      <c r="C258" s="278" t="n">
        <v>6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inlineStr">
        <is>
          <t>25-May-24</t>
        </is>
      </c>
      <c r="C259" s="278" t="n">
        <v>7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inlineStr">
        <is>
          <t>25-May-24</t>
        </is>
      </c>
      <c r="C260" s="278" t="n">
        <v>8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inlineStr">
        <is>
          <t>25-May-24</t>
        </is>
      </c>
      <c r="C261" s="278" t="n">
        <v>9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inlineStr">
        <is>
          <t>25-May-24</t>
        </is>
      </c>
      <c r="C262" s="278" t="n">
        <v>10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inlineStr">
        <is>
          <t>30-May-24</t>
        </is>
      </c>
      <c r="C263" s="278" t="n">
        <v>11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inlineStr">
        <is>
          <t>30-May-24</t>
        </is>
      </c>
      <c r="C264" s="278" t="n">
        <v>12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 (A)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05-Jun-24</t>
        </is>
      </c>
      <c r="C267" s="278" t="n">
        <v>1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inlineStr">
        <is>
          <t>06-Jun-24</t>
        </is>
      </c>
      <c r="C268" s="278" t="n">
        <v>2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inlineStr">
        <is>
          <t>07-Jun-24</t>
        </is>
      </c>
      <c r="C269" s="278" t="n">
        <v>3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inlineStr">
        <is>
          <t>07-Jun-24</t>
        </is>
      </c>
      <c r="C270" s="278" t="n">
        <v>4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 (A)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1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inlineStr">
        <is>
          <t>16-May-24</t>
        </is>
      </c>
      <c r="C274" s="278" t="n">
        <v>2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inlineStr">
        <is>
          <t>16-May-24</t>
        </is>
      </c>
      <c r="C275" s="278" t="n">
        <v>3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inlineStr">
        <is>
          <t>16-May-24</t>
        </is>
      </c>
      <c r="C276" s="278" t="n">
        <v>4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inlineStr">
        <is>
          <t>16-May-24</t>
        </is>
      </c>
      <c r="C277" s="278" t="n">
        <v>5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inlineStr">
        <is>
          <t>16-May-24</t>
        </is>
      </c>
      <c r="C278" s="278" t="n">
        <v>6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inlineStr">
        <is>
          <t>16-May-24</t>
        </is>
      </c>
      <c r="C279" s="278" t="n">
        <v>7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inlineStr">
        <is>
          <t>16-May-24</t>
        </is>
      </c>
      <c r="C280" s="278" t="n">
        <v>8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inlineStr">
        <is>
          <t>16-May-24</t>
        </is>
      </c>
      <c r="C281" s="278" t="n">
        <v>9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inlineStr">
        <is>
          <t>16-May-24</t>
        </is>
      </c>
      <c r="C282" s="278" t="n">
        <v>10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inlineStr">
        <is>
          <t>16-May-24</t>
        </is>
      </c>
      <c r="C283" s="278" t="n">
        <v>11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 (F)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inlineStr">
        <is>
          <t>16-May-24</t>
        </is>
      </c>
      <c r="C285" s="278" t="n">
        <v>12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 (A)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inlineStr">
        <is>
          <t>05-Jul-24</t>
        </is>
      </c>
      <c r="C288" s="278" t="n">
        <v>1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 (F)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2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inlineStr">
        <is>
          <t>10-Jul-24</t>
        </is>
      </c>
      <c r="C291" s="278" t="n">
        <v>3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 (A)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1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inlineStr">
        <is>
          <t>08-Jul-24</t>
        </is>
      </c>
      <c r="C295" s="278" t="n">
        <v>2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inlineStr">
        <is>
          <t>08-Jul-24</t>
        </is>
      </c>
      <c r="C296" s="278" t="n">
        <v>3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inlineStr">
        <is>
          <t>08-Jul-24</t>
        </is>
      </c>
      <c r="C297" s="278" t="n">
        <v>4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inlineStr">
        <is>
          <t>08-Jul-24</t>
        </is>
      </c>
      <c r="C298" s="278" t="n">
        <v>5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inlineStr">
        <is>
          <t>09-Jul-24</t>
        </is>
      </c>
      <c r="C299" s="278" t="n">
        <v>6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inlineStr">
        <is>
          <t>09-Jul-24</t>
        </is>
      </c>
      <c r="C300" s="278" t="n">
        <v>7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inlineStr">
        <is>
          <t>09-Jul-24</t>
        </is>
      </c>
      <c r="C301" s="278" t="n">
        <v>8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 (F)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9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inlineStr">
        <is>
          <t>10-Jul-24</t>
        </is>
      </c>
      <c r="C304" s="278" t="n">
        <v>10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 (H)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1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inlineStr">
        <is>
          <t>03-Jun-24</t>
        </is>
      </c>
      <c r="C308" s="278" t="n">
        <v>2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inlineStr">
        <is>
          <t>10-Jun-24</t>
        </is>
      </c>
      <c r="C309" s="278" t="n">
        <v>3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inlineStr">
        <is>
          <t>10-Jun-24</t>
        </is>
      </c>
      <c r="C310" s="278" t="n">
        <v>4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 (A)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1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inlineStr">
        <is>
          <t>21-Jul-24</t>
        </is>
      </c>
      <c r="C314" s="278" t="n">
        <v>2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inlineStr">
        <is>
          <t>21-Jul-24</t>
        </is>
      </c>
      <c r="C315" s="278" t="n">
        <v>3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inlineStr">
        <is>
          <t>21-Jul-24</t>
        </is>
      </c>
      <c r="C316" s="278" t="n">
        <v>4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inlineStr">
        <is>
          <t>24-Jul-24</t>
        </is>
      </c>
      <c r="C317" s="278" t="n">
        <v>5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inlineStr">
        <is>
          <t>27-Jul-24</t>
        </is>
      </c>
      <c r="C318" s="278" t="n">
        <v>6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inlineStr">
        <is>
          <t>27-Jul-24</t>
        </is>
      </c>
      <c r="C319" s="278" t="n">
        <v>7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inlineStr">
        <is>
          <t>27-Jul-24</t>
        </is>
      </c>
      <c r="C320" s="278" t="n">
        <v>8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inlineStr">
        <is>
          <t>27-Jul-24</t>
        </is>
      </c>
      <c r="C321" s="278" t="n">
        <v>9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inlineStr">
        <is>
          <t>27-Jul-24</t>
        </is>
      </c>
      <c r="C322" s="278" t="n">
        <v>10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inlineStr">
        <is>
          <t>27-Jul-24</t>
        </is>
      </c>
      <c r="C323" s="278" t="n">
        <v>11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inlineStr">
        <is>
          <t>27-Jul-24</t>
        </is>
      </c>
      <c r="C324" s="278" t="n">
        <v>12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inlineStr">
        <is>
          <t>27-Jul-24</t>
        </is>
      </c>
      <c r="C325" s="278" t="n">
        <v>13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 (F)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22-Jul-24</t>
        </is>
      </c>
      <c r="C327" s="278" t="n">
        <v>14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inlineStr">
        <is>
          <t>25-Jul-24</t>
        </is>
      </c>
      <c r="C328" s="278" t="n">
        <v>15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inlineStr">
        <is>
          <t>25-Jul-24</t>
        </is>
      </c>
      <c r="C329" s="278" t="n">
        <v>16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 (A)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1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inlineStr">
        <is>
          <t>20-Jun-24</t>
        </is>
      </c>
      <c r="C333" s="278" t="n">
        <v>2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inlineStr">
        <is>
          <t>20-Jun-24</t>
        </is>
      </c>
      <c r="C334" s="278" t="n">
        <v>3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inlineStr">
        <is>
          <t>28-Jul-24</t>
        </is>
      </c>
      <c r="C335" s="278" t="n">
        <v>4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inlineStr">
        <is>
          <t>28-Jul-24</t>
        </is>
      </c>
      <c r="C336" s="278" t="n">
        <v>5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inlineStr">
        <is>
          <t>28-Jul-24</t>
        </is>
      </c>
      <c r="C337" s="278" t="n">
        <v>6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 (A)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inlineStr">
        <is>
          <t>07-Aug-24</t>
        </is>
      </c>
      <c r="C341" s="278" t="n">
        <v>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inlineStr">
        <is>
          <t>08-Aug-24</t>
        </is>
      </c>
      <c r="C342" s="278" t="n">
        <v>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 (F)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inlineStr">
        <is>
          <t>12-Aug-24</t>
        </is>
      </c>
      <c r="C344" s="278" t="n">
        <v>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 (A)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1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inlineStr">
        <is>
          <t>03-Aug-24</t>
        </is>
      </c>
      <c r="C348" s="278" t="n">
        <v>2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inlineStr">
        <is>
          <t>03-Aug-24</t>
        </is>
      </c>
      <c r="C349" s="278" t="n">
        <v>3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inlineStr">
        <is>
          <t>03-Aug-24</t>
        </is>
      </c>
      <c r="C350" s="278" t="n">
        <v>4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inlineStr">
        <is>
          <t>05-Aug-24</t>
        </is>
      </c>
      <c r="C351" s="278" t="n">
        <v>5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inlineStr">
        <is>
          <t>07-Aug-24</t>
        </is>
      </c>
      <c r="C352" s="278" t="n">
        <v>6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inlineStr">
        <is>
          <t>07-Aug-24</t>
        </is>
      </c>
      <c r="C353" s="278" t="n">
        <v>7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inlineStr">
        <is>
          <t>07-Aug-24</t>
        </is>
      </c>
      <c r="C354" s="278" t="n">
        <v>8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inlineStr">
        <is>
          <t>07-Aug-24</t>
        </is>
      </c>
      <c r="C355" s="278" t="n">
        <v>9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 (A)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03-Jul-24</t>
        </is>
      </c>
      <c r="C358" s="278" t="n">
        <v>1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inlineStr">
        <is>
          <t>04-Jul-24</t>
        </is>
      </c>
      <c r="C359" s="278" t="n">
        <v>2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inlineStr">
        <is>
          <t>11-Jul-24</t>
        </is>
      </c>
      <c r="C360" s="278" t="n">
        <v>3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inlineStr">
        <is>
          <t>11-Jul-24</t>
        </is>
      </c>
      <c r="C361" s="278" t="n">
        <v>4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inlineStr">
        <is>
          <t>11-Jul-24</t>
        </is>
      </c>
      <c r="C362" s="278" t="n">
        <v>5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inlineStr">
        <is>
          <t>17-Jul-24</t>
        </is>
      </c>
      <c r="C363" s="278" t="n">
        <v>6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inlineStr">
        <is>
          <t>25-Jul-24</t>
        </is>
      </c>
      <c r="C364" s="278" t="n">
        <v>7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inlineStr">
        <is>
          <t>28-Jul-24</t>
        </is>
      </c>
      <c r="C365" s="278" t="n">
        <v>8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 (H)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01-Jul-24</t>
        </is>
      </c>
      <c r="C367" s="278" t="n">
        <v>9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inlineStr">
        <is>
          <t>03-Jul-24</t>
        </is>
      </c>
      <c r="C368" s="278" t="n">
        <v>10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inlineStr">
        <is>
          <t>03-Jul-24</t>
        </is>
      </c>
      <c r="C369" s="278" t="n">
        <v>11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inlineStr">
        <is>
          <t>09-Jul-24</t>
        </is>
      </c>
      <c r="C370" s="278" t="n">
        <v>12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inlineStr">
        <is>
          <t>10-Jul-24</t>
        </is>
      </c>
      <c r="C371" s="278" t="n">
        <v>13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inlineStr">
        <is>
          <t>10-Jul-24</t>
        </is>
      </c>
      <c r="C372" s="278" t="n">
        <v>14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inlineStr">
        <is>
          <t>11-Jul-24</t>
        </is>
      </c>
      <c r="C373" s="278" t="n">
        <v>15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 (F)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24-Jul-24</t>
        </is>
      </c>
      <c r="C375" s="278" t="n">
        <v>16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inlineStr">
        <is>
          <t>25-Jul-24</t>
        </is>
      </c>
      <c r="C376" s="278" t="n">
        <v>17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inlineStr">
        <is>
          <t>25-Jul-24</t>
        </is>
      </c>
      <c r="C377" s="278" t="n">
        <v>18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inlineStr">
        <is>
          <t>26-Jul-24</t>
        </is>
      </c>
      <c r="C378" s="278" t="n">
        <v>19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inlineStr">
        <is>
          <t>27-Jul-24</t>
        </is>
      </c>
      <c r="C379" s="278" t="n">
        <v>20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inlineStr">
        <is>
          <t>27-Jul-24</t>
        </is>
      </c>
      <c r="C380" s="278" t="n">
        <v>21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inlineStr">
        <is>
          <t>27-Jul-24</t>
        </is>
      </c>
      <c r="C381" s="278" t="n">
        <v>22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inlineStr">
        <is>
          <t>28-Jul-24</t>
        </is>
      </c>
      <c r="C382" s="278" t="n">
        <v>23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 (A)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03-Jul-24</t>
        </is>
      </c>
      <c r="C385" s="278" t="n">
        <v>1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inlineStr">
        <is>
          <t>29-Jul-24</t>
        </is>
      </c>
      <c r="C386" s="278" t="n">
        <v>2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inlineStr">
        <is>
          <t>29-Jul-24</t>
        </is>
      </c>
      <c r="C387" s="278" t="n">
        <v>3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inlineStr">
        <is>
          <t>29-Jul-24</t>
        </is>
      </c>
      <c r="C388" s="278" t="n">
        <v>4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inlineStr">
        <is>
          <t>31-Jul-24</t>
        </is>
      </c>
      <c r="C389" s="278" t="n">
        <v>5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inlineStr">
        <is>
          <t>01-Aug-24</t>
        </is>
      </c>
      <c r="C390" s="278" t="n">
        <v>6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inlineStr">
        <is>
          <t>01-Aug-24</t>
        </is>
      </c>
      <c r="C391" s="278" t="n">
        <v>7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inlineStr">
        <is>
          <t>02-Aug-24</t>
        </is>
      </c>
      <c r="C392" s="278" t="n">
        <v>8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inlineStr">
        <is>
          <t>03-Aug-24</t>
        </is>
      </c>
      <c r="C393" s="278" t="n">
        <v>9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inlineStr">
        <is>
          <t>03-Aug-24</t>
        </is>
      </c>
      <c r="C394" s="278" t="n">
        <v>10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inlineStr">
        <is>
          <t>03-Aug-24</t>
        </is>
      </c>
      <c r="C395" s="278" t="n">
        <v>11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inlineStr">
        <is>
          <t>03-Aug-24</t>
        </is>
      </c>
      <c r="C396" s="278" t="n">
        <v>12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inlineStr">
        <is>
          <t>04-Aug-24</t>
        </is>
      </c>
      <c r="C397" s="278" t="n">
        <v>13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inlineStr">
        <is>
          <t>06-Aug-24</t>
        </is>
      </c>
      <c r="C398" s="278" t="n">
        <v>14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inlineStr">
        <is>
          <t>07-Aug-24</t>
        </is>
      </c>
      <c r="C399" s="278" t="n">
        <v>15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inlineStr">
        <is>
          <t>07-Aug-24</t>
        </is>
      </c>
      <c r="C400" s="278" t="n">
        <v>16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inlineStr">
        <is>
          <t>07-Aug-24</t>
        </is>
      </c>
      <c r="C401" s="278" t="n">
        <v>17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inlineStr">
        <is>
          <t>07-Aug-24</t>
        </is>
      </c>
      <c r="C402" s="278" t="n">
        <v>18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inlineStr">
        <is>
          <t>07-Aug-24</t>
        </is>
      </c>
      <c r="C403" s="278" t="n">
        <v>19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 (H)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inlineStr">
        <is>
          <t>29-Jul-24</t>
        </is>
      </c>
      <c r="C405" s="278" t="n">
        <v>20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 (F)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01-Aug-24</t>
        </is>
      </c>
      <c r="C407" s="278" t="n">
        <v>21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inlineStr">
        <is>
          <t>05-Aug-24</t>
        </is>
      </c>
      <c r="C408" s="278" t="n">
        <v>22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inlineStr">
        <is>
          <t>05-Aug-24</t>
        </is>
      </c>
      <c r="C409" s="278" t="n">
        <v>23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inlineStr">
        <is>
          <t>06-Aug-24</t>
        </is>
      </c>
      <c r="C410" s="278" t="n">
        <v>24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 (A)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inlineStr">
        <is>
          <t>26-Jul-24</t>
        </is>
      </c>
      <c r="C414" s="278" t="n">
        <v>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inlineStr">
        <is>
          <t>29-Jul-24</t>
        </is>
      </c>
      <c r="C415" s="278" t="n">
        <v>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inlineStr">
        <is>
          <t>29-Jul-24</t>
        </is>
      </c>
      <c r="C416" s="278" t="n">
        <v>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inlineStr">
        <is>
          <t>29-Jul-24</t>
        </is>
      </c>
      <c r="C417" s="278" t="n">
        <v>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inlineStr">
        <is>
          <t>29-Jul-24</t>
        </is>
      </c>
      <c r="C418" s="278" t="n">
        <v>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inlineStr">
        <is>
          <t>29-Jul-24</t>
        </is>
      </c>
      <c r="C419" s="278" t="n">
        <v>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inlineStr">
        <is>
          <t>13-Aug-24</t>
        </is>
      </c>
      <c r="C420" s="278" t="n">
        <v>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 (F)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26-Jul-24</t>
        </is>
      </c>
      <c r="C422" s="278" t="n">
        <v>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 (A)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1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inlineStr">
        <is>
          <t>13-Sep-24</t>
        </is>
      </c>
      <c r="C426" s="278" t="n">
        <v>2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inlineStr">
        <is>
          <t>13-Sep-24</t>
        </is>
      </c>
      <c r="C427" s="278" t="n">
        <v>3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 (A)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1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inlineStr">
        <is>
          <t>06-Sep-24</t>
        </is>
      </c>
      <c r="C431" s="278" t="n">
        <v>2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inlineStr">
        <is>
          <t>06-Sep-24</t>
        </is>
      </c>
      <c r="C432" s="278" t="n">
        <v>3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inlineStr">
        <is>
          <t>06-Sep-24</t>
        </is>
      </c>
      <c r="C433" s="278" t="n">
        <v>4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inlineStr">
        <is>
          <t>06-Sep-24</t>
        </is>
      </c>
      <c r="C434" s="278" t="n">
        <v>5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inlineStr">
        <is>
          <t>06-Sep-24</t>
        </is>
      </c>
      <c r="C435" s="278" t="n">
        <v>6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inlineStr">
        <is>
          <t>06-Sep-24</t>
        </is>
      </c>
      <c r="C436" s="278" t="n">
        <v>7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inlineStr">
        <is>
          <t>06-Sep-24</t>
        </is>
      </c>
      <c r="C437" s="278" t="n">
        <v>8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inlineStr">
        <is>
          <t>06-Sep-24</t>
        </is>
      </c>
      <c r="C438" s="278" t="n">
        <v>9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inlineStr">
        <is>
          <t>06-Sep-24</t>
        </is>
      </c>
      <c r="C439" s="278" t="n">
        <v>10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inlineStr">
        <is>
          <t>08-Sep-24</t>
        </is>
      </c>
      <c r="C440" s="278" t="n">
        <v>11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 (A)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22-Sep-24</t>
        </is>
      </c>
      <c r="C443" s="278" t="n">
        <v>1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inlineStr">
        <is>
          <t>23-Sep-24</t>
        </is>
      </c>
      <c r="C444" s="278" t="n">
        <v>2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inlineStr">
        <is>
          <t>26-Sep-24</t>
        </is>
      </c>
      <c r="C445" s="278" t="n">
        <v>3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inlineStr">
        <is>
          <t>26-Sep-24</t>
        </is>
      </c>
      <c r="C446" s="278" t="n">
        <v>4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inlineStr">
        <is>
          <t>26-Sep-24</t>
        </is>
      </c>
      <c r="C447" s="278" t="n">
        <v>5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inlineStr">
        <is>
          <t>26-Sep-24</t>
        </is>
      </c>
      <c r="C448" s="278" t="n">
        <v>6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 (A)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1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inlineStr">
        <is>
          <t>28-Sep-24</t>
        </is>
      </c>
      <c r="C452" s="278" t="n">
        <v>2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inlineStr">
        <is>
          <t>28-Sep-24</t>
        </is>
      </c>
      <c r="C453" s="278" t="n">
        <v>3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inlineStr">
        <is>
          <t>28-Sep-24</t>
        </is>
      </c>
      <c r="C454" s="278" t="n">
        <v>4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inlineStr">
        <is>
          <t>28-Sep-24</t>
        </is>
      </c>
      <c r="C455" s="278" t="n">
        <v>5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inlineStr">
        <is>
          <t>28-Sep-24</t>
        </is>
      </c>
      <c r="C456" s="278" t="n">
        <v>6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inlineStr">
        <is>
          <t>28-Sep-24</t>
        </is>
      </c>
      <c r="C457" s="278" t="n">
        <v>7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inlineStr">
        <is>
          <t>28-Sep-24</t>
        </is>
      </c>
      <c r="C458" s="278" t="n">
        <v>8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inlineStr">
        <is>
          <t>28-Sep-24</t>
        </is>
      </c>
      <c r="C459" s="278" t="n">
        <v>9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inlineStr">
        <is>
          <t>28-Sep-24</t>
        </is>
      </c>
      <c r="C460" s="278" t="n">
        <v>10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inlineStr">
        <is>
          <t>28-Sep-24</t>
        </is>
      </c>
      <c r="C461" s="278" t="n">
        <v>11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inlineStr">
        <is>
          <t>28-Sep-24</t>
        </is>
      </c>
      <c r="C462" s="278" t="n">
        <v>12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inlineStr">
        <is>
          <t>28-Sep-24</t>
        </is>
      </c>
      <c r="C463" s="278" t="n">
        <v>13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inlineStr">
        <is>
          <t>28-Sep-24</t>
        </is>
      </c>
      <c r="C464" s="278" t="n">
        <v>14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inlineStr">
        <is>
          <t>28-Sep-24</t>
        </is>
      </c>
      <c r="C465" s="278" t="n">
        <v>15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inlineStr">
        <is>
          <t>28-Sep-24</t>
        </is>
      </c>
      <c r="C466" s="278" t="n">
        <v>16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inlineStr">
        <is>
          <t>28-Sep-24</t>
        </is>
      </c>
      <c r="C467" s="278" t="n">
        <v>17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inlineStr">
        <is>
          <t>28-Sep-24</t>
        </is>
      </c>
      <c r="C468" s="278" t="n">
        <v>18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inlineStr">
        <is>
          <t>28-Sep-24</t>
        </is>
      </c>
      <c r="C469" s="278" t="n">
        <v>19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inlineStr">
        <is>
          <t>28-Sep-24</t>
        </is>
      </c>
      <c r="C470" s="278" t="n">
        <v>20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inlineStr">
        <is>
          <t>28-Sep-24</t>
        </is>
      </c>
      <c r="C471" s="278" t="n">
        <v>21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inlineStr">
        <is>
          <t>28-Sep-24</t>
        </is>
      </c>
      <c r="C472" s="278" t="n">
        <v>22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inlineStr">
        <is>
          <t>28-Sep-24</t>
        </is>
      </c>
      <c r="C473" s="278" t="n">
        <v>23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 (A)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1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inlineStr">
        <is>
          <t>21-Sep-24</t>
        </is>
      </c>
      <c r="C477" s="278" t="n">
        <v>2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inlineStr">
        <is>
          <t>29-Sep-24</t>
        </is>
      </c>
      <c r="C478" s="278" t="n">
        <v>3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inlineStr">
        <is>
          <t>29-Sep-24</t>
        </is>
      </c>
      <c r="C479" s="278" t="n">
        <v>4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inlineStr">
        <is>
          <t>29-Sep-24</t>
        </is>
      </c>
      <c r="C480" s="278" t="n">
        <v>5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inlineStr">
        <is>
          <t>29-Sep-24</t>
        </is>
      </c>
      <c r="C481" s="278" t="n">
        <v>6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inlineStr">
        <is>
          <t>29-Sep-24</t>
        </is>
      </c>
      <c r="C482" s="278" t="n">
        <v>7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inlineStr">
        <is>
          <t>30-Sep-24</t>
        </is>
      </c>
      <c r="C483" s="278" t="n">
        <v>8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 (A)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22-Aug-24</t>
        </is>
      </c>
      <c r="C486" s="278" t="n">
        <v>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inlineStr">
        <is>
          <t>09-Sep-24</t>
        </is>
      </c>
      <c r="C487" s="278" t="n">
        <v>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inlineStr">
        <is>
          <t>09-Sep-24</t>
        </is>
      </c>
      <c r="C488" s="278" t="n">
        <v>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inlineStr">
        <is>
          <t>09-Sep-24</t>
        </is>
      </c>
      <c r="C489" s="278" t="n">
        <v>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inlineStr">
        <is>
          <t>09-Sep-24</t>
        </is>
      </c>
      <c r="C490" s="278" t="n">
        <v>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inlineStr">
        <is>
          <t>10-Sep-24</t>
        </is>
      </c>
      <c r="C491" s="278" t="n">
        <v>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inlineStr">
        <is>
          <t>10-Sep-24</t>
        </is>
      </c>
      <c r="C492" s="278" t="n">
        <v>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inlineStr">
        <is>
          <t>10-Sep-24</t>
        </is>
      </c>
      <c r="C493" s="278" t="n">
        <v>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inlineStr">
        <is>
          <t>11-Sep-24</t>
        </is>
      </c>
      <c r="C494" s="278" t="n">
        <v>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inlineStr">
        <is>
          <t>11-Sep-24</t>
        </is>
      </c>
      <c r="C495" s="278" t="n">
        <v>10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inlineStr">
        <is>
          <t>13-Sep-24</t>
        </is>
      </c>
      <c r="C496" s="278" t="n">
        <v>11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inlineStr">
        <is>
          <t>17-Sep-24</t>
        </is>
      </c>
      <c r="C497" s="278" t="n">
        <v>12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inlineStr">
        <is>
          <t>17-Sep-24</t>
        </is>
      </c>
      <c r="C498" s="278" t="n">
        <v>13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inlineStr">
        <is>
          <t>17-Sep-24</t>
        </is>
      </c>
      <c r="C499" s="278" t="n">
        <v>14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inlineStr">
        <is>
          <t>18-Sep-24</t>
        </is>
      </c>
      <c r="C500" s="278" t="n">
        <v>15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inlineStr">
        <is>
          <t>18-Sep-24</t>
        </is>
      </c>
      <c r="C501" s="278" t="n">
        <v>16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inlineStr">
        <is>
          <t>18-Sep-24</t>
        </is>
      </c>
      <c r="C502" s="278" t="n">
        <v>17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inlineStr">
        <is>
          <t>18-Sep-24</t>
        </is>
      </c>
      <c r="C503" s="278" t="n">
        <v>18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 (A)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24-May-24</t>
        </is>
      </c>
      <c r="C506" s="278" t="n">
        <v>1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inlineStr">
        <is>
          <t>16-Aug-24</t>
        </is>
      </c>
      <c r="C507" s="278" t="n">
        <v>2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inlineStr">
        <is>
          <t>26-Aug-24</t>
        </is>
      </c>
      <c r="C508" s="278" t="n">
        <v>3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inlineStr">
        <is>
          <t>02-Sep-24</t>
        </is>
      </c>
      <c r="C509" s="278" t="n">
        <v>4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inlineStr">
        <is>
          <t>02-Sep-24</t>
        </is>
      </c>
      <c r="C510" s="278" t="n">
        <v>5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 (H)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24-Aug-24</t>
        </is>
      </c>
      <c r="C512" s="278" t="n">
        <v>6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inlineStr">
        <is>
          <t>26-Aug-24</t>
        </is>
      </c>
      <c r="C513" s="278" t="n">
        <v>7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inlineStr">
        <is>
          <t>28-Aug-24</t>
        </is>
      </c>
      <c r="C514" s="278" t="n">
        <v>8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inlineStr">
        <is>
          <t>29-Aug-24</t>
        </is>
      </c>
      <c r="C515" s="278" t="n">
        <v>9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inlineStr">
        <is>
          <t>30-Aug-24</t>
        </is>
      </c>
      <c r="C516" s="278" t="n">
        <v>10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inlineStr">
        <is>
          <t>01-Sep-24</t>
        </is>
      </c>
      <c r="C517" s="278" t="n">
        <v>11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inlineStr">
        <is>
          <t>02-Sep-24</t>
        </is>
      </c>
      <c r="C518" s="278" t="n">
        <v>12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inlineStr">
        <is>
          <t>12-Sep-24</t>
        </is>
      </c>
      <c r="C519" s="278" t="n">
        <v>13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inlineStr">
        <is>
          <t>01-Oct-24</t>
        </is>
      </c>
      <c r="C520" s="278" t="n">
        <v>14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 (A)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1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inlineStr">
        <is>
          <t>23-Sep-24</t>
        </is>
      </c>
      <c r="C524" s="278" t="n">
        <v>2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inlineStr">
        <is>
          <t>23-Sep-24</t>
        </is>
      </c>
      <c r="C525" s="278" t="n">
        <v>3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inlineStr">
        <is>
          <t>23-Sep-24</t>
        </is>
      </c>
      <c r="C526" s="278" t="n">
        <v>4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inlineStr">
        <is>
          <t>23-Sep-24</t>
        </is>
      </c>
      <c r="C527" s="278" t="n">
        <v>5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inlineStr">
        <is>
          <t>23-Sep-24</t>
        </is>
      </c>
      <c r="C528" s="278" t="n">
        <v>6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inlineStr">
        <is>
          <t>23-Sep-24</t>
        </is>
      </c>
      <c r="C529" s="278" t="n">
        <v>7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inlineStr">
        <is>
          <t>23-Sep-24</t>
        </is>
      </c>
      <c r="C530" s="278" t="n">
        <v>8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inlineStr">
        <is>
          <t>23-Sep-24</t>
        </is>
      </c>
      <c r="C531" s="278" t="n">
        <v>9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inlineStr">
        <is>
          <t>23-Sep-24</t>
        </is>
      </c>
      <c r="C532" s="278" t="n">
        <v>10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 (A)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03-Oct-24</t>
        </is>
      </c>
      <c r="C535" s="278" t="n">
        <v>1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inlineStr">
        <is>
          <t>20-Oct-24</t>
        </is>
      </c>
      <c r="C536" s="278" t="n">
        <v>2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inlineStr">
        <is>
          <t>20-Oct-24</t>
        </is>
      </c>
      <c r="C537" s="278" t="n">
        <v>3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inlineStr">
        <is>
          <t>20-Oct-24</t>
        </is>
      </c>
      <c r="C538" s="278" t="n">
        <v>4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inlineStr">
        <is>
          <t>20-Oct-24</t>
        </is>
      </c>
      <c r="C539" s="278" t="n">
        <v>5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inlineStr">
        <is>
          <t>20-Oct-24</t>
        </is>
      </c>
      <c r="C540" s="278" t="n">
        <v>6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 (A)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1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inlineStr">
        <is>
          <t>26-Nov-24</t>
        </is>
      </c>
      <c r="C544" s="278" t="n">
        <v>2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inlineStr">
        <is>
          <t>26-Nov-24</t>
        </is>
      </c>
      <c r="C545" s="278" t="n">
        <v>3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inlineStr">
        <is>
          <t>26-Nov-24</t>
        </is>
      </c>
      <c r="C546" s="278" t="n">
        <v>4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inlineStr">
        <is>
          <t>26-Nov-24</t>
        </is>
      </c>
      <c r="C547" s="278" t="n">
        <v>5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inlineStr">
        <is>
          <t>26-Nov-24</t>
        </is>
      </c>
      <c r="C548" s="278" t="n">
        <v>6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 (E)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07-Oct-24</t>
        </is>
      </c>
      <c r="C551" s="278" t="n">
        <v>1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inlineStr">
        <is>
          <t>14-Oct-24</t>
        </is>
      </c>
      <c r="C552" s="278" t="n">
        <v>2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inlineStr">
        <is>
          <t>17-Oct-24</t>
        </is>
      </c>
      <c r="C553" s="278" t="n">
        <v>3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inlineStr">
        <is>
          <t>21-Nov-24</t>
        </is>
      </c>
      <c r="C554" s="278" t="n">
        <v>4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 (A)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20-Sep-24</t>
        </is>
      </c>
      <c r="C556" s="278" t="n">
        <v>5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inlineStr">
        <is>
          <t>25-Sep-24</t>
        </is>
      </c>
      <c r="C557" s="278" t="n">
        <v>6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inlineStr">
        <is>
          <t>09-Oct-24</t>
        </is>
      </c>
      <c r="C558" s="278" t="n">
        <v>7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inlineStr">
        <is>
          <t>14-Oct-24</t>
        </is>
      </c>
      <c r="C559" s="278" t="n">
        <v>8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inlineStr">
        <is>
          <t>14-Oct-24</t>
        </is>
      </c>
      <c r="C560" s="278" t="n">
        <v>9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inlineStr">
        <is>
          <t>14-Oct-24</t>
        </is>
      </c>
      <c r="C561" s="278" t="n">
        <v>10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inlineStr">
        <is>
          <t>17-Oct-24</t>
        </is>
      </c>
      <c r="C562" s="278" t="n">
        <v>11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inlineStr">
        <is>
          <t>17-Oct-24</t>
        </is>
      </c>
      <c r="C563" s="278" t="n">
        <v>12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inlineStr">
        <is>
          <t>21-Nov-24</t>
        </is>
      </c>
      <c r="C564" s="278" t="n">
        <v>13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inlineStr">
        <is>
          <t>21-Nov-24</t>
        </is>
      </c>
      <c r="C565" s="278" t="n">
        <v>14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inlineStr">
        <is>
          <t>10-Dec-24</t>
        </is>
      </c>
      <c r="C566" s="278" t="n">
        <v>15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inlineStr">
        <is>
          <t>10-Dec-24</t>
        </is>
      </c>
      <c r="C567" s="278" t="n">
        <v>16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 (F)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inlineStr">
        <is>
          <t>11-Nov-24</t>
        </is>
      </c>
      <c r="C570" s="278" t="n">
        <v>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 (F)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14-Dec-24</t>
        </is>
      </c>
      <c r="C573" s="278" t="n">
        <v>1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 (A)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1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inlineStr">
        <is>
          <t>11-Nov-24</t>
        </is>
      </c>
      <c r="C577" s="278" t="n">
        <v>2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inlineStr">
        <is>
          <t>26-Nov-24</t>
        </is>
      </c>
      <c r="C578" s="278" t="n">
        <v>3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inlineStr">
        <is>
          <t>26-Nov-24</t>
        </is>
      </c>
      <c r="C579" s="278" t="n">
        <v>4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inlineStr">
        <is>
          <t>10-Dec-24</t>
        </is>
      </c>
      <c r="C580" s="278" t="n">
        <v>5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inlineStr">
        <is>
          <t>10-Dec-24</t>
        </is>
      </c>
      <c r="C581" s="278" t="n">
        <v>6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 (H)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31-Oct-24</t>
        </is>
      </c>
      <c r="C583" s="278" t="n">
        <v>7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inlineStr">
        <is>
          <t>01-Dec-24</t>
        </is>
      </c>
      <c r="C584" s="278" t="n">
        <v>8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inlineStr">
        <is>
          <t>01-Dec-24</t>
        </is>
      </c>
      <c r="C585" s="278" t="n">
        <v>9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inlineStr">
        <is>
          <t>01-Dec-24</t>
        </is>
      </c>
      <c r="C586" s="278" t="n">
        <v>10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inlineStr">
        <is>
          <t>01-Dec-24</t>
        </is>
      </c>
      <c r="C587" s="278" t="n">
        <v>11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inlineStr">
        <is>
          <t>02-Dec-24</t>
        </is>
      </c>
      <c r="C588" s="278" t="n">
        <v>12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inlineStr">
        <is>
          <t>02-Dec-24</t>
        </is>
      </c>
      <c r="C589" s="278" t="n">
        <v>13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inlineStr">
        <is>
          <t>11-Dec-24</t>
        </is>
      </c>
      <c r="C590" s="278" t="n">
        <v>14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 (E)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inlineStr">
        <is>
          <t>24-Dec-24</t>
        </is>
      </c>
      <c r="C593" s="278" t="n">
        <v>1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 (A)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2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inlineStr">
        <is>
          <t>20-Dec-24</t>
        </is>
      </c>
      <c r="C596" s="278" t="n">
        <v>3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inlineStr">
        <is>
          <t>21-Dec-24</t>
        </is>
      </c>
      <c r="C597" s="278" t="n">
        <v>4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inlineStr">
        <is>
          <t>21-Dec-24</t>
        </is>
      </c>
      <c r="C598" s="278" t="n">
        <v>5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inlineStr">
        <is>
          <t>21-Dec-24</t>
        </is>
      </c>
      <c r="C599" s="278" t="n">
        <v>6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 (E)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16-Jan-24</t>
        </is>
      </c>
      <c r="C602" s="278" t="n">
        <v>1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inlineStr">
        <is>
          <t>16-Feb-24</t>
        </is>
      </c>
      <c r="C603" s="278" t="n">
        <v>2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inlineStr">
        <is>
          <t>16-Mar-24</t>
        </is>
      </c>
      <c r="C604" s="278" t="n">
        <v>3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inlineStr">
        <is>
          <t>16-Apr-24</t>
        </is>
      </c>
      <c r="C605" s="278" t="n">
        <v>4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inlineStr">
        <is>
          <t>16-May-24</t>
        </is>
      </c>
      <c r="C606" s="278" t="n">
        <v>5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 (A)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13-Feb-24</t>
        </is>
      </c>
      <c r="C608" s="278" t="n">
        <v>6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inlineStr">
        <is>
          <t>11-Mar-24</t>
        </is>
      </c>
      <c r="C609" s="278" t="n">
        <v>7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inlineStr">
        <is>
          <t>11-Mar-24</t>
        </is>
      </c>
      <c r="C610" s="278" t="n">
        <v>8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inlineStr">
        <is>
          <t>11-Mar-24</t>
        </is>
      </c>
      <c r="C611" s="278" t="n">
        <v>9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inlineStr">
        <is>
          <t>12-Mar-24</t>
        </is>
      </c>
      <c r="C612" s="278" t="n">
        <v>10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inlineStr">
        <is>
          <t>12-Mar-24</t>
        </is>
      </c>
      <c r="C613" s="278" t="n">
        <v>11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inlineStr">
        <is>
          <t>12-Mar-24</t>
        </is>
      </c>
      <c r="C614" s="278" t="n">
        <v>12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inlineStr">
        <is>
          <t>12-Mar-24</t>
        </is>
      </c>
      <c r="C615" s="278" t="n">
        <v>13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inlineStr">
        <is>
          <t>22-Apr-24</t>
        </is>
      </c>
      <c r="C616" s="278" t="n">
        <v>14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inlineStr">
        <is>
          <t>23-Apr-24</t>
        </is>
      </c>
      <c r="C617" s="278" t="n">
        <v>15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inlineStr">
        <is>
          <t>23-Apr-24</t>
        </is>
      </c>
      <c r="C618" s="278" t="n">
        <v>16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inlineStr">
        <is>
          <t>30-Apr-24</t>
        </is>
      </c>
      <c r="C619" s="278" t="n">
        <v>17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inlineStr">
        <is>
          <t>20-Dec-24</t>
        </is>
      </c>
      <c r="C620" s="278" t="n">
        <v>18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inlineStr">
        <is>
          <t>20-Dec-24</t>
        </is>
      </c>
      <c r="C621" s="278" t="n">
        <v>19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inlineStr">
        <is>
          <t>21-Dec-24</t>
        </is>
      </c>
      <c r="C622" s="278" t="n">
        <v>20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inlineStr">
        <is>
          <t>21-Dec-24</t>
        </is>
      </c>
      <c r="C623" s="278" t="n">
        <v>21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inlineStr">
        <is>
          <t>21-Dec-24</t>
        </is>
      </c>
      <c r="C624" s="278" t="n">
        <v>22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 (A)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inlineStr">
        <is>
          <t>10-Dec-24</t>
        </is>
      </c>
      <c r="C627" s="278" t="n">
        <v>1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 (A)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1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inlineStr">
        <is>
          <t>29-Dec-24</t>
        </is>
      </c>
      <c r="C631" s="278" t="n">
        <v>2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inlineStr">
        <is>
          <t>29-Dec-24</t>
        </is>
      </c>
      <c r="C632" s="278" t="n">
        <v>3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inlineStr">
        <is>
          <t>29-Dec-24</t>
        </is>
      </c>
      <c r="C633" s="278" t="n">
        <v>4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inlineStr">
        <is>
          <t>30-Dec-24</t>
        </is>
      </c>
      <c r="C634" s="278" t="n">
        <v>5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inlineStr">
        <is>
          <t>30-Dec-24</t>
        </is>
      </c>
      <c r="C635" s="278" t="n">
        <v>6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inlineStr">
        <is>
          <t>30-Dec-24</t>
        </is>
      </c>
      <c r="C636" s="278" t="n">
        <v>7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inlineStr">
        <is>
          <t>30-Dec-24</t>
        </is>
      </c>
      <c r="C637" s="278" t="n">
        <v>8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inlineStr">
        <is>
          <t>30-Dec-24</t>
        </is>
      </c>
      <c r="C638" s="278" t="n">
        <v>9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368" t="inlineStr">
        <is>
          <t>PENDAPATAN</t>
        </is>
      </c>
      <c r="C8" s="369" t="n"/>
      <c r="D8" s="370" t="n"/>
      <c r="E8" s="371" t="n"/>
      <c r="F8" s="352" t="n"/>
      <c r="G8" s="372" t="inlineStr">
        <is>
          <t>AKTIVA</t>
        </is>
      </c>
      <c r="H8" s="373" t="n"/>
      <c r="I8" s="374" t="n"/>
      <c r="J8" s="371" t="n"/>
    </row>
    <row r="9" ht="15" customHeight="1">
      <c r="A9" s="367" t="n"/>
      <c r="B9" s="375" t="n"/>
      <c r="C9" s="376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2" t="n"/>
      <c r="G9" s="379" t="inlineStr">
        <is>
          <t>AKTIVA LANCAR</t>
        </is>
      </c>
      <c r="H9" s="380" t="n"/>
      <c r="I9" s="381" t="n"/>
      <c r="J9" s="378" t="n"/>
    </row>
    <row r="10" ht="15" customHeight="1">
      <c r="A10" s="367" t="n"/>
      <c r="B10" s="375" t="n"/>
      <c r="C10" s="376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2" t="n"/>
      <c r="G10" s="379" t="n"/>
      <c r="H10" s="380" t="inlineStr">
        <is>
          <t>KAS DAN SETARA KAS TAHUN SEBELUMNYA</t>
        </is>
      </c>
      <c r="I10" s="377" t="inlineStr">
        <is>
          <t>Rp</t>
        </is>
      </c>
      <c r="J10" s="378" t="n">
        <v>0</v>
      </c>
    </row>
    <row r="11" ht="15" customHeight="1">
      <c r="A11" s="367" t="n"/>
      <c r="B11" s="375" t="n"/>
      <c r="C11" s="376" t="n"/>
      <c r="D11" s="377" t="n"/>
      <c r="E11" s="378" t="n"/>
      <c r="F11" s="352" t="n"/>
      <c r="G11" s="379" t="n"/>
      <c r="H11" s="380" t="inlineStr">
        <is>
          <t>KAS DAN SETARA KAS TAHUN LAPORAN</t>
        </is>
      </c>
      <c r="I11" s="377" t="inlineStr">
        <is>
          <t>Rp</t>
        </is>
      </c>
      <c r="J11" s="378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3" t="n"/>
      <c r="D12" s="384" t="inlineStr">
        <is>
          <t>Rp</t>
        </is>
      </c>
      <c r="E12" s="385">
        <f>SUM(E9:E11)</f>
        <v/>
      </c>
      <c r="F12" s="352" t="n"/>
      <c r="G12" s="386" t="n"/>
      <c r="H12" s="387" t="inlineStr">
        <is>
          <t>PIUTANG USAHA</t>
        </is>
      </c>
      <c r="I12" s="384" t="inlineStr">
        <is>
          <t>Rp</t>
        </is>
      </c>
      <c r="J12" s="385" t="n">
        <v>0</v>
      </c>
    </row>
    <row r="13" ht="15" customHeight="1">
      <c r="A13" s="367" t="n"/>
      <c r="B13" s="375" t="n"/>
      <c r="C13" s="376" t="n"/>
      <c r="D13" s="377" t="n"/>
      <c r="E13" s="378" t="n"/>
      <c r="F13" s="352" t="n"/>
      <c r="G13" s="379" t="n"/>
      <c r="H13" s="380" t="inlineStr">
        <is>
          <t>PAJAK BAYAR DI MUKA (pph23)</t>
        </is>
      </c>
      <c r="I13" s="377" t="inlineStr">
        <is>
          <t>Rp</t>
        </is>
      </c>
      <c r="J13" s="378" t="n">
        <v>0</v>
      </c>
    </row>
    <row r="14" ht="15" customHeight="1">
      <c r="A14" s="367" t="n"/>
      <c r="B14" s="368" t="inlineStr">
        <is>
          <t>BEBAN LANGSUNG</t>
        </is>
      </c>
      <c r="C14" s="369" t="n"/>
      <c r="D14" s="370" t="n"/>
      <c r="E14" s="371" t="n"/>
      <c r="F14" s="352" t="n"/>
      <c r="G14" s="372" t="n"/>
      <c r="H14" s="373" t="inlineStr">
        <is>
          <t>BIAYA BAYAR DI MUKA</t>
        </is>
      </c>
      <c r="I14" s="370" t="inlineStr">
        <is>
          <t>Rp</t>
        </is>
      </c>
      <c r="J14" s="371" t="n">
        <v>0</v>
      </c>
    </row>
    <row r="15" ht="15" customHeight="1">
      <c r="A15" s="367" t="n"/>
      <c r="B15" s="375" t="n"/>
      <c r="C15" s="376" t="inlineStr">
        <is>
          <t>BIAYA RESEARCH (R&amp;D)</t>
        </is>
      </c>
      <c r="D15" s="377" t="inlineStr">
        <is>
          <t>Rp</t>
        </is>
      </c>
      <c r="E15" s="378">
        <f>'Revenue-Cost_2024'!I639</f>
        <v/>
      </c>
      <c r="F15" s="352" t="n"/>
      <c r="G15" s="388" t="n"/>
      <c r="H15" s="380" t="inlineStr">
        <is>
          <t>PIUTANG LAIN LAIN</t>
        </is>
      </c>
      <c r="I15" s="377" t="inlineStr">
        <is>
          <t>Rp</t>
        </is>
      </c>
      <c r="J15" s="378" t="n">
        <v>0</v>
      </c>
    </row>
    <row r="16" ht="15" customHeight="1">
      <c r="A16" s="367" t="n"/>
      <c r="B16" s="375" t="n"/>
      <c r="C16" s="376" t="inlineStr">
        <is>
          <t>BIAYA SEWA PERALATAN</t>
        </is>
      </c>
      <c r="D16" s="377" t="inlineStr">
        <is>
          <t>Rp</t>
        </is>
      </c>
      <c r="E16" s="378">
        <f>'Revenue-Cost_2024'!J639</f>
        <v/>
      </c>
      <c r="F16" s="352" t="n"/>
      <c r="G16" s="379" t="n"/>
      <c r="H16" s="380" t="inlineStr">
        <is>
          <t>TOTAL AKTIVA LANCAR</t>
        </is>
      </c>
      <c r="I16" s="377" t="inlineStr">
        <is>
          <t>Rp</t>
        </is>
      </c>
      <c r="J16" s="378">
        <f>SUM(J10:J15)</f>
        <v/>
      </c>
    </row>
    <row r="17" ht="15" customHeight="1">
      <c r="A17" s="367" t="n"/>
      <c r="B17" s="375" t="n"/>
      <c r="C17" s="376" t="inlineStr">
        <is>
          <t>BIAYA INTERPRETASI LOG DATA</t>
        </is>
      </c>
      <c r="D17" s="377" t="inlineStr">
        <is>
          <t>Rp</t>
        </is>
      </c>
      <c r="E17" s="378">
        <f>'Revenue-Cost_2024'!K639</f>
        <v/>
      </c>
      <c r="F17" s="352" t="n"/>
      <c r="G17" s="379" t="n"/>
      <c r="H17" s="380" t="n"/>
      <c r="I17" s="381" t="n"/>
      <c r="J17" s="378" t="n"/>
    </row>
    <row r="18" ht="15" customHeight="1">
      <c r="A18" s="367" t="n"/>
      <c r="B18" s="375" t="n"/>
      <c r="C18" s="376" t="inlineStr">
        <is>
          <t>BIAYA OPERASI</t>
        </is>
      </c>
      <c r="D18" s="377" t="inlineStr">
        <is>
          <t>Rp</t>
        </is>
      </c>
      <c r="E18" s="378">
        <f>'Revenue-Cost_2024'!L639</f>
        <v/>
      </c>
      <c r="F18" s="352" t="n"/>
      <c r="G18" s="379" t="inlineStr">
        <is>
          <t>ACTIVA TETAP</t>
        </is>
      </c>
      <c r="H18" s="380" t="n"/>
      <c r="I18" s="381" t="n"/>
      <c r="J18" s="378" t="n"/>
    </row>
    <row r="19" ht="15" customHeight="1">
      <c r="A19" s="367" t="n"/>
      <c r="B19" s="382" t="inlineStr">
        <is>
          <t>TOTAL BIAYA LANGSUNG</t>
        </is>
      </c>
      <c r="C19" s="383" t="n"/>
      <c r="D19" s="384" t="inlineStr">
        <is>
          <t>Rp</t>
        </is>
      </c>
      <c r="E19" s="385">
        <f>SUM(E15:E18)</f>
        <v/>
      </c>
      <c r="F19" s="352" t="n"/>
      <c r="G19" s="386" t="n"/>
      <c r="H19" s="387" t="n"/>
      <c r="I19" s="389" t="n"/>
      <c r="J19" s="385" t="n"/>
    </row>
    <row r="20" ht="15" customHeight="1">
      <c r="A20" s="367" t="n"/>
      <c r="B20" s="375" t="n"/>
      <c r="C20" s="376" t="n"/>
      <c r="D20" s="377" t="n"/>
      <c r="E20" s="378" t="n"/>
      <c r="F20" s="352" t="n"/>
      <c r="G20" s="379" t="n"/>
      <c r="H20" s="380" t="inlineStr">
        <is>
          <t>INVENTARIS KANTOR</t>
        </is>
      </c>
      <c r="I20" s="377" t="inlineStr">
        <is>
          <t>Rp</t>
        </is>
      </c>
      <c r="J20" s="378" t="n">
        <v>0</v>
      </c>
    </row>
    <row r="21" ht="15" customHeight="1">
      <c r="A21" s="367" t="n"/>
      <c r="B21" s="368" t="inlineStr">
        <is>
          <t>BEBAN TIDAK LANGSUNG</t>
        </is>
      </c>
      <c r="C21" s="369" t="n"/>
      <c r="D21" s="370" t="n"/>
      <c r="E21" s="371" t="n"/>
      <c r="F21" s="352" t="n"/>
      <c r="G21" s="372" t="n"/>
      <c r="H21" s="373" t="n"/>
      <c r="I21" s="374" t="n"/>
      <c r="J21" s="371" t="n"/>
    </row>
    <row r="22" ht="15" customHeight="1">
      <c r="A22" s="367" t="n"/>
      <c r="B22" s="375" t="n"/>
      <c r="C22" s="376" t="n"/>
      <c r="D22" s="377" t="inlineStr">
        <is>
          <t>Rp</t>
        </is>
      </c>
      <c r="E22" s="378" t="n">
        <v>0</v>
      </c>
      <c r="F22" s="352" t="n"/>
      <c r="G22" s="379" t="n"/>
      <c r="H22" s="380" t="inlineStr">
        <is>
          <t>TOTAL AKTIVA TETAP</t>
        </is>
      </c>
      <c r="I22" s="377" t="inlineStr">
        <is>
          <t>Rp</t>
        </is>
      </c>
      <c r="J22" s="378">
        <f>J20</f>
        <v/>
      </c>
    </row>
    <row r="23" ht="15" customHeight="1">
      <c r="A23" s="367" t="n"/>
      <c r="B23" s="382" t="inlineStr">
        <is>
          <t>TOTAL BIAYA TIDAK LANGSUNG</t>
        </is>
      </c>
      <c r="C23" s="383" t="n"/>
      <c r="D23" s="384" t="inlineStr">
        <is>
          <t>Rp</t>
        </is>
      </c>
      <c r="E23" s="385">
        <f>SUM(E22:E22)</f>
        <v/>
      </c>
      <c r="F23" s="352" t="n"/>
      <c r="G23" s="386" t="n"/>
      <c r="H23" s="387" t="n"/>
      <c r="I23" s="389" t="n"/>
      <c r="J23" s="385" t="n"/>
    </row>
    <row r="24" ht="15" customHeight="1">
      <c r="A24" s="367" t="n"/>
      <c r="B24" s="375" t="n"/>
      <c r="C24" s="376" t="n"/>
      <c r="D24" s="377" t="n"/>
      <c r="E24" s="378" t="n"/>
      <c r="F24" s="352" t="n"/>
      <c r="G24" s="379" t="inlineStr">
        <is>
          <t>ACTIVA LAIN LAIN</t>
        </is>
      </c>
      <c r="H24" s="380" t="n"/>
      <c r="I24" s="381" t="n"/>
      <c r="J24" s="378" t="n">
        <v>0</v>
      </c>
    </row>
    <row r="25" ht="15" customHeight="1">
      <c r="A25" s="367" t="n"/>
      <c r="B25" s="368" t="inlineStr">
        <is>
          <t>BIAYA ADMINISTRASI DAN UMUM</t>
        </is>
      </c>
      <c r="C25" s="369" t="n"/>
      <c r="D25" s="370" t="n"/>
      <c r="E25" s="371" t="n"/>
      <c r="F25" s="352" t="n"/>
      <c r="G25" s="372" t="n"/>
      <c r="H25" s="373" t="n"/>
      <c r="I25" s="374" t="n"/>
      <c r="J25" s="371" t="n">
        <v>0</v>
      </c>
    </row>
    <row r="26" ht="15" customHeight="1">
      <c r="A26" s="367" t="n"/>
      <c r="B26" s="375" t="n"/>
      <c r="C26" s="376" t="inlineStr">
        <is>
          <t>DIOFAVIAN</t>
        </is>
      </c>
      <c r="D26" s="377" t="inlineStr">
        <is>
          <t>Rp</t>
        </is>
      </c>
      <c r="E26" s="378">
        <f>'Revenue-Cost_2024'!M639</f>
        <v/>
      </c>
      <c r="F26" s="352" t="n"/>
      <c r="G26" s="379" t="n"/>
      <c r="H26" s="380" t="inlineStr">
        <is>
          <t>TOTAL AKTIVA LAIN LAIN</t>
        </is>
      </c>
      <c r="I26" s="377" t="inlineStr">
        <is>
          <t>Rp</t>
        </is>
      </c>
      <c r="J26" s="378">
        <f>SUM(J25:J25)</f>
        <v/>
      </c>
    </row>
    <row r="27" ht="15" customHeight="1">
      <c r="A27" s="367" t="n"/>
      <c r="B27" s="375" t="n"/>
      <c r="C27" s="376" t="inlineStr">
        <is>
          <t>ADMINISTRASI</t>
        </is>
      </c>
      <c r="D27" s="377" t="inlineStr">
        <is>
          <t>Rp</t>
        </is>
      </c>
      <c r="E27" s="378">
        <f>'Revenue-Cost_2024'!N639</f>
        <v/>
      </c>
      <c r="F27" s="352" t="n"/>
      <c r="G27" s="379" t="n"/>
      <c r="H27" s="380" t="n"/>
      <c r="I27" s="381" t="n"/>
      <c r="J27" s="378" t="n"/>
    </row>
    <row r="28" ht="15" customHeight="1">
      <c r="A28" s="367" t="n"/>
      <c r="B28" s="375" t="n"/>
      <c r="C28" s="376" t="inlineStr">
        <is>
          <t>PEMBELIAN BARANG</t>
        </is>
      </c>
      <c r="D28" s="377" t="inlineStr">
        <is>
          <t>Rp</t>
        </is>
      </c>
      <c r="E28" s="378">
        <f>'Revenue-Cost_2024'!O639</f>
        <v/>
      </c>
      <c r="F28" s="352" t="n"/>
      <c r="G28" s="390" t="inlineStr">
        <is>
          <t>TOTAL AKTIVA</t>
        </is>
      </c>
      <c r="H28" s="376" t="n"/>
      <c r="I28" s="377" t="inlineStr">
        <is>
          <t>Rp</t>
        </is>
      </c>
      <c r="J28" s="378">
        <f>J26+J22+J16</f>
        <v/>
      </c>
    </row>
    <row r="29" ht="15" customHeight="1">
      <c r="A29" s="367" t="n"/>
      <c r="B29" s="375" t="n"/>
      <c r="C29" s="376" t="inlineStr">
        <is>
          <t>SEWA KANTOR</t>
        </is>
      </c>
      <c r="D29" s="377" t="inlineStr">
        <is>
          <t>Rp</t>
        </is>
      </c>
      <c r="E29" s="378">
        <f>'Revenue-Cost_2024'!P639</f>
        <v/>
      </c>
      <c r="F29" s="352" t="n"/>
      <c r="G29" s="379" t="n"/>
      <c r="H29" s="380" t="n"/>
      <c r="I29" s="381" t="n"/>
      <c r="J29" s="378" t="n"/>
    </row>
    <row r="30" ht="15" customHeight="1">
      <c r="A30" s="367" t="n"/>
      <c r="B30" s="375" t="n"/>
      <c r="C30" s="376" t="inlineStr">
        <is>
          <t>KESEHATAN</t>
        </is>
      </c>
      <c r="D30" s="377" t="inlineStr">
        <is>
          <t>Rp</t>
        </is>
      </c>
      <c r="E30" s="378">
        <f>'Revenue-Cost_2024'!Q639</f>
        <v/>
      </c>
      <c r="F30" s="352" t="n"/>
      <c r="G30" s="379" t="inlineStr">
        <is>
          <t>HUTANG DAN MODAL</t>
        </is>
      </c>
      <c r="H30" s="380" t="n"/>
      <c r="I30" s="381" t="n"/>
      <c r="J30" s="378" t="n"/>
    </row>
    <row r="31" ht="15" customHeight="1">
      <c r="A31" s="367" t="n"/>
      <c r="B31" s="375" t="n"/>
      <c r="C31" s="376" t="inlineStr">
        <is>
          <t>BISNIS DEV</t>
        </is>
      </c>
      <c r="D31" s="377" t="inlineStr">
        <is>
          <t>Rp</t>
        </is>
      </c>
      <c r="E31" s="378">
        <f>'Revenue-Cost_2024'!R639</f>
        <v/>
      </c>
      <c r="F31" s="352" t="n"/>
      <c r="G31" s="379" t="n"/>
      <c r="H31" s="380" t="n"/>
      <c r="I31" s="381" t="n"/>
      <c r="J31" s="378" t="n"/>
    </row>
    <row r="32" ht="15" customHeight="1">
      <c r="A32" s="367" t="n"/>
      <c r="B32" s="375" t="n"/>
      <c r="C32" s="376" t="inlineStr">
        <is>
          <t>ASDASD</t>
        </is>
      </c>
      <c r="D32" s="377" t="inlineStr">
        <is>
          <t>Rp</t>
        </is>
      </c>
      <c r="E32" s="378">
        <f>'Revenue-Cost_2024'!S639</f>
        <v/>
      </c>
      <c r="F32" s="352" t="n"/>
      <c r="G32" s="379" t="inlineStr">
        <is>
          <t>HUTANG LANCAR</t>
        </is>
      </c>
      <c r="H32" s="380" t="n"/>
      <c r="I32" s="381" t="n"/>
      <c r="J32" s="378" t="n"/>
    </row>
    <row r="33" ht="15" customHeight="1">
      <c r="A33" s="367" t="n"/>
      <c r="B33" s="375" t="n"/>
      <c r="C33" s="376" t="inlineStr">
        <is>
          <t>MAKANAN JEPANG</t>
        </is>
      </c>
      <c r="D33" s="377" t="inlineStr">
        <is>
          <t>Rp</t>
        </is>
      </c>
      <c r="E33" s="378">
        <f>'Revenue-Cost_2024'!T639</f>
        <v/>
      </c>
      <c r="F33" s="352" t="n"/>
      <c r="G33" s="379" t="n"/>
      <c r="H33" s="380" t="inlineStr">
        <is>
          <t>HUTANG USAHA</t>
        </is>
      </c>
      <c r="I33" s="377" t="inlineStr">
        <is>
          <t>Rp</t>
        </is>
      </c>
      <c r="J33" s="378" t="n">
        <v>0</v>
      </c>
    </row>
    <row r="34" ht="15" customHeight="1">
      <c r="A34" s="367" t="n"/>
      <c r="B34" s="375" t="n"/>
      <c r="C34" s="376" t="inlineStr">
        <is>
          <t>AAAAA</t>
        </is>
      </c>
      <c r="D34" s="377" t="inlineStr">
        <is>
          <t>Rp</t>
        </is>
      </c>
      <c r="E34" s="378">
        <f>'Revenue-Cost_2024'!U639</f>
        <v/>
      </c>
      <c r="F34" s="352" t="n"/>
      <c r="G34" s="379" t="n"/>
      <c r="H34" s="376" t="inlineStr">
        <is>
          <t>HUTANG GAJI</t>
        </is>
      </c>
      <c r="I34" s="377" t="inlineStr">
        <is>
          <t>Rp</t>
        </is>
      </c>
      <c r="J34" s="378" t="n">
        <v>0</v>
      </c>
    </row>
    <row r="35" ht="15" customHeight="1">
      <c r="A35" s="367" t="n"/>
      <c r="B35" s="375" t="n"/>
      <c r="C35" s="376" t="inlineStr">
        <is>
          <t>BBBBB</t>
        </is>
      </c>
      <c r="D35" s="377" t="inlineStr">
        <is>
          <t>Rp</t>
        </is>
      </c>
      <c r="E35" s="378">
        <f>'Revenue-Cost_2024'!V639</f>
        <v/>
      </c>
      <c r="F35" s="352" t="n"/>
      <c r="G35" s="379" t="n"/>
      <c r="H35" s="380" t="inlineStr">
        <is>
          <t>HUTANG PEMEGANG SAHAM</t>
        </is>
      </c>
      <c r="I35" s="377" t="inlineStr">
        <is>
          <t>Rp</t>
        </is>
      </c>
      <c r="J35" s="378" t="n">
        <v>0</v>
      </c>
    </row>
    <row r="36" ht="15" customHeight="1">
      <c r="A36" s="367" t="n"/>
      <c r="B36" s="375" t="n"/>
      <c r="C36" s="376" t="inlineStr">
        <is>
          <t>ASDSAD</t>
        </is>
      </c>
      <c r="D36" s="377" t="inlineStr">
        <is>
          <t>Rp</t>
        </is>
      </c>
      <c r="E36" s="378">
        <f>'Revenue-Cost_2024'!W639</f>
        <v/>
      </c>
      <c r="F36" s="352" t="n"/>
      <c r="G36" s="379" t="n"/>
      <c r="H36" s="380" t="inlineStr">
        <is>
          <t>BIAYA YANG MASIH HARUS DI BAYAR</t>
        </is>
      </c>
      <c r="I36" s="377" t="inlineStr">
        <is>
          <t>Rp</t>
        </is>
      </c>
      <c r="J36" s="378" t="n">
        <v>0</v>
      </c>
    </row>
    <row r="37" ht="15" customHeight="1">
      <c r="A37" s="367" t="n"/>
      <c r="B37" s="375" t="n"/>
      <c r="C37" s="376" t="inlineStr">
        <is>
          <t>DFGDFGDFGD</t>
        </is>
      </c>
      <c r="D37" s="377" t="inlineStr">
        <is>
          <t>Rp</t>
        </is>
      </c>
      <c r="E37" s="378">
        <f>'Revenue-Cost_2024'!X639</f>
        <v/>
      </c>
      <c r="F37" s="352" t="n"/>
      <c r="G37" s="375" t="n"/>
      <c r="H37" s="376" t="n"/>
      <c r="I37" s="377" t="n"/>
      <c r="J37" s="378" t="n"/>
    </row>
    <row r="38" ht="15" customHeight="1">
      <c r="A38" s="367" t="n"/>
      <c r="B38" s="375" t="n"/>
      <c r="C38" s="376" t="inlineStr">
        <is>
          <t>12312</t>
        </is>
      </c>
      <c r="D38" s="377" t="inlineStr">
        <is>
          <t>Rp</t>
        </is>
      </c>
      <c r="E38" s="378">
        <f>'Revenue-Cost_2024'!Y639</f>
        <v/>
      </c>
      <c r="F38" s="352" t="n"/>
      <c r="G38" s="379" t="n"/>
      <c r="H38" s="380" t="inlineStr">
        <is>
          <t>TOTAL HUTANG LANCAR</t>
        </is>
      </c>
      <c r="I38" s="381" t="n"/>
      <c r="J38" s="37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3" t="n"/>
      <c r="D39" s="384" t="inlineStr">
        <is>
          <t>Rp</t>
        </is>
      </c>
      <c r="E39" s="385">
        <f>SUM(E26:E38)</f>
        <v/>
      </c>
      <c r="F39" s="352" t="n"/>
      <c r="G39" s="386" t="n"/>
      <c r="H39" s="387" t="n"/>
      <c r="I39" s="389" t="n"/>
      <c r="J39" s="385" t="n"/>
    </row>
    <row r="40" ht="15" customHeight="1">
      <c r="A40" s="367" t="n"/>
      <c r="B40" s="375" t="n"/>
      <c r="C40" s="376" t="n"/>
      <c r="D40" s="377" t="n"/>
      <c r="E40" s="378" t="n"/>
      <c r="F40" s="352" t="n"/>
      <c r="G40" s="379" t="inlineStr">
        <is>
          <t>MODAL</t>
        </is>
      </c>
      <c r="H40" s="380" t="n"/>
      <c r="I40" s="381" t="n"/>
      <c r="J40" s="378" t="n"/>
    </row>
    <row r="41" ht="15" customHeight="1">
      <c r="A41" s="367" t="n"/>
      <c r="B41" s="382" t="inlineStr">
        <is>
          <t>TOTAL BIAYA</t>
        </is>
      </c>
      <c r="C41" s="383" t="n"/>
      <c r="D41" s="384" t="inlineStr">
        <is>
          <t>Rp</t>
        </is>
      </c>
      <c r="E41" s="385">
        <f>E19+E23+E39</f>
        <v/>
      </c>
      <c r="F41" s="352" t="n"/>
      <c r="G41" s="386" t="n"/>
      <c r="H41" s="387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67" t="n"/>
      <c r="B42" s="375" t="n"/>
      <c r="C42" s="376" t="n"/>
      <c r="D42" s="377" t="n"/>
      <c r="E42" s="378" t="n"/>
      <c r="F42" s="352" t="n"/>
      <c r="G42" s="379" t="n"/>
      <c r="H42" s="380" t="inlineStr">
        <is>
          <t>LABA DI TAHAN</t>
        </is>
      </c>
      <c r="I42" s="377" t="inlineStr">
        <is>
          <t>Rp</t>
        </is>
      </c>
      <c r="J42" s="378" t="n">
        <v>0</v>
      </c>
    </row>
    <row r="43" ht="15" customHeight="1">
      <c r="A43" s="367" t="n"/>
      <c r="B43" s="368" t="inlineStr">
        <is>
          <t>PENDAPATAN/BEBAN LAIN LAIN</t>
        </is>
      </c>
      <c r="C43" s="369" t="n"/>
      <c r="D43" s="370" t="n"/>
      <c r="E43" s="371" t="n"/>
      <c r="F43" s="352" t="n"/>
      <c r="G43" s="372" t="n"/>
      <c r="H43" s="373" t="inlineStr">
        <is>
          <t>TOTAL LABA (RUGI) DITAHAN</t>
        </is>
      </c>
      <c r="I43" s="370" t="inlineStr">
        <is>
          <t>Rp</t>
        </is>
      </c>
      <c r="J43" s="371">
        <f>J28-J38-J41-J42</f>
        <v/>
      </c>
    </row>
    <row r="44" ht="15" customHeight="1">
      <c r="A44" s="367" t="n"/>
      <c r="B44" s="375" t="n"/>
      <c r="C44" s="376" t="inlineStr">
        <is>
          <t>PENDAPATAN LAIN LAIN</t>
        </is>
      </c>
      <c r="D44" s="377" t="inlineStr">
        <is>
          <t>Rp</t>
        </is>
      </c>
      <c r="E44" s="378" t="n">
        <v>0</v>
      </c>
      <c r="F44" s="352" t="n"/>
      <c r="G44" s="379" t="n"/>
      <c r="H44" s="380" t="inlineStr">
        <is>
          <t>TOTAL MODAL</t>
        </is>
      </c>
      <c r="I44" s="377" t="inlineStr">
        <is>
          <t>Rp</t>
        </is>
      </c>
      <c r="J44" s="378">
        <f>SUM(J41:J43)</f>
        <v/>
      </c>
    </row>
    <row r="45" ht="15" customHeight="1">
      <c r="A45" s="367" t="n"/>
      <c r="B45" s="375" t="n"/>
      <c r="C45" s="376" t="n"/>
      <c r="D45" s="377" t="n"/>
      <c r="E45" s="378" t="n"/>
      <c r="F45" s="352" t="n"/>
      <c r="G45" s="379" t="n"/>
      <c r="H45" s="380" t="n"/>
      <c r="I45" s="381" t="n"/>
      <c r="J45" s="378" t="n"/>
    </row>
    <row r="46" ht="15" customHeight="1">
      <c r="A46" s="367" t="n"/>
      <c r="B46" s="382" t="inlineStr">
        <is>
          <t>LABA RUGI SEBELUM PAJAK</t>
        </is>
      </c>
      <c r="C46" s="383" t="n"/>
      <c r="D46" s="384" t="inlineStr">
        <is>
          <t>Rp</t>
        </is>
      </c>
      <c r="E46" s="385">
        <f>E12-E41</f>
        <v/>
      </c>
      <c r="F46" s="352" t="n"/>
      <c r="G46" s="386" t="inlineStr">
        <is>
          <t>TOTAL HUTANG DAN MODAL</t>
        </is>
      </c>
      <c r="H46" s="387" t="n"/>
      <c r="I46" s="384" t="inlineStr">
        <is>
          <t>Rp</t>
        </is>
      </c>
      <c r="J46" s="385">
        <f>J44+J38</f>
        <v/>
      </c>
    </row>
    <row r="47" ht="15" customHeight="1">
      <c r="A47" s="367" t="n"/>
      <c r="B47" s="375" t="n"/>
      <c r="C47" s="376" t="n"/>
      <c r="D47" s="377" t="n"/>
      <c r="E47" s="378" t="n"/>
      <c r="F47" s="352" t="n"/>
      <c r="G47" s="375" t="n"/>
      <c r="H47" s="376" t="n"/>
      <c r="I47" s="377" t="n"/>
      <c r="J47" s="378" t="n"/>
    </row>
    <row r="48" ht="15" customHeight="1">
      <c r="A48" s="367" t="n"/>
      <c r="B48" s="382" t="inlineStr">
        <is>
          <t>CORPORATE TAX (PPh 29)</t>
        </is>
      </c>
      <c r="C48" s="383" t="n"/>
      <c r="D48" s="384" t="inlineStr">
        <is>
          <t>Rp</t>
        </is>
      </c>
      <c r="E48" s="385" t="n">
        <v>0</v>
      </c>
      <c r="F48" s="367" t="n"/>
      <c r="G48" s="382" t="n"/>
      <c r="H48" s="383" t="n"/>
      <c r="I48" s="384" t="n"/>
      <c r="J48" s="385" t="n"/>
    </row>
    <row r="49" ht="15" customHeight="1">
      <c r="A49" s="367" t="n"/>
      <c r="B49" s="375" t="n"/>
      <c r="C49" s="376" t="n"/>
      <c r="D49" s="377" t="n"/>
      <c r="E49" s="378" t="n"/>
      <c r="F49" s="367" t="n"/>
      <c r="G49" s="375" t="n"/>
      <c r="H49" s="376" t="n"/>
      <c r="I49" s="377" t="n"/>
      <c r="J49" s="378" t="n"/>
    </row>
    <row r="50" ht="15" customHeight="1">
      <c r="A50" s="367" t="n"/>
      <c r="B50" s="391" t="inlineStr">
        <is>
          <t>LABA / RUGI BERSIH</t>
        </is>
      </c>
      <c r="C50" s="392" t="n"/>
      <c r="D50" s="393" t="inlineStr">
        <is>
          <t>Rp</t>
        </is>
      </c>
      <c r="E50" s="394">
        <f>E46-E48</f>
        <v/>
      </c>
      <c r="F50" s="367" t="n"/>
      <c r="G50" s="391" t="n"/>
      <c r="H50" s="392" t="n"/>
      <c r="I50" s="393" t="n"/>
      <c r="J50" s="394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395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396" t="inlineStr">
        <is>
          <t>Direktur</t>
        </is>
      </c>
      <c r="D54" s="367" t="n"/>
      <c r="E54" s="367" t="n"/>
      <c r="F54" s="367" t="n"/>
      <c r="G54" s="367" t="n"/>
      <c r="H54" s="396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2" t="n"/>
    </row>
    <row r="7" ht="20" customHeight="1">
      <c r="A7" s="349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SUM('Revenue-Cost_2024'!L8:L21)</f>
        <v/>
      </c>
      <c r="F7" s="352" t="n"/>
    </row>
    <row r="8" ht="20" customHeight="1">
      <c r="A8" s="349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E7-SUM('Revenue-Cost_2024'!N8:N21)</f>
        <v/>
      </c>
      <c r="F8" s="352" t="n"/>
    </row>
    <row r="9" ht="20" customHeight="1">
      <c r="A9" s="349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SUM('Revenue-Cost_2024'!I639:Y639)</f>
        <v/>
      </c>
      <c r="F9" s="352" t="n"/>
    </row>
    <row r="10" ht="20" customHeight="1">
      <c r="A10" s="349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2" t="n"/>
    </row>
    <row r="11" ht="20" customHeight="1">
      <c r="A11" s="349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2" t="n"/>
    </row>
    <row r="12" ht="20" customHeight="1">
      <c r="A12" s="349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SUM('Revenue-Cost_2024'!N8:N21)</f>
        <v/>
      </c>
      <c r="F12" s="352" t="n"/>
    </row>
    <row r="13" ht="20" customHeight="1">
      <c r="A13" s="349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2" t="n"/>
    </row>
    <row r="14" ht="20" customHeight="1">
      <c r="A14" s="349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2" t="n"/>
    </row>
    <row r="15" ht="20" customHeight="1">
      <c r="A15" s="349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2" t="n"/>
    </row>
    <row r="16" ht="20" customHeight="1">
      <c r="A16" s="349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04" t="inlineStr">
        <is>
          <t>DEVIDEN</t>
        </is>
      </c>
      <c r="F18" s="352" t="n"/>
    </row>
    <row r="19" ht="20" customHeight="1">
      <c r="A19" s="349" t="n"/>
      <c r="B19" s="405" t="inlineStr">
        <is>
          <t>#</t>
        </is>
      </c>
      <c r="C19" s="405" t="inlineStr">
        <is>
          <t>Nama Lengkap</t>
        </is>
      </c>
      <c r="D19" s="406" t="inlineStr"/>
      <c r="E19" s="407" t="inlineStr">
        <is>
          <t>Amount</t>
        </is>
      </c>
      <c r="F19" s="352" t="inlineStr"/>
      <c r="G19" s="408" t="inlineStr">
        <is>
          <t>Pajak</t>
        </is>
      </c>
    </row>
    <row r="20" ht="18" customHeight="1">
      <c r="A20" s="349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352" t="n"/>
      <c r="G20" s="413" t="inlineStr">
        <is>
          <t>Pajak 10%</t>
        </is>
      </c>
    </row>
    <row r="21" ht="20" customHeight="1">
      <c r="A21" s="414" t="n"/>
      <c r="B21" s="415" t="n">
        <v>2</v>
      </c>
      <c r="C21" s="416" t="inlineStr">
        <is>
          <t>Alan Muhadjir</t>
        </is>
      </c>
      <c r="D21" s="417" t="inlineStr">
        <is>
          <t>Rp</t>
        </is>
      </c>
      <c r="E21" s="418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14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2026-04-21T14:22:48Z</dcterms:modified>
  <cp:lastModifiedBy>Diofavian - Student</cp:lastModifiedBy>
</cp:coreProperties>
</file>