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9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60" t="n">
        <v>1608000</v>
      </c>
      <c r="G118" s="91" t="inlineStr">
        <is>
          <t>IDR</t>
        </is>
      </c>
      <c r="H118" s="361" t="n">
        <v>1</v>
      </c>
      <c r="I118" s="362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60" t="n">
        <v>1119500</v>
      </c>
      <c r="G119" s="91" t="inlineStr">
        <is>
          <t>IDR</t>
        </is>
      </c>
      <c r="H119" s="361" t="n">
        <v>1</v>
      </c>
      <c r="I119" s="362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9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2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60" t="n">
        <v>900000</v>
      </c>
      <c r="G122" s="91" t="inlineStr">
        <is>
          <t>IDR</t>
        </is>
      </c>
      <c r="H122" s="361" t="n">
        <v>1</v>
      </c>
      <c r="I122" s="362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60" t="n">
        <v>18000000</v>
      </c>
      <c r="G123" s="91" t="inlineStr">
        <is>
          <t>IDR</t>
        </is>
      </c>
      <c r="H123" s="361" t="n">
        <v>1</v>
      </c>
      <c r="I123" s="362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2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3" t="n">
        <v>1498484</v>
      </c>
      <c r="G125" s="91" t="inlineStr">
        <is>
          <t>IDR</t>
        </is>
      </c>
      <c r="H125" s="361" t="n">
        <v>1</v>
      </c>
      <c r="I125" s="362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3" t="n">
        <v>378000</v>
      </c>
      <c r="G126" s="91" t="inlineStr">
        <is>
          <t>IDR</t>
        </is>
      </c>
      <c r="H126" s="361" t="n">
        <v>1</v>
      </c>
      <c r="I126" s="362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4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60" t="n">
        <v>200000</v>
      </c>
      <c r="G128" s="91" t="inlineStr">
        <is>
          <t>IDR</t>
        </is>
      </c>
      <c r="H128" s="361" t="n">
        <v>1</v>
      </c>
      <c r="I128" s="362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60" t="n">
        <v>3300000</v>
      </c>
      <c r="G129" s="91" t="inlineStr">
        <is>
          <t>IDR</t>
        </is>
      </c>
      <c r="H129" s="361" t="n">
        <v>1</v>
      </c>
      <c r="I129" s="362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60" t="n">
        <v>1350000</v>
      </c>
      <c r="G130" s="91" t="inlineStr">
        <is>
          <t>IDR</t>
        </is>
      </c>
      <c r="H130" s="361" t="n">
        <v>1</v>
      </c>
      <c r="I130" s="362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4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60" t="n">
        <v>1966300</v>
      </c>
      <c r="G132" s="91" t="inlineStr">
        <is>
          <t>IDR</t>
        </is>
      </c>
      <c r="H132" s="361" t="n">
        <v>1</v>
      </c>
      <c r="I132" s="362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60" t="n">
        <v>4050000</v>
      </c>
      <c r="G133" s="91" t="inlineStr">
        <is>
          <t>IDR</t>
        </is>
      </c>
      <c r="H133" s="361" t="n">
        <v>1</v>
      </c>
      <c r="I133" s="362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60" t="n">
        <v>42589800</v>
      </c>
      <c r="G134" s="91" t="inlineStr">
        <is>
          <t>USD</t>
        </is>
      </c>
      <c r="H134" s="361" t="n">
        <v>15774</v>
      </c>
      <c r="I134" s="362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60" t="n">
        <v>58500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2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60" t="n">
        <v>82100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2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60" t="n">
        <v>14000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2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4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61" t="n">
        <v>1</v>
      </c>
      <c r="I139" s="62" t="n"/>
      <c r="J139" s="62" t="n"/>
      <c r="K139" s="44" t="n"/>
      <c r="L139" s="44" t="n"/>
      <c r="M139" s="44" t="n"/>
      <c r="N139" s="365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4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60" t="n">
        <v>19000</v>
      </c>
      <c r="G141" s="91" t="inlineStr">
        <is>
          <t>IDR</t>
        </is>
      </c>
      <c r="H141" s="361" t="n">
        <v>1</v>
      </c>
      <c r="I141" s="61" t="n"/>
      <c r="J141" s="62" t="n"/>
      <c r="K141" s="44" t="n"/>
      <c r="L141" s="44" t="n"/>
      <c r="M141" s="62" t="n"/>
      <c r="N141" s="365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4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60" t="n">
        <v>87000</v>
      </c>
      <c r="G143" s="91" t="inlineStr">
        <is>
          <t>IDR</t>
        </is>
      </c>
      <c r="H143" s="361" t="n">
        <v>1</v>
      </c>
      <c r="I143" s="62" t="n"/>
      <c r="J143" s="62" t="n"/>
      <c r="K143" s="44" t="n"/>
      <c r="L143" s="44" t="n"/>
      <c r="M143" s="44" t="n"/>
      <c r="N143" s="365" t="n">
        <v>87000</v>
      </c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2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9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2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2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3" t="n">
        <v>200000</v>
      </c>
      <c r="G150" s="91" t="inlineStr">
        <is>
          <t>IDR</t>
        </is>
      </c>
      <c r="H150" s="361" t="n">
        <v>1</v>
      </c>
      <c r="I150" s="362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3" t="n">
        <v>105000</v>
      </c>
      <c r="G151" s="91" t="inlineStr">
        <is>
          <t>IDR</t>
        </is>
      </c>
      <c r="H151" s="361" t="n">
        <v>1</v>
      </c>
      <c r="I151" s="362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4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60" t="n">
        <v>1500000</v>
      </c>
      <c r="G153" s="91" t="inlineStr">
        <is>
          <t>IDR</t>
        </is>
      </c>
      <c r="H153" s="361" t="n">
        <v>1</v>
      </c>
      <c r="I153" s="362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4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60" t="n">
        <v>4500000</v>
      </c>
      <c r="G155" s="91" t="inlineStr">
        <is>
          <t>IDR</t>
        </is>
      </c>
      <c r="H155" s="361" t="n">
        <v>1</v>
      </c>
      <c r="I155" s="362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60" t="n">
        <v>11705250</v>
      </c>
      <c r="G156" s="91" t="inlineStr">
        <is>
          <t>USD</t>
        </is>
      </c>
      <c r="H156" s="361" t="n">
        <v>15607</v>
      </c>
      <c r="I156" s="365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60" t="n">
        <v>499940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5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4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60" t="n">
        <v>70000</v>
      </c>
      <c r="G159" s="91" t="inlineStr">
        <is>
          <t>IDR</t>
        </is>
      </c>
      <c r="H159" s="361" t="n">
        <v>1</v>
      </c>
      <c r="I159" s="61" t="n"/>
      <c r="J159" s="62" t="n"/>
      <c r="K159" s="44" t="n"/>
      <c r="L159" s="44" t="n"/>
      <c r="M159" s="44" t="n"/>
      <c r="N159" s="365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4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60" t="n">
        <v>540000</v>
      </c>
      <c r="G161" s="91" t="inlineStr">
        <is>
          <t>IDR</t>
        </is>
      </c>
      <c r="H161" s="361" t="n">
        <v>1</v>
      </c>
      <c r="I161" s="62" t="n"/>
      <c r="J161" s="62" t="n"/>
      <c r="K161" s="44" t="n"/>
      <c r="L161" s="44" t="n"/>
      <c r="M161" s="61" t="n"/>
      <c r="N161" s="365" t="n">
        <v>540000</v>
      </c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2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2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4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60" t="n">
        <v>300000</v>
      </c>
      <c r="G167" s="91" t="inlineStr">
        <is>
          <t>IDR</t>
        </is>
      </c>
      <c r="H167" s="361" t="n">
        <v>1</v>
      </c>
      <c r="I167" s="365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4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60" t="n">
        <v>900000</v>
      </c>
      <c r="G169" s="91" t="inlineStr">
        <is>
          <t>IDR</t>
        </is>
      </c>
      <c r="H169" s="361" t="n">
        <v>1</v>
      </c>
      <c r="I169" s="365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4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60" t="n">
        <v>9501000</v>
      </c>
      <c r="G171" s="91" t="inlineStr">
        <is>
          <t>USD</t>
        </is>
      </c>
      <c r="H171" s="361" t="n">
        <v>15835</v>
      </c>
      <c r="I171" s="365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3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5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3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5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3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5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3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5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3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5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3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5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3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5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3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5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5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2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4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5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4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5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4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60" t="n">
        <v>38121</v>
      </c>
      <c r="G192" s="91" t="inlineStr">
        <is>
          <t>IDR</t>
        </is>
      </c>
      <c r="H192" s="361" t="n">
        <v>1</v>
      </c>
      <c r="I192" s="362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60" t="n">
        <v>105879</v>
      </c>
      <c r="G193" s="91" t="inlineStr">
        <is>
          <t>IDR</t>
        </is>
      </c>
      <c r="H193" s="361" t="n">
        <v>1</v>
      </c>
      <c r="I193" s="362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60" t="n">
        <v>39654</v>
      </c>
      <c r="G194" s="91" t="inlineStr">
        <is>
          <t>IDR</t>
        </is>
      </c>
      <c r="H194" s="361" t="n">
        <v>1</v>
      </c>
      <c r="I194" s="362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60" t="n">
        <v>39654</v>
      </c>
      <c r="G195" s="91" t="inlineStr">
        <is>
          <t>IDR</t>
        </is>
      </c>
      <c r="H195" s="361" t="n">
        <v>1</v>
      </c>
      <c r="I195" s="362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60" t="n">
        <v>18000</v>
      </c>
      <c r="G196" s="91" t="inlineStr">
        <is>
          <t>IDR</t>
        </is>
      </c>
      <c r="H196" s="361" t="n">
        <v>1</v>
      </c>
      <c r="I196" s="362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60" t="n">
        <v>167297</v>
      </c>
      <c r="G197" s="91" t="inlineStr">
        <is>
          <t>IDR</t>
        </is>
      </c>
      <c r="H197" s="361" t="n">
        <v>1</v>
      </c>
      <c r="I197" s="362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60" t="n">
        <v>160000</v>
      </c>
      <c r="G199" s="91" t="inlineStr">
        <is>
          <t>IDR</t>
        </is>
      </c>
      <c r="H199" s="361" t="n">
        <v>1</v>
      </c>
      <c r="I199" s="362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4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2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2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4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60" t="n">
        <v>1357481</v>
      </c>
      <c r="G207" s="91" t="inlineStr">
        <is>
          <t>IDR</t>
        </is>
      </c>
      <c r="H207" s="361" t="n">
        <v>1</v>
      </c>
      <c r="I207" s="362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60" t="n">
        <v>100000</v>
      </c>
      <c r="G208" s="91" t="inlineStr">
        <is>
          <t>IDR</t>
        </is>
      </c>
      <c r="H208" s="361" t="n">
        <v>1</v>
      </c>
      <c r="I208" s="362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60" t="n">
        <v>300000</v>
      </c>
      <c r="G210" s="91" t="inlineStr">
        <is>
          <t>IDR</t>
        </is>
      </c>
      <c r="H210" s="361" t="n">
        <v>1</v>
      </c>
      <c r="I210" s="362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60" t="n">
        <v>3251400</v>
      </c>
      <c r="G212" s="91" t="inlineStr">
        <is>
          <t>USD</t>
        </is>
      </c>
      <c r="H212" s="361" t="n">
        <v>16257</v>
      </c>
      <c r="I212" s="365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9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2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9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3" t="n">
        <v>234140</v>
      </c>
      <c r="G217" s="15" t="inlineStr">
        <is>
          <t>IDR</t>
        </is>
      </c>
      <c r="H217" s="366" t="n">
        <v>1</v>
      </c>
      <c r="I217" s="362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3" t="n">
        <v>232000</v>
      </c>
      <c r="G218" s="15" t="inlineStr">
        <is>
          <t>IDR</t>
        </is>
      </c>
      <c r="H218" s="366" t="n">
        <v>1</v>
      </c>
      <c r="I218" s="362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2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2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3" t="n">
        <v>276900</v>
      </c>
      <c r="G221" s="15" t="inlineStr">
        <is>
          <t>IDR</t>
        </is>
      </c>
      <c r="H221" s="366" t="n">
        <v>1</v>
      </c>
      <c r="I221" s="362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5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3" t="n">
        <v>360000</v>
      </c>
      <c r="G223" s="15" t="inlineStr">
        <is>
          <t>IDR</t>
        </is>
      </c>
      <c r="H223" s="366" t="n">
        <v>1</v>
      </c>
      <c r="I223" s="370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5" t="inlineStr">
        <is>
          <t>Meal</t>
        </is>
      </c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3" t="n">
        <v>103400</v>
      </c>
      <c r="G225" s="15" t="inlineStr">
        <is>
          <t>IDR</t>
        </is>
      </c>
      <c r="H225" s="366" t="n">
        <v>1</v>
      </c>
      <c r="I225" s="365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9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2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5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3" t="n">
        <v>150000</v>
      </c>
      <c r="G231" s="15" t="inlineStr">
        <is>
          <t>IDR</t>
        </is>
      </c>
      <c r="H231" s="366" t="n">
        <v>1</v>
      </c>
      <c r="I231" s="365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5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3" t="n">
        <v>4815300</v>
      </c>
      <c r="G235" s="15" t="inlineStr">
        <is>
          <t>USD</t>
        </is>
      </c>
      <c r="H235" s="366" t="n">
        <v>16051</v>
      </c>
      <c r="I235" s="365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3" t="n">
        <v>128000</v>
      </c>
      <c r="G236" s="15" t="inlineStr">
        <is>
          <t>IDR</t>
        </is>
      </c>
      <c r="H236" s="366" t="n">
        <v>1</v>
      </c>
      <c r="I236" s="365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7" t="n">
        <v>3292802</v>
      </c>
      <c r="G239" s="98" t="inlineStr">
        <is>
          <t>IDR</t>
        </is>
      </c>
      <c r="H239" s="361" t="n">
        <v>1</v>
      </c>
      <c r="I239" s="362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7" t="n">
        <v>350000</v>
      </c>
      <c r="G240" s="98" t="inlineStr">
        <is>
          <t>IDR</t>
        </is>
      </c>
      <c r="H240" s="361" t="n">
        <v>1</v>
      </c>
      <c r="I240" s="362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7" t="n">
        <v>75000</v>
      </c>
      <c r="G242" s="98" t="inlineStr">
        <is>
          <t>IDR</t>
        </is>
      </c>
      <c r="H242" s="361" t="n">
        <v>1</v>
      </c>
      <c r="I242" s="365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7" t="n">
        <v>657000</v>
      </c>
      <c r="G243" s="98" t="inlineStr">
        <is>
          <t>IDR</t>
        </is>
      </c>
      <c r="H243" s="361" t="n">
        <v>1</v>
      </c>
      <c r="I243" s="362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2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4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7" t="n">
        <v>1203813.75</v>
      </c>
      <c r="G247" s="98" t="inlineStr">
        <is>
          <t>USD</t>
        </is>
      </c>
      <c r="H247" s="361" t="n">
        <v>16050.85</v>
      </c>
      <c r="I247" s="362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7" t="n">
        <v>6420340</v>
      </c>
      <c r="G249" s="98" t="inlineStr">
        <is>
          <t>USD</t>
        </is>
      </c>
      <c r="H249" s="361" t="n">
        <v>16050.85</v>
      </c>
      <c r="I249" s="362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7" t="n">
        <v>349000</v>
      </c>
      <c r="G250" s="98" t="inlineStr">
        <is>
          <t>IDR</t>
        </is>
      </c>
      <c r="H250" s="361" t="n">
        <v>1</v>
      </c>
      <c r="I250" s="61" t="n"/>
      <c r="J250" s="62" t="n"/>
      <c r="K250" s="44" t="n"/>
      <c r="L250" s="44" t="n"/>
      <c r="M250" s="44" t="n"/>
      <c r="N250" s="365" t="n">
        <v>349000</v>
      </c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7" t="n">
        <v>1950000</v>
      </c>
      <c r="G253" s="98" t="inlineStr">
        <is>
          <t>IDR</t>
        </is>
      </c>
      <c r="H253" s="372" t="n">
        <v>1</v>
      </c>
      <c r="I253" s="362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7" t="n">
        <v>200000</v>
      </c>
      <c r="G254" s="98" t="inlineStr">
        <is>
          <t>IDR</t>
        </is>
      </c>
      <c r="H254" s="372" t="n">
        <v>1</v>
      </c>
      <c r="I254" s="362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7" t="n">
        <v>101800</v>
      </c>
      <c r="G256" s="98" t="inlineStr">
        <is>
          <t>IDR</t>
        </is>
      </c>
      <c r="H256" s="372" t="n">
        <v>1</v>
      </c>
      <c r="I256" s="362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2" t="n">
        <v>1</v>
      </c>
      <c r="I258" s="362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4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7" t="n">
        <v>600000</v>
      </c>
      <c r="G260" s="98" t="inlineStr">
        <is>
          <t>IDR</t>
        </is>
      </c>
      <c r="H260" s="372" t="n">
        <v>1</v>
      </c>
      <c r="I260" s="362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4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7" t="n">
        <v>78500</v>
      </c>
      <c r="G262" s="98" t="inlineStr">
        <is>
          <t>IDR</t>
        </is>
      </c>
      <c r="H262" s="372" t="n">
        <v>1</v>
      </c>
      <c r="I262" s="362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4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7" t="n">
        <v>1605085</v>
      </c>
      <c r="G264" s="98" t="inlineStr">
        <is>
          <t>USD</t>
        </is>
      </c>
      <c r="H264" s="372" t="n">
        <v>16050.85</v>
      </c>
      <c r="I264" s="362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2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5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5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5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2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2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2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2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3" t="n">
        <v>2430000</v>
      </c>
      <c r="G280" s="60" t="inlineStr">
        <is>
          <t>$</t>
        </is>
      </c>
      <c r="H280" s="374" t="n">
        <v>16200</v>
      </c>
      <c r="I280" s="365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9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2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2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2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3" t="n">
        <v>300000</v>
      </c>
      <c r="G287" s="15" t="inlineStr">
        <is>
          <t>IDR</t>
        </is>
      </c>
      <c r="H287" s="366" t="n">
        <v>1</v>
      </c>
      <c r="I287" s="362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2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3" t="n">
        <v>268000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2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5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5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3" t="n">
        <v>21900</v>
      </c>
      <c r="G294" s="15" t="inlineStr">
        <is>
          <t>IDR</t>
        </is>
      </c>
      <c r="H294" s="366" t="n">
        <v>1</v>
      </c>
      <c r="I294" s="62" t="n"/>
      <c r="J294" s="62" t="n"/>
      <c r="K294" s="44" t="n"/>
      <c r="L294" s="44" t="n"/>
      <c r="M294" s="116" t="n"/>
      <c r="N294" s="365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5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5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4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60" t="n">
        <v>1418800</v>
      </c>
      <c r="G302" s="91" t="inlineStr">
        <is>
          <t>IDR</t>
        </is>
      </c>
      <c r="H302" s="361" t="n">
        <v>1</v>
      </c>
      <c r="I302" s="362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60" t="n">
        <v>166000</v>
      </c>
      <c r="G303" s="91" t="inlineStr">
        <is>
          <t>IDR</t>
        </is>
      </c>
      <c r="H303" s="361" t="n">
        <v>1</v>
      </c>
      <c r="I303" s="362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60" t="n">
        <v>60000</v>
      </c>
      <c r="G304" s="91" t="inlineStr">
        <is>
          <t>IDR</t>
        </is>
      </c>
      <c r="H304" s="361" t="n">
        <v>1</v>
      </c>
      <c r="I304" s="362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60" t="n">
        <v>2900000</v>
      </c>
      <c r="G305" s="91" t="inlineStr">
        <is>
          <t>IDR</t>
        </is>
      </c>
      <c r="H305" s="361" t="n">
        <v>1</v>
      </c>
      <c r="I305" s="362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60" t="n">
        <v>400000</v>
      </c>
      <c r="G306" s="91" t="inlineStr">
        <is>
          <t>IDR</t>
        </is>
      </c>
      <c r="H306" s="361" t="n">
        <v>1</v>
      </c>
      <c r="I306" s="362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60" t="n">
        <v>300000</v>
      </c>
      <c r="G307" s="91" t="inlineStr">
        <is>
          <t>IDR</t>
        </is>
      </c>
      <c r="H307" s="361" t="n">
        <v>1</v>
      </c>
      <c r="I307" s="362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60" t="n">
        <v>1326410</v>
      </c>
      <c r="G308" s="91" t="inlineStr">
        <is>
          <t>IDR</t>
        </is>
      </c>
      <c r="H308" s="361" t="n">
        <v>1</v>
      </c>
      <c r="I308" s="362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4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61" t="n">
        <v>1</v>
      </c>
      <c r="I310" s="365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4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60" t="n">
        <v>900000</v>
      </c>
      <c r="G312" s="91" t="inlineStr">
        <is>
          <t>IDR</t>
        </is>
      </c>
      <c r="H312" s="361" t="n">
        <v>1</v>
      </c>
      <c r="I312" s="365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4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60" t="n">
        <v>9717600</v>
      </c>
      <c r="G314" s="91" t="inlineStr">
        <is>
          <t>USD</t>
        </is>
      </c>
      <c r="H314" s="361" t="n">
        <v>16196</v>
      </c>
      <c r="I314" s="365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9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2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9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3" t="n">
        <v>233000</v>
      </c>
      <c r="G319" s="15" t="inlineStr">
        <is>
          <t>IDR</t>
        </is>
      </c>
      <c r="H319" s="366" t="n">
        <v>1</v>
      </c>
      <c r="I319" s="362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2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2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8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7" t="n">
        <v>720000</v>
      </c>
      <c r="G324" s="91" t="inlineStr">
        <is>
          <t>IDR</t>
        </is>
      </c>
      <c r="H324" s="361" t="n">
        <v>1</v>
      </c>
      <c r="I324" s="365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7" t="n">
        <v>200000</v>
      </c>
      <c r="G325" s="91" t="inlineStr">
        <is>
          <t>IDR</t>
        </is>
      </c>
      <c r="H325" s="361" t="n">
        <v>1</v>
      </c>
      <c r="I325" s="362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4" t="inlineStr">
        <is>
          <t>Transportation</t>
        </is>
      </c>
      <c r="E326" s="97" t="n"/>
      <c r="F326" s="103" t="n"/>
      <c r="G326" s="91" t="n"/>
      <c r="H326" s="91" t="n"/>
      <c r="I326" s="368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7" t="n">
        <v>995500</v>
      </c>
      <c r="G327" s="91" t="inlineStr">
        <is>
          <t>IDR</t>
        </is>
      </c>
      <c r="H327" s="361" t="n">
        <v>1</v>
      </c>
      <c r="I327" s="362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7" t="n">
        <v>273500</v>
      </c>
      <c r="G328" s="91" t="inlineStr">
        <is>
          <t>IDR</t>
        </is>
      </c>
      <c r="H328" s="361" t="n">
        <v>1</v>
      </c>
      <c r="I328" s="362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7" t="n">
        <v>224000</v>
      </c>
      <c r="G329" s="91" t="inlineStr">
        <is>
          <t>IDR</t>
        </is>
      </c>
      <c r="H329" s="361" t="n">
        <v>1</v>
      </c>
      <c r="I329" s="362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7" t="n">
        <v>2000000</v>
      </c>
      <c r="G330" s="91" t="inlineStr">
        <is>
          <t>IDR</t>
        </is>
      </c>
      <c r="H330" s="361" t="n">
        <v>1</v>
      </c>
      <c r="I330" s="362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7" t="n">
        <v>330000</v>
      </c>
      <c r="G331" s="91" t="inlineStr">
        <is>
          <t>IDR</t>
        </is>
      </c>
      <c r="H331" s="361" t="n">
        <v>1</v>
      </c>
      <c r="I331" s="362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7" t="n">
        <v>270000</v>
      </c>
      <c r="G332" s="91" t="inlineStr">
        <is>
          <t>IDR</t>
        </is>
      </c>
      <c r="H332" s="361" t="n">
        <v>1</v>
      </c>
      <c r="I332" s="362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7" t="n">
        <v>1004000</v>
      </c>
      <c r="G333" s="91" t="inlineStr">
        <is>
          <t>IDR</t>
        </is>
      </c>
      <c r="H333" s="361" t="n">
        <v>1</v>
      </c>
      <c r="I333" s="362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4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61" t="n">
        <v>1</v>
      </c>
      <c r="I335" s="365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4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7" t="n">
        <v>6551200</v>
      </c>
      <c r="G337" s="91" t="inlineStr">
        <is>
          <t>USD</t>
        </is>
      </c>
      <c r="H337" s="361" t="n">
        <v>16378</v>
      </c>
      <c r="I337" s="365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4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7" t="n">
        <v>2371000</v>
      </c>
      <c r="G339" s="91" t="inlineStr">
        <is>
          <t>IDR</t>
        </is>
      </c>
      <c r="H339" s="361" t="n">
        <v>1</v>
      </c>
      <c r="I339" s="62" t="n"/>
      <c r="J339" s="62" t="n"/>
      <c r="K339" s="44" t="n"/>
      <c r="L339" s="44" t="n"/>
      <c r="M339" s="61" t="n"/>
      <c r="N339" s="365" t="n">
        <v>2371000</v>
      </c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7" t="n">
        <v>594804</v>
      </c>
      <c r="G342" s="91" t="inlineStr">
        <is>
          <t>IDR</t>
        </is>
      </c>
      <c r="H342" s="361" t="n">
        <v>1</v>
      </c>
      <c r="I342" s="362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7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2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7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2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5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2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60" t="n">
        <v>4912100</v>
      </c>
      <c r="G351" s="91" t="inlineStr">
        <is>
          <t>IDR</t>
        </is>
      </c>
      <c r="H351" s="361" t="n">
        <v>1</v>
      </c>
      <c r="I351" s="362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60" t="n">
        <v>250000</v>
      </c>
      <c r="G352" s="91" t="inlineStr">
        <is>
          <t>IDR</t>
        </is>
      </c>
      <c r="H352" s="361" t="n">
        <v>1</v>
      </c>
      <c r="I352" s="362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60" t="n">
        <v>249264</v>
      </c>
      <c r="G353" s="91" t="inlineStr">
        <is>
          <t>MYR</t>
        </is>
      </c>
      <c r="H353" s="361" t="n">
        <v>3462</v>
      </c>
      <c r="I353" s="362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60" t="n">
        <v>27696</v>
      </c>
      <c r="G354" s="91" t="inlineStr">
        <is>
          <t>MYR</t>
        </is>
      </c>
      <c r="H354" s="361" t="n">
        <v>3462</v>
      </c>
      <c r="I354" s="362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60" t="n">
        <v>283987.86</v>
      </c>
      <c r="G355" s="91" t="inlineStr">
        <is>
          <t>MYR</t>
        </is>
      </c>
      <c r="H355" s="361" t="n">
        <v>3462</v>
      </c>
      <c r="I355" s="362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60" t="n">
        <v>259120</v>
      </c>
      <c r="G356" s="91" t="inlineStr">
        <is>
          <t>IDR</t>
        </is>
      </c>
      <c r="H356" s="361" t="n">
        <v>1</v>
      </c>
      <c r="I356" s="362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4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3" t="n">
        <v>9778400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5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60" t="n">
        <v>163100</v>
      </c>
      <c r="G359" s="91" t="inlineStr">
        <is>
          <t>IDR</t>
        </is>
      </c>
      <c r="H359" s="361" t="n">
        <v>1</v>
      </c>
      <c r="I359" s="62" t="n"/>
      <c r="J359" s="44" t="n"/>
      <c r="K359" s="44" t="n"/>
      <c r="L359" s="44" t="n"/>
      <c r="M359" s="44" t="n"/>
      <c r="N359" s="365" t="n">
        <v>163100</v>
      </c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9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5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5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5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5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9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2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2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9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3" t="n">
        <v>225520</v>
      </c>
      <c r="G371" s="15" t="inlineStr">
        <is>
          <t>IDR</t>
        </is>
      </c>
      <c r="H371" s="366" t="n">
        <v>1</v>
      </c>
      <c r="I371" s="362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3" t="n">
        <v>292060</v>
      </c>
      <c r="G372" s="15" t="inlineStr">
        <is>
          <t>IDR</t>
        </is>
      </c>
      <c r="H372" s="366" t="n">
        <v>1</v>
      </c>
      <c r="I372" s="362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3" t="n">
        <v>190430</v>
      </c>
      <c r="G373" s="15" t="inlineStr">
        <is>
          <t>IDR</t>
        </is>
      </c>
      <c r="H373" s="366" t="n">
        <v>1</v>
      </c>
      <c r="I373" s="362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2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2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2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5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3" t="n">
        <v>400000</v>
      </c>
      <c r="G378" s="15" t="inlineStr">
        <is>
          <t>IDR</t>
        </is>
      </c>
      <c r="H378" s="366" t="n">
        <v>1</v>
      </c>
      <c r="I378" s="362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5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3" t="n">
        <v>2160000</v>
      </c>
      <c r="G380" s="15" t="inlineStr">
        <is>
          <t>IDR</t>
        </is>
      </c>
      <c r="H380" s="366" t="n">
        <v>1</v>
      </c>
      <c r="I380" s="365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Allowance</t>
        </is>
      </c>
      <c r="E381" s="108" t="n"/>
      <c r="F381" s="21" t="n"/>
      <c r="G381" s="15" t="n"/>
      <c r="H381" s="15" t="n"/>
      <c r="I381" s="368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3" t="n">
        <v>1050000</v>
      </c>
      <c r="G382" s="15" t="inlineStr">
        <is>
          <t>IDR</t>
        </is>
      </c>
      <c r="H382" s="366" t="n">
        <v>1</v>
      </c>
      <c r="I382" s="365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5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3" t="n">
        <v>350000</v>
      </c>
      <c r="G384" s="15" t="inlineStr">
        <is>
          <t>IDR</t>
        </is>
      </c>
      <c r="H384" s="366" t="n">
        <v>1</v>
      </c>
      <c r="I384" s="365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3" t="n">
        <v>700</v>
      </c>
      <c r="G386" s="15" t="inlineStr">
        <is>
          <t>IDR</t>
        </is>
      </c>
      <c r="H386" s="366" t="n">
        <v>16200</v>
      </c>
      <c r="I386" s="365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5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3" t="n">
        <v>70000</v>
      </c>
      <c r="G388" s="15" t="inlineStr">
        <is>
          <t>IDR</t>
        </is>
      </c>
      <c r="H388" s="366" t="n">
        <v>1</v>
      </c>
      <c r="I388" s="44" t="n"/>
      <c r="J388" s="44" t="n"/>
      <c r="K388" s="44" t="n"/>
      <c r="L388" s="44" t="n"/>
      <c r="M388" s="44" t="n"/>
      <c r="N388" s="365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3" t="n">
        <v>195000</v>
      </c>
      <c r="G389" s="15" t="inlineStr">
        <is>
          <t>IDR</t>
        </is>
      </c>
      <c r="H389" s="366" t="n">
        <v>1</v>
      </c>
      <c r="I389" s="44" t="n"/>
      <c r="J389" s="44" t="n"/>
      <c r="K389" s="44" t="n"/>
      <c r="L389" s="44" t="n"/>
      <c r="M389" s="44" t="n"/>
      <c r="N389" s="365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3" t="n">
        <v>38900</v>
      </c>
      <c r="G390" s="15" t="inlineStr">
        <is>
          <t>IDR</t>
        </is>
      </c>
      <c r="H390" s="366" t="n">
        <v>1</v>
      </c>
      <c r="I390" s="44" t="n"/>
      <c r="J390" s="44" t="n"/>
      <c r="K390" s="44" t="n"/>
      <c r="L390" s="44" t="n"/>
      <c r="M390" s="61" t="n"/>
      <c r="N390" s="365" t="n">
        <v>38900</v>
      </c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5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5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5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5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5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3" t="n">
        <v>1630000</v>
      </c>
      <c r="G398" s="60" t="inlineStr">
        <is>
          <t>$</t>
        </is>
      </c>
      <c r="H398" s="374" t="n">
        <v>16300</v>
      </c>
      <c r="I398" s="376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3" t="n">
        <v>2852500</v>
      </c>
      <c r="G399" s="15" t="inlineStr">
        <is>
          <t>$</t>
        </is>
      </c>
      <c r="H399" s="366" t="n">
        <v>16300</v>
      </c>
      <c r="I399" s="365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7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5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5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60" t="n">
        <v>16100000</v>
      </c>
      <c r="G406" s="91" t="inlineStr">
        <is>
          <t>USD</t>
        </is>
      </c>
      <c r="H406" s="361" t="n">
        <v>16100</v>
      </c>
      <c r="I406" s="365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60" t="n">
        <v>15166600</v>
      </c>
      <c r="G408" s="91" t="inlineStr">
        <is>
          <t>IDR</t>
        </is>
      </c>
      <c r="H408" s="361" t="n">
        <v>1</v>
      </c>
      <c r="I408" s="62" t="n"/>
      <c r="J408" s="44" t="n"/>
      <c r="K408" s="44" t="n"/>
      <c r="L408" s="44" t="n"/>
      <c r="M408" s="44" t="n"/>
      <c r="N408" s="365" t="n">
        <v>15166600</v>
      </c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9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3" t="n">
        <v>673500</v>
      </c>
      <c r="G411" s="15" t="inlineStr">
        <is>
          <t>IDR</t>
        </is>
      </c>
      <c r="H411" s="366" t="n">
        <v>1</v>
      </c>
      <c r="I411" s="362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9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3" t="n">
        <v>154000</v>
      </c>
      <c r="G413" s="15" t="inlineStr">
        <is>
          <t>IDR</t>
        </is>
      </c>
      <c r="H413" s="366" t="n">
        <v>1</v>
      </c>
      <c r="I413" s="362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3" t="n">
        <v>129000</v>
      </c>
      <c r="G414" s="15" t="inlineStr">
        <is>
          <t>IDR</t>
        </is>
      </c>
      <c r="H414" s="366" t="n">
        <v>1</v>
      </c>
      <c r="I414" s="362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3" t="n">
        <v>45000</v>
      </c>
      <c r="G415" s="15" t="inlineStr">
        <is>
          <t>IDR</t>
        </is>
      </c>
      <c r="H415" s="366" t="n">
        <v>1</v>
      </c>
      <c r="I415" s="362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3" t="n">
        <v>1591200</v>
      </c>
      <c r="G417" s="15" t="inlineStr">
        <is>
          <t>IDR</t>
        </is>
      </c>
      <c r="H417" s="366" t="n">
        <v>1</v>
      </c>
      <c r="I417" s="365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3" t="n">
        <v>795600</v>
      </c>
      <c r="G418" s="15" t="inlineStr">
        <is>
          <t>IDR</t>
        </is>
      </c>
      <c r="H418" s="366" t="n">
        <v>1</v>
      </c>
      <c r="I418" s="365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5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3" t="n">
        <v>750000</v>
      </c>
      <c r="G420" s="15" t="inlineStr">
        <is>
          <t>IDR</t>
        </is>
      </c>
      <c r="H420" s="366" t="n">
        <v>1</v>
      </c>
      <c r="I420" s="365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5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3" t="n">
        <v>250000</v>
      </c>
      <c r="G422" s="15" t="inlineStr">
        <is>
          <t>IDR</t>
        </is>
      </c>
      <c r="H422" s="366" t="n">
        <v>1</v>
      </c>
      <c r="I422" s="365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3" t="n">
        <v>500</v>
      </c>
      <c r="G424" s="15" t="inlineStr">
        <is>
          <t>IDR</t>
        </is>
      </c>
      <c r="H424" s="366" t="n">
        <v>15900</v>
      </c>
      <c r="I424" s="365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9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5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5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5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5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5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5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5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9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3" t="n">
        <v>81000</v>
      </c>
      <c r="G435" s="15" t="inlineStr">
        <is>
          <t>IDR</t>
        </is>
      </c>
      <c r="H435" s="366" t="n">
        <v>1</v>
      </c>
      <c r="I435" s="362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5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3" t="n">
        <v>5630000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5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3" t="n">
        <v>460000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5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3" t="n">
        <v>2108000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5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5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5" t="n">
        <v>285000</v>
      </c>
      <c r="Q441" s="44" t="n"/>
    </row>
    <row r="442" ht="15.5" customHeight="1" s="297">
      <c r="B442" s="14" t="n"/>
      <c r="C442" s="15" t="n"/>
      <c r="D442" s="355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3" t="n">
        <v>285000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5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3" t="n">
        <v>285000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5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3" t="n">
        <v>75000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5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3" t="n">
        <v>133000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5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3" t="n">
        <v>700000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5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3" t="n">
        <v>20000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5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3" t="n">
        <v>155000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5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3" t="n">
        <v>660000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5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5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5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5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9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2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2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2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5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3" t="n">
        <v>500000</v>
      </c>
      <c r="G461" s="15" t="inlineStr">
        <is>
          <t>IDR</t>
        </is>
      </c>
      <c r="H461" s="366" t="n">
        <v>1</v>
      </c>
      <c r="I461" s="365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3" t="n">
        <v>2700000</v>
      </c>
      <c r="G462" s="15" t="inlineStr">
        <is>
          <t>IDR</t>
        </is>
      </c>
      <c r="H462" s="366" t="n">
        <v>1</v>
      </c>
      <c r="I462" s="365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5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3" t="n">
        <v>199900</v>
      </c>
      <c r="G464" s="15" t="inlineStr">
        <is>
          <t>IDR</t>
        </is>
      </c>
      <c r="H464" s="366" t="n">
        <v>1</v>
      </c>
      <c r="I464" s="365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3" t="n">
        <v>69000</v>
      </c>
      <c r="G465" s="15" t="inlineStr">
        <is>
          <t>IDR</t>
        </is>
      </c>
      <c r="H465" s="366" t="n">
        <v>1</v>
      </c>
      <c r="I465" s="365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3" t="n">
        <v>98000</v>
      </c>
      <c r="G466" s="15" t="inlineStr">
        <is>
          <t>IDR</t>
        </is>
      </c>
      <c r="H466" s="366" t="n">
        <v>1</v>
      </c>
      <c r="I466" s="365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3" t="n">
        <v>109800</v>
      </c>
      <c r="G467" s="15" t="inlineStr">
        <is>
          <t>IDR</t>
        </is>
      </c>
      <c r="H467" s="366" t="n">
        <v>1</v>
      </c>
      <c r="I467" s="365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3" t="n">
        <v>96600</v>
      </c>
      <c r="G468" s="15" t="inlineStr">
        <is>
          <t>IDR</t>
        </is>
      </c>
      <c r="H468" s="366" t="n">
        <v>1</v>
      </c>
      <c r="I468" s="365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5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5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3" t="n">
        <v>275000</v>
      </c>
      <c r="G471" s="15" t="inlineStr">
        <is>
          <t>IDR</t>
        </is>
      </c>
      <c r="H471" s="366" t="n">
        <v>1</v>
      </c>
      <c r="I471" s="365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3" t="n">
        <v>157000</v>
      </c>
      <c r="G472" s="15" t="inlineStr">
        <is>
          <t>IDR</t>
        </is>
      </c>
      <c r="H472" s="366" t="n">
        <v>1</v>
      </c>
      <c r="I472" s="365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3" t="n">
        <v>80000</v>
      </c>
      <c r="G473" s="15" t="inlineStr">
        <is>
          <t>IDR</t>
        </is>
      </c>
      <c r="H473" s="366" t="n">
        <v>1</v>
      </c>
      <c r="I473" s="365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3" t="n">
        <v>270350</v>
      </c>
      <c r="G474" s="15" t="inlineStr">
        <is>
          <t>IDR</t>
        </is>
      </c>
      <c r="H474" s="366" t="n">
        <v>1</v>
      </c>
      <c r="I474" s="365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3" t="n">
        <v>401000</v>
      </c>
      <c r="G475" s="15" t="inlineStr">
        <is>
          <t>IDR</t>
        </is>
      </c>
      <c r="H475" s="366" t="n">
        <v>1</v>
      </c>
      <c r="I475" s="365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3" t="n">
        <v>1500000</v>
      </c>
      <c r="G477" s="15" t="inlineStr">
        <is>
          <t>IDR</t>
        </is>
      </c>
      <c r="H477" s="366" t="n">
        <v>1</v>
      </c>
      <c r="I477" s="365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3" t="n">
        <v>16100000</v>
      </c>
      <c r="G478" s="15" t="inlineStr">
        <is>
          <t>USD</t>
        </is>
      </c>
      <c r="H478" s="366" t="n">
        <v>16100</v>
      </c>
      <c r="I478" s="365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3" t="n">
        <v>34200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5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3" t="n">
        <v>65000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5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3" t="n">
        <v>72500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5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5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3" t="n">
        <v>400000</v>
      </c>
      <c r="G483" s="15" t="inlineStr">
        <is>
          <t>IDR</t>
        </is>
      </c>
      <c r="H483" s="366" t="n">
        <v>1</v>
      </c>
      <c r="I483" s="62" t="n"/>
      <c r="J483" s="44" t="n"/>
      <c r="K483" s="44" t="n"/>
      <c r="L483" s="44" t="n"/>
      <c r="M483" s="44" t="n"/>
      <c r="N483" s="365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3" t="n">
        <v>60000</v>
      </c>
      <c r="G485" s="15" t="inlineStr">
        <is>
          <t>IDR</t>
        </is>
      </c>
      <c r="H485" s="366" t="n">
        <v>1</v>
      </c>
      <c r="I485" s="62" t="n"/>
      <c r="J485" s="44" t="n"/>
      <c r="K485" s="44" t="n"/>
      <c r="L485" s="44" t="n"/>
      <c r="M485" s="44" t="n"/>
      <c r="N485" s="365" t="n">
        <v>60000</v>
      </c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5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5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4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60" t="n">
        <v>276500</v>
      </c>
      <c r="G491" s="91" t="inlineStr">
        <is>
          <t>IDR</t>
        </is>
      </c>
      <c r="H491" s="361" t="n">
        <v>1</v>
      </c>
      <c r="I491" s="362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60" t="n">
        <v>63568</v>
      </c>
      <c r="G492" s="91" t="inlineStr">
        <is>
          <t>IDR</t>
        </is>
      </c>
      <c r="H492" s="361" t="n">
        <v>1</v>
      </c>
      <c r="I492" s="362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60" t="n">
        <v>161885</v>
      </c>
      <c r="G493" s="91" t="inlineStr">
        <is>
          <t>IDR</t>
        </is>
      </c>
      <c r="H493" s="361" t="n">
        <v>1</v>
      </c>
      <c r="I493" s="362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4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60" t="n">
        <v>263200</v>
      </c>
      <c r="G495" s="91" t="inlineStr">
        <is>
          <t>IDR</t>
        </is>
      </c>
      <c r="H495" s="361" t="n">
        <v>1</v>
      </c>
      <c r="I495" s="365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61" t="n">
        <v>1</v>
      </c>
      <c r="I497" s="365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4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60" t="n">
        <v>15513000</v>
      </c>
      <c r="G499" s="91" t="inlineStr">
        <is>
          <t>USD</t>
        </is>
      </c>
      <c r="H499" s="361" t="n">
        <v>15513</v>
      </c>
      <c r="I499" s="365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4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60" t="n">
        <v>144900</v>
      </c>
      <c r="G501" s="91" t="inlineStr">
        <is>
          <t>IDR</t>
        </is>
      </c>
      <c r="H501" s="361" t="n">
        <v>1</v>
      </c>
      <c r="I501" s="62" t="n"/>
      <c r="J501" s="44" t="n"/>
      <c r="K501" s="44" t="n"/>
      <c r="L501" s="44" t="n"/>
      <c r="M501" s="61" t="n"/>
      <c r="N501" s="365" t="n">
        <v>144900</v>
      </c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5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5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3" t="n">
        <v>2317500</v>
      </c>
      <c r="G507" s="15" t="inlineStr">
        <is>
          <t>$</t>
        </is>
      </c>
      <c r="H507" s="366" t="n">
        <v>15450</v>
      </c>
      <c r="I507" s="365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5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5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4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60" t="n">
        <v>904682</v>
      </c>
      <c r="G513" s="91" t="inlineStr">
        <is>
          <t>IDR</t>
        </is>
      </c>
      <c r="H513" s="361" t="n">
        <v>1</v>
      </c>
      <c r="I513" s="362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60" t="n">
        <v>256500</v>
      </c>
      <c r="G514" s="91" t="inlineStr">
        <is>
          <t>IDR</t>
        </is>
      </c>
      <c r="H514" s="361" t="n">
        <v>1</v>
      </c>
      <c r="I514" s="362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60" t="n">
        <v>224000</v>
      </c>
      <c r="G515" s="91" t="inlineStr">
        <is>
          <t>IDR</t>
        </is>
      </c>
      <c r="H515" s="361" t="n">
        <v>1</v>
      </c>
      <c r="I515" s="362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60" t="n">
        <v>3000000</v>
      </c>
      <c r="G516" s="91" t="inlineStr">
        <is>
          <t>IDR</t>
        </is>
      </c>
      <c r="H516" s="361" t="n">
        <v>1</v>
      </c>
      <c r="I516" s="362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60" t="n">
        <v>400000</v>
      </c>
      <c r="G517" s="91" t="inlineStr">
        <is>
          <t>IDR</t>
        </is>
      </c>
      <c r="H517" s="361" t="n">
        <v>1</v>
      </c>
      <c r="I517" s="362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60" t="n">
        <v>310660</v>
      </c>
      <c r="G518" s="91" t="inlineStr">
        <is>
          <t>IDR</t>
        </is>
      </c>
      <c r="H518" s="361" t="n">
        <v>1</v>
      </c>
      <c r="I518" s="362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60" t="n">
        <v>836100</v>
      </c>
      <c r="G519" s="91" t="inlineStr">
        <is>
          <t>IDR</t>
        </is>
      </c>
      <c r="H519" s="361" t="n">
        <v>1</v>
      </c>
      <c r="I519" s="362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4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60" t="n">
        <v>9262800</v>
      </c>
      <c r="G521" s="91" t="inlineStr">
        <is>
          <t>USD</t>
        </is>
      </c>
      <c r="H521" s="361" t="n">
        <v>15438</v>
      </c>
      <c r="I521" s="365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60" t="n">
        <v>900000</v>
      </c>
      <c r="G522" s="91" t="inlineStr">
        <is>
          <t>IDR</t>
        </is>
      </c>
      <c r="H522" s="361" t="n">
        <v>1</v>
      </c>
      <c r="I522" s="365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9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0" t="n">
        <v>1</v>
      </c>
      <c r="I525" s="362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0" t="n">
        <v>1</v>
      </c>
      <c r="I526" s="362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0" t="n">
        <v>1</v>
      </c>
      <c r="I527" s="362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1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0" t="n">
        <v>1</v>
      </c>
      <c r="I529" s="365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1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3" t="n">
        <v>250000</v>
      </c>
      <c r="G531" s="18" t="inlineStr">
        <is>
          <t>IDR</t>
        </is>
      </c>
      <c r="H531" s="380" t="n">
        <v>1</v>
      </c>
      <c r="I531" s="365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3" t="n">
        <v>500</v>
      </c>
      <c r="G533" s="18" t="inlineStr">
        <is>
          <t>IDR</t>
        </is>
      </c>
      <c r="H533" s="380" t="n">
        <v>15100</v>
      </c>
      <c r="I533" s="365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2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5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4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60" t="n">
        <v>200000</v>
      </c>
      <c r="G539" s="91" t="inlineStr">
        <is>
          <t>IDR</t>
        </is>
      </c>
      <c r="H539" s="361" t="n">
        <v>1</v>
      </c>
      <c r="I539" s="362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60" t="n">
        <v>215000</v>
      </c>
      <c r="G540" s="91" t="inlineStr">
        <is>
          <t>IDR</t>
        </is>
      </c>
      <c r="H540" s="361" t="n">
        <v>1</v>
      </c>
      <c r="I540" s="362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60" t="n">
        <v>197000</v>
      </c>
      <c r="G541" s="91" t="inlineStr">
        <is>
          <t>IDR</t>
        </is>
      </c>
      <c r="H541" s="361" t="n">
        <v>1</v>
      </c>
      <c r="I541" s="362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60" t="n">
        <v>200000</v>
      </c>
      <c r="G542" s="91" t="inlineStr">
        <is>
          <t>IDR</t>
        </is>
      </c>
      <c r="H542" s="361" t="n">
        <v>1</v>
      </c>
      <c r="I542" s="362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60" t="n">
        <v>220000</v>
      </c>
      <c r="G543" s="91" t="inlineStr">
        <is>
          <t>IDR</t>
        </is>
      </c>
      <c r="H543" s="361" t="n">
        <v>1</v>
      </c>
      <c r="I543" s="362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60" t="n">
        <v>112000</v>
      </c>
      <c r="G544" s="91" t="inlineStr">
        <is>
          <t>IDR</t>
        </is>
      </c>
      <c r="H544" s="361" t="n">
        <v>1</v>
      </c>
      <c r="I544" s="362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60" t="n">
        <v>117000</v>
      </c>
      <c r="G545" s="91" t="inlineStr">
        <is>
          <t>IDR</t>
        </is>
      </c>
      <c r="H545" s="361" t="n">
        <v>1</v>
      </c>
      <c r="I545" s="362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60" t="n">
        <v>40000</v>
      </c>
      <c r="G546" s="91" t="inlineStr">
        <is>
          <t>IDR</t>
        </is>
      </c>
      <c r="H546" s="361" t="n">
        <v>1</v>
      </c>
      <c r="I546" s="362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4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5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5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5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5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5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5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5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5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5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5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5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4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60" t="n">
        <v>2668750</v>
      </c>
      <c r="G560" s="91" t="inlineStr">
        <is>
          <t>USD</t>
        </is>
      </c>
      <c r="H560" s="361" t="n">
        <v>15250</v>
      </c>
      <c r="I560" s="365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60" t="n">
        <v>1050000</v>
      </c>
      <c r="G561" s="91" t="inlineStr">
        <is>
          <t>IDR</t>
        </is>
      </c>
      <c r="H561" s="361" t="n">
        <v>1</v>
      </c>
      <c r="I561" s="365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9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2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2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9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2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3" t="n">
        <v>250000</v>
      </c>
      <c r="G568" s="15" t="inlineStr">
        <is>
          <t>IDR</t>
        </is>
      </c>
      <c r="H568" s="366" t="n">
        <v>1</v>
      </c>
      <c r="I568" s="362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3" t="n">
        <v>4000000</v>
      </c>
      <c r="G569" s="15" t="inlineStr">
        <is>
          <t>IDR</t>
        </is>
      </c>
      <c r="H569" s="366" t="n">
        <v>1</v>
      </c>
      <c r="I569" s="362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5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5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3" t="n">
        <v>400000</v>
      </c>
      <c r="G572" s="15" t="inlineStr">
        <is>
          <t>IDR</t>
        </is>
      </c>
      <c r="H572" s="366" t="n">
        <v>1</v>
      </c>
      <c r="I572" s="362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5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3" t="n">
        <v>900000</v>
      </c>
      <c r="G574" s="15" t="inlineStr">
        <is>
          <t>IDR</t>
        </is>
      </c>
      <c r="H574" s="366" t="n">
        <v>1</v>
      </c>
      <c r="I574" s="365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3" t="n">
        <v>12160000</v>
      </c>
      <c r="G576" s="15" t="inlineStr">
        <is>
          <t>USD</t>
        </is>
      </c>
      <c r="H576" s="366" t="n">
        <v>15200</v>
      </c>
      <c r="I576" s="365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2" t="n">
        <v>1</v>
      </c>
      <c r="I579" s="362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2" t="n">
        <v>1</v>
      </c>
      <c r="I580" s="362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2" t="n">
        <v>1</v>
      </c>
      <c r="I581" s="362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2" t="n">
        <v>1</v>
      </c>
      <c r="I582" s="362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2" t="n">
        <v>1</v>
      </c>
      <c r="I583" s="362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2" t="n">
        <v>1</v>
      </c>
      <c r="I584" s="362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2" t="n">
        <v>1</v>
      </c>
      <c r="I585" s="362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2" t="n">
        <v>1</v>
      </c>
      <c r="I586" s="362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2" t="n">
        <v>1</v>
      </c>
      <c r="I587" s="362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2" t="n">
        <v>1</v>
      </c>
      <c r="I588" s="362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3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2" t="n">
        <v>1</v>
      </c>
      <c r="I590" s="362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4" t="n">
        <v>180000</v>
      </c>
      <c r="G591" s="18" t="inlineStr">
        <is>
          <t>IDR</t>
        </is>
      </c>
      <c r="H591" s="382" t="n">
        <v>1</v>
      </c>
      <c r="I591" s="362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4" t="n">
        <v>166000</v>
      </c>
      <c r="G592" s="18" t="inlineStr">
        <is>
          <t>IDR</t>
        </is>
      </c>
      <c r="H592" s="382" t="n">
        <v>1</v>
      </c>
      <c r="I592" s="362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4" t="n">
        <v>222650</v>
      </c>
      <c r="G593" s="18" t="inlineStr">
        <is>
          <t>IDR</t>
        </is>
      </c>
      <c r="H593" s="382" t="n">
        <v>1</v>
      </c>
      <c r="I593" s="362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81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3" t="n">
        <v>700000</v>
      </c>
      <c r="G595" s="18" t="inlineStr">
        <is>
          <t>IDR</t>
        </is>
      </c>
      <c r="H595" s="382" t="n">
        <v>1</v>
      </c>
      <c r="I595" s="365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4" t="n">
        <v>100000</v>
      </c>
      <c r="G596" s="18" t="inlineStr">
        <is>
          <t>IDR</t>
        </is>
      </c>
      <c r="H596" s="382" t="n">
        <v>1</v>
      </c>
      <c r="I596" s="365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81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3" t="n">
        <v>171000</v>
      </c>
      <c r="G598" s="18" t="inlineStr">
        <is>
          <t>IDR</t>
        </is>
      </c>
      <c r="H598" s="382" t="n">
        <v>1</v>
      </c>
      <c r="I598" s="365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3" t="n">
        <v>300000</v>
      </c>
      <c r="G599" s="18" t="inlineStr">
        <is>
          <t>IDR</t>
        </is>
      </c>
      <c r="H599" s="382" t="n">
        <v>1</v>
      </c>
      <c r="I599" s="365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9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5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5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5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5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5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3" t="n">
        <v>854100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5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3" t="n">
        <v>285000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5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5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5" t="n">
        <v>285000</v>
      </c>
      <c r="Q610" s="44" t="n"/>
    </row>
    <row r="611" ht="15.5" customHeight="1" s="297">
      <c r="B611" s="102" t="n"/>
      <c r="C611" s="15" t="n"/>
      <c r="D611" s="369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5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5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5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5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5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7" t="n">
        <v>1584184</v>
      </c>
      <c r="G619" s="91" t="inlineStr">
        <is>
          <t>IDR</t>
        </is>
      </c>
      <c r="H619" s="361" t="n">
        <v>1</v>
      </c>
      <c r="I619" s="365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7" t="n">
        <v>250000</v>
      </c>
      <c r="G620" s="91" t="inlineStr">
        <is>
          <t>IDR</t>
        </is>
      </c>
      <c r="H620" s="361" t="n">
        <v>1</v>
      </c>
      <c r="I620" s="365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4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7" t="n">
        <v>1213500</v>
      </c>
      <c r="G622" s="91" t="inlineStr">
        <is>
          <t>IDR</t>
        </is>
      </c>
      <c r="H622" s="361" t="n">
        <v>1</v>
      </c>
      <c r="I622" s="362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7" t="n">
        <v>132500</v>
      </c>
      <c r="G623" s="91" t="inlineStr">
        <is>
          <t>IDR</t>
        </is>
      </c>
      <c r="H623" s="361" t="n">
        <v>1</v>
      </c>
      <c r="I623" s="362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7" t="n">
        <v>280400</v>
      </c>
      <c r="G624" s="91" t="inlineStr">
        <is>
          <t>IDR</t>
        </is>
      </c>
      <c r="H624" s="361" t="n">
        <v>1</v>
      </c>
      <c r="I624" s="362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7" t="n">
        <v>326600</v>
      </c>
      <c r="G625" s="91" t="inlineStr">
        <is>
          <t>IDR</t>
        </is>
      </c>
      <c r="H625" s="361" t="n">
        <v>1</v>
      </c>
      <c r="I625" s="362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7" t="n">
        <v>1653500</v>
      </c>
      <c r="G626" s="91" t="inlineStr">
        <is>
          <t>IDR</t>
        </is>
      </c>
      <c r="H626" s="361" t="n">
        <v>1</v>
      </c>
      <c r="I626" s="362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7" t="n">
        <v>73584</v>
      </c>
      <c r="G627" s="91" t="inlineStr">
        <is>
          <t>IDR</t>
        </is>
      </c>
      <c r="H627" s="361" t="n">
        <v>1</v>
      </c>
      <c r="I627" s="362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4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7" t="n">
        <v>7615500</v>
      </c>
      <c r="G629" s="91" t="inlineStr">
        <is>
          <t>USD</t>
        </is>
      </c>
      <c r="H629" s="361" t="n">
        <v>15231</v>
      </c>
      <c r="I629" s="365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7" t="n">
        <v>750000</v>
      </c>
      <c r="G630" s="91" t="inlineStr">
        <is>
          <t>IDR</t>
        </is>
      </c>
      <c r="H630" s="361" t="n">
        <v>1</v>
      </c>
      <c r="I630" s="365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9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2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2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5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3" t="n">
        <v>900000</v>
      </c>
      <c r="G636" s="15" t="inlineStr">
        <is>
          <t>IDR</t>
        </is>
      </c>
      <c r="H636" s="366" t="n">
        <v>1</v>
      </c>
      <c r="I636" s="365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5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5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3" t="n">
        <v>1102050</v>
      </c>
      <c r="G639" s="15" t="inlineStr">
        <is>
          <t>IDR</t>
        </is>
      </c>
      <c r="H639" s="366" t="n">
        <v>1</v>
      </c>
      <c r="I639" s="365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5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13" t="n">
        <v>28528200</v>
      </c>
      <c r="G641" s="15" t="inlineStr">
        <is>
          <t>USD</t>
        </is>
      </c>
      <c r="H641" s="366" t="n">
        <v>15849</v>
      </c>
      <c r="I641" s="365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13" t="n">
        <v>2700000</v>
      </c>
      <c r="G643" s="15" t="inlineStr">
        <is>
          <t>IDR</t>
        </is>
      </c>
      <c r="H643" s="366" t="n">
        <v>1</v>
      </c>
      <c r="I643" s="365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7" t="n">
        <v>2700000</v>
      </c>
      <c r="G646" s="91" t="inlineStr">
        <is>
          <t>IDR</t>
        </is>
      </c>
      <c r="H646" s="361" t="n">
        <v>1</v>
      </c>
      <c r="I646" s="362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2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7" t="n">
        <v>15000</v>
      </c>
      <c r="G649" s="91" t="inlineStr">
        <is>
          <t>IDR</t>
        </is>
      </c>
      <c r="H649" s="361" t="n">
        <v>1</v>
      </c>
      <c r="I649" s="362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7" t="n">
        <v>15000</v>
      </c>
      <c r="G650" s="91" t="inlineStr">
        <is>
          <t>IDR</t>
        </is>
      </c>
      <c r="H650" s="361" t="n">
        <v>1</v>
      </c>
      <c r="I650" s="362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7" t="n">
        <v>14000</v>
      </c>
      <c r="G651" s="91" t="inlineStr">
        <is>
          <t>IDR</t>
        </is>
      </c>
      <c r="H651" s="361" t="n">
        <v>1</v>
      </c>
      <c r="I651" s="362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7" t="n">
        <v>3000</v>
      </c>
      <c r="G652" s="91" t="inlineStr">
        <is>
          <t>IDR</t>
        </is>
      </c>
      <c r="H652" s="361" t="n">
        <v>1</v>
      </c>
      <c r="I652" s="362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9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5" t="n">
        <v>45572</v>
      </c>
      <c r="C655" s="141" t="n">
        <v>1</v>
      </c>
      <c r="D655" s="145" t="inlineStr">
        <is>
          <t>Materai 6 pcs</t>
        </is>
      </c>
      <c r="E655" s="145" t="n"/>
      <c r="F655" s="386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2" t="n">
        <v>62000</v>
      </c>
      <c r="N655" s="44" t="n"/>
      <c r="O655" s="44" t="n"/>
      <c r="P655" s="44" t="n"/>
      <c r="Q655" s="44" t="n"/>
    </row>
    <row r="656" ht="15.5" customHeight="1" s="297">
      <c r="B656" s="385" t="n">
        <v>45579</v>
      </c>
      <c r="C656" s="141" t="n">
        <v>2</v>
      </c>
      <c r="D656" s="145" t="inlineStr">
        <is>
          <t>Materai 10 pcs</t>
        </is>
      </c>
      <c r="E656" s="145" t="n"/>
      <c r="F656" s="387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2" t="n">
        <v>103000</v>
      </c>
      <c r="N656" s="44" t="n"/>
      <c r="O656" s="44" t="n"/>
      <c r="P656" s="44" t="n"/>
      <c r="Q656" s="44" t="n"/>
    </row>
    <row r="657" ht="15.5" customHeight="1" s="297">
      <c r="B657" s="385" t="n"/>
      <c r="C657" s="141" t="n"/>
      <c r="D657" s="388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5" t="n">
        <v>45582</v>
      </c>
      <c r="C658" s="141" t="n">
        <v>3</v>
      </c>
      <c r="D658" s="145" t="inlineStr">
        <is>
          <t>Materai 5 pcs</t>
        </is>
      </c>
      <c r="E658" s="145" t="n"/>
      <c r="F658" s="389" t="n">
        <v>55000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2" t="n">
        <v>55000</v>
      </c>
      <c r="N658" s="44" t="n"/>
      <c r="O658" s="44" t="n"/>
      <c r="P658" s="44" t="n"/>
      <c r="Q658" s="44" t="n"/>
    </row>
    <row r="659" ht="15.5" customHeight="1" s="297">
      <c r="B659" s="385" t="n">
        <v>45617</v>
      </c>
      <c r="C659" s="141" t="n">
        <v>4</v>
      </c>
      <c r="D659" s="145" t="inlineStr">
        <is>
          <t>Materai 10 pcs</t>
        </is>
      </c>
      <c r="E659" s="145" t="n"/>
      <c r="F659" s="389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2" t="n">
        <v>103000</v>
      </c>
      <c r="N659" s="44" t="n"/>
      <c r="O659" s="44" t="n"/>
      <c r="P659" s="44" t="n"/>
      <c r="Q659" s="44" t="n"/>
    </row>
    <row r="660" ht="15.5" customHeight="1" s="297">
      <c r="B660" s="385" t="n">
        <v>45555</v>
      </c>
      <c r="C660" s="141" t="n">
        <v>5</v>
      </c>
      <c r="D660" s="145" t="inlineStr">
        <is>
          <t>JNE courier</t>
        </is>
      </c>
      <c r="E660" s="145" t="n"/>
      <c r="F660" s="389" t="n">
        <v>18000</v>
      </c>
      <c r="G660" s="15" t="inlineStr">
        <is>
          <t>IDR</t>
        </is>
      </c>
      <c r="H660" s="366" t="n">
        <v>1</v>
      </c>
      <c r="I660" s="362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5" t="n">
        <v>45560</v>
      </c>
      <c r="C661" s="141" t="n">
        <v>6</v>
      </c>
      <c r="D661" s="145" t="inlineStr">
        <is>
          <t>POS courier</t>
        </is>
      </c>
      <c r="E661" s="145" t="n"/>
      <c r="F661" s="389" t="n">
        <v>8000</v>
      </c>
      <c r="G661" s="15" t="inlineStr">
        <is>
          <t>IDR</t>
        </is>
      </c>
      <c r="H661" s="366" t="n">
        <v>1</v>
      </c>
      <c r="I661" s="365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5" t="n">
        <v>45574</v>
      </c>
      <c r="C662" s="141" t="n">
        <v>7</v>
      </c>
      <c r="D662" s="145" t="inlineStr">
        <is>
          <t>POS courier</t>
        </is>
      </c>
      <c r="E662" s="145" t="n"/>
      <c r="F662" s="389" t="n">
        <v>15000</v>
      </c>
      <c r="G662" s="15" t="inlineStr">
        <is>
          <t>IDR</t>
        </is>
      </c>
      <c r="H662" s="366" t="n">
        <v>1</v>
      </c>
      <c r="I662" s="362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5" t="n">
        <v>45579</v>
      </c>
      <c r="C663" s="141" t="n">
        <v>8</v>
      </c>
      <c r="D663" s="145" t="inlineStr">
        <is>
          <t>JNE courier</t>
        </is>
      </c>
      <c r="E663" s="145" t="n"/>
      <c r="F663" s="389" t="n">
        <v>10000</v>
      </c>
      <c r="G663" s="15" t="inlineStr">
        <is>
          <t>IDR</t>
        </is>
      </c>
      <c r="H663" s="366" t="n">
        <v>1</v>
      </c>
      <c r="I663" s="362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5" t="n">
        <v>45579</v>
      </c>
      <c r="C664" s="141" t="n">
        <v>9</v>
      </c>
      <c r="D664" s="145" t="inlineStr">
        <is>
          <t>GoCar to Elnusa PP</t>
        </is>
      </c>
      <c r="E664" s="145" t="n"/>
      <c r="F664" s="389" t="n">
        <v>275000</v>
      </c>
      <c r="G664" s="15" t="inlineStr">
        <is>
          <t>IDR</t>
        </is>
      </c>
      <c r="H664" s="366" t="n">
        <v>1</v>
      </c>
      <c r="I664" s="362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5" t="n">
        <v>45579</v>
      </c>
      <c r="C665" s="141" t="n">
        <v>10</v>
      </c>
      <c r="D665" s="145" t="inlineStr">
        <is>
          <t>Tol &amp; parking fee</t>
        </is>
      </c>
      <c r="E665" s="145" t="n"/>
      <c r="F665" s="389" t="n">
        <v>31500</v>
      </c>
      <c r="G665" s="15" t="inlineStr">
        <is>
          <t>IDR</t>
        </is>
      </c>
      <c r="H665" s="366" t="n">
        <v>1</v>
      </c>
      <c r="I665" s="362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5" t="n">
        <v>45582</v>
      </c>
      <c r="C666" s="141" t="n">
        <v>11</v>
      </c>
      <c r="D666" s="145" t="inlineStr">
        <is>
          <t>GoCar to Elnusa PP</t>
        </is>
      </c>
      <c r="E666" s="145" t="n"/>
      <c r="F666" s="389" t="n">
        <v>266000</v>
      </c>
      <c r="G666" s="15" t="inlineStr">
        <is>
          <t>IDR</t>
        </is>
      </c>
      <c r="H666" s="366" t="n">
        <v>1</v>
      </c>
      <c r="I666" s="365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5" t="n">
        <v>45582</v>
      </c>
      <c r="C667" s="141" t="n">
        <v>12</v>
      </c>
      <c r="D667" s="145" t="inlineStr">
        <is>
          <t>Tol &amp; parking fee</t>
        </is>
      </c>
      <c r="E667" s="145" t="n"/>
      <c r="F667" s="389" t="n">
        <v>53500</v>
      </c>
      <c r="G667" s="15" t="inlineStr">
        <is>
          <t>IDR</t>
        </is>
      </c>
      <c r="H667" s="366" t="n">
        <v>1</v>
      </c>
      <c r="I667" s="365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5" t="n">
        <v>45617</v>
      </c>
      <c r="C668" s="141" t="n">
        <v>13</v>
      </c>
      <c r="D668" s="145" t="inlineStr">
        <is>
          <t>GoCar to Elnusa PP</t>
        </is>
      </c>
      <c r="E668" s="145" t="n"/>
      <c r="F668" s="389" t="n">
        <v>269000</v>
      </c>
      <c r="G668" s="15" t="inlineStr">
        <is>
          <t>IDR</t>
        </is>
      </c>
      <c r="H668" s="366" t="n">
        <v>1</v>
      </c>
      <c r="I668" s="365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5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5" t="n">
        <v>45617</v>
      </c>
      <c r="C670" s="141" t="n">
        <v>14</v>
      </c>
      <c r="D670" s="145" t="inlineStr">
        <is>
          <t>Tol &amp; parking fee</t>
        </is>
      </c>
      <c r="E670" s="145" t="n"/>
      <c r="F670" s="389" t="n">
        <v>43450</v>
      </c>
      <c r="G670" s="15" t="inlineStr">
        <is>
          <t>IDR</t>
        </is>
      </c>
      <c r="H670" s="366" t="n">
        <v>1</v>
      </c>
      <c r="I670" s="362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5" t="n">
        <v>45636</v>
      </c>
      <c r="C671" s="141" t="n">
        <v>15</v>
      </c>
      <c r="D671" s="145" t="inlineStr">
        <is>
          <t>GoCar to Elnusa PP</t>
        </is>
      </c>
      <c r="E671" s="145" t="n"/>
      <c r="F671" s="389" t="n">
        <v>290000</v>
      </c>
      <c r="G671" s="15" t="inlineStr">
        <is>
          <t>IDR</t>
        </is>
      </c>
      <c r="H671" s="366" t="n">
        <v>1</v>
      </c>
      <c r="I671" s="362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5" t="n">
        <v>45636</v>
      </c>
      <c r="C672" s="141" t="n">
        <v>16</v>
      </c>
      <c r="D672" s="145" t="inlineStr">
        <is>
          <t>Tol &amp; parking fee</t>
        </is>
      </c>
      <c r="E672" s="145" t="n"/>
      <c r="F672" s="389" t="n">
        <v>48500</v>
      </c>
      <c r="G672" s="15" t="inlineStr">
        <is>
          <t>IDR</t>
        </is>
      </c>
      <c r="H672" s="366" t="n">
        <v>1</v>
      </c>
      <c r="I672" s="362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0" t="inlineStr">
        <is>
          <t>Expense#41</t>
        </is>
      </c>
      <c r="C678" s="85" t="inlineStr">
        <is>
          <t>:</t>
        </is>
      </c>
      <c r="D678" s="390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76" t="n">
        <v>5583200</v>
      </c>
      <c r="O679" s="120" t="n"/>
      <c r="P679" s="120" t="n"/>
      <c r="Q679" s="120" t="n"/>
    </row>
    <row r="680" ht="15.5" customHeight="1" s="297">
      <c r="B680" s="390" t="inlineStr">
        <is>
          <t>Expense#42</t>
        </is>
      </c>
      <c r="C680" s="85" t="inlineStr">
        <is>
          <t>:</t>
        </is>
      </c>
      <c r="D680" s="390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1" t="n">
        <v>1</v>
      </c>
      <c r="I681" s="120" t="n"/>
      <c r="J681" s="120" t="n"/>
      <c r="K681" s="120" t="n"/>
      <c r="L681" s="120" t="n"/>
      <c r="M681" s="120" t="n"/>
      <c r="N681" s="376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2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6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6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6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6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6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6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6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6" t="n">
        <v>799000</v>
      </c>
      <c r="Q691" s="120" t="n"/>
    </row>
    <row r="692" ht="15.5" customHeight="1" s="297">
      <c r="B692" s="102" t="n"/>
      <c r="C692" s="15" t="n"/>
      <c r="D692" s="369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6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6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6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6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6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6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9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6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2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3" t="n">
        <v>200000</v>
      </c>
      <c r="G703" s="15" t="inlineStr">
        <is>
          <t>IDR</t>
        </is>
      </c>
      <c r="H703" s="366" t="n">
        <v>1</v>
      </c>
      <c r="I703" s="362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6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6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3" t="n">
        <v>299900</v>
      </c>
      <c r="G708" s="15" t="inlineStr">
        <is>
          <t>IDR</t>
        </is>
      </c>
      <c r="H708" s="366" t="n">
        <v>1</v>
      </c>
      <c r="I708" s="376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3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4" t="n">
        <v>306982</v>
      </c>
      <c r="G712" s="64" t="inlineStr">
        <is>
          <t>IDR</t>
        </is>
      </c>
      <c r="H712" s="395" t="n">
        <v>1</v>
      </c>
      <c r="I712" s="61" t="n"/>
      <c r="J712" s="120" t="n"/>
      <c r="K712" s="120" t="n"/>
      <c r="L712" s="120" t="n"/>
      <c r="M712" s="376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4" t="n">
        <v>306982</v>
      </c>
      <c r="G713" s="64" t="inlineStr">
        <is>
          <t>IDR</t>
        </is>
      </c>
      <c r="H713" s="395" t="n">
        <v>1</v>
      </c>
      <c r="I713" s="61" t="n"/>
      <c r="J713" s="120" t="n"/>
      <c r="K713" s="120" t="n"/>
      <c r="L713" s="120" t="n"/>
      <c r="M713" s="376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4" t="n">
        <v>306982</v>
      </c>
      <c r="G714" s="64" t="inlineStr">
        <is>
          <t>IDR</t>
        </is>
      </c>
      <c r="H714" s="395" t="n">
        <v>1</v>
      </c>
      <c r="I714" s="61" t="n"/>
      <c r="J714" s="120" t="n"/>
      <c r="K714" s="120" t="n"/>
      <c r="L714" s="120" t="n"/>
      <c r="M714" s="376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4" t="n">
        <v>306982</v>
      </c>
      <c r="G715" s="64" t="inlineStr">
        <is>
          <t>IDR</t>
        </is>
      </c>
      <c r="H715" s="395" t="n">
        <v>1</v>
      </c>
      <c r="I715" s="61" t="n"/>
      <c r="J715" s="120" t="n"/>
      <c r="K715" s="120" t="n"/>
      <c r="L715" s="120" t="n"/>
      <c r="M715" s="376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4" t="n">
        <v>306982</v>
      </c>
      <c r="G716" s="64" t="inlineStr">
        <is>
          <t>IDR</t>
        </is>
      </c>
      <c r="H716" s="395" t="n">
        <v>1</v>
      </c>
      <c r="I716" s="61" t="n"/>
      <c r="J716" s="120" t="n"/>
      <c r="K716" s="120" t="n"/>
      <c r="L716" s="120" t="n"/>
      <c r="M716" s="376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4" t="n">
        <v>13201183.322</v>
      </c>
      <c r="G717" s="64" t="inlineStr">
        <is>
          <t>MYR</t>
        </is>
      </c>
      <c r="H717" s="395" t="n">
        <v>3636.89</v>
      </c>
      <c r="I717" s="362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4" t="n">
        <v>200000</v>
      </c>
      <c r="G718" s="64" t="inlineStr">
        <is>
          <t>IDR</t>
        </is>
      </c>
      <c r="H718" s="395" t="n">
        <v>1</v>
      </c>
      <c r="I718" s="362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4" t="n">
        <v>1803353</v>
      </c>
      <c r="G719" s="64" t="inlineStr">
        <is>
          <t>IDR</t>
        </is>
      </c>
      <c r="H719" s="395" t="n">
        <v>1</v>
      </c>
      <c r="I719" s="376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3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4" t="n">
        <v>181844.5</v>
      </c>
      <c r="G721" s="64" t="inlineStr">
        <is>
          <t>MYR</t>
        </is>
      </c>
      <c r="H721" s="395" t="n">
        <v>3636.89</v>
      </c>
      <c r="I721" s="36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4" t="n">
        <v>1897983</v>
      </c>
      <c r="G722" s="64" t="inlineStr">
        <is>
          <t>IDR</t>
        </is>
      </c>
      <c r="H722" s="395" t="n">
        <v>1</v>
      </c>
      <c r="I722" s="376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4" t="n">
        <v>181844.5</v>
      </c>
      <c r="G723" s="64" t="inlineStr">
        <is>
          <t>MYR</t>
        </is>
      </c>
      <c r="H723" s="395" t="n">
        <v>3636.89</v>
      </c>
      <c r="I723" s="376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3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4" t="n">
        <v>200000</v>
      </c>
      <c r="G725" s="64" t="inlineStr">
        <is>
          <t>IDR</t>
        </is>
      </c>
      <c r="H725" s="395" t="n">
        <v>1</v>
      </c>
      <c r="I725" s="362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3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4" t="n">
        <v>600000</v>
      </c>
      <c r="G727" s="64" t="inlineStr">
        <is>
          <t>IDR</t>
        </is>
      </c>
      <c r="H727" s="395" t="n">
        <v>1</v>
      </c>
      <c r="I727" s="362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4" t="n">
        <v>3000000</v>
      </c>
      <c r="G728" s="64" t="inlineStr">
        <is>
          <t>IDR</t>
        </is>
      </c>
      <c r="H728" s="395" t="n">
        <v>1</v>
      </c>
      <c r="I728" s="362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4" t="n">
        <v>3000000</v>
      </c>
      <c r="G729" s="64" t="inlineStr">
        <is>
          <t>IDR</t>
        </is>
      </c>
      <c r="H729" s="395" t="n">
        <v>1</v>
      </c>
      <c r="I729" s="376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4" t="n">
        <v>300000</v>
      </c>
      <c r="G730" s="64" t="inlineStr">
        <is>
          <t>IDR</t>
        </is>
      </c>
      <c r="H730" s="395" t="n">
        <v>1</v>
      </c>
      <c r="I730" s="362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4" t="n">
        <v>3000000</v>
      </c>
      <c r="G731" s="64" t="inlineStr">
        <is>
          <t>IDR</t>
        </is>
      </c>
      <c r="H731" s="395" t="n">
        <v>1</v>
      </c>
      <c r="I731" s="376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3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4" t="n">
        <v>100000</v>
      </c>
      <c r="G733" s="64" t="inlineStr">
        <is>
          <t>IDR</t>
        </is>
      </c>
      <c r="H733" s="395" t="n">
        <v>1</v>
      </c>
      <c r="I733" s="376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4" t="n">
        <v>400000</v>
      </c>
      <c r="G734" s="64" t="inlineStr">
        <is>
          <t>IDR</t>
        </is>
      </c>
      <c r="H734" s="395" t="n">
        <v>1</v>
      </c>
      <c r="I734" s="376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4" t="n">
        <v>784000</v>
      </c>
      <c r="G735" s="64" t="inlineStr">
        <is>
          <t>IDR</t>
        </is>
      </c>
      <c r="H735" s="395" t="n">
        <v>1</v>
      </c>
      <c r="I735" s="376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4" t="n">
        <v>100000</v>
      </c>
      <c r="G736" s="64" t="inlineStr">
        <is>
          <t>IDR</t>
        </is>
      </c>
      <c r="H736" s="395" t="n">
        <v>1</v>
      </c>
      <c r="I736" s="376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4" t="n">
        <v>300000</v>
      </c>
      <c r="G737" s="64" t="inlineStr">
        <is>
          <t>IDR</t>
        </is>
      </c>
      <c r="H737" s="395" t="n">
        <v>1</v>
      </c>
      <c r="I737" s="376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2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6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7" t="n">
        <v>300000</v>
      </c>
      <c r="G758" s="60" t="inlineStr">
        <is>
          <t>IDR</t>
        </is>
      </c>
      <c r="H758" s="374" t="n">
        <v>1</v>
      </c>
      <c r="I758" s="362" t="n">
        <v>300000</v>
      </c>
      <c r="J758" s="398" t="n"/>
      <c r="K758" s="398" t="n"/>
      <c r="L758" s="398" t="n"/>
      <c r="M758" s="398" t="n"/>
      <c r="N758" s="398" t="n"/>
      <c r="O758" s="398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9" t="n">
        <v>200000</v>
      </c>
      <c r="G759" s="15" t="inlineStr">
        <is>
          <t>IDR</t>
        </is>
      </c>
      <c r="H759" s="366" t="n">
        <v>1</v>
      </c>
      <c r="I759" s="362" t="n">
        <v>200000</v>
      </c>
      <c r="J759" s="400" t="n"/>
      <c r="K759" s="400" t="n"/>
      <c r="L759" s="398" t="n"/>
      <c r="M759" s="400" t="n"/>
      <c r="N759" s="400" t="n"/>
      <c r="O759" s="398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9" t="n">
        <v>61500</v>
      </c>
      <c r="G760" s="15" t="inlineStr">
        <is>
          <t>IDR</t>
        </is>
      </c>
      <c r="H760" s="366" t="n">
        <v>1</v>
      </c>
      <c r="I760" s="362" t="n">
        <v>61500</v>
      </c>
      <c r="J760" s="400" t="n"/>
      <c r="K760" s="400" t="n"/>
      <c r="L760" s="398" t="n"/>
      <c r="M760" s="400" t="n"/>
      <c r="N760" s="400" t="n"/>
      <c r="O760" s="398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9" t="n">
        <v>12500</v>
      </c>
      <c r="G761" s="15" t="inlineStr">
        <is>
          <t>IDR</t>
        </is>
      </c>
      <c r="H761" s="366" t="n">
        <v>1</v>
      </c>
      <c r="I761" s="362" t="n">
        <v>12500</v>
      </c>
      <c r="J761" s="400" t="n"/>
      <c r="K761" s="400" t="n"/>
      <c r="L761" s="398" t="n"/>
      <c r="M761" s="400" t="n"/>
      <c r="N761" s="400" t="n"/>
      <c r="O761" s="398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9" t="n">
        <v>224000</v>
      </c>
      <c r="G762" s="15" t="inlineStr">
        <is>
          <t>IDR</t>
        </is>
      </c>
      <c r="H762" s="366" t="n">
        <v>1</v>
      </c>
      <c r="I762" s="362" t="n">
        <v>224000</v>
      </c>
      <c r="J762" s="400" t="n"/>
      <c r="K762" s="400" t="n"/>
      <c r="L762" s="398" t="n"/>
      <c r="M762" s="400" t="n"/>
      <c r="N762" s="400" t="n"/>
      <c r="O762" s="398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9" t="n">
        <v>140000</v>
      </c>
      <c r="G763" s="15" t="inlineStr">
        <is>
          <t>IDR</t>
        </is>
      </c>
      <c r="H763" s="366" t="n">
        <v>1</v>
      </c>
      <c r="I763" s="362" t="n">
        <v>140000</v>
      </c>
      <c r="J763" s="400" t="n"/>
      <c r="K763" s="400" t="n"/>
      <c r="L763" s="398" t="n"/>
      <c r="M763" s="400" t="n"/>
      <c r="N763" s="400" t="n"/>
      <c r="O763" s="398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9" t="n">
        <v>11000</v>
      </c>
      <c r="G764" s="15" t="inlineStr">
        <is>
          <t>IDR</t>
        </is>
      </c>
      <c r="H764" s="366" t="n">
        <v>1</v>
      </c>
      <c r="I764" s="362" t="n">
        <v>11000</v>
      </c>
      <c r="J764" s="400" t="n"/>
      <c r="K764" s="400" t="n"/>
      <c r="L764" s="398" t="n"/>
      <c r="M764" s="400" t="n"/>
      <c r="N764" s="400" t="n"/>
      <c r="O764" s="398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9" t="n">
        <v>11000</v>
      </c>
      <c r="G765" s="15" t="inlineStr">
        <is>
          <t>IDR</t>
        </is>
      </c>
      <c r="H765" s="366" t="n">
        <v>1</v>
      </c>
      <c r="I765" s="362" t="n">
        <v>11000</v>
      </c>
      <c r="J765" s="400" t="n"/>
      <c r="K765" s="400" t="n"/>
      <c r="L765" s="398" t="n"/>
      <c r="M765" s="400" t="n"/>
      <c r="N765" s="400" t="n"/>
      <c r="O765" s="398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9" t="n">
        <v>66000</v>
      </c>
      <c r="G766" s="15" t="inlineStr">
        <is>
          <t>IDR</t>
        </is>
      </c>
      <c r="H766" s="366" t="n">
        <v>1</v>
      </c>
      <c r="I766" s="362" t="n">
        <v>66000</v>
      </c>
      <c r="J766" s="400" t="n"/>
      <c r="K766" s="400" t="n"/>
      <c r="L766" s="400" t="n"/>
      <c r="M766" s="400" t="n"/>
      <c r="N766" s="400" t="n"/>
      <c r="O766" s="398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01" t="n"/>
      <c r="B1" s="401" t="n"/>
      <c r="C1" s="401" t="n"/>
      <c r="D1" s="401" t="n"/>
      <c r="E1" s="402" t="n"/>
    </row>
    <row r="2" ht="37.25" customHeight="1" s="297">
      <c r="A2" s="401" t="n"/>
      <c r="B2" s="401" t="n"/>
      <c r="C2" s="401" t="n"/>
      <c r="D2" s="401" t="n"/>
      <c r="E2" s="402" t="n"/>
    </row>
    <row r="3" ht="33.65" customHeight="1" s="297">
      <c r="A3" s="401" t="n"/>
      <c r="B3" s="403" t="inlineStr">
        <is>
          <t>PT. EXSPAN WIRELINE INDONESIA</t>
        </is>
      </c>
      <c r="F3" s="404" t="n"/>
      <c r="G3" s="405" t="inlineStr">
        <is>
          <t>PT. EXSPAN WIRELINE INDONESIA</t>
        </is>
      </c>
      <c r="H3" s="405" t="n"/>
      <c r="I3" s="405" t="n"/>
      <c r="J3" s="405" t="n"/>
    </row>
    <row r="4" ht="20.5" customHeight="1" s="297">
      <c r="A4" s="401" t="n"/>
      <c r="B4" s="406" t="inlineStr">
        <is>
          <t>LABA RUGI | TAHUN 2024</t>
        </is>
      </c>
      <c r="F4" s="404" t="n"/>
      <c r="G4" s="407" t="inlineStr">
        <is>
          <t>NERACA | TAHUN YANG BERAKHIR, 31 DESEMBER 2024</t>
        </is>
      </c>
      <c r="H4" s="407" t="n"/>
      <c r="I4" s="407" t="n"/>
      <c r="J4" s="407" t="n"/>
      <c r="K4" s="408" t="inlineStr">
        <is>
          <t>CATATAN KEAMANAN</t>
        </is>
      </c>
    </row>
    <row r="5" ht="6" customHeight="1" s="297">
      <c r="A5" s="401" t="n"/>
      <c r="B5" s="401" t="n"/>
      <c r="C5" s="401" t="n"/>
      <c r="D5" s="401" t="n"/>
      <c r="E5" s="402" t="n"/>
      <c r="F5" s="404" t="n"/>
      <c r="G5" s="404" t="n"/>
      <c r="H5" s="409" t="n"/>
      <c r="I5" s="409" t="n"/>
      <c r="J5" s="409" t="n"/>
      <c r="K5" t="inlineStr">
        <is>
          <t>Kolom ini aman dari overwrite sistem.</t>
        </is>
      </c>
    </row>
    <row r="6" ht="15.5" customHeight="1" s="297">
      <c r="A6" s="401" t="n"/>
      <c r="B6" s="410" t="n"/>
      <c r="C6" s="411" t="n"/>
      <c r="D6" s="412" t="inlineStr">
        <is>
          <t>PT. Exspan Wireline Indonesia</t>
        </is>
      </c>
      <c r="E6" s="289" t="n"/>
      <c r="F6" s="404" t="n"/>
      <c r="G6" s="413" t="n"/>
      <c r="H6" s="414" t="n"/>
      <c r="I6" s="412" t="inlineStr">
        <is>
          <t>PT. Exspan Wireline Indonesia</t>
        </is>
      </c>
      <c r="J6" s="289" t="n"/>
      <c r="K6" t="inlineStr">
        <is>
          <t>Diverifikasi pada: 2026-03-22 03:06</t>
        </is>
      </c>
    </row>
    <row r="7" ht="15.5" customHeight="1" s="297">
      <c r="A7" s="401" t="n"/>
      <c r="B7" s="415" t="n"/>
      <c r="C7" s="416" t="n"/>
      <c r="D7" s="417" t="inlineStr">
        <is>
          <t>(Rp)</t>
        </is>
      </c>
      <c r="E7" s="290" t="n"/>
      <c r="F7" s="404" t="n"/>
      <c r="G7" s="418" t="n"/>
      <c r="H7" s="419" t="n"/>
      <c r="I7" s="417" t="inlineStr">
        <is>
          <t>(Rp)</t>
        </is>
      </c>
      <c r="J7" s="290" t="n"/>
    </row>
    <row r="8">
      <c r="A8" s="401" t="n"/>
      <c r="B8" s="420" t="inlineStr">
        <is>
          <t>PENDAPATAN</t>
        </is>
      </c>
      <c r="C8" s="421" t="n"/>
      <c r="D8" s="422" t="n"/>
      <c r="E8" s="423" t="n"/>
      <c r="F8" s="404" t="n"/>
      <c r="G8" s="424" t="inlineStr">
        <is>
          <t>AKTIVA</t>
        </is>
      </c>
      <c r="H8" s="425" t="n"/>
      <c r="I8" s="426" t="n"/>
      <c r="J8" s="427" t="n"/>
    </row>
    <row r="9">
      <c r="A9" s="401" t="n"/>
      <c r="B9" s="428" t="n"/>
      <c r="C9" s="421" t="inlineStr">
        <is>
          <t>PENDAPATAN LANGSUNG</t>
        </is>
      </c>
      <c r="D9" s="428" t="inlineStr">
        <is>
          <t>Rp</t>
        </is>
      </c>
      <c r="E9" s="429">
        <f>SUM('Revenue-Cost_2024'!F8:F20)</f>
        <v/>
      </c>
      <c r="F9" s="404" t="n"/>
      <c r="G9" s="430" t="inlineStr">
        <is>
          <t>AKTIVA LANCAR</t>
        </is>
      </c>
      <c r="H9" s="431" t="n"/>
      <c r="I9" s="430" t="n"/>
      <c r="J9" s="432" t="n"/>
    </row>
    <row r="10">
      <c r="A10" s="401" t="n"/>
      <c r="B10" s="428" t="n"/>
      <c r="C10" s="421" t="inlineStr">
        <is>
          <t>PENDAPATAN LAIN LAIN</t>
        </is>
      </c>
      <c r="D10" s="428" t="inlineStr">
        <is>
          <t>Rp</t>
        </is>
      </c>
      <c r="E10" s="429">
        <f>SUM('Revenue-Cost_2024'!F21)</f>
        <v/>
      </c>
      <c r="F10" s="404" t="n"/>
      <c r="G10" s="433" t="n"/>
      <c r="H10" s="434" t="inlineStr">
        <is>
          <t>KAS DAN SETARA KAS TAHUN SEBELUMNYA</t>
        </is>
      </c>
      <c r="I10" s="428" t="inlineStr">
        <is>
          <t>Rp</t>
        </is>
      </c>
      <c r="J10" s="435" t="n">
        <v>0</v>
      </c>
    </row>
    <row r="11">
      <c r="A11" s="401" t="n"/>
      <c r="B11" s="428" t="n"/>
      <c r="C11" s="421" t="n"/>
      <c r="D11" s="436" t="n"/>
      <c r="E11" s="437" t="n"/>
      <c r="F11" s="404" t="n"/>
      <c r="G11" s="433" t="n"/>
      <c r="H11" s="434" t="inlineStr">
        <is>
          <t>KAS DAN SETARA KAS TAHUN LAPORAN</t>
        </is>
      </c>
      <c r="I11" s="428" t="inlineStr">
        <is>
          <t>Rp</t>
        </is>
      </c>
      <c r="J11" s="435">
        <f>E46-'Business Summary'!E13</f>
        <v/>
      </c>
    </row>
    <row r="12">
      <c r="A12" s="401" t="n"/>
      <c r="B12" s="438" t="inlineStr">
        <is>
          <t>TOTALPENDAPATAN</t>
        </is>
      </c>
      <c r="C12" s="439" t="n"/>
      <c r="D12" s="440" t="inlineStr">
        <is>
          <t>Rp</t>
        </is>
      </c>
      <c r="E12" s="441">
        <f>SUM(E9:E11)</f>
        <v/>
      </c>
      <c r="F12" s="404" t="n"/>
      <c r="G12" s="433" t="n"/>
      <c r="H12" s="434" t="inlineStr">
        <is>
          <t>PIUTANG USAHA</t>
        </is>
      </c>
      <c r="I12" s="428" t="inlineStr">
        <is>
          <t>Rp</t>
        </is>
      </c>
      <c r="J12" s="435" t="n">
        <v>0</v>
      </c>
    </row>
    <row r="13">
      <c r="A13" s="401" t="n"/>
      <c r="B13" s="428" t="n"/>
      <c r="C13" s="421" t="n"/>
      <c r="D13" s="422" t="n"/>
      <c r="E13" s="442" t="n"/>
      <c r="F13" s="404" t="n"/>
      <c r="G13" s="433" t="n"/>
      <c r="H13" s="434" t="inlineStr">
        <is>
          <t>PAJAK BAYAR DI MUKA (pph23)</t>
        </is>
      </c>
      <c r="I13" s="428" t="inlineStr">
        <is>
          <t>Rp</t>
        </is>
      </c>
      <c r="J13" s="435" t="n">
        <v>0</v>
      </c>
    </row>
    <row r="14">
      <c r="A14" s="401" t="n"/>
      <c r="B14" s="443" t="inlineStr">
        <is>
          <t>BEBAN LANGSUNG</t>
        </is>
      </c>
      <c r="C14" s="421" t="n"/>
      <c r="D14" s="428" t="n"/>
      <c r="E14" s="444" t="n"/>
      <c r="F14" s="404" t="n"/>
      <c r="G14" s="433" t="n"/>
      <c r="H14" s="434" t="inlineStr">
        <is>
          <t>BIAYA BAYAR DI MUKA</t>
        </is>
      </c>
      <c r="I14" s="428" t="inlineStr">
        <is>
          <t>Rp</t>
        </is>
      </c>
      <c r="J14" s="435" t="n">
        <v>0</v>
      </c>
    </row>
    <row r="15">
      <c r="A15" s="401" t="n"/>
      <c r="B15" s="445" t="n"/>
      <c r="C15" s="421" t="inlineStr">
        <is>
          <t xml:space="preserve">Biaya Operasi </t>
        </is>
      </c>
      <c r="D15" s="428" t="inlineStr">
        <is>
          <t>Rp</t>
        </is>
      </c>
      <c r="E15" s="444">
        <f>'Revenue-Cost_2024'!I750</f>
        <v/>
      </c>
      <c r="F15" s="404" t="n"/>
      <c r="G15" s="446" t="n"/>
      <c r="H15" s="434" t="inlineStr">
        <is>
          <t>PIUTANG LAIN LAIN</t>
        </is>
      </c>
      <c r="I15" s="428" t="inlineStr">
        <is>
          <t>Rp</t>
        </is>
      </c>
      <c r="J15" s="435" t="n">
        <v>0</v>
      </c>
    </row>
    <row r="16">
      <c r="A16" s="401" t="n"/>
      <c r="B16" s="445" t="n"/>
      <c r="C16" s="421" t="inlineStr">
        <is>
          <t>Biaya research (R &amp; D)</t>
        </is>
      </c>
      <c r="D16" s="428" t="inlineStr">
        <is>
          <t>Rp</t>
        </is>
      </c>
      <c r="E16" s="444">
        <f>'Revenue-Cost_2024'!J750</f>
        <v/>
      </c>
      <c r="F16" s="404" t="n"/>
      <c r="G16" s="447" t="n"/>
      <c r="H16" s="448" t="inlineStr">
        <is>
          <t>TOTAL AKTIVA LANCAR</t>
        </is>
      </c>
      <c r="I16" s="440" t="inlineStr">
        <is>
          <t>Rp</t>
        </is>
      </c>
      <c r="J16" s="449">
        <f>SUM(J10:J15)</f>
        <v/>
      </c>
    </row>
    <row r="17">
      <c r="A17" s="401" t="n"/>
      <c r="B17" s="445" t="n"/>
      <c r="C17" s="421" t="inlineStr">
        <is>
          <t>BIAYA SEWA PERALATAN</t>
        </is>
      </c>
      <c r="D17" s="428" t="inlineStr">
        <is>
          <t>Rp</t>
        </is>
      </c>
      <c r="E17" s="444">
        <f>'Revenue-Cost_2024'!K750</f>
        <v/>
      </c>
      <c r="F17" s="404" t="n"/>
      <c r="G17" s="433" t="n"/>
      <c r="H17" s="434" t="n"/>
      <c r="I17" s="450" t="n"/>
      <c r="J17" s="451" t="n"/>
    </row>
    <row r="18">
      <c r="A18" s="401" t="n"/>
      <c r="B18" s="445" t="n"/>
      <c r="C18" s="421" t="inlineStr">
        <is>
          <t>BIAYA Data Processing</t>
        </is>
      </c>
      <c r="D18" s="428" t="inlineStr">
        <is>
          <t>Rp</t>
        </is>
      </c>
      <c r="E18" s="444">
        <f>'Revenue-Cost_2024'!L750</f>
        <v/>
      </c>
      <c r="F18" s="404" t="n"/>
      <c r="G18" s="430" t="inlineStr">
        <is>
          <t>ACTIVA TETAP</t>
        </is>
      </c>
      <c r="H18" s="452" t="n"/>
      <c r="I18" s="424" t="n"/>
      <c r="J18" s="435" t="n"/>
    </row>
    <row r="19">
      <c r="A19" s="401" t="n"/>
      <c r="B19" s="445" t="n"/>
      <c r="C19" s="421" t="n"/>
      <c r="D19" s="428" t="n"/>
      <c r="E19" s="444" t="n"/>
      <c r="F19" s="404" t="n"/>
      <c r="G19" s="430" t="n"/>
      <c r="H19" s="452" t="n"/>
      <c r="I19" s="424" t="n"/>
      <c r="J19" s="435" t="n"/>
    </row>
    <row r="20">
      <c r="A20" s="401" t="n"/>
      <c r="B20" s="445" t="n"/>
      <c r="C20" s="421" t="n"/>
      <c r="D20" s="436" t="n"/>
      <c r="E20" s="453" t="n"/>
      <c r="F20" s="404" t="n"/>
      <c r="G20" s="433" t="n"/>
      <c r="H20" s="434" t="inlineStr">
        <is>
          <t>INVENTARIS KANTOR</t>
        </is>
      </c>
      <c r="I20" s="428" t="inlineStr">
        <is>
          <t>Rp</t>
        </is>
      </c>
      <c r="J20" s="435" t="n">
        <v>0</v>
      </c>
    </row>
    <row r="21">
      <c r="A21" s="401" t="n"/>
      <c r="B21" s="438" t="inlineStr">
        <is>
          <t>TOTAL BIAYA LANGSUNG</t>
        </is>
      </c>
      <c r="C21" s="439" t="n"/>
      <c r="D21" s="440" t="inlineStr">
        <is>
          <t>Rp</t>
        </is>
      </c>
      <c r="E21" s="454">
        <f>SUM(E15:E20)</f>
        <v/>
      </c>
      <c r="F21" s="404" t="n"/>
      <c r="G21" s="433" t="n"/>
      <c r="H21" s="452" t="n"/>
      <c r="I21" s="455" t="n"/>
      <c r="J21" s="456" t="n"/>
    </row>
    <row r="22">
      <c r="A22" s="401" t="n"/>
      <c r="B22" s="428" t="n"/>
      <c r="C22" s="421" t="n"/>
      <c r="D22" s="422" t="n"/>
      <c r="E22" s="457" t="n"/>
      <c r="F22" s="404" t="n"/>
      <c r="G22" s="447" t="n"/>
      <c r="H22" s="448" t="inlineStr">
        <is>
          <t>TOTAL AKTIVA TETAP</t>
        </is>
      </c>
      <c r="I22" s="440" t="inlineStr">
        <is>
          <t>Rp</t>
        </is>
      </c>
      <c r="J22" s="449">
        <f>J20</f>
        <v/>
      </c>
    </row>
    <row r="23">
      <c r="A23" s="401" t="n"/>
      <c r="B23" s="443" t="inlineStr">
        <is>
          <t>BEBAN TIDAK LANGSUNG</t>
        </is>
      </c>
      <c r="C23" s="421" t="n"/>
      <c r="D23" s="428" t="n"/>
      <c r="E23" s="444">
        <f>'Revenue-Cost_2024'!Q750</f>
        <v/>
      </c>
      <c r="F23" s="404" t="n"/>
      <c r="G23" s="433" t="n"/>
      <c r="H23" s="434" t="n"/>
      <c r="I23" s="450" t="n"/>
      <c r="J23" s="427" t="n"/>
    </row>
    <row r="24">
      <c r="A24" s="401" t="n"/>
      <c r="B24" s="428" t="n"/>
      <c r="C24" s="421" t="n"/>
      <c r="D24" s="428" t="n"/>
      <c r="E24" s="444" t="n"/>
      <c r="F24" s="404" t="n"/>
      <c r="G24" s="430" t="inlineStr">
        <is>
          <t>ACTIVA LAIN LAIN</t>
        </is>
      </c>
      <c r="H24" s="452" t="n"/>
      <c r="I24" s="424" t="n"/>
      <c r="J24" s="435" t="n">
        <v>0</v>
      </c>
    </row>
    <row r="25">
      <c r="A25" s="401" t="n"/>
      <c r="B25" s="428" t="n"/>
      <c r="C25" s="421" t="n"/>
      <c r="D25" s="428" t="inlineStr">
        <is>
          <t>Rp</t>
        </is>
      </c>
      <c r="E25" s="444" t="n"/>
      <c r="F25" s="404" t="n"/>
      <c r="G25" s="433" t="n"/>
      <c r="H25" s="434" t="n"/>
      <c r="I25" s="458" t="n"/>
      <c r="J25" s="459" t="n">
        <v>0</v>
      </c>
    </row>
    <row r="26">
      <c r="A26" s="401" t="n"/>
      <c r="B26" s="428" t="n"/>
      <c r="C26" s="421" t="n"/>
      <c r="D26" s="436" t="n"/>
      <c r="E26" s="453" t="n"/>
      <c r="F26" s="404" t="n"/>
      <c r="G26" s="447" t="n"/>
      <c r="H26" s="448" t="inlineStr">
        <is>
          <t>TOTAL AKTIVA LAIN LAIN</t>
        </is>
      </c>
      <c r="I26" s="440" t="inlineStr">
        <is>
          <t>Rp</t>
        </is>
      </c>
      <c r="J26" s="449">
        <f>SUM(J25:J25)</f>
        <v/>
      </c>
    </row>
    <row r="27">
      <c r="A27" s="401" t="n"/>
      <c r="B27" s="438" t="inlineStr">
        <is>
          <t>TOTAL BIAYA TIDAK LANGSUNG</t>
        </is>
      </c>
      <c r="C27" s="439" t="n"/>
      <c r="D27" s="440" t="inlineStr">
        <is>
          <t>Rp</t>
        </is>
      </c>
      <c r="E27" s="454">
        <f>SUM(E22:E26)</f>
        <v/>
      </c>
      <c r="F27" s="404" t="n"/>
      <c r="G27" s="433" t="n"/>
      <c r="H27" s="434" t="n"/>
      <c r="I27" s="460" t="n"/>
      <c r="J27" s="461" t="n"/>
    </row>
    <row r="28">
      <c r="A28" s="401" t="n"/>
      <c r="B28" s="428" t="n"/>
      <c r="C28" s="421" t="n"/>
      <c r="D28" s="422" t="n"/>
      <c r="E28" s="457" t="n"/>
      <c r="F28" s="404" t="n"/>
      <c r="G28" s="438" t="inlineStr">
        <is>
          <t>TOTAL AKTIVA</t>
        </is>
      </c>
      <c r="H28" s="439" t="n"/>
      <c r="I28" s="440" t="inlineStr">
        <is>
          <t>Rp</t>
        </is>
      </c>
      <c r="J28" s="462">
        <f>J26+J22+J16</f>
        <v/>
      </c>
    </row>
    <row r="29">
      <c r="A29" s="401" t="n"/>
      <c r="B29" s="443" t="inlineStr">
        <is>
          <t>BIAYA ADMINISTRASI DAN UMUM</t>
        </is>
      </c>
      <c r="C29" s="421" t="n"/>
      <c r="D29" s="428" t="n"/>
      <c r="E29" s="444" t="n"/>
      <c r="F29" s="404" t="n"/>
      <c r="G29" s="463" t="n"/>
      <c r="H29" s="464" t="n"/>
      <c r="I29" s="463" t="n"/>
      <c r="J29" s="451" t="n"/>
    </row>
    <row r="30">
      <c r="A30" s="401" t="n"/>
      <c r="B30" s="445" t="n"/>
      <c r="C30" s="421" t="inlineStr">
        <is>
          <t>BIAYA ADMINISTRASI</t>
        </is>
      </c>
      <c r="D30" s="428" t="inlineStr">
        <is>
          <t>Rp</t>
        </is>
      </c>
      <c r="E30" s="444">
        <f>'Revenue-Cost_2024'!M750</f>
        <v/>
      </c>
      <c r="F30" s="404" t="n"/>
      <c r="G30" s="465" t="inlineStr">
        <is>
          <t>HUTANG DAN MODAL</t>
        </is>
      </c>
      <c r="H30" s="425" t="n"/>
      <c r="I30" s="465" t="n"/>
      <c r="J30" s="466" t="n"/>
    </row>
    <row r="31">
      <c r="A31" s="401" t="n"/>
      <c r="B31" s="445" t="n"/>
      <c r="C31" s="421" t="inlineStr">
        <is>
          <t>BIAYA PEMBELIAN Barang</t>
        </is>
      </c>
      <c r="D31" s="428" t="inlineStr">
        <is>
          <t>Rp</t>
        </is>
      </c>
      <c r="E31" s="444">
        <f>'Revenue-Cost_2024'!N750</f>
        <v/>
      </c>
      <c r="F31" s="404" t="n"/>
      <c r="G31" s="465" t="n"/>
      <c r="H31" s="425" t="n"/>
      <c r="I31" s="465" t="n"/>
      <c r="J31" s="466" t="n"/>
    </row>
    <row r="32">
      <c r="A32" s="401" t="n"/>
      <c r="B32" s="445" t="n"/>
      <c r="C32" s="421" t="inlineStr">
        <is>
          <t>BIAYA SEWA KANTOR</t>
        </is>
      </c>
      <c r="D32" s="428" t="inlineStr">
        <is>
          <t>Rp</t>
        </is>
      </c>
      <c r="E32" s="444">
        <f>'Revenue-Cost_2024'!O750</f>
        <v/>
      </c>
      <c r="F32" s="404" t="n"/>
      <c r="G32" s="430" t="inlineStr">
        <is>
          <t>HUTANG LANCAR</t>
        </is>
      </c>
      <c r="H32" s="431" t="n"/>
      <c r="I32" s="430" t="n"/>
      <c r="J32" s="432" t="n"/>
    </row>
    <row r="33">
      <c r="A33" s="401" t="n"/>
      <c r="B33" s="445" t="n"/>
      <c r="C33" s="421" t="inlineStr">
        <is>
          <t>BIAYA KESEHATAN</t>
        </is>
      </c>
      <c r="D33" s="428" t="inlineStr">
        <is>
          <t>Rp</t>
        </is>
      </c>
      <c r="E33" s="444">
        <f>'Revenue-Cost_2024'!P750</f>
        <v/>
      </c>
      <c r="F33" s="404" t="n"/>
      <c r="G33" s="433" t="n"/>
      <c r="H33" s="434" t="inlineStr">
        <is>
          <t>HUTANG USAHA</t>
        </is>
      </c>
      <c r="I33" s="428" t="inlineStr">
        <is>
          <t>Rp</t>
        </is>
      </c>
      <c r="J33" s="435" t="n">
        <v>0</v>
      </c>
    </row>
    <row r="34">
      <c r="A34" s="401" t="n"/>
      <c r="B34" s="445" t="n"/>
      <c r="C34" s="421" t="n"/>
      <c r="D34" s="436" t="n"/>
      <c r="E34" s="453" t="n"/>
      <c r="F34" s="404" t="n"/>
      <c r="G34" s="433" t="n"/>
      <c r="H34" s="467" t="inlineStr">
        <is>
          <t>HUTANG GAJI</t>
        </is>
      </c>
      <c r="I34" s="428" t="inlineStr">
        <is>
          <t>Rp</t>
        </is>
      </c>
      <c r="J34" s="435" t="n">
        <v>0</v>
      </c>
    </row>
    <row r="35">
      <c r="A35" s="401" t="n"/>
      <c r="B35" s="438" t="inlineStr">
        <is>
          <t>TOTAL BIAYA ADMINISTRASI DAN UMUM</t>
        </is>
      </c>
      <c r="C35" s="439" t="n"/>
      <c r="D35" s="440" t="inlineStr">
        <is>
          <t>Rp</t>
        </is>
      </c>
      <c r="E35" s="441">
        <f>SUM(E30:E34)</f>
        <v/>
      </c>
      <c r="F35" s="404" t="n"/>
      <c r="G35" s="433" t="n"/>
      <c r="H35" s="434" t="inlineStr">
        <is>
          <t>HUTANG PEMEGANG SAHAM</t>
        </is>
      </c>
      <c r="I35" s="428" t="inlineStr">
        <is>
          <t>Rp</t>
        </is>
      </c>
      <c r="J35" s="435" t="n">
        <v>0</v>
      </c>
    </row>
    <row r="36">
      <c r="A36" s="401" t="n"/>
      <c r="B36" s="445" t="n"/>
      <c r="C36" s="421" t="n"/>
      <c r="D36" s="440" t="n"/>
      <c r="E36" s="468" t="n"/>
      <c r="F36" s="404" t="n"/>
      <c r="G36" s="433" t="n"/>
      <c r="H36" s="434" t="inlineStr">
        <is>
          <t>BIAYA YANG MASIH HARUS DI BAYAR</t>
        </is>
      </c>
      <c r="I36" s="428" t="inlineStr">
        <is>
          <t>Rp</t>
        </is>
      </c>
      <c r="J36" s="435" t="n">
        <v>0</v>
      </c>
    </row>
    <row r="37">
      <c r="A37" s="401" t="n"/>
      <c r="B37" s="438" t="inlineStr">
        <is>
          <t>TOTAL BIAYA</t>
        </is>
      </c>
      <c r="C37" s="439" t="n"/>
      <c r="D37" s="440" t="inlineStr">
        <is>
          <t>Rp</t>
        </is>
      </c>
      <c r="E37" s="441">
        <f>E35+E21+E27</f>
        <v/>
      </c>
      <c r="F37" s="404" t="n"/>
      <c r="G37" s="469" t="n"/>
      <c r="H37" s="470" t="n"/>
      <c r="I37" s="469" t="n"/>
      <c r="J37" s="471" t="n"/>
    </row>
    <row r="38">
      <c r="A38" s="401" t="n"/>
      <c r="B38" s="420" t="n"/>
      <c r="C38" s="472" t="n"/>
      <c r="D38" s="422" t="n"/>
      <c r="E38" s="473" t="n"/>
      <c r="F38" s="404" t="n"/>
      <c r="G38" s="447" t="n"/>
      <c r="H38" s="448" t="inlineStr">
        <is>
          <t>TOTAL HUTANG LANCAR</t>
        </is>
      </c>
      <c r="I38" s="474" t="n"/>
      <c r="J38" s="449">
        <f>SUM(J33:J36)</f>
        <v/>
      </c>
    </row>
    <row r="39">
      <c r="A39" s="401" t="n"/>
      <c r="B39" s="443" t="inlineStr">
        <is>
          <t xml:space="preserve">PENDAPATAN/BEBAN LAIN LAIN </t>
        </is>
      </c>
      <c r="C39" s="421" t="n"/>
      <c r="D39" s="428" t="inlineStr">
        <is>
          <t>Rp</t>
        </is>
      </c>
      <c r="E39" s="475" t="n"/>
      <c r="F39" s="404" t="n"/>
      <c r="G39" s="433" t="n"/>
      <c r="H39" s="452" t="n"/>
      <c r="I39" s="476" t="n"/>
      <c r="J39" s="427" t="n"/>
    </row>
    <row r="40">
      <c r="A40" s="401" t="n"/>
      <c r="B40" s="443" t="n"/>
      <c r="C40" s="421" t="inlineStr">
        <is>
          <t>PENDAPATAN LAINNYA</t>
        </is>
      </c>
      <c r="D40" s="428" t="inlineStr">
        <is>
          <t>Rp</t>
        </is>
      </c>
      <c r="E40" s="429" t="n">
        <v>0</v>
      </c>
      <c r="F40" s="404" t="n"/>
      <c r="G40" s="430" t="inlineStr">
        <is>
          <t>MODAL</t>
        </is>
      </c>
      <c r="H40" s="431" t="n"/>
      <c r="I40" s="430" t="n"/>
      <c r="J40" s="432" t="n"/>
    </row>
    <row r="41">
      <c r="A41" s="401" t="n"/>
      <c r="B41" s="443" t="n"/>
      <c r="C41" s="421" t="n"/>
      <c r="D41" s="436" t="n"/>
      <c r="E41" s="477" t="n"/>
      <c r="F41" s="404" t="n"/>
      <c r="G41" s="433" t="n"/>
      <c r="H41" s="434" t="inlineStr">
        <is>
          <t>MODAL SAHAM</t>
        </is>
      </c>
      <c r="I41" s="428" t="inlineStr">
        <is>
          <t>Rp</t>
        </is>
      </c>
      <c r="J41" s="435" t="n">
        <v>0</v>
      </c>
    </row>
    <row r="42">
      <c r="A42" s="401" t="n"/>
      <c r="B42" s="438" t="inlineStr">
        <is>
          <t>LABA RUGI SEBELUM PAJAK</t>
        </is>
      </c>
      <c r="C42" s="439" t="n"/>
      <c r="D42" s="440" t="inlineStr">
        <is>
          <t>Rp</t>
        </is>
      </c>
      <c r="E42" s="441">
        <f>E12-E37</f>
        <v/>
      </c>
      <c r="F42" s="404" t="n"/>
      <c r="G42" s="433" t="n"/>
      <c r="H42" s="434" t="inlineStr">
        <is>
          <t>LABA DI TAHAN</t>
        </is>
      </c>
      <c r="I42" s="428" t="inlineStr">
        <is>
          <t>Rp</t>
        </is>
      </c>
      <c r="J42" s="435" t="n">
        <v>0</v>
      </c>
    </row>
    <row r="43">
      <c r="A43" s="401" t="n"/>
      <c r="B43" s="478" t="n"/>
      <c r="C43" s="472" t="n"/>
      <c r="D43" s="422" t="n"/>
      <c r="E43" s="442" t="n"/>
      <c r="F43" s="404" t="n"/>
      <c r="G43" s="430" t="n"/>
      <c r="H43" s="434" t="inlineStr">
        <is>
          <t>TOTAL LABA (RUGI) DITAHAN</t>
        </is>
      </c>
      <c r="I43" s="436" t="inlineStr">
        <is>
          <t>Rp</t>
        </is>
      </c>
      <c r="J43" s="459">
        <f>J28-J38-J41-J42</f>
        <v/>
      </c>
    </row>
    <row r="44">
      <c r="A44" s="401" t="n"/>
      <c r="B44" s="443" t="inlineStr">
        <is>
          <t>CORPORATE TAX (PPh 29)</t>
        </is>
      </c>
      <c r="D44" s="428" t="inlineStr">
        <is>
          <t>Rp</t>
        </is>
      </c>
      <c r="E44" s="429" t="n">
        <v>0</v>
      </c>
      <c r="F44" s="404" t="n"/>
      <c r="G44" s="447" t="n"/>
      <c r="H44" s="448" t="inlineStr">
        <is>
          <t>TOTAL MODAL</t>
        </is>
      </c>
      <c r="I44" s="440" t="inlineStr">
        <is>
          <t>Rp</t>
        </is>
      </c>
      <c r="J44" s="449">
        <f>SUM(J41:J43)</f>
        <v/>
      </c>
    </row>
    <row r="45">
      <c r="A45" s="401" t="n"/>
      <c r="B45" s="443" t="n"/>
      <c r="C45" s="421" t="n"/>
      <c r="D45" s="436" t="n"/>
      <c r="E45" s="477" t="n"/>
      <c r="F45" s="404" t="n"/>
      <c r="G45" s="433" t="n"/>
      <c r="H45" s="434" t="n"/>
      <c r="I45" s="460" t="n"/>
      <c r="J45" s="461" t="n"/>
    </row>
    <row r="46" ht="15" customHeight="1" s="297">
      <c r="A46" s="401" t="n"/>
      <c r="B46" s="479" t="inlineStr">
        <is>
          <t>LABA / RUGI BERSIH</t>
        </is>
      </c>
      <c r="C46" s="303" t="n"/>
      <c r="D46" s="480" t="n"/>
      <c r="E46" s="481">
        <f>E42-E44</f>
        <v/>
      </c>
      <c r="F46" s="404" t="n"/>
      <c r="G46" s="482" t="inlineStr">
        <is>
          <t>TOTAL HUTANG DAN MODAL</t>
        </is>
      </c>
      <c r="H46" s="483" t="n"/>
      <c r="I46" s="480" t="inlineStr">
        <is>
          <t>Rp</t>
        </is>
      </c>
      <c r="J46" s="484">
        <f>J44+J38</f>
        <v/>
      </c>
    </row>
    <row r="47" ht="4.5" customHeight="1" s="297">
      <c r="A47" s="401" t="n"/>
      <c r="F47" s="404" t="n"/>
    </row>
    <row r="48" ht="50.65" customHeight="1" s="297">
      <c r="A48" s="401" t="n"/>
      <c r="F48" s="404" t="n"/>
      <c r="G48" s="485" t="n"/>
    </row>
    <row r="49" ht="16.75" customHeight="1" s="297">
      <c r="A49" s="401" t="n"/>
      <c r="B49" s="486" t="n"/>
      <c r="F49" s="404" t="n"/>
      <c r="G49" s="486" t="n"/>
    </row>
    <row r="50" ht="15.65" customHeight="1" s="297">
      <c r="A50" s="421" t="n"/>
      <c r="B50" s="487" t="inlineStr">
        <is>
          <t>Direktur</t>
        </is>
      </c>
      <c r="F50" s="404" t="n"/>
      <c r="G50" s="487" t="inlineStr">
        <is>
          <t>Direktur</t>
        </is>
      </c>
    </row>
    <row r="51">
      <c r="A51" s="421" t="n"/>
      <c r="F51" s="404" t="n"/>
    </row>
    <row r="52">
      <c r="A52" s="421" t="n"/>
      <c r="F52" s="404" t="n"/>
      <c r="J52" s="488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01" t="n"/>
      <c r="B1" s="401" t="n"/>
      <c r="C1" s="401" t="n"/>
      <c r="D1" s="401" t="n"/>
      <c r="E1" s="402" t="n"/>
    </row>
    <row r="2" ht="37.25" customHeight="1" s="297">
      <c r="A2" s="401" t="n"/>
      <c r="B2" s="401" t="n"/>
      <c r="C2" s="401" t="n"/>
      <c r="D2" s="401" t="n"/>
      <c r="E2" s="402" t="n"/>
    </row>
    <row r="3" ht="33.65" customHeight="1" s="297">
      <c r="A3" s="401" t="n"/>
      <c r="B3" s="403" t="inlineStr">
        <is>
          <t>PT. EXSPAN WIRELINE INDONESIA</t>
        </is>
      </c>
      <c r="F3" s="404" t="n"/>
    </row>
    <row r="4" ht="20.5" customHeight="1" s="297">
      <c r="A4" s="401" t="n"/>
      <c r="B4" s="406" t="inlineStr">
        <is>
          <t>BUSINESS SUMMARY | TAHUN 2024</t>
        </is>
      </c>
      <c r="F4" s="404" t="n"/>
    </row>
    <row r="5" ht="6" customHeight="1" s="297">
      <c r="A5" s="401" t="n"/>
      <c r="B5" s="401" t="n"/>
      <c r="C5" s="401" t="n"/>
      <c r="D5" s="401" t="n"/>
      <c r="E5" s="402" t="n"/>
      <c r="F5" s="404" t="n"/>
    </row>
    <row r="6" ht="19" customHeight="1" s="297">
      <c r="A6" s="401" t="n"/>
      <c r="B6" s="489" t="inlineStr">
        <is>
          <t>#</t>
        </is>
      </c>
      <c r="C6" s="489" t="inlineStr">
        <is>
          <t>Items</t>
        </is>
      </c>
      <c r="D6" s="490" t="inlineStr">
        <is>
          <t>Amount</t>
        </is>
      </c>
      <c r="E6" s="279" t="n"/>
      <c r="F6" s="404" t="n"/>
    </row>
    <row r="7" ht="19" customHeight="1" s="297">
      <c r="A7" s="401" t="n"/>
      <c r="B7" s="491" t="n">
        <v>1</v>
      </c>
      <c r="C7" s="492" t="inlineStr">
        <is>
          <t>Revenue</t>
        </is>
      </c>
      <c r="D7" s="493" t="inlineStr">
        <is>
          <t>Rp</t>
        </is>
      </c>
      <c r="E7" s="494">
        <f>'Revenue-Cost_2024'!F22</f>
        <v/>
      </c>
      <c r="F7" s="404" t="n"/>
    </row>
    <row r="8" ht="19" customHeight="1" s="297">
      <c r="A8" s="401" t="n"/>
      <c r="B8" s="491" t="n">
        <v>2</v>
      </c>
      <c r="C8" s="492" t="inlineStr">
        <is>
          <t>Revenue Diterima (Setelah Pajak)</t>
        </is>
      </c>
      <c r="D8" s="493" t="inlineStr">
        <is>
          <t>Rp</t>
        </is>
      </c>
      <c r="E8" s="494">
        <f>E7-'Revenue-Cost_2024'!N22</f>
        <v/>
      </c>
      <c r="F8" s="404" t="n"/>
    </row>
    <row r="9" ht="19" customHeight="1" s="297">
      <c r="A9" s="401" t="n"/>
      <c r="B9" s="491" t="n">
        <v>3</v>
      </c>
      <c r="C9" s="492" t="inlineStr">
        <is>
          <t>Biaya</t>
        </is>
      </c>
      <c r="D9" s="493" t="inlineStr">
        <is>
          <t>Rp</t>
        </is>
      </c>
      <c r="E9" s="494">
        <f>SUM('Revenue-Cost_2024'!I750:Q750)</f>
        <v/>
      </c>
      <c r="F9" s="404" t="n"/>
    </row>
    <row r="10" ht="19" customHeight="1" s="297">
      <c r="A10" s="401" t="n"/>
      <c r="B10" s="491" t="n">
        <v>4</v>
      </c>
      <c r="C10" s="492" t="inlineStr">
        <is>
          <t>Profit SebelumTax</t>
        </is>
      </c>
      <c r="D10" s="493" t="inlineStr">
        <is>
          <t>Rp</t>
        </is>
      </c>
      <c r="E10" s="494">
        <f>E7-E9</f>
        <v/>
      </c>
      <c r="F10" s="404" t="n"/>
    </row>
    <row r="11" ht="19" customHeight="1" s="297">
      <c r="A11" s="401" t="n"/>
      <c r="B11" s="491" t="n">
        <v>5</v>
      </c>
      <c r="C11" s="492" t="inlineStr">
        <is>
          <t>PPh Badan (22%*50%)</t>
        </is>
      </c>
      <c r="D11" s="493" t="inlineStr">
        <is>
          <t>Rp</t>
        </is>
      </c>
      <c r="E11" s="494">
        <f>E10*22%*50%</f>
        <v/>
      </c>
      <c r="F11" s="404" t="n"/>
    </row>
    <row r="12" ht="19" customHeight="1" s="297">
      <c r="A12" s="401" t="n"/>
      <c r="B12" s="491" t="n">
        <v>6</v>
      </c>
      <c r="C12" s="492" t="inlineStr">
        <is>
          <t>PPh 23 Dipotong oleh client</t>
        </is>
      </c>
      <c r="D12" s="493" t="inlineStr">
        <is>
          <t>Rp</t>
        </is>
      </c>
      <c r="E12" s="494">
        <f>'Revenue-Cost_2024'!N22</f>
        <v/>
      </c>
      <c r="F12" s="404" t="n"/>
    </row>
    <row r="13" ht="19" customHeight="1" s="297">
      <c r="A13" s="401" t="n"/>
      <c r="B13" s="491" t="n">
        <v>7</v>
      </c>
      <c r="C13" s="492" t="inlineStr">
        <is>
          <t>Kekurangan Bayar PPh Badan</t>
        </is>
      </c>
      <c r="D13" s="493" t="inlineStr">
        <is>
          <t>Rp</t>
        </is>
      </c>
      <c r="E13" s="495">
        <f>E11-E12</f>
        <v/>
      </c>
      <c r="F13" s="404" t="n"/>
    </row>
    <row r="14" ht="19" customHeight="1" s="297">
      <c r="A14" s="401" t="n"/>
      <c r="B14" s="491" t="n">
        <v>8</v>
      </c>
      <c r="C14" s="492" t="inlineStr">
        <is>
          <t>Profit After Tax</t>
        </is>
      </c>
      <c r="D14" s="493" t="inlineStr">
        <is>
          <t>Rp</t>
        </is>
      </c>
      <c r="E14" s="494">
        <f>E10-E13</f>
        <v/>
      </c>
      <c r="F14" s="404" t="n"/>
    </row>
    <row r="15" ht="19" customHeight="1" s="297">
      <c r="A15" s="401" t="n"/>
      <c r="B15" s="491" t="n">
        <v>9</v>
      </c>
      <c r="C15" s="492" t="inlineStr">
        <is>
          <t>Deviden Dibagi</t>
        </is>
      </c>
      <c r="D15" s="493" t="inlineStr">
        <is>
          <t>Rp</t>
        </is>
      </c>
      <c r="E15" s="494">
        <f>E14-E16</f>
        <v/>
      </c>
      <c r="F15" s="404" t="n"/>
    </row>
    <row r="16" ht="19" customHeight="1" s="297">
      <c r="A16" s="401" t="n"/>
      <c r="B16" s="491" t="n">
        <v>10</v>
      </c>
      <c r="C16" s="492" t="inlineStr">
        <is>
          <t>Profit Ditahan</t>
        </is>
      </c>
      <c r="D16" s="493" t="inlineStr">
        <is>
          <t>Rp</t>
        </is>
      </c>
      <c r="E16" s="494" t="n">
        <v>33763737</v>
      </c>
      <c r="F16" s="404" t="n"/>
    </row>
    <row r="17">
      <c r="A17" s="401" t="n"/>
      <c r="B17" s="401" t="n"/>
      <c r="C17" s="401" t="n"/>
      <c r="D17" s="401" t="n"/>
      <c r="E17" s="402" t="n"/>
      <c r="F17" s="404" t="n"/>
    </row>
    <row r="18" ht="18" customHeight="1" s="297">
      <c r="A18" s="401" t="n"/>
      <c r="B18" s="270" t="inlineStr">
        <is>
          <t>DEVIDEN</t>
        </is>
      </c>
      <c r="F18" s="404" t="n"/>
    </row>
    <row r="19" ht="19" customHeight="1" s="297">
      <c r="A19" s="401" t="n">
        <v>1</v>
      </c>
      <c r="B19" s="271" t="inlineStr">
        <is>
          <t>Anevril Chairulsyah</t>
        </is>
      </c>
      <c r="C19" s="272" t="n"/>
      <c r="D19" s="492" t="inlineStr">
        <is>
          <t>Rp</t>
        </is>
      </c>
      <c r="E19" s="496">
        <f>IF(B19="","",$E$15/COUNTA($B$19:$B$79))</f>
        <v/>
      </c>
      <c r="F19" s="404" t="n"/>
      <c r="G19" s="497" t="n"/>
    </row>
    <row r="20" ht="19" customHeight="1" s="297">
      <c r="A20" s="401" t="n">
        <v>2</v>
      </c>
      <c r="B20" s="271" t="inlineStr">
        <is>
          <t>Alan Muhadjir</t>
        </is>
      </c>
      <c r="C20" s="272" t="n"/>
      <c r="D20" s="492" t="inlineStr">
        <is>
          <t>Rp</t>
        </is>
      </c>
      <c r="E20" s="496">
        <f>IF(B20="","",$E$15/COUNTA($B$19:$B$79))</f>
        <v/>
      </c>
      <c r="F20" s="404" t="n"/>
      <c r="G20" s="497" t="n"/>
    </row>
    <row r="21" ht="48.75" customHeight="1" s="297">
      <c r="A21" s="421" t="n"/>
      <c r="F21" s="404" t="n"/>
    </row>
    <row r="22">
      <c r="A22" s="421" t="n"/>
      <c r="F22" s="40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2026-03-21T20:06:01Z</dcterms:modified>
  <cp:lastModifiedBy>Diofavian - Student</cp:lastModifiedBy>
</cp:coreProperties>
</file>