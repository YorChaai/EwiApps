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5" fontId="35" fillId="0" borderId="4" applyAlignment="1" pivotButton="0" quotePrefix="0" xfId="0">
      <alignment horizontal="right" vertical="center"/>
    </xf>
    <xf numFmtId="0" fontId="35" fillId="0" borderId="9" pivotButton="0" quotePrefix="0" xfId="0"/>
    <xf numFmtId="0" fontId="35" fillId="0" borderId="8" pivotButton="0" quotePrefix="0" xfId="0"/>
    <xf numFmtId="0" fontId="35" fillId="0" borderId="4" pivotButton="0" quotePrefix="0" xfId="0"/>
    <xf numFmtId="15" fontId="35" fillId="6" borderId="4" pivotButton="0" quotePrefix="0" xfId="0"/>
    <xf numFmtId="165" fontId="35" fillId="0" borderId="4" pivotButton="0" quotePrefix="0" xfId="1"/>
    <xf numFmtId="165" fontId="35" fillId="0" borderId="0" pivotButton="0" quotePrefix="0" xfId="1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7" fillId="12" borderId="20" pivotButton="0" quotePrefix="0" xfId="0"/>
    <xf numFmtId="0" fontId="37" fillId="12" borderId="20" applyAlignment="1" pivotButton="0" quotePrefix="0" xfId="0">
      <alignment horizontal="center"/>
    </xf>
    <xf numFmtId="0" fontId="37" fillId="12" borderId="20" pivotButton="0" quotePrefix="0" xfId="0"/>
    <xf numFmtId="3" fontId="37" fillId="12" borderId="20" pivotButton="0" quotePrefix="0" xfId="1"/>
    <xf numFmtId="0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 vertical="center"/>
    </xf>
    <xf numFmtId="3" fontId="37" fillId="12" borderId="20" applyAlignment="1" pivotButton="0" quotePrefix="0" xfId="0">
      <alignment vertical="top"/>
    </xf>
    <xf numFmtId="165" fontId="37" fillId="12" borderId="20" applyAlignment="1" pivotButton="0" quotePrefix="0" xfId="0">
      <alignment vertical="top"/>
    </xf>
    <xf numFmtId="165" fontId="37" fillId="12" borderId="20" pivotButton="0" quotePrefix="0" xfId="0"/>
    <xf numFmtId="0" fontId="37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center" vertical="top"/>
    </xf>
    <xf numFmtId="3" fontId="37" fillId="12" borderId="20" pivotButton="0" quotePrefix="0" xfId="0"/>
    <xf numFmtId="167" fontId="37" fillId="12" borderId="20" applyAlignment="1" pivotButton="0" quotePrefix="0" xfId="1">
      <alignment vertical="top"/>
    </xf>
    <xf numFmtId="0" fontId="35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7" fillId="12" borderId="20" applyAlignment="1" pivotButton="0" quotePrefix="0" xfId="0">
      <alignment horizontal="right" vertical="center"/>
    </xf>
    <xf numFmtId="3" fontId="37" fillId="12" borderId="20" pivotButton="0" quotePrefix="0" xfId="2"/>
    <xf numFmtId="165" fontId="37" fillId="12" borderId="20" pivotButton="0" quotePrefix="0" xfId="1"/>
    <xf numFmtId="0" fontId="37" fillId="12" borderId="20" applyAlignment="1" pivotButton="0" quotePrefix="0" xfId="0">
      <alignment vertical="center"/>
    </xf>
    <xf numFmtId="168" fontId="37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7" fillId="12" borderId="20" applyAlignment="1" pivotButton="0" quotePrefix="0" xfId="2">
      <alignment horizontal="center"/>
    </xf>
    <xf numFmtId="177" fontId="37" fillId="12" borderId="20" applyAlignment="1" pivotButton="0" quotePrefix="0" xfId="2">
      <alignment horizontal="center"/>
    </xf>
    <xf numFmtId="165" fontId="37" fillId="12" borderId="20" pivotButton="0" quotePrefix="0" xfId="2"/>
    <xf numFmtId="176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/>
    </xf>
    <xf numFmtId="176" fontId="37" fillId="12" borderId="20" pivotButton="0" quotePrefix="0" xfId="0"/>
    <xf numFmtId="164" fontId="37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5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5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5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5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5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7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5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7" fillId="12" borderId="20" pivotButton="0" quotePrefix="0" xfId="0"/>
    <xf numFmtId="3" fontId="10" fillId="12" borderId="20" pivotButton="0" quotePrefix="0" xfId="0"/>
    <xf numFmtId="0" fontId="35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left" vertical="center" wrapText="1"/>
    </xf>
    <xf numFmtId="3" fontId="37" fillId="12" borderId="20" applyAlignment="1" pivotButton="0" quotePrefix="0" xfId="1">
      <alignment vertical="center"/>
    </xf>
    <xf numFmtId="0" fontId="37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7" fillId="12" borderId="20" applyAlignment="1" pivotButton="0" quotePrefix="0" xfId="0">
      <alignment vertical="center"/>
    </xf>
    <xf numFmtId="165" fontId="37" fillId="12" borderId="20" applyAlignment="1" pivotButton="0" quotePrefix="0" xfId="0">
      <alignment vertical="center"/>
    </xf>
    <xf numFmtId="15" fontId="35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7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7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7" fillId="12" borderId="20" applyAlignment="1" pivotButton="0" quotePrefix="0" xfId="4">
      <alignment horizontal="right" vertical="center"/>
    </xf>
    <xf numFmtId="0" fontId="37" fillId="12" borderId="20" applyAlignment="1" pivotButton="0" quotePrefix="0" xfId="5">
      <alignment horizontal="left" vertical="center" wrapText="1"/>
    </xf>
    <xf numFmtId="3" fontId="37" fillId="12" borderId="20" applyAlignment="1" pivotButton="0" quotePrefix="0" xfId="5">
      <alignment horizontal="center" vertical="center" wrapText="1"/>
    </xf>
    <xf numFmtId="3" fontId="37" fillId="12" borderId="20" applyAlignment="1" pivotButton="0" quotePrefix="0" xfId="6">
      <alignment horizontal="center" vertical="center"/>
    </xf>
    <xf numFmtId="169" fontId="35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5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7" fillId="12" borderId="20" applyAlignment="1" pivotButton="0" quotePrefix="0" xfId="0">
      <alignment horizontal="left"/>
    </xf>
    <xf numFmtId="3" fontId="37" fillId="12" borderId="20" applyAlignment="1" pivotButton="0" quotePrefix="0" xfId="0">
      <alignment horizontal="right"/>
    </xf>
    <xf numFmtId="176" fontId="37" fillId="12" borderId="20" applyAlignment="1" pivotButton="0" quotePrefix="0" xfId="0">
      <alignment horizontal="right"/>
    </xf>
    <xf numFmtId="0" fontId="37" fillId="12" borderId="20" applyAlignment="1" pivotButton="0" quotePrefix="0" xfId="0">
      <alignment horizontal="right"/>
    </xf>
    <xf numFmtId="15" fontId="37" fillId="12" borderId="20" applyAlignment="1" pivotButton="0" quotePrefix="0" xfId="0">
      <alignment vertical="top"/>
    </xf>
    <xf numFmtId="0" fontId="37" fillId="12" borderId="20" applyAlignment="1" pivotButton="0" quotePrefix="0" xfId="0">
      <alignment vertical="top" wrapText="1"/>
    </xf>
    <xf numFmtId="3" fontId="37" fillId="12" borderId="20" applyAlignment="1" pivotButton="0" quotePrefix="0" xfId="1">
      <alignment vertical="top"/>
    </xf>
    <xf numFmtId="177" fontId="37" fillId="12" borderId="20" applyAlignment="1" pivotButton="0" quotePrefix="0" xfId="0">
      <alignment horizontal="center" vertical="top"/>
    </xf>
    <xf numFmtId="0" fontId="37" fillId="12" borderId="20" applyAlignment="1" pivotButton="0" quotePrefix="0" xfId="0">
      <alignment horizontal="left" vertical="top" wrapText="1"/>
    </xf>
    <xf numFmtId="15" fontId="37" fillId="12" borderId="20" applyAlignment="1" pivotButton="0" quotePrefix="0" xfId="0">
      <alignment horizontal="right" vertical="top"/>
    </xf>
    <xf numFmtId="15" fontId="35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5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5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5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326" t="inlineStr">
        <is>
          <t>REVENUE (IDR)</t>
        </is>
      </c>
      <c r="C22" s="278" t="n"/>
      <c r="D22" s="278" t="n"/>
      <c r="E22" s="279" t="n"/>
      <c r="F22" s="327">
        <f>SUM(F8:F21)</f>
        <v/>
      </c>
      <c r="G22" s="33" t="n"/>
      <c r="H22" s="33" t="n"/>
      <c r="I22" s="328" t="n"/>
      <c r="J22" s="329" t="n"/>
      <c r="K22" s="328" t="n"/>
      <c r="L22" s="330">
        <f>SUM(L8:L21)</f>
        <v/>
      </c>
      <c r="M22" s="330">
        <f>SUM(M8:M21)</f>
        <v/>
      </c>
      <c r="N22" s="33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14" t="n">
        <v>16500000</v>
      </c>
      <c r="G28" s="15" t="inlineStr">
        <is>
          <t>IDR</t>
        </is>
      </c>
      <c r="H28" s="311" t="n">
        <v>1</v>
      </c>
      <c r="I28" s="312" t="n">
        <v>16500000</v>
      </c>
      <c r="J28" s="314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2" t="n">
        <v>9790000</v>
      </c>
      <c r="G29" s="15" t="inlineStr">
        <is>
          <t>IDR</t>
        </is>
      </c>
      <c r="H29" s="311" t="n">
        <v>1</v>
      </c>
      <c r="I29" s="312" t="n">
        <v>9790000</v>
      </c>
      <c r="J29" s="314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2" t="n">
        <v>25439666</v>
      </c>
      <c r="G30" s="15" t="inlineStr">
        <is>
          <t>IDR</t>
        </is>
      </c>
      <c r="H30" s="311" t="n">
        <v>1</v>
      </c>
      <c r="I30" s="18" t="n"/>
      <c r="J30" s="21" t="n"/>
      <c r="K30" s="111" t="n">
        <v>25439666</v>
      </c>
      <c r="L30" s="314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2" t="n">
        <v>96126126</v>
      </c>
      <c r="G31" s="15" t="inlineStr">
        <is>
          <t>IDR</t>
        </is>
      </c>
      <c r="H31" s="311" t="n">
        <v>1</v>
      </c>
      <c r="I31" s="312" t="n">
        <v>96126126</v>
      </c>
      <c r="J31" s="312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2" t="n">
        <v>17716045</v>
      </c>
      <c r="G32" s="15" t="inlineStr">
        <is>
          <t>IDR</t>
        </is>
      </c>
      <c r="H32" s="311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2" t="n">
        <v>33836000</v>
      </c>
      <c r="G33" s="15" t="inlineStr">
        <is>
          <t>IDR</t>
        </is>
      </c>
      <c r="H33" s="311" t="n">
        <v>1</v>
      </c>
      <c r="I33" s="312" t="n">
        <v>33836000</v>
      </c>
      <c r="J33" s="312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2" t="n">
        <v>56276000</v>
      </c>
      <c r="G34" s="15" t="inlineStr">
        <is>
          <t>IDR</t>
        </is>
      </c>
      <c r="H34" s="311" t="n">
        <v>1</v>
      </c>
      <c r="I34" s="312" t="n">
        <v>56276000</v>
      </c>
      <c r="J34" s="314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2" t="n">
        <v>1726469</v>
      </c>
      <c r="G35" s="15" t="inlineStr">
        <is>
          <t>IDR</t>
        </is>
      </c>
      <c r="H35" s="311" t="n">
        <v>1</v>
      </c>
      <c r="I35" s="18" t="n"/>
      <c r="J35" s="21" t="n"/>
      <c r="K35" s="24" t="n"/>
      <c r="L35" s="21" t="n"/>
      <c r="M35" s="111" t="n">
        <v>1726469</v>
      </c>
      <c r="N35" s="314" t="n">
        <v>1726469</v>
      </c>
      <c r="O35" s="24" t="n"/>
      <c r="P35" s="21" t="n"/>
      <c r="Q35" s="42" t="n"/>
    </row>
    <row r="36" ht="15.5" customHeight="1" s="297">
      <c r="B36" s="331" t="inlineStr">
        <is>
          <t>PENERIMAAN NEGARA (TAX) (IDR)</t>
        </is>
      </c>
      <c r="C36" s="332" t="n"/>
      <c r="D36" s="332" t="n"/>
      <c r="E36" s="332" t="n"/>
      <c r="F36" s="332" t="n"/>
      <c r="G36" s="332" t="n"/>
      <c r="H36" s="333" t="n"/>
      <c r="I36" s="334" t="inlineStr">
        <is>
          <t>PPN</t>
        </is>
      </c>
      <c r="J36" s="334">
        <f>SUM(J27:J35)</f>
        <v/>
      </c>
      <c r="K36" s="335" t="inlineStr">
        <is>
          <t>PPh</t>
        </is>
      </c>
      <c r="L36" s="336">
        <f>SUM(L27:L35)</f>
        <v/>
      </c>
      <c r="M36" s="335" t="inlineStr">
        <is>
          <t>PPh</t>
        </is>
      </c>
      <c r="N36" s="336">
        <f>SUM(N27:N35)</f>
        <v/>
      </c>
      <c r="O36" s="335" t="inlineStr">
        <is>
          <t>PPh</t>
        </is>
      </c>
      <c r="P36" s="336">
        <f>SUM(P27:P35)</f>
        <v/>
      </c>
      <c r="Q36" s="337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Allowance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>
        <v>45388</v>
      </c>
      <c r="C42" s="353" t="n">
        <v>1</v>
      </c>
      <c r="D42" s="354" t="inlineStr">
        <is>
          <t>THR 2024_Yufitri</t>
        </is>
      </c>
      <c r="E42" s="354" t="inlineStr">
        <is>
          <t>BCA</t>
        </is>
      </c>
      <c r="F42" s="355" t="n">
        <v>3000000</v>
      </c>
      <c r="G42" s="356" t="inlineStr">
        <is>
          <t>IDR</t>
        </is>
      </c>
      <c r="H42" s="357" t="n">
        <v>1</v>
      </c>
      <c r="I42" s="358" t="n">
        <v>3000000</v>
      </c>
      <c r="J42" s="359" t="n"/>
      <c r="K42" s="360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354" t="n"/>
      <c r="U42" s="354" t="n"/>
      <c r="V42" s="354" t="n"/>
      <c r="W42" s="354" t="n"/>
      <c r="X42" s="354" t="n"/>
    </row>
    <row r="43" ht="15.5" customHeight="1" s="297">
      <c r="B43" s="342" t="n"/>
      <c r="C43" s="343" t="n"/>
      <c r="D43" s="344" t="inlineStr">
        <is>
          <t>Biaya Bank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n">
        <v>45657</v>
      </c>
      <c r="C44" s="353" t="n">
        <v>2</v>
      </c>
      <c r="D44" s="361" t="inlineStr">
        <is>
          <t>Total Biaya Transaksi Bank selama 1 tahun</t>
        </is>
      </c>
      <c r="E44" s="361" t="inlineStr">
        <is>
          <t>-</t>
        </is>
      </c>
      <c r="F44" s="355" t="n">
        <v>1998587</v>
      </c>
      <c r="G44" s="362" t="inlineStr">
        <is>
          <t>IDR</t>
        </is>
      </c>
      <c r="H44" s="357" t="n">
        <v>1</v>
      </c>
      <c r="I44" s="363" t="n">
        <v>1998587</v>
      </c>
      <c r="J44" s="354" t="n"/>
      <c r="K44" s="36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354" t="n"/>
      <c r="U44" s="354" t="n"/>
      <c r="V44" s="354" t="n"/>
      <c r="W44" s="354" t="n"/>
      <c r="X44" s="354" t="n"/>
    </row>
    <row r="45" ht="15.5" customHeight="1" s="297">
      <c r="B45" s="342" t="n"/>
      <c r="C45" s="343" t="n"/>
      <c r="D45" s="365" t="inlineStr">
        <is>
          <t>Biaya Interpretasi Log Data</t>
        </is>
      </c>
      <c r="E45" s="366" t="n"/>
      <c r="F45" s="367" t="n"/>
      <c r="G45" s="347" t="n"/>
      <c r="H45" s="347" t="n"/>
      <c r="I45" s="348" t="n"/>
      <c r="J45" s="348" t="n"/>
      <c r="K45" s="350" t="n"/>
      <c r="L45" s="350" t="n"/>
      <c r="M45" s="350" t="n"/>
      <c r="N45" s="350" t="n"/>
      <c r="O45" s="350" t="n"/>
      <c r="P45" s="350" t="n"/>
      <c r="Q45" s="350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n">
        <v>45413</v>
      </c>
      <c r="C46" s="353" t="n">
        <v>3</v>
      </c>
      <c r="D46" s="361" t="inlineStr">
        <is>
          <t>Data proccesing MTD 4 well, project Tomori-Alan</t>
        </is>
      </c>
      <c r="E46" s="361" t="inlineStr">
        <is>
          <t>BCA</t>
        </is>
      </c>
      <c r="F46" s="355" t="n">
        <v>122625000</v>
      </c>
      <c r="G46" s="356" t="inlineStr">
        <is>
          <t>IDR</t>
        </is>
      </c>
      <c r="H46" s="357" t="n">
        <v>1</v>
      </c>
      <c r="I46" s="359" t="n"/>
      <c r="J46" s="359" t="n"/>
      <c r="K46" s="354" t="n"/>
      <c r="L46" s="363" t="n">
        <v>122625000</v>
      </c>
      <c r="M46" s="354" t="n"/>
      <c r="N46" s="354" t="n"/>
      <c r="O46" s="354" t="n"/>
      <c r="P46" s="354" t="n"/>
      <c r="Q46" s="354" t="n"/>
      <c r="R46" s="354" t="n"/>
      <c r="S46" s="354" t="n"/>
      <c r="T46" s="354" t="n"/>
      <c r="U46" s="354" t="n"/>
      <c r="V46" s="354" t="n"/>
      <c r="W46" s="354" t="n"/>
      <c r="X46" s="354" t="n"/>
    </row>
    <row r="47" ht="15.5" customHeight="1" s="297">
      <c r="A47" s="66" t="n"/>
      <c r="B47" s="352" t="n">
        <v>45525</v>
      </c>
      <c r="C47" s="353" t="n">
        <v>4</v>
      </c>
      <c r="D47" s="361" t="inlineStr">
        <is>
          <t>Data proccesing TGB-33 DAN TIS (RBG-3b)-Alan</t>
        </is>
      </c>
      <c r="E47" s="361" t="inlineStr">
        <is>
          <t>BCA</t>
        </is>
      </c>
      <c r="F47" s="355" t="n">
        <v>101120000</v>
      </c>
      <c r="G47" s="356" t="inlineStr">
        <is>
          <t>IDR</t>
        </is>
      </c>
      <c r="H47" s="357" t="n">
        <v>1</v>
      </c>
      <c r="I47" s="359" t="n"/>
      <c r="J47" s="360" t="n"/>
      <c r="K47" s="354" t="n"/>
      <c r="L47" s="363" t="n">
        <v>101120000</v>
      </c>
      <c r="M47" s="354" t="n"/>
      <c r="N47" s="354" t="n"/>
      <c r="O47" s="354" t="n"/>
      <c r="P47" s="354" t="n"/>
      <c r="Q47" s="354" t="n"/>
      <c r="R47" s="354" t="n"/>
      <c r="S47" s="354" t="n"/>
      <c r="T47" s="354" t="n"/>
      <c r="U47" s="354" t="n"/>
      <c r="V47" s="354" t="n"/>
      <c r="W47" s="354" t="n"/>
      <c r="X47" s="354" t="n"/>
    </row>
    <row r="48" ht="15.5" customHeight="1" s="297">
      <c r="B48" s="342" t="n"/>
      <c r="C48" s="343" t="n"/>
      <c r="D48" s="365" t="inlineStr">
        <is>
          <t>Biaya Operasi</t>
        </is>
      </c>
      <c r="E48" s="366" t="n"/>
      <c r="F48" s="368" t="n"/>
      <c r="G48" s="347" t="n"/>
      <c r="H48" s="347" t="n"/>
      <c r="I48" s="348" t="n"/>
      <c r="J48" s="348" t="n"/>
      <c r="K48" s="350" t="n"/>
      <c r="L48" s="350" t="n"/>
      <c r="M48" s="350" t="n"/>
      <c r="N48" s="350" t="n"/>
      <c r="O48" s="350" t="n"/>
      <c r="P48" s="350" t="n"/>
      <c r="Q48" s="350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69" t="n">
        <v>45446</v>
      </c>
      <c r="C49" s="353" t="n">
        <v>5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70" t="n">
        <v>300000000</v>
      </c>
      <c r="G49" s="356" t="inlineStr">
        <is>
          <t>IDR</t>
        </is>
      </c>
      <c r="H49" s="357" t="n">
        <v>1</v>
      </c>
      <c r="I49" s="358" t="n">
        <v>300000000</v>
      </c>
      <c r="J49" s="359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354" t="n"/>
      <c r="U49" s="354" t="n"/>
      <c r="V49" s="354" t="n"/>
      <c r="W49" s="354" t="n"/>
      <c r="X49" s="354" t="n"/>
    </row>
    <row r="50" ht="15.5" customHeight="1" s="297">
      <c r="B50" s="352" t="n">
        <v>45480</v>
      </c>
      <c r="C50" s="353" t="n">
        <v>6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55" t="n">
        <v>25000000</v>
      </c>
      <c r="G50" s="356" t="inlineStr">
        <is>
          <t>IDR</t>
        </is>
      </c>
      <c r="H50" s="357" t="n">
        <v>1</v>
      </c>
      <c r="I50" s="358" t="n">
        <v>25000000</v>
      </c>
      <c r="J50" s="359" t="n"/>
      <c r="K50" s="354" t="n"/>
      <c r="L50" s="371" t="n"/>
      <c r="M50" s="354" t="n"/>
      <c r="N50" s="354" t="n"/>
      <c r="O50" s="354" t="n"/>
      <c r="P50" s="354" t="n"/>
      <c r="Q50" s="354" t="n"/>
      <c r="R50" s="354" t="n"/>
      <c r="S50" s="354" t="n"/>
      <c r="T50" s="354" t="n"/>
      <c r="U50" s="354" t="n"/>
      <c r="V50" s="354" t="n"/>
      <c r="W50" s="354" t="n"/>
      <c r="X50" s="354" t="n"/>
    </row>
    <row r="51" ht="15.5" customHeight="1" s="297">
      <c r="B51" s="352" t="n">
        <v>45492</v>
      </c>
      <c r="C51" s="353" t="n">
        <v>7</v>
      </c>
      <c r="D51" s="361" t="inlineStr">
        <is>
          <t>PT Laka Indonesia |  Wastafel for WIKA Anantara Ubud Bali</t>
        </is>
      </c>
      <c r="E51" s="361" t="inlineStr">
        <is>
          <t>BCA</t>
        </is>
      </c>
      <c r="F51" s="355" t="n">
        <v>25000000</v>
      </c>
      <c r="G51" s="356" t="inlineStr">
        <is>
          <t>IDR</t>
        </is>
      </c>
      <c r="H51" s="357" t="n">
        <v>1</v>
      </c>
      <c r="I51" s="358" t="n">
        <v>25000000</v>
      </c>
      <c r="J51" s="359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354" t="n"/>
      <c r="U51" s="354" t="n"/>
      <c r="V51" s="354" t="n"/>
      <c r="W51" s="354" t="n"/>
      <c r="X51" s="354" t="n"/>
    </row>
    <row r="52" ht="15.5" customFormat="1" customHeight="1" s="66">
      <c r="B52" s="342" t="n"/>
      <c r="C52" s="343" t="n"/>
      <c r="D52" s="365" t="inlineStr">
        <is>
          <t>Biaya Research (R&amp;D)</t>
        </is>
      </c>
      <c r="E52" s="366" t="n"/>
      <c r="F52" s="346" t="n"/>
      <c r="G52" s="347" t="n"/>
      <c r="H52" s="347" t="n"/>
      <c r="I52" s="348" t="n"/>
      <c r="J52" s="349" t="n"/>
      <c r="K52" s="350" t="n"/>
      <c r="L52" s="350" t="n"/>
      <c r="M52" s="350" t="n"/>
      <c r="N52" s="350" t="n"/>
      <c r="O52" s="350" t="n"/>
      <c r="P52" s="350" t="n"/>
      <c r="Q52" s="350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n">
        <v>45364</v>
      </c>
      <c r="C53" s="353" t="n">
        <v>8</v>
      </c>
      <c r="D53" s="361" t="inlineStr">
        <is>
          <t>Ralika Jaya Utama | Permbuatan alat Downhole Wireless Telemetry</t>
        </is>
      </c>
      <c r="E53" s="361" t="inlineStr">
        <is>
          <t>BCA</t>
        </is>
      </c>
      <c r="F53" s="355" t="n">
        <v>100000000</v>
      </c>
      <c r="G53" s="356" t="inlineStr">
        <is>
          <t>IDR</t>
        </is>
      </c>
      <c r="H53" s="357" t="n">
        <v>1</v>
      </c>
      <c r="I53" s="360" t="n"/>
      <c r="J53" s="358" t="n">
        <v>100000000</v>
      </c>
      <c r="K53" s="354" t="n"/>
      <c r="L53" s="354" t="n"/>
      <c r="M53" s="354" t="n"/>
      <c r="N53" s="354" t="n"/>
      <c r="O53" s="354" t="n"/>
      <c r="P53" s="354" t="n"/>
      <c r="Q53" s="354" t="n"/>
      <c r="R53" s="354" t="n"/>
      <c r="S53" s="354" t="n"/>
      <c r="T53" s="354" t="n"/>
      <c r="U53" s="354" t="n"/>
      <c r="V53" s="354" t="n"/>
      <c r="W53" s="354" t="n"/>
      <c r="X53" s="354" t="n"/>
    </row>
    <row r="54" ht="15.5" customFormat="1" customHeight="1" s="66">
      <c r="B54" s="352" t="n">
        <v>45418</v>
      </c>
      <c r="C54" s="353" t="n">
        <v>9</v>
      </c>
      <c r="D54" s="354" t="inlineStr">
        <is>
          <t>Ralika Jaya Utama | Permbuatan alat Downhole Wireless Telemetry</t>
        </is>
      </c>
      <c r="E54" s="354" t="inlineStr">
        <is>
          <t>BRI</t>
        </is>
      </c>
      <c r="F54" s="355" t="n">
        <v>100000000</v>
      </c>
      <c r="G54" s="356" t="inlineStr">
        <is>
          <t>IDR</t>
        </is>
      </c>
      <c r="H54" s="357" t="n">
        <v>1</v>
      </c>
      <c r="I54" s="359" t="n"/>
      <c r="J54" s="358" t="n">
        <v>100000000</v>
      </c>
      <c r="K54" s="360" t="n"/>
      <c r="L54" s="371" t="n"/>
      <c r="M54" s="354" t="n"/>
      <c r="N54" s="354" t="n"/>
      <c r="O54" s="354" t="n"/>
      <c r="P54" s="354" t="n"/>
      <c r="Q54" s="354" t="n"/>
      <c r="R54" s="354" t="n"/>
      <c r="S54" s="354" t="n"/>
      <c r="T54" s="354" t="n"/>
      <c r="U54" s="354" t="n"/>
      <c r="V54" s="354" t="n"/>
      <c r="W54" s="354" t="n"/>
      <c r="X54" s="354" t="n"/>
    </row>
    <row r="55" ht="15.5" customFormat="1" customHeight="1" s="66">
      <c r="B55" s="352" t="n">
        <v>45502</v>
      </c>
      <c r="C55" s="353" t="n">
        <v>10</v>
      </c>
      <c r="D55" s="361" t="inlineStr">
        <is>
          <t>Ralika Jaya Utama | Permbuatan alat injeksi listrik (EAS)</t>
        </is>
      </c>
      <c r="E55" s="361" t="inlineStr">
        <is>
          <t>BRI</t>
        </is>
      </c>
      <c r="F55" s="355" t="n">
        <v>100000000</v>
      </c>
      <c r="G55" s="356" t="inlineStr">
        <is>
          <t>IDR</t>
        </is>
      </c>
      <c r="H55" s="357" t="n">
        <v>1</v>
      </c>
      <c r="I55" s="360" t="n"/>
      <c r="J55" s="358" t="n">
        <v>100000000</v>
      </c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354" t="n"/>
      <c r="U55" s="354" t="n"/>
      <c r="V55" s="354" t="n"/>
      <c r="W55" s="354" t="n"/>
      <c r="X55" s="354" t="n"/>
    </row>
    <row r="56" ht="15.5" customFormat="1" customHeight="1" s="66">
      <c r="B56" s="352" t="n">
        <v>45548</v>
      </c>
      <c r="C56" s="353" t="n">
        <v>11</v>
      </c>
      <c r="D56" s="361" t="inlineStr">
        <is>
          <t>Ralika Jaya Utama | Permbuatan alat EMR</t>
        </is>
      </c>
      <c r="E56" s="361" t="inlineStr">
        <is>
          <t>BRI</t>
        </is>
      </c>
      <c r="F56" s="355" t="n">
        <v>150000000</v>
      </c>
      <c r="G56" s="356" t="inlineStr">
        <is>
          <t>IDR</t>
        </is>
      </c>
      <c r="H56" s="357" t="n">
        <v>1</v>
      </c>
      <c r="I56" s="359" t="n"/>
      <c r="J56" s="358" t="n">
        <v>150000000</v>
      </c>
      <c r="K56" s="354" t="n"/>
      <c r="L56" s="354" t="n"/>
      <c r="M56" s="354" t="n"/>
      <c r="N56" s="354" t="n"/>
      <c r="O56" s="354" t="n"/>
      <c r="P56" s="354" t="n"/>
      <c r="Q56" s="371" t="n"/>
      <c r="R56" s="354" t="n"/>
      <c r="S56" s="354" t="n"/>
      <c r="T56" s="354" t="n"/>
      <c r="U56" s="354" t="n"/>
      <c r="V56" s="354" t="n"/>
      <c r="W56" s="354" t="n"/>
      <c r="X56" s="354" t="n"/>
    </row>
    <row r="57" ht="15.5" customFormat="1" customHeight="1" s="66">
      <c r="B57" s="352" t="n">
        <v>45631</v>
      </c>
      <c r="C57" s="353" t="n">
        <v>12</v>
      </c>
      <c r="D57" s="354" t="inlineStr">
        <is>
          <t>Ralika Jaya Utama | Permbuatan alat injeksi listrik (EAS)</t>
        </is>
      </c>
      <c r="E57" s="354" t="inlineStr">
        <is>
          <t>BRI</t>
        </is>
      </c>
      <c r="F57" s="355" t="n">
        <v>400000000</v>
      </c>
      <c r="G57" s="356" t="inlineStr">
        <is>
          <t>IDR</t>
        </is>
      </c>
      <c r="H57" s="357" t="n">
        <v>1</v>
      </c>
      <c r="I57" s="359" t="n"/>
      <c r="J57" s="358" t="n">
        <v>400000000</v>
      </c>
      <c r="K57" s="360" t="n"/>
      <c r="L57" s="354" t="n"/>
      <c r="M57" s="354" t="n"/>
      <c r="N57" s="354" t="n"/>
      <c r="O57" s="354" t="n"/>
      <c r="P57" s="354" t="n"/>
      <c r="Q57" s="354" t="n"/>
      <c r="R57" s="354" t="n"/>
      <c r="S57" s="354" t="n"/>
      <c r="T57" s="354" t="n"/>
      <c r="U57" s="354" t="n"/>
      <c r="V57" s="354" t="n"/>
      <c r="W57" s="354" t="n"/>
      <c r="X57" s="354" t="n"/>
    </row>
    <row r="58" ht="15.5" customFormat="1" customHeight="1" s="66">
      <c r="B58" s="342" t="n"/>
      <c r="C58" s="343" t="n"/>
      <c r="D58" s="365" t="inlineStr">
        <is>
          <t>Bisnis Dev</t>
        </is>
      </c>
      <c r="E58" s="366" t="n"/>
      <c r="F58" s="367" t="n"/>
      <c r="G58" s="347" t="n"/>
      <c r="H58" s="347" t="n"/>
      <c r="I58" s="348" t="n"/>
      <c r="J58" s="348" t="n"/>
      <c r="K58" s="350" t="n"/>
      <c r="L58" s="350" t="n"/>
      <c r="M58" s="350" t="n"/>
      <c r="N58" s="350" t="n"/>
      <c r="O58" s="350" t="n"/>
      <c r="P58" s="350" t="n"/>
      <c r="Q58" s="350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n">
        <v>45483</v>
      </c>
      <c r="C59" s="353" t="n">
        <v>13</v>
      </c>
      <c r="D59" s="361" t="inlineStr">
        <is>
          <t>Pembelian Lisence Sonoechometer to PT Weebz Mandiri</t>
        </is>
      </c>
      <c r="E59" s="361" t="inlineStr">
        <is>
          <t>BCA</t>
        </is>
      </c>
      <c r="F59" s="355" t="n">
        <v>16650000</v>
      </c>
      <c r="G59" s="356" t="inlineStr">
        <is>
          <t>IDR</t>
        </is>
      </c>
      <c r="H59" s="357" t="n">
        <v>1</v>
      </c>
      <c r="I59" s="359" t="n"/>
      <c r="J59" s="359" t="n"/>
      <c r="K59" s="354" t="n"/>
      <c r="L59" s="354" t="n"/>
      <c r="M59" s="354" t="n"/>
      <c r="N59" s="371" t="n"/>
      <c r="O59" s="354" t="n"/>
      <c r="P59" s="354" t="n"/>
      <c r="Q59" s="363" t="n">
        <v>16650000</v>
      </c>
      <c r="R59" s="354" t="n"/>
      <c r="S59" s="354" t="n"/>
      <c r="T59" s="354" t="n"/>
      <c r="U59" s="354" t="n"/>
      <c r="V59" s="354" t="n"/>
      <c r="W59" s="354" t="n"/>
      <c r="X59" s="354" t="n"/>
    </row>
    <row r="60" ht="15.5" customFormat="1" customHeight="1" s="66">
      <c r="B60" s="352" t="n">
        <v>45539</v>
      </c>
      <c r="C60" s="353" t="n">
        <v>14</v>
      </c>
      <c r="D60" s="361" t="inlineStr">
        <is>
          <t>MUTRI | Penambahan modal biaya kerja</t>
        </is>
      </c>
      <c r="E60" s="361" t="inlineStr">
        <is>
          <t>BRI</t>
        </is>
      </c>
      <c r="F60" s="355" t="n">
        <v>100000000</v>
      </c>
      <c r="G60" s="356" t="inlineStr">
        <is>
          <t>IDR</t>
        </is>
      </c>
      <c r="H60" s="357" t="n">
        <v>1</v>
      </c>
      <c r="I60" s="359" t="n"/>
      <c r="J60" s="359" t="n"/>
      <c r="K60" s="354" t="n"/>
      <c r="L60" s="354" t="n"/>
      <c r="M60" s="354" t="n"/>
      <c r="N60" s="371" t="n"/>
      <c r="O60" s="354" t="n"/>
      <c r="P60" s="354" t="n"/>
      <c r="Q60" s="363" t="n">
        <v>100000000</v>
      </c>
      <c r="R60" s="354" t="n"/>
      <c r="S60" s="354" t="n"/>
      <c r="T60" s="354" t="n"/>
      <c r="U60" s="354" t="n"/>
      <c r="V60" s="354" t="n"/>
      <c r="W60" s="354" t="n"/>
      <c r="X60" s="354" t="n"/>
    </row>
    <row r="61" ht="15.5" customFormat="1" customHeight="1" s="66">
      <c r="B61" s="352" t="n">
        <v>45625</v>
      </c>
      <c r="C61" s="353" t="n">
        <v>15</v>
      </c>
      <c r="D61" s="372" t="inlineStr">
        <is>
          <t>MUTRI | Penambahan modal biaya kerja 3rd</t>
        </is>
      </c>
      <c r="E61" s="361" t="inlineStr">
        <is>
          <t>BRI</t>
        </is>
      </c>
      <c r="F61" s="355" t="n">
        <v>75000000</v>
      </c>
      <c r="G61" s="362" t="inlineStr">
        <is>
          <t>IDR</t>
        </is>
      </c>
      <c r="H61" s="357" t="n">
        <v>1</v>
      </c>
      <c r="I61" s="359" t="n"/>
      <c r="J61" s="360" t="n"/>
      <c r="K61" s="364" t="n"/>
      <c r="L61" s="354" t="n"/>
      <c r="M61" s="354" t="n"/>
      <c r="N61" s="354" t="n"/>
      <c r="O61" s="354" t="n"/>
      <c r="P61" s="354" t="n"/>
      <c r="Q61" s="363" t="n">
        <v>75000000</v>
      </c>
      <c r="R61" s="354" t="n"/>
      <c r="S61" s="354" t="n"/>
      <c r="T61" s="354" t="n"/>
      <c r="U61" s="354" t="n"/>
      <c r="V61" s="354" t="n"/>
      <c r="W61" s="354" t="n"/>
      <c r="X61" s="354" t="n"/>
    </row>
    <row r="62" ht="15.5" customFormat="1" customHeight="1" s="66">
      <c r="B62" s="342" t="n"/>
      <c r="C62" s="343" t="n"/>
      <c r="D62" s="365" t="inlineStr">
        <is>
          <t>Data Processing</t>
        </is>
      </c>
      <c r="E62" s="366" t="n"/>
      <c r="F62" s="367" t="n"/>
      <c r="G62" s="347" t="n"/>
      <c r="H62" s="347" t="n"/>
      <c r="I62" s="349" t="n"/>
      <c r="J62" s="348" t="n"/>
      <c r="K62" s="350" t="n"/>
      <c r="L62" s="350" t="n"/>
      <c r="M62" s="350" t="n"/>
      <c r="N62" s="350" t="n"/>
      <c r="O62" s="350" t="n"/>
      <c r="P62" s="350" t="n"/>
      <c r="Q62" s="350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n">
        <v>45589</v>
      </c>
      <c r="C63" s="353" t="n">
        <v>16</v>
      </c>
      <c r="D63" s="361" t="inlineStr">
        <is>
          <t>Data Processing 8 Well Alan Project SIJAK</t>
        </is>
      </c>
      <c r="E63" s="361" t="inlineStr">
        <is>
          <t>BRI</t>
        </is>
      </c>
      <c r="F63" s="355" t="n">
        <v>144000000</v>
      </c>
      <c r="G63" s="356" t="inlineStr">
        <is>
          <t>IDR</t>
        </is>
      </c>
      <c r="H63" s="357" t="n">
        <v>1</v>
      </c>
      <c r="I63" s="359" t="n"/>
      <c r="J63" s="359" t="n"/>
      <c r="K63" s="354" t="n"/>
      <c r="L63" s="363" t="n">
        <v>144000000</v>
      </c>
      <c r="M63" s="354" t="n"/>
      <c r="N63" s="354" t="n"/>
      <c r="O63" s="354" t="n"/>
      <c r="P63" s="354" t="n"/>
      <c r="Q63" s="360" t="n"/>
      <c r="R63" s="354" t="n"/>
      <c r="S63" s="354" t="n"/>
      <c r="T63" s="354" t="n"/>
      <c r="U63" s="354" t="n"/>
      <c r="V63" s="354" t="n"/>
      <c r="W63" s="354" t="n"/>
      <c r="X63" s="354" t="n"/>
    </row>
    <row r="64" ht="15.5" customFormat="1" customHeight="1" s="66">
      <c r="B64" s="342" t="n"/>
      <c r="C64" s="343" t="n"/>
      <c r="D64" s="365" t="inlineStr">
        <is>
          <t>Gaji</t>
        </is>
      </c>
      <c r="E64" s="366" t="n"/>
      <c r="F64" s="367" t="n"/>
      <c r="G64" s="347" t="n"/>
      <c r="H64" s="347" t="n"/>
      <c r="I64" s="349" t="n"/>
      <c r="J64" s="348" t="n"/>
      <c r="K64" s="350" t="n"/>
      <c r="L64" s="350" t="n"/>
      <c r="M64" s="350" t="n"/>
      <c r="N64" s="350" t="n"/>
      <c r="O64" s="350" t="n"/>
      <c r="P64" s="350" t="n"/>
      <c r="Q64" s="350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n">
        <v>45323</v>
      </c>
      <c r="C65" s="353" t="n">
        <v>17</v>
      </c>
      <c r="D65" s="372" t="inlineStr">
        <is>
          <t>Gaji Januari 2024 _Yufitri</t>
        </is>
      </c>
      <c r="E65" s="361" t="inlineStr">
        <is>
          <t>BCA</t>
        </is>
      </c>
      <c r="F65" s="355" t="n">
        <v>2500000</v>
      </c>
      <c r="G65" s="356" t="inlineStr">
        <is>
          <t>IDR</t>
        </is>
      </c>
      <c r="H65" s="357" t="n">
        <v>1</v>
      </c>
      <c r="I65" s="358" t="n">
        <v>2500000</v>
      </c>
      <c r="J65" s="359" t="n"/>
      <c r="K65" s="354" t="n"/>
      <c r="L65" s="354" t="n"/>
      <c r="M65" s="354" t="n"/>
      <c r="N65" s="354" t="n"/>
      <c r="O65" s="354" t="n"/>
      <c r="P65" s="354" t="n"/>
      <c r="Q65" s="371" t="n"/>
      <c r="R65" s="354" t="n"/>
      <c r="S65" s="354" t="n"/>
      <c r="T65" s="354" t="n"/>
      <c r="U65" s="354" t="n"/>
      <c r="V65" s="354" t="n"/>
      <c r="W65" s="354" t="n"/>
      <c r="X65" s="354" t="n"/>
    </row>
    <row r="66" ht="15.5" customFormat="1" customHeight="1" s="66">
      <c r="B66" s="352" t="n">
        <v>45356</v>
      </c>
      <c r="C66" s="353" t="n">
        <v>18</v>
      </c>
      <c r="D66" s="361" t="inlineStr">
        <is>
          <t>Gaji Februari 2024 + raple gaji Januari 2024_Yufitri</t>
        </is>
      </c>
      <c r="E66" s="361" t="inlineStr">
        <is>
          <t>BCA</t>
        </is>
      </c>
      <c r="F66" s="355" t="n">
        <v>3500000</v>
      </c>
      <c r="G66" s="356" t="inlineStr">
        <is>
          <t>IDR</t>
        </is>
      </c>
      <c r="H66" s="357" t="n">
        <v>1</v>
      </c>
      <c r="I66" s="358" t="n">
        <v>3500000</v>
      </c>
      <c r="J66" s="359" t="n"/>
      <c r="K66" s="354" t="n"/>
      <c r="L66" s="354" t="n"/>
      <c r="M66" s="354" t="n"/>
      <c r="N66" s="371" t="n"/>
      <c r="O66" s="354" t="n"/>
      <c r="P66" s="354" t="n"/>
      <c r="Q66" s="354" t="n"/>
      <c r="R66" s="354" t="n"/>
      <c r="S66" s="354" t="n"/>
      <c r="T66" s="354" t="n"/>
      <c r="U66" s="354" t="n"/>
      <c r="V66" s="354" t="n"/>
      <c r="W66" s="354" t="n"/>
      <c r="X66" s="354" t="n"/>
    </row>
    <row r="67" ht="15.5" customHeight="1" s="297">
      <c r="B67" s="352" t="n">
        <v>45379</v>
      </c>
      <c r="C67" s="353" t="n">
        <v>19</v>
      </c>
      <c r="D67" s="361" t="inlineStr">
        <is>
          <t>Gaji Maret 2024_Yufitri</t>
        </is>
      </c>
      <c r="E67" s="361" t="inlineStr">
        <is>
          <t>BCA</t>
        </is>
      </c>
      <c r="F67" s="355" t="n">
        <v>3000000</v>
      </c>
      <c r="G67" s="356" t="inlineStr">
        <is>
          <t>IDR</t>
        </is>
      </c>
      <c r="H67" s="357" t="n">
        <v>1</v>
      </c>
      <c r="I67" s="358" t="n">
        <v>3000000</v>
      </c>
      <c r="J67" s="359" t="n"/>
      <c r="K67" s="354" t="n"/>
      <c r="L67" s="354" t="n"/>
      <c r="M67" s="354" t="n"/>
      <c r="N67" s="371" t="n"/>
      <c r="O67" s="354" t="n"/>
      <c r="P67" s="354" t="n"/>
      <c r="Q67" s="354" t="n"/>
      <c r="R67" s="354" t="n"/>
      <c r="S67" s="354" t="n"/>
      <c r="T67" s="354" t="n"/>
      <c r="U67" s="354" t="n"/>
      <c r="V67" s="354" t="n"/>
      <c r="W67" s="354" t="n"/>
      <c r="X67" s="354" t="n"/>
    </row>
    <row r="68" ht="15.5" customHeight="1" s="297">
      <c r="A68" s="66" t="n"/>
      <c r="B68" s="352" t="n">
        <v>45416</v>
      </c>
      <c r="C68" s="353" t="n">
        <v>20</v>
      </c>
      <c r="D68" s="361" t="inlineStr">
        <is>
          <t>Gaji April_Yufitri</t>
        </is>
      </c>
      <c r="E68" s="361" t="inlineStr">
        <is>
          <t>BCA</t>
        </is>
      </c>
      <c r="F68" s="355" t="n">
        <v>3000000</v>
      </c>
      <c r="G68" s="356" t="inlineStr">
        <is>
          <t>IDR</t>
        </is>
      </c>
      <c r="H68" s="357" t="n">
        <v>1</v>
      </c>
      <c r="I68" s="358" t="n">
        <v>3000000</v>
      </c>
      <c r="J68" s="360" t="n"/>
      <c r="K68" s="354" t="n"/>
      <c r="L68" s="354" t="n"/>
      <c r="M68" s="354" t="n"/>
      <c r="N68" s="354" t="n"/>
      <c r="O68" s="354" t="n"/>
      <c r="P68" s="354" t="n"/>
      <c r="Q68" s="354" t="n"/>
      <c r="R68" s="354" t="n"/>
      <c r="S68" s="354" t="n"/>
      <c r="T68" s="354" t="n"/>
      <c r="U68" s="354" t="n"/>
      <c r="V68" s="354" t="n"/>
      <c r="W68" s="354" t="n"/>
      <c r="X68" s="354" t="n"/>
    </row>
    <row r="69" ht="15.5" customHeight="1" s="297">
      <c r="A69" s="66" t="n"/>
      <c r="B69" s="352" t="n">
        <v>45446</v>
      </c>
      <c r="C69" s="353" t="n">
        <v>21</v>
      </c>
      <c r="D69" s="361" t="inlineStr">
        <is>
          <t>Gaji Mei_Yufitri</t>
        </is>
      </c>
      <c r="E69" s="361" t="inlineStr">
        <is>
          <t>BCA</t>
        </is>
      </c>
      <c r="F69" s="355" t="n">
        <v>3000000</v>
      </c>
      <c r="G69" s="356" t="inlineStr">
        <is>
          <t>IDR</t>
        </is>
      </c>
      <c r="H69" s="357" t="n">
        <v>1</v>
      </c>
      <c r="I69" s="358" t="n">
        <v>3000000</v>
      </c>
      <c r="J69" s="359" t="n"/>
      <c r="K69" s="354" t="n"/>
      <c r="L69" s="354" t="n"/>
      <c r="M69" s="354" t="n"/>
      <c r="N69" s="354" t="n"/>
      <c r="O69" s="360" t="n"/>
      <c r="P69" s="354" t="n"/>
      <c r="Q69" s="360" t="n"/>
      <c r="R69" s="354" t="n"/>
      <c r="S69" s="354" t="n"/>
      <c r="T69" s="354" t="n"/>
      <c r="U69" s="354" t="n"/>
      <c r="V69" s="354" t="n"/>
      <c r="W69" s="354" t="n"/>
      <c r="X69" s="354" t="n"/>
    </row>
    <row r="70" ht="15.5" customHeight="1" s="297">
      <c r="B70" s="352" t="n">
        <v>45473</v>
      </c>
      <c r="C70" s="353" t="n">
        <v>22</v>
      </c>
      <c r="D70" s="361" t="inlineStr">
        <is>
          <t>Gaji Juni 2024_Yufitri</t>
        </is>
      </c>
      <c r="E70" s="361" t="inlineStr">
        <is>
          <t>BCA</t>
        </is>
      </c>
      <c r="F70" s="355" t="n">
        <v>3000000</v>
      </c>
      <c r="G70" s="356" t="inlineStr">
        <is>
          <t>IDR</t>
        </is>
      </c>
      <c r="H70" s="357" t="n">
        <v>1</v>
      </c>
      <c r="I70" s="358" t="n">
        <v>3000000</v>
      </c>
      <c r="J70" s="359" t="n"/>
      <c r="K70" s="354" t="n"/>
      <c r="L70" s="354" t="n"/>
      <c r="M70" s="354" t="n"/>
      <c r="N70" s="373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</row>
    <row r="71" ht="15.5" customHeight="1" s="297">
      <c r="B71" s="352" t="n">
        <v>45501</v>
      </c>
      <c r="C71" s="353" t="n">
        <v>23</v>
      </c>
      <c r="D71" s="361" t="inlineStr">
        <is>
          <t>Gaji Juli 2024_Yufitri</t>
        </is>
      </c>
      <c r="E71" s="361" t="inlineStr">
        <is>
          <t>BCA</t>
        </is>
      </c>
      <c r="F71" s="355" t="n">
        <v>3000000</v>
      </c>
      <c r="G71" s="356" t="inlineStr">
        <is>
          <t>IDR</t>
        </is>
      </c>
      <c r="H71" s="357" t="n">
        <v>1</v>
      </c>
      <c r="I71" s="358" t="n">
        <v>3000000</v>
      </c>
      <c r="J71" s="359" t="n"/>
      <c r="K71" s="354" t="n"/>
      <c r="L71" s="373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</row>
    <row r="72" ht="15.5" customHeight="1" s="297">
      <c r="B72" s="352" t="n">
        <v>45535</v>
      </c>
      <c r="C72" s="353" t="n">
        <v>24</v>
      </c>
      <c r="D72" s="361" t="inlineStr">
        <is>
          <t>Gaji Agustus 2024_Yufitri</t>
        </is>
      </c>
      <c r="E72" s="361" t="inlineStr">
        <is>
          <t>BCA</t>
        </is>
      </c>
      <c r="F72" s="355" t="n">
        <v>3000000</v>
      </c>
      <c r="G72" s="356" t="inlineStr">
        <is>
          <t>IDR</t>
        </is>
      </c>
      <c r="H72" s="357" t="n">
        <v>1</v>
      </c>
      <c r="I72" s="358" t="n">
        <v>3000000</v>
      </c>
      <c r="J72" s="359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</row>
    <row r="73" ht="15.5" customHeight="1" s="297">
      <c r="B73" s="352" t="n">
        <v>45568</v>
      </c>
      <c r="C73" s="353" t="n">
        <v>25</v>
      </c>
      <c r="D73" s="354" t="inlineStr">
        <is>
          <t>Gaji fitri bulan september 2024</t>
        </is>
      </c>
      <c r="E73" s="354" t="inlineStr">
        <is>
          <t>BRI</t>
        </is>
      </c>
      <c r="F73" s="355" t="n">
        <v>3000000</v>
      </c>
      <c r="G73" s="356" t="inlineStr">
        <is>
          <t>IDR</t>
        </is>
      </c>
      <c r="H73" s="357" t="n">
        <v>1</v>
      </c>
      <c r="I73" s="358" t="n">
        <v>3000000</v>
      </c>
      <c r="J73" s="359" t="n"/>
      <c r="K73" s="360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</row>
    <row r="74" ht="15.5" customHeight="1" s="297">
      <c r="A74" s="66" t="n"/>
      <c r="B74" s="352" t="n">
        <v>45568</v>
      </c>
      <c r="C74" s="353" t="n">
        <v>26</v>
      </c>
      <c r="D74" s="361" t="inlineStr">
        <is>
          <t>Gaji fitri bulan October 2024</t>
        </is>
      </c>
      <c r="E74" s="361" t="inlineStr">
        <is>
          <t>BRI</t>
        </is>
      </c>
      <c r="F74" s="355" t="n">
        <v>3000000</v>
      </c>
      <c r="G74" s="356" t="inlineStr">
        <is>
          <t>IDR</t>
        </is>
      </c>
      <c r="H74" s="357" t="n">
        <v>1</v>
      </c>
      <c r="I74" s="358" t="n">
        <v>3000000</v>
      </c>
      <c r="J74" s="359" t="n"/>
      <c r="K74" s="354" t="n"/>
      <c r="L74" s="354" t="n"/>
      <c r="M74" s="354" t="n"/>
      <c r="N74" s="354" t="n"/>
      <c r="O74" s="354" t="n"/>
      <c r="P74" s="354" t="n"/>
      <c r="Q74" s="360" t="n"/>
      <c r="R74" s="354" t="n"/>
      <c r="S74" s="354" t="n"/>
      <c r="T74" s="354" t="n"/>
      <c r="U74" s="354" t="n"/>
      <c r="V74" s="354" t="n"/>
      <c r="W74" s="354" t="n"/>
      <c r="X74" s="354" t="n"/>
    </row>
    <row r="75" ht="15.5" customHeight="1" s="297">
      <c r="A75" s="66" t="n"/>
      <c r="B75" s="352" t="n">
        <v>45625</v>
      </c>
      <c r="C75" s="353" t="n">
        <v>27</v>
      </c>
      <c r="D75" s="361" t="inlineStr">
        <is>
          <t>Gaji fitri bulan November 2024</t>
        </is>
      </c>
      <c r="E75" s="361" t="inlineStr">
        <is>
          <t>BRI</t>
        </is>
      </c>
      <c r="F75" s="355" t="n">
        <v>3000000</v>
      </c>
      <c r="G75" s="356" t="inlineStr">
        <is>
          <t>IDR</t>
        </is>
      </c>
      <c r="H75" s="357" t="n">
        <v>1</v>
      </c>
      <c r="I75" s="358" t="n">
        <v>3000000</v>
      </c>
      <c r="J75" s="360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</row>
    <row r="76" ht="15.5" customHeight="1" s="297">
      <c r="B76" s="352" t="n">
        <v>45651</v>
      </c>
      <c r="C76" s="353" t="n">
        <v>28</v>
      </c>
      <c r="D76" s="361" t="inlineStr">
        <is>
          <t>Gaji Desember 2024 + Bomnus akhir tahun - 4 bulan_Yufitri</t>
        </is>
      </c>
      <c r="E76" s="361" t="inlineStr">
        <is>
          <t>BCA</t>
        </is>
      </c>
      <c r="F76" s="355" t="n">
        <v>15000000</v>
      </c>
      <c r="G76" s="356" t="inlineStr">
        <is>
          <t>IDR</t>
        </is>
      </c>
      <c r="H76" s="357" t="n">
        <v>1</v>
      </c>
      <c r="I76" s="358" t="n">
        <v>15000000</v>
      </c>
      <c r="J76" s="359" t="n"/>
      <c r="K76" s="354" t="n"/>
      <c r="L76" s="354" t="n"/>
      <c r="M76" s="354" t="n"/>
      <c r="N76" s="373" t="n"/>
      <c r="O76" s="354" t="n"/>
      <c r="P76" s="354" t="n"/>
      <c r="Q76" s="354" t="n"/>
      <c r="R76" s="354" t="n"/>
      <c r="S76" s="354" t="n"/>
      <c r="T76" s="354" t="n"/>
      <c r="U76" s="354" t="n"/>
      <c r="V76" s="354" t="n"/>
      <c r="W76" s="354" t="n"/>
      <c r="X76" s="354" t="n"/>
    </row>
    <row r="77" ht="15.5" customHeight="1" s="297">
      <c r="B77" s="342" t="n"/>
      <c r="C77" s="343" t="n"/>
      <c r="D77" s="365" t="inlineStr">
        <is>
          <t>Maintenance</t>
        </is>
      </c>
      <c r="E77" s="366" t="n"/>
      <c r="F77" s="346" t="n"/>
      <c r="G77" s="374" t="n"/>
      <c r="H77" s="347" t="n"/>
      <c r="I77" s="348" t="n"/>
      <c r="J77" s="350" t="n"/>
      <c r="K77" s="375" t="n"/>
      <c r="L77" s="350" t="n"/>
      <c r="M77" s="350" t="n"/>
      <c r="N77" s="350" t="n"/>
      <c r="O77" s="350" t="n"/>
      <c r="P77" s="350" t="n"/>
      <c r="Q77" s="350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n">
        <v>45478</v>
      </c>
      <c r="C78" s="353" t="n">
        <v>29</v>
      </c>
      <c r="D78" s="361" t="inlineStr">
        <is>
          <t>Repair ESOR panel &amp; Fabricate dummy test load, Payment#2</t>
        </is>
      </c>
      <c r="E78" s="361" t="inlineStr">
        <is>
          <t>BRI</t>
        </is>
      </c>
      <c r="F78" s="355" t="n">
        <v>25000000</v>
      </c>
      <c r="G78" s="362" t="inlineStr">
        <is>
          <t>IDR</t>
        </is>
      </c>
      <c r="H78" s="357" t="n">
        <v>1</v>
      </c>
      <c r="I78" s="358" t="n">
        <v>25000000</v>
      </c>
      <c r="J78" s="354" t="n"/>
      <c r="K78" s="364" t="n"/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</row>
    <row r="79" ht="15.5" customHeight="1" s="297">
      <c r="B79" s="352" t="n">
        <v>45493</v>
      </c>
      <c r="C79" s="353" t="n">
        <v>30</v>
      </c>
      <c r="D79" s="354" t="inlineStr">
        <is>
          <t>Repair ESOR panel &amp; Fabricate dummy test load, Payment#1</t>
        </is>
      </c>
      <c r="E79" s="354" t="inlineStr">
        <is>
          <t>BCA</t>
        </is>
      </c>
      <c r="F79" s="363" t="n">
        <v>20000000</v>
      </c>
      <c r="G79" s="356" t="inlineStr">
        <is>
          <t>IDR</t>
        </is>
      </c>
      <c r="H79" s="357" t="n">
        <v>1</v>
      </c>
      <c r="I79" s="358" t="n">
        <v>20000000</v>
      </c>
      <c r="J79" s="359" t="n"/>
      <c r="K79" s="360" t="n"/>
      <c r="L79" s="354" t="n"/>
      <c r="M79" s="354" t="n"/>
      <c r="N79" s="354" t="n"/>
      <c r="O79" s="354" t="n"/>
      <c r="P79" s="354" t="n"/>
      <c r="Q79" s="371" t="n"/>
      <c r="R79" s="354" t="n"/>
      <c r="S79" s="354" t="n"/>
      <c r="T79" s="354" t="n"/>
      <c r="U79" s="354" t="n"/>
      <c r="V79" s="354" t="n"/>
      <c r="W79" s="354" t="n"/>
      <c r="X79" s="354" t="n"/>
    </row>
    <row r="80" ht="15.5" customHeight="1" s="297">
      <c r="B80" s="342" t="n"/>
      <c r="C80" s="343" t="n"/>
      <c r="D80" s="344" t="inlineStr">
        <is>
          <t>Operation</t>
        </is>
      </c>
      <c r="E80" s="345" t="n"/>
      <c r="F80" s="346" t="n"/>
      <c r="G80" s="347" t="n"/>
      <c r="H80" s="347" t="n"/>
      <c r="I80" s="348" t="n"/>
      <c r="J80" s="348" t="n"/>
      <c r="K80" s="349" t="n"/>
      <c r="L80" s="350" t="n"/>
      <c r="M80" s="350" t="n"/>
      <c r="N80" s="350" t="n"/>
      <c r="O80" s="350" t="n"/>
      <c r="P80" s="350" t="n"/>
      <c r="Q80" s="350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n">
        <v>45501</v>
      </c>
      <c r="C81" s="353" t="n">
        <v>31</v>
      </c>
      <c r="D81" s="354" t="inlineStr">
        <is>
          <t>Handphone Operational untuk Secretary (Yufitri)</t>
        </is>
      </c>
      <c r="E81" s="354" t="inlineStr">
        <is>
          <t>BCA</t>
        </is>
      </c>
      <c r="F81" s="355" t="n">
        <v>2600000</v>
      </c>
      <c r="G81" s="356" t="inlineStr">
        <is>
          <t>IDR</t>
        </is>
      </c>
      <c r="H81" s="357" t="n">
        <v>1</v>
      </c>
      <c r="I81" s="359" t="n"/>
      <c r="J81" s="359" t="n"/>
      <c r="K81" s="360" t="n"/>
      <c r="L81" s="354" t="n"/>
      <c r="M81" s="354" t="n"/>
      <c r="N81" s="363" t="n">
        <v>2600000</v>
      </c>
      <c r="O81" s="354" t="n"/>
      <c r="P81" s="354" t="n"/>
      <c r="Q81" s="371" t="n"/>
      <c r="R81" s="354" t="n"/>
      <c r="S81" s="354" t="n"/>
      <c r="T81" s="354" t="n"/>
      <c r="U81" s="354" t="n"/>
      <c r="V81" s="354" t="n"/>
      <c r="W81" s="354" t="n"/>
      <c r="X81" s="354" t="n"/>
    </row>
    <row r="82" ht="15.5" customHeight="1" s="297">
      <c r="B82" s="342" t="n"/>
      <c r="C82" s="343" t="n"/>
      <c r="D82" s="344" t="inlineStr">
        <is>
          <t>Pembelian Barang</t>
        </is>
      </c>
      <c r="E82" s="345" t="n"/>
      <c r="F82" s="346" t="n"/>
      <c r="G82" s="347" t="n"/>
      <c r="H82" s="347" t="n"/>
      <c r="I82" s="348" t="n"/>
      <c r="J82" s="348" t="n"/>
      <c r="K82" s="349" t="n"/>
      <c r="L82" s="376" t="n"/>
      <c r="M82" s="350" t="n"/>
      <c r="N82" s="350" t="n"/>
      <c r="O82" s="350" t="n"/>
      <c r="P82" s="350" t="n"/>
      <c r="Q82" s="350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n">
        <v>45476</v>
      </c>
      <c r="C83" s="353" t="n">
        <v>32</v>
      </c>
      <c r="D83" s="354" t="inlineStr">
        <is>
          <t>Kekurangan (PPN ) ke PT Garindo sarana Baru (Downhole Sampling)</t>
        </is>
      </c>
      <c r="E83" s="354" t="inlineStr">
        <is>
          <t>BCA</t>
        </is>
      </c>
      <c r="F83" s="363" t="n">
        <v>3582000</v>
      </c>
      <c r="G83" s="356" t="inlineStr">
        <is>
          <t>IDR</t>
        </is>
      </c>
      <c r="H83" s="357" t="n">
        <v>1</v>
      </c>
      <c r="I83" s="359" t="n"/>
      <c r="J83" s="359" t="n"/>
      <c r="K83" s="360" t="n"/>
      <c r="L83" s="354" t="n"/>
      <c r="M83" s="354" t="n"/>
      <c r="N83" s="363" t="n">
        <v>3582000</v>
      </c>
      <c r="O83" s="354" t="n"/>
      <c r="P83" s="354" t="n"/>
      <c r="Q83" s="354" t="n"/>
      <c r="R83" s="354" t="n"/>
      <c r="S83" s="354" t="n"/>
      <c r="T83" s="354" t="n"/>
      <c r="U83" s="354" t="n"/>
      <c r="V83" s="354" t="n"/>
      <c r="W83" s="354" t="n"/>
      <c r="X83" s="354" t="n"/>
    </row>
    <row r="84" ht="15.5" customHeight="1" s="297">
      <c r="A84" s="66" t="n"/>
      <c r="B84" s="342" t="n"/>
      <c r="C84" s="343" t="n"/>
      <c r="D84" s="365" t="inlineStr">
        <is>
          <t>Pembuatan Alat</t>
        </is>
      </c>
      <c r="E84" s="366" t="n"/>
      <c r="F84" s="346" t="n"/>
      <c r="G84" s="347" t="n"/>
      <c r="H84" s="347" t="n"/>
      <c r="I84" s="349" t="n"/>
      <c r="J84" s="348" t="n"/>
      <c r="K84" s="350" t="n"/>
      <c r="L84" s="350" t="n"/>
      <c r="M84" s="350" t="n"/>
      <c r="N84" s="350" t="n"/>
      <c r="O84" s="350" t="n"/>
      <c r="P84" s="350" t="n"/>
      <c r="Q84" s="350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n">
        <v>45653</v>
      </c>
      <c r="C85" s="353" t="n">
        <v>33</v>
      </c>
      <c r="D85" s="361" t="inlineStr">
        <is>
          <t>KUPA | Pembelian Mesin Retort Horizontal 500 Lt Automatic Control</t>
        </is>
      </c>
      <c r="E85" s="361" t="inlineStr">
        <is>
          <t>BCA</t>
        </is>
      </c>
      <c r="F85" s="355" t="n">
        <v>141500000</v>
      </c>
      <c r="G85" s="362" t="inlineStr">
        <is>
          <t>IDR</t>
        </is>
      </c>
      <c r="H85" s="357" t="n">
        <v>1</v>
      </c>
      <c r="I85" s="359" t="n"/>
      <c r="J85" s="363" t="n">
        <v>141500000</v>
      </c>
      <c r="K85" s="364" t="n"/>
      <c r="L85" s="360" t="n"/>
      <c r="M85" s="354" t="n"/>
      <c r="N85" s="354" t="n"/>
      <c r="O85" s="354" t="n"/>
      <c r="P85" s="354" t="n"/>
      <c r="Q85" s="354" t="n"/>
      <c r="R85" s="354" t="n"/>
      <c r="S85" s="354" t="n"/>
      <c r="T85" s="354" t="n"/>
      <c r="U85" s="354" t="n"/>
      <c r="V85" s="354" t="n"/>
      <c r="W85" s="354" t="n"/>
      <c r="X85" s="354" t="n"/>
    </row>
    <row r="86" ht="15.5" customHeight="1" s="297">
      <c r="B86" s="342" t="n"/>
      <c r="C86" s="343" t="n"/>
      <c r="D86" s="365" t="inlineStr">
        <is>
          <t>Project Operation</t>
        </is>
      </c>
      <c r="E86" s="366" t="n"/>
      <c r="F86" s="346" t="n"/>
      <c r="G86" s="374" t="n"/>
      <c r="H86" s="347" t="n"/>
      <c r="I86" s="349" t="n"/>
      <c r="J86" s="350" t="n"/>
      <c r="K86" s="375" t="n"/>
      <c r="L86" s="350" t="n"/>
      <c r="M86" s="350" t="n"/>
      <c r="N86" s="350" t="n"/>
      <c r="O86" s="350" t="n"/>
      <c r="P86" s="350" t="n"/>
      <c r="Q86" s="350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n">
        <v>45422</v>
      </c>
      <c r="C87" s="353" t="n">
        <v>34</v>
      </c>
      <c r="D87" s="361" t="inlineStr">
        <is>
          <t>Aro Energy | Moving slickline dari Duri (Toni Supriadi) ke Sungai lilin</t>
        </is>
      </c>
      <c r="E87" s="361" t="inlineStr">
        <is>
          <t>BCA</t>
        </is>
      </c>
      <c r="F87" s="355" t="n">
        <v>18000000</v>
      </c>
      <c r="G87" s="356" t="inlineStr">
        <is>
          <t>IDR</t>
        </is>
      </c>
      <c r="H87" s="357" t="n">
        <v>1</v>
      </c>
      <c r="I87" s="358" t="n">
        <v>18000000</v>
      </c>
      <c r="J87" s="359" t="n"/>
      <c r="K87" s="354" t="n"/>
      <c r="L87" s="354" t="n"/>
      <c r="M87" s="354" t="n"/>
      <c r="N87" s="354" t="n"/>
      <c r="O87" s="354" t="n"/>
      <c r="P87" s="354" t="n"/>
      <c r="Q87" s="360" t="n"/>
      <c r="R87" s="354" t="n"/>
      <c r="S87" s="354" t="n"/>
      <c r="T87" s="354" t="n"/>
      <c r="U87" s="354" t="n"/>
      <c r="V87" s="354" t="n"/>
      <c r="W87" s="354" t="n"/>
      <c r="X87" s="354" t="n"/>
    </row>
    <row r="88" ht="15.5" customHeight="1" s="297">
      <c r="B88" s="352" t="n">
        <v>45581</v>
      </c>
      <c r="C88" s="353" t="n">
        <v>35</v>
      </c>
      <c r="D88" s="361" t="inlineStr">
        <is>
          <t>PT Laka Indonesia | Project Lampu Taman Istana Negara Jakarta</t>
        </is>
      </c>
      <c r="E88" s="361" t="inlineStr">
        <is>
          <t>BRI</t>
        </is>
      </c>
      <c r="F88" s="355" t="n">
        <v>100000000</v>
      </c>
      <c r="G88" s="356" t="inlineStr">
        <is>
          <t>IDR</t>
        </is>
      </c>
      <c r="H88" s="357" t="n">
        <v>1</v>
      </c>
      <c r="I88" s="358" t="n">
        <v>100000000</v>
      </c>
      <c r="J88" s="354" t="n"/>
      <c r="K88" s="36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354" t="n"/>
      <c r="U88" s="354" t="n"/>
      <c r="V88" s="354" t="n"/>
      <c r="W88" s="354" t="n"/>
      <c r="X88" s="354" t="n"/>
    </row>
    <row r="89" ht="15.5" customHeight="1" s="297">
      <c r="B89" s="342" t="n"/>
      <c r="C89" s="343" t="n"/>
      <c r="D89" s="365" t="inlineStr">
        <is>
          <t>Rental Tool</t>
        </is>
      </c>
      <c r="E89" s="366" t="n"/>
      <c r="F89" s="346" t="n"/>
      <c r="G89" s="347" t="n"/>
      <c r="H89" s="347" t="n"/>
      <c r="I89" s="348" t="n"/>
      <c r="J89" s="350" t="n"/>
      <c r="K89" s="375" t="n"/>
      <c r="L89" s="350" t="n"/>
      <c r="M89" s="350" t="n"/>
      <c r="N89" s="349" t="n"/>
      <c r="O89" s="350" t="n"/>
      <c r="P89" s="350" t="n"/>
      <c r="Q89" s="350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n">
        <v>45302</v>
      </c>
      <c r="C90" s="353" t="n">
        <v>36</v>
      </c>
      <c r="D90" s="361" t="inlineStr">
        <is>
          <t>ALFA Service PDP-075 Pertamina Zona#4 - Rental Tool</t>
        </is>
      </c>
      <c r="E90" s="361" t="inlineStr">
        <is>
          <t>BCA</t>
        </is>
      </c>
      <c r="F90" s="355" t="n">
        <v>29640916</v>
      </c>
      <c r="G90" s="356" t="inlineStr">
        <is>
          <t>IDR</t>
        </is>
      </c>
      <c r="H90" s="357" t="n">
        <v>1</v>
      </c>
      <c r="I90" s="358" t="n">
        <v>29640916</v>
      </c>
      <c r="J90" s="360" t="n"/>
      <c r="K90" s="354" t="n"/>
      <c r="L90" s="354" t="n"/>
      <c r="M90" s="354" t="n"/>
      <c r="N90" s="354" t="n"/>
      <c r="O90" s="354" t="n"/>
      <c r="P90" s="354" t="n"/>
      <c r="Q90" s="354" t="n"/>
      <c r="R90" s="354" t="n"/>
      <c r="S90" s="354" t="n"/>
      <c r="T90" s="354" t="n"/>
      <c r="U90" s="354" t="n"/>
      <c r="V90" s="354" t="n"/>
      <c r="W90" s="354" t="n"/>
      <c r="X90" s="354" t="n"/>
    </row>
    <row r="91" ht="15.5" customHeight="1" s="297">
      <c r="B91" s="352" t="n">
        <v>45302</v>
      </c>
      <c r="C91" s="353" t="n">
        <v>37</v>
      </c>
      <c r="D91" s="361" t="inlineStr">
        <is>
          <t>ALFA Service PDS-01ST Pertamina Zona#4 - Rental Tool</t>
        </is>
      </c>
      <c r="E91" s="361" t="inlineStr">
        <is>
          <t>BCA</t>
        </is>
      </c>
      <c r="F91" s="355" t="n">
        <v>29640916</v>
      </c>
      <c r="G91" s="356" t="inlineStr">
        <is>
          <t>IDR</t>
        </is>
      </c>
      <c r="H91" s="357" t="n">
        <v>1</v>
      </c>
      <c r="I91" s="358" t="n">
        <v>29640916</v>
      </c>
      <c r="J91" s="359" t="n"/>
      <c r="K91" s="354" t="n"/>
      <c r="L91" s="354" t="n"/>
      <c r="M91" s="354" t="n"/>
      <c r="N91" s="354" t="n"/>
      <c r="O91" s="373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</row>
    <row r="92" ht="15.5" customHeight="1" s="297">
      <c r="B92" s="352" t="n">
        <v>45302</v>
      </c>
      <c r="C92" s="353" t="n">
        <v>38</v>
      </c>
      <c r="D92" s="361" t="inlineStr">
        <is>
          <t>ALFA Service JRK-254 Pertamina Zona#4 - Rental Tool</t>
        </is>
      </c>
      <c r="E92" s="361" t="inlineStr">
        <is>
          <t>BCA</t>
        </is>
      </c>
      <c r="F92" s="355" t="n">
        <v>29640916</v>
      </c>
      <c r="G92" s="356" t="inlineStr">
        <is>
          <t>IDR</t>
        </is>
      </c>
      <c r="H92" s="357" t="n">
        <v>1</v>
      </c>
      <c r="I92" s="363" t="n">
        <v>29640916</v>
      </c>
      <c r="J92" s="359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354" t="n"/>
      <c r="U92" s="354" t="n"/>
      <c r="V92" s="354" t="n"/>
      <c r="W92" s="354" t="n"/>
      <c r="X92" s="354" t="n"/>
    </row>
    <row r="93" ht="15.5" customHeight="1" s="297">
      <c r="B93" s="352" t="n">
        <v>45446</v>
      </c>
      <c r="C93" s="353" t="n">
        <v>39</v>
      </c>
      <c r="D93" s="361" t="inlineStr">
        <is>
          <t>ALFA Service TLJ-58 Pertamina Zona#4 - Rental Tool</t>
        </is>
      </c>
      <c r="E93" s="361" t="inlineStr">
        <is>
          <t>BCA</t>
        </is>
      </c>
      <c r="F93" s="355" t="n">
        <v>29640916</v>
      </c>
      <c r="G93" s="356" t="inlineStr">
        <is>
          <t>IDR</t>
        </is>
      </c>
      <c r="H93" s="357" t="n">
        <v>1</v>
      </c>
      <c r="I93" s="358" t="n">
        <v>29640916</v>
      </c>
      <c r="J93" s="359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</row>
    <row r="94" ht="15.5" customHeight="1" s="297">
      <c r="A94" s="66" t="n"/>
      <c r="B94" s="352" t="n">
        <v>45447</v>
      </c>
      <c r="C94" s="353" t="n">
        <v>40</v>
      </c>
      <c r="D94" s="361" t="inlineStr">
        <is>
          <t>ALFA Service JRK-193 Pertamina Zona#4 - Rental Tool</t>
        </is>
      </c>
      <c r="E94" s="361" t="inlineStr">
        <is>
          <t>BCA</t>
        </is>
      </c>
      <c r="F94" s="355" t="n">
        <v>29640916</v>
      </c>
      <c r="G94" s="356" t="inlineStr">
        <is>
          <t>IDR</t>
        </is>
      </c>
      <c r="H94" s="357" t="n">
        <v>1</v>
      </c>
      <c r="I94" s="358" t="n">
        <v>29640916</v>
      </c>
      <c r="J94" s="360" t="n"/>
      <c r="K94" s="354" t="n"/>
      <c r="L94" s="354" t="n"/>
      <c r="M94" s="354" t="n"/>
      <c r="N94" s="354" t="n"/>
      <c r="O94" s="354" t="n"/>
      <c r="P94" s="354" t="n"/>
      <c r="Q94" s="354" t="n"/>
      <c r="R94" s="354" t="n"/>
      <c r="S94" s="354" t="n"/>
      <c r="T94" s="354" t="n"/>
      <c r="U94" s="354" t="n"/>
      <c r="V94" s="354" t="n"/>
      <c r="W94" s="354" t="n"/>
      <c r="X94" s="354" t="n"/>
    </row>
    <row r="95" ht="15.5" customHeight="1" s="297">
      <c r="B95" s="352" t="n">
        <v>45537</v>
      </c>
      <c r="C95" s="353" t="n">
        <v>41</v>
      </c>
      <c r="D95" s="354" t="inlineStr">
        <is>
          <t>ALFA Service JRK-163 Pertamina Zona#4 - Rental Tool</t>
        </is>
      </c>
      <c r="E95" s="354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4" t="n"/>
      <c r="N95" s="354" t="n"/>
      <c r="O95" s="354" t="n"/>
      <c r="P95" s="354" t="n"/>
      <c r="Q95" s="354" t="n"/>
      <c r="R95" s="354" t="n"/>
      <c r="S95" s="354" t="n"/>
      <c r="T95" s="354" t="n"/>
      <c r="U95" s="354" t="n"/>
      <c r="V95" s="354" t="n"/>
      <c r="W95" s="354" t="n"/>
      <c r="X95" s="354" t="n"/>
    </row>
    <row r="96" ht="15.5" customHeight="1" s="297">
      <c r="B96" s="352" t="n">
        <v>45569</v>
      </c>
      <c r="C96" s="362" t="n">
        <v>42</v>
      </c>
      <c r="D96" s="361" t="inlineStr">
        <is>
          <t>PLT Service TGB-033 Pertamina Cirebon - Rental Tool</t>
        </is>
      </c>
      <c r="E96" s="361" t="inlineStr">
        <is>
          <t>BCA</t>
        </is>
      </c>
      <c r="F96" s="355" t="n">
        <v>16165271</v>
      </c>
      <c r="G96" s="356" t="inlineStr">
        <is>
          <t>IDR</t>
        </is>
      </c>
      <c r="H96" s="357" t="n">
        <v>1</v>
      </c>
      <c r="I96" s="358" t="n">
        <v>16165271</v>
      </c>
      <c r="J96" s="354" t="n"/>
      <c r="K96" s="359" t="n"/>
      <c r="L96" s="354" t="n"/>
      <c r="M96" s="360" t="n"/>
      <c r="N96" s="354" t="n"/>
      <c r="O96" s="354" t="n"/>
      <c r="P96" s="354" t="n"/>
      <c r="Q96" s="354" t="n"/>
      <c r="R96" s="354" t="n"/>
      <c r="S96" s="354" t="n"/>
      <c r="T96" s="354" t="n"/>
      <c r="U96" s="354" t="n"/>
      <c r="V96" s="354" t="n"/>
      <c r="W96" s="354" t="n"/>
      <c r="X96" s="354" t="n"/>
    </row>
    <row r="97" ht="15.5" customHeight="1" s="297">
      <c r="B97" s="380" t="n">
        <v>45569</v>
      </c>
      <c r="C97" s="354" t="n">
        <v>43</v>
      </c>
      <c r="D97" s="354" t="inlineStr">
        <is>
          <t>ALFA Service TGB-033 Pertamina Cirebon - Rental Tool</t>
        </is>
      </c>
      <c r="E97" s="354" t="inlineStr">
        <is>
          <t>BCA</t>
        </is>
      </c>
      <c r="F97" s="363" t="n">
        <v>25967616</v>
      </c>
      <c r="G97" s="362" t="inlineStr">
        <is>
          <t>IDR</t>
        </is>
      </c>
      <c r="H97" s="381" t="n">
        <v>1</v>
      </c>
      <c r="I97" s="363" t="n">
        <v>25967616</v>
      </c>
      <c r="J97" s="360" t="n"/>
      <c r="K97" s="360" t="n"/>
      <c r="L97" s="360" t="n"/>
      <c r="M97" s="360" t="n"/>
      <c r="N97" s="360" t="n"/>
      <c r="O97" s="360" t="n"/>
      <c r="P97" s="360" t="n"/>
      <c r="Q97" s="360" t="n"/>
      <c r="R97" s="354" t="n"/>
      <c r="S97" s="354" t="n"/>
      <c r="T97" s="354" t="n"/>
      <c r="U97" s="354" t="n"/>
      <c r="V97" s="354" t="n"/>
      <c r="W97" s="354" t="n"/>
      <c r="X97" s="354" t="n"/>
    </row>
    <row r="98" ht="15.5" customHeight="1" s="297">
      <c r="B98" s="382" t="n">
        <v>45569</v>
      </c>
      <c r="C98" s="353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3" t="n">
        <v>32101247</v>
      </c>
      <c r="G98" s="362" t="inlineStr">
        <is>
          <t>IDR</t>
        </is>
      </c>
      <c r="H98" s="381" t="n">
        <v>1</v>
      </c>
      <c r="I98" s="363" t="n">
        <v>32101247</v>
      </c>
      <c r="J98" s="360" t="n"/>
      <c r="K98" s="360" t="n"/>
      <c r="L98" s="360" t="n"/>
      <c r="M98" s="360" t="n"/>
      <c r="N98" s="360" t="n"/>
      <c r="O98" s="360" t="n"/>
      <c r="P98" s="360" t="n"/>
      <c r="Q98" s="360" t="n"/>
      <c r="R98" s="354" t="n"/>
      <c r="S98" s="354" t="n"/>
      <c r="T98" s="354" t="n"/>
      <c r="U98" s="354" t="n"/>
      <c r="V98" s="354" t="n"/>
      <c r="W98" s="354" t="n"/>
      <c r="X98" s="354" t="n"/>
    </row>
    <row r="99" ht="15.5" customHeight="1" s="297">
      <c r="B99" s="352" t="n">
        <v>45572</v>
      </c>
      <c r="C99" s="353" t="n">
        <v>45</v>
      </c>
      <c r="D99" s="354" t="inlineStr">
        <is>
          <t>ALFA Service JRK-095 Pertamina Zona#4 - Rental Tool</t>
        </is>
      </c>
      <c r="E99" s="354" t="inlineStr">
        <is>
          <t>BCA</t>
        </is>
      </c>
      <c r="F99" s="370" t="n">
        <v>29640916</v>
      </c>
      <c r="G99" s="353" t="inlineStr">
        <is>
          <t>IDR</t>
        </is>
      </c>
      <c r="H99" s="381" t="n">
        <v>1</v>
      </c>
      <c r="I99" s="363" t="n">
        <v>29640916</v>
      </c>
      <c r="J99" s="360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354" t="n"/>
      <c r="U99" s="354" t="n"/>
      <c r="V99" s="354" t="n"/>
      <c r="W99" s="354" t="n"/>
      <c r="X99" s="354" t="n"/>
    </row>
    <row r="100" ht="15.5" customHeight="1" s="297">
      <c r="B100" s="352" t="n">
        <v>45576</v>
      </c>
      <c r="C100" s="353" t="n">
        <v>46</v>
      </c>
      <c r="D100" s="354" t="inlineStr">
        <is>
          <t>MPLT/GR-CCL/ALFA TIS - Rental Tool</t>
        </is>
      </c>
      <c r="E100" s="354" t="inlineStr">
        <is>
          <t>BCA</t>
        </is>
      </c>
      <c r="F100" s="370" t="n">
        <v>74291457</v>
      </c>
      <c r="G100" s="353" t="inlineStr">
        <is>
          <t>IDR</t>
        </is>
      </c>
      <c r="H100" s="381" t="n">
        <v>1</v>
      </c>
      <c r="I100" s="363" t="n">
        <v>74291457</v>
      </c>
      <c r="J100" s="360" t="n"/>
      <c r="K100" s="354" t="n"/>
      <c r="L100" s="354" t="n"/>
      <c r="M100" s="354" t="n"/>
      <c r="N100" s="354" t="n"/>
      <c r="O100" s="354" t="n"/>
      <c r="P100" s="354" t="n"/>
      <c r="Q100" s="354" t="n"/>
      <c r="R100" s="354" t="n"/>
      <c r="S100" s="354" t="n"/>
      <c r="T100" s="354" t="n"/>
      <c r="U100" s="354" t="n"/>
      <c r="V100" s="354" t="n"/>
      <c r="W100" s="354" t="n"/>
      <c r="X100" s="354" t="n"/>
    </row>
    <row r="101" ht="15.5" customHeight="1" s="297">
      <c r="B101" s="384" t="n"/>
      <c r="C101" s="343" t="n"/>
      <c r="D101" s="365" t="inlineStr">
        <is>
          <t>Sales</t>
        </is>
      </c>
      <c r="E101" s="366" t="n"/>
      <c r="F101" s="368" t="n"/>
      <c r="G101" s="343" t="n"/>
      <c r="H101" s="343" t="n"/>
      <c r="I101" s="348" t="n"/>
      <c r="J101" s="349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69" t="n">
        <v>45304</v>
      </c>
      <c r="C102" s="353" t="n">
        <v>47</v>
      </c>
      <c r="D102" s="361" t="inlineStr">
        <is>
          <t>Sales cost 4 Well Integrity Pertamina Z.4</t>
        </is>
      </c>
      <c r="E102" s="361" t="inlineStr">
        <is>
          <t>BRI</t>
        </is>
      </c>
      <c r="F102" s="370" t="n">
        <v>77672400</v>
      </c>
      <c r="G102" s="353" t="inlineStr">
        <is>
          <t>IDR</t>
        </is>
      </c>
      <c r="H102" s="381" t="n">
        <v>1</v>
      </c>
      <c r="I102" s="358" t="n">
        <v>77672400</v>
      </c>
      <c r="J102" s="360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354" t="n"/>
      <c r="U102" s="354" t="n"/>
      <c r="V102" s="354" t="n"/>
      <c r="W102" s="354" t="n"/>
      <c r="X102" s="354" t="n"/>
    </row>
    <row r="103" ht="15.5" customHeight="1" s="297">
      <c r="B103" s="369" t="n">
        <v>45601</v>
      </c>
      <c r="C103" s="353" t="n">
        <v>48</v>
      </c>
      <c r="D103" s="354" t="inlineStr">
        <is>
          <t>Sales fee 2 Well Integrity Pertamina Z.4</t>
        </is>
      </c>
      <c r="E103" s="354" t="inlineStr">
        <is>
          <t>BRI</t>
        </is>
      </c>
      <c r="F103" s="370" t="n">
        <v>38838700</v>
      </c>
      <c r="G103" s="353" t="inlineStr">
        <is>
          <t>IDR</t>
        </is>
      </c>
      <c r="H103" s="381" t="n">
        <v>1</v>
      </c>
      <c r="I103" s="363" t="n">
        <v>38838700</v>
      </c>
      <c r="J103" s="360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354" t="n"/>
      <c r="U103" s="354" t="n"/>
      <c r="V103" s="354" t="n"/>
      <c r="W103" s="354" t="n"/>
      <c r="X103" s="354" t="n"/>
    </row>
    <row r="104" ht="15.5" customHeight="1" s="297">
      <c r="B104" s="384" t="n"/>
      <c r="C104" s="343" t="n"/>
      <c r="D104" s="365" t="inlineStr">
        <is>
          <t>Sewa Ruangan</t>
        </is>
      </c>
      <c r="E104" s="366" t="n"/>
      <c r="F104" s="368" t="n"/>
      <c r="G104" s="343" t="n"/>
      <c r="H104" s="343" t="n"/>
      <c r="I104" s="348" t="n"/>
      <c r="J104" s="349" t="n"/>
      <c r="K104" s="350" t="n"/>
      <c r="L104" s="350" t="n"/>
      <c r="M104" s="350" t="n"/>
      <c r="N104" s="350" t="n"/>
      <c r="O104" s="350" t="n"/>
      <c r="P104" s="350" t="n"/>
      <c r="Q104" s="350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69" t="n">
        <v>45519</v>
      </c>
      <c r="C105" s="353" t="n">
        <v>49</v>
      </c>
      <c r="D105" s="361" t="inlineStr">
        <is>
          <t>MUTRI | Sewa ruangan kantor BBC 2 bulan</t>
        </is>
      </c>
      <c r="E105" s="361" t="inlineStr">
        <is>
          <t>BCA</t>
        </is>
      </c>
      <c r="F105" s="370" t="n">
        <v>11270000</v>
      </c>
      <c r="G105" s="353" t="inlineStr">
        <is>
          <t>IDR</t>
        </is>
      </c>
      <c r="H105" s="381" t="n">
        <v>1</v>
      </c>
      <c r="I105" s="359" t="n"/>
      <c r="J105" s="360" t="n"/>
      <c r="K105" s="354" t="n"/>
      <c r="L105" s="354" t="n"/>
      <c r="M105" s="354" t="n"/>
      <c r="N105" s="354" t="n"/>
      <c r="O105" s="354" t="n"/>
      <c r="P105" s="354" t="n"/>
      <c r="Q105" s="363" t="n">
        <v>11270000</v>
      </c>
      <c r="R105" s="354" t="n"/>
      <c r="S105" s="354" t="n"/>
      <c r="T105" s="354" t="n"/>
      <c r="U105" s="354" t="n"/>
      <c r="V105" s="354" t="n"/>
      <c r="W105" s="354" t="n"/>
      <c r="X105" s="354" t="n"/>
    </row>
    <row r="106" ht="15.5" customHeight="1" s="297">
      <c r="B106" s="369" t="n">
        <v>45632</v>
      </c>
      <c r="C106" s="353" t="n">
        <v>50</v>
      </c>
      <c r="D106" s="361" t="inlineStr">
        <is>
          <t>Sewa Virtual Office 1th, 1jan25 - 31des25_BBC_ Ganesha Dwipaya B</t>
        </is>
      </c>
      <c r="E106" s="361" t="inlineStr">
        <is>
          <t>BCA</t>
        </is>
      </c>
      <c r="F106" s="370" t="n">
        <v>4995000</v>
      </c>
      <c r="G106" s="353" t="inlineStr">
        <is>
          <t>IDR</t>
        </is>
      </c>
      <c r="H106" s="381" t="n">
        <v>1</v>
      </c>
      <c r="I106" s="359" t="n"/>
      <c r="J106" s="360" t="n"/>
      <c r="K106" s="354" t="n"/>
      <c r="L106" s="354" t="n"/>
      <c r="M106" s="354" t="n"/>
      <c r="N106" s="354" t="n"/>
      <c r="O106" s="363" t="n">
        <v>4995000</v>
      </c>
      <c r="P106" s="354" t="n"/>
      <c r="Q106" s="354" t="n"/>
      <c r="R106" s="354" t="n"/>
      <c r="S106" s="354" t="n"/>
      <c r="T106" s="354" t="n"/>
      <c r="U106" s="354" t="n"/>
      <c r="V106" s="354" t="n"/>
      <c r="W106" s="354" t="n"/>
      <c r="X106" s="354" t="n"/>
    </row>
    <row r="107" ht="15.5" customHeight="1" s="297">
      <c r="B107" s="384" t="n"/>
      <c r="C107" s="343" t="n"/>
      <c r="D107" s="365" t="inlineStr">
        <is>
          <t>Sparepart</t>
        </is>
      </c>
      <c r="E107" s="366" t="n"/>
      <c r="F107" s="368" t="n"/>
      <c r="G107" s="343" t="n"/>
      <c r="H107" s="343" t="n"/>
      <c r="I107" s="348" t="n"/>
      <c r="J107" s="349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69" t="n">
        <v>45473</v>
      </c>
      <c r="C108" s="353" t="n">
        <v>51</v>
      </c>
      <c r="D108" s="361" t="inlineStr">
        <is>
          <t>Downhole Sampling tool #1-1 GARINDO SARANA BARU</t>
        </is>
      </c>
      <c r="E108" s="361" t="inlineStr">
        <is>
          <t>BCA</t>
        </is>
      </c>
      <c r="F108" s="370" t="n">
        <v>39800000</v>
      </c>
      <c r="G108" s="353" t="inlineStr">
        <is>
          <t>IDR</t>
        </is>
      </c>
      <c r="H108" s="381" t="n">
        <v>1</v>
      </c>
      <c r="I108" s="359" t="n"/>
      <c r="J108" s="360" t="n"/>
      <c r="K108" s="354" t="n"/>
      <c r="L108" s="354" t="n"/>
      <c r="M108" s="354" t="n"/>
      <c r="N108" s="363" t="n">
        <v>39800000</v>
      </c>
      <c r="O108" s="354" t="n"/>
      <c r="P108" s="354" t="n"/>
      <c r="Q108" s="354" t="n"/>
      <c r="R108" s="354" t="n"/>
      <c r="S108" s="354" t="n"/>
      <c r="T108" s="354" t="n"/>
      <c r="U108" s="354" t="n"/>
      <c r="V108" s="354" t="n"/>
      <c r="W108" s="354" t="n"/>
      <c r="X108" s="354" t="n"/>
    </row>
    <row r="109" ht="15.5" customHeight="1" s="297">
      <c r="B109" s="369" t="n">
        <v>45519</v>
      </c>
      <c r="C109" s="353" t="n">
        <v>52</v>
      </c>
      <c r="D109" s="361" t="inlineStr">
        <is>
          <t>Downhole Sampling tool #1-2 GARINDO SARANA BARU</t>
        </is>
      </c>
      <c r="E109" s="361" t="inlineStr">
        <is>
          <t>BCA</t>
        </is>
      </c>
      <c r="F109" s="370" t="n">
        <v>53835000</v>
      </c>
      <c r="G109" s="353" t="inlineStr">
        <is>
          <t>IDR</t>
        </is>
      </c>
      <c r="H109" s="381" t="n">
        <v>1</v>
      </c>
      <c r="I109" s="359" t="n"/>
      <c r="J109" s="360" t="n"/>
      <c r="K109" s="354" t="n"/>
      <c r="L109" s="354" t="n"/>
      <c r="M109" s="359" t="n"/>
      <c r="N109" s="363" t="n">
        <v>53835000</v>
      </c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</row>
    <row r="110" ht="15.5" customHeight="1" s="297">
      <c r="B110" s="369" t="n">
        <v>45556</v>
      </c>
      <c r="C110" s="353" t="n">
        <v>53</v>
      </c>
      <c r="D110" s="361" t="inlineStr">
        <is>
          <t>Downhole Sampling tool #2 GARINDO SARANA BARU</t>
        </is>
      </c>
      <c r="E110" s="361" t="inlineStr">
        <is>
          <t>BCA</t>
        </is>
      </c>
      <c r="F110" s="370" t="n">
        <v>34299000</v>
      </c>
      <c r="G110" s="353" t="inlineStr">
        <is>
          <t>IDR</t>
        </is>
      </c>
      <c r="H110" s="381" t="n">
        <v>1</v>
      </c>
      <c r="I110" s="360" t="n"/>
      <c r="J110" s="360" t="n"/>
      <c r="K110" s="354" t="n"/>
      <c r="L110" s="354" t="n"/>
      <c r="M110" s="354" t="n"/>
      <c r="N110" s="363" t="n">
        <v>34299000</v>
      </c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</row>
    <row r="111" ht="15.5" customHeight="1" s="297">
      <c r="B111" s="369" t="n">
        <v>45630</v>
      </c>
      <c r="C111" s="353" t="n">
        <v>54</v>
      </c>
      <c r="D111" s="361" t="inlineStr">
        <is>
          <t>Payment ke UPS Biaya Import pembelian sparepart dari Pei-Genesis</t>
        </is>
      </c>
      <c r="E111" s="361" t="inlineStr">
        <is>
          <t>BRI</t>
        </is>
      </c>
      <c r="F111" s="370" t="n">
        <v>777246</v>
      </c>
      <c r="G111" s="353" t="inlineStr">
        <is>
          <t>IDR</t>
        </is>
      </c>
      <c r="H111" s="381" t="n">
        <v>1</v>
      </c>
      <c r="I111" s="359" t="n"/>
      <c r="J111" s="360" t="n"/>
      <c r="K111" s="354" t="n"/>
      <c r="L111" s="354" t="n"/>
      <c r="M111" s="354" t="n"/>
      <c r="N111" s="358" t="n">
        <v>777246</v>
      </c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</row>
    <row r="112" ht="15.5" customHeight="1" s="297">
      <c r="B112" s="384" t="n"/>
      <c r="C112" s="343" t="n"/>
      <c r="D112" s="365" t="inlineStr">
        <is>
          <t>Team Building</t>
        </is>
      </c>
      <c r="E112" s="366" t="n"/>
      <c r="F112" s="368" t="n"/>
      <c r="G112" s="343" t="n"/>
      <c r="H112" s="343" t="n"/>
      <c r="I112" s="348" t="n"/>
      <c r="J112" s="349" t="n"/>
      <c r="K112" s="350" t="n"/>
      <c r="L112" s="350" t="n"/>
      <c r="M112" s="350" t="n"/>
      <c r="N112" s="348" t="n"/>
      <c r="O112" s="350" t="n"/>
      <c r="P112" s="350" t="n"/>
      <c r="Q112" s="350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69" t="n">
        <v>45644</v>
      </c>
      <c r="C113" s="353" t="n">
        <v>55</v>
      </c>
      <c r="D113" s="361" t="inlineStr">
        <is>
          <t>Team building EWI dengan team Well Intervention PEP Reg. 2</t>
        </is>
      </c>
      <c r="E113" s="361" t="inlineStr">
        <is>
          <t>BCA</t>
        </is>
      </c>
      <c r="F113" s="370" t="n">
        <v>39201350</v>
      </c>
      <c r="G113" s="353" t="inlineStr">
        <is>
          <t>IDR</t>
        </is>
      </c>
      <c r="H113" s="381" t="n">
        <v>1</v>
      </c>
      <c r="I113" s="358" t="n">
        <v>39201350</v>
      </c>
      <c r="J113" s="360" t="n"/>
      <c r="K113" s="354" t="n"/>
      <c r="L113" s="354" t="n"/>
      <c r="M113" s="354" t="n"/>
      <c r="N113" s="359" t="n"/>
      <c r="O113" s="354" t="n"/>
      <c r="P113" s="354" t="n"/>
      <c r="Q113" s="354" t="n"/>
      <c r="R113" s="354" t="n"/>
      <c r="S113" s="354" t="n"/>
      <c r="T113" s="354" t="n"/>
      <c r="U113" s="354" t="n"/>
      <c r="V113" s="354" t="n"/>
      <c r="W113" s="354" t="n"/>
      <c r="X113" s="354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3" t="n"/>
      <c r="D116" s="344" t="inlineStr">
        <is>
          <t>Accommodation</t>
        </is>
      </c>
      <c r="E116" s="345" t="n"/>
      <c r="F116" s="368" t="n"/>
      <c r="G116" s="343" t="n"/>
      <c r="H116" s="343" t="n"/>
      <c r="I116" s="348" t="n"/>
      <c r="J116" s="349" t="n"/>
      <c r="K116" s="350" t="n"/>
      <c r="L116" s="350" t="n"/>
      <c r="M116" s="350" t="n"/>
      <c r="N116" s="348" t="n"/>
      <c r="O116" s="350" t="n"/>
      <c r="P116" s="350" t="n"/>
      <c r="Q116" s="350" t="n"/>
      <c r="R116" s="351" t="n"/>
      <c r="S116" s="351" t="n"/>
      <c r="T116" s="351" t="n"/>
      <c r="U116" s="351" t="n"/>
      <c r="V116" s="351" t="n"/>
      <c r="W116" s="351" t="n"/>
      <c r="X116" s="351" t="n"/>
    </row>
    <row r="117" ht="15.5" customHeight="1" s="297">
      <c r="B117" s="369" t="n">
        <v>45329</v>
      </c>
      <c r="C117" s="353" t="n">
        <v>1</v>
      </c>
      <c r="D117" s="354" t="inlineStr">
        <is>
          <t>Hotel 7 Feb-8 Feb 2024 (1 days)</t>
        </is>
      </c>
      <c r="E117" s="354" t="inlineStr">
        <is>
          <t>-</t>
        </is>
      </c>
      <c r="F117" s="370" t="n">
        <v>200000</v>
      </c>
      <c r="G117" s="353" t="inlineStr">
        <is>
          <t>IDR</t>
        </is>
      </c>
      <c r="H117" s="381" t="n">
        <v>1</v>
      </c>
      <c r="I117" s="358" t="n">
        <v>200000</v>
      </c>
      <c r="J117" s="360" t="n"/>
      <c r="K117" s="354" t="n"/>
      <c r="L117" s="354" t="n"/>
      <c r="M117" s="354" t="n"/>
      <c r="N117" s="359" t="n"/>
      <c r="O117" s="354" t="n"/>
      <c r="P117" s="354" t="n"/>
      <c r="Q117" s="354" t="n"/>
      <c r="R117" s="354" t="n"/>
      <c r="S117" s="354" t="n"/>
      <c r="T117" s="354" t="n"/>
      <c r="U117" s="354" t="n"/>
      <c r="V117" s="354" t="n"/>
      <c r="W117" s="354" t="n"/>
      <c r="X117" s="354" t="n"/>
    </row>
    <row r="118" ht="15.5" customHeight="1" s="297">
      <c r="B118" s="369" t="n">
        <v>45329</v>
      </c>
      <c r="C118" s="353" t="n">
        <v>2</v>
      </c>
      <c r="D118" s="354" t="inlineStr">
        <is>
          <t>Hotel Prabumulih 8 Feb- 7 Mar 2024 (1 Month)</t>
        </is>
      </c>
      <c r="E118" s="354" t="inlineStr">
        <is>
          <t>-</t>
        </is>
      </c>
      <c r="F118" s="370" t="n">
        <v>3300000</v>
      </c>
      <c r="G118" s="353" t="inlineStr">
        <is>
          <t>IDR</t>
        </is>
      </c>
      <c r="H118" s="381" t="n">
        <v>1</v>
      </c>
      <c r="I118" s="358" t="n">
        <v>3300000</v>
      </c>
      <c r="J118" s="360" t="n"/>
      <c r="K118" s="354" t="n"/>
      <c r="L118" s="354" t="n"/>
      <c r="M118" s="354" t="n"/>
      <c r="N118" s="359" t="n"/>
      <c r="O118" s="354" t="n"/>
      <c r="P118" s="354" t="n"/>
      <c r="Q118" s="354" t="n"/>
      <c r="R118" s="354" t="n"/>
      <c r="S118" s="354" t="n"/>
      <c r="T118" s="354" t="n"/>
      <c r="U118" s="354" t="n"/>
      <c r="V118" s="354" t="n"/>
      <c r="W118" s="354" t="n"/>
      <c r="X118" s="354" t="n"/>
    </row>
    <row r="119" ht="15.5" customHeight="1" s="297">
      <c r="B119" s="369" t="n">
        <v>45355</v>
      </c>
      <c r="C119" s="353" t="n">
        <v>3</v>
      </c>
      <c r="D119" s="354" t="inlineStr">
        <is>
          <t>Laundry 27 days 1 Persons @ 50K IDR/day</t>
        </is>
      </c>
      <c r="E119" s="354" t="inlineStr">
        <is>
          <t>-</t>
        </is>
      </c>
      <c r="F119" s="370" t="n">
        <v>1350000</v>
      </c>
      <c r="G119" s="353" t="inlineStr">
        <is>
          <t>IDR</t>
        </is>
      </c>
      <c r="H119" s="381" t="n">
        <v>1</v>
      </c>
      <c r="I119" s="363" t="n">
        <v>1350000</v>
      </c>
      <c r="J119" s="360" t="n"/>
      <c r="K119" s="354" t="n"/>
      <c r="L119" s="354" t="n"/>
      <c r="M119" s="354" t="n"/>
      <c r="N119" s="359" t="n"/>
      <c r="O119" s="354" t="n"/>
      <c r="P119" s="354" t="n"/>
      <c r="Q119" s="354" t="n"/>
      <c r="R119" s="354" t="n"/>
      <c r="S119" s="354" t="n"/>
      <c r="T119" s="354" t="n"/>
      <c r="U119" s="354" t="n"/>
      <c r="V119" s="354" t="n"/>
      <c r="W119" s="354" t="n"/>
      <c r="X119" s="354" t="n"/>
    </row>
    <row r="120" ht="15.5" customHeight="1" s="297">
      <c r="B120" s="384" t="n"/>
      <c r="C120" s="343" t="n"/>
      <c r="D120" s="344" t="inlineStr">
        <is>
          <t>Allowance</t>
        </is>
      </c>
      <c r="E120" s="345" t="n"/>
      <c r="F120" s="368" t="n"/>
      <c r="G120" s="343" t="n"/>
      <c r="H120" s="343" t="n"/>
      <c r="I120" s="350" t="n"/>
      <c r="J120" s="349" t="n"/>
      <c r="K120" s="350" t="n"/>
      <c r="L120" s="350" t="n"/>
      <c r="M120" s="348" t="n"/>
      <c r="N120" s="348" t="n"/>
      <c r="O120" s="350" t="n"/>
      <c r="P120" s="350" t="n"/>
      <c r="Q120" s="350" t="n"/>
      <c r="R120" s="351" t="n"/>
      <c r="S120" s="351" t="n"/>
      <c r="T120" s="351" t="n"/>
      <c r="U120" s="351" t="n"/>
      <c r="V120" s="351" t="n"/>
      <c r="W120" s="351" t="n"/>
      <c r="X120" s="351" t="n"/>
    </row>
    <row r="121" ht="15.5" customHeight="1" s="297">
      <c r="B121" s="369" t="n">
        <v>45355</v>
      </c>
      <c r="C121" s="353" t="n">
        <v>4</v>
      </c>
      <c r="D121" s="361" t="inlineStr">
        <is>
          <t>Tunjangan Lapangan for 27 days</t>
        </is>
      </c>
      <c r="E121" s="361" t="inlineStr">
        <is>
          <t>-</t>
        </is>
      </c>
      <c r="F121" s="370" t="n">
        <v>42589800</v>
      </c>
      <c r="G121" s="353" t="inlineStr">
        <is>
          <t>USD</t>
        </is>
      </c>
      <c r="H121" s="381" t="n">
        <v>15774</v>
      </c>
      <c r="I121" s="363" t="n">
        <v>42589800</v>
      </c>
      <c r="J121" s="360" t="n"/>
      <c r="K121" s="360" t="n"/>
      <c r="L121" s="360" t="n"/>
      <c r="M121" s="360" t="n"/>
      <c r="N121" s="360" t="n"/>
      <c r="O121" s="360" t="n"/>
      <c r="P121" s="360" t="n"/>
      <c r="Q121" s="360" t="n"/>
      <c r="R121" s="354" t="n"/>
      <c r="S121" s="354" t="n"/>
      <c r="T121" s="354" t="n"/>
      <c r="U121" s="354" t="n"/>
      <c r="V121" s="354" t="n"/>
      <c r="W121" s="354" t="n"/>
      <c r="X121" s="354" t="n"/>
    </row>
    <row r="122" ht="15.5" customHeight="1" s="297">
      <c r="B122" s="384" t="n"/>
      <c r="C122" s="343" t="n"/>
      <c r="D122" s="365" t="inlineStr">
        <is>
          <t>Logistic</t>
        </is>
      </c>
      <c r="E122" s="366" t="n"/>
      <c r="F122" s="403" t="n"/>
      <c r="G122" s="343" t="n"/>
      <c r="H122" s="343" t="n"/>
      <c r="I122" s="349" t="n"/>
      <c r="J122" s="349" t="n"/>
      <c r="K122" s="350" t="n"/>
      <c r="L122" s="350" t="n"/>
      <c r="M122" s="350" t="n"/>
      <c r="N122" s="350" t="n"/>
      <c r="O122" s="350" t="n"/>
      <c r="P122" s="350" t="n"/>
      <c r="Q122" s="350" t="n"/>
      <c r="R122" s="351" t="n"/>
      <c r="S122" s="351" t="n"/>
      <c r="T122" s="351" t="n"/>
      <c r="U122" s="351" t="n"/>
      <c r="V122" s="351" t="n"/>
      <c r="W122" s="351" t="n"/>
      <c r="X122" s="351" t="n"/>
    </row>
    <row r="123" ht="15.5" customHeight="1" s="297">
      <c r="B123" s="369" t="n">
        <v>45329</v>
      </c>
      <c r="C123" s="353" t="n">
        <v>5</v>
      </c>
      <c r="D123" s="361" t="inlineStr">
        <is>
          <t>Gloves</t>
        </is>
      </c>
      <c r="E123" s="361" t="inlineStr">
        <is>
          <t>-</t>
        </is>
      </c>
      <c r="F123" s="370" t="n">
        <v>58500</v>
      </c>
      <c r="G123" s="353" t="inlineStr">
        <is>
          <t>IDR</t>
        </is>
      </c>
      <c r="H123" s="381" t="n">
        <v>1</v>
      </c>
      <c r="I123" s="360" t="n"/>
      <c r="J123" s="360" t="n"/>
      <c r="K123" s="354" t="n"/>
      <c r="L123" s="354" t="n"/>
      <c r="M123" s="360" t="n"/>
      <c r="N123" s="363" t="n">
        <v>58500</v>
      </c>
      <c r="O123" s="354" t="n"/>
      <c r="P123" s="354" t="n"/>
      <c r="Q123" s="354" t="n"/>
      <c r="R123" s="354" t="n"/>
      <c r="S123" s="354" t="n"/>
      <c r="T123" s="354" t="n"/>
      <c r="U123" s="354" t="n"/>
      <c r="V123" s="354" t="n"/>
      <c r="W123" s="354" t="n"/>
      <c r="X123" s="354" t="n"/>
    </row>
    <row r="124" ht="15.5" customHeight="1" s="297">
      <c r="B124" s="369" t="n">
        <v>45341</v>
      </c>
      <c r="C124" s="353" t="n">
        <v>6</v>
      </c>
      <c r="D124" s="361" t="inlineStr">
        <is>
          <t>Battery A3</t>
        </is>
      </c>
      <c r="E124" s="361" t="inlineStr">
        <is>
          <t>-</t>
        </is>
      </c>
      <c r="F124" s="370" t="n">
        <v>82100</v>
      </c>
      <c r="G124" s="353" t="inlineStr">
        <is>
          <t>IDR</t>
        </is>
      </c>
      <c r="H124" s="381" t="n">
        <v>1</v>
      </c>
      <c r="I124" s="359" t="n"/>
      <c r="J124" s="360" t="n"/>
      <c r="K124" s="354" t="n"/>
      <c r="L124" s="354" t="n"/>
      <c r="M124" s="360" t="n"/>
      <c r="N124" s="363" t="n">
        <v>82100</v>
      </c>
      <c r="O124" s="354" t="n"/>
      <c r="P124" s="354" t="n"/>
      <c r="Q124" s="354" t="n"/>
      <c r="R124" s="354" t="n"/>
      <c r="S124" s="354" t="n"/>
      <c r="T124" s="354" t="n"/>
      <c r="U124" s="354" t="n"/>
      <c r="V124" s="354" t="n"/>
      <c r="W124" s="354" t="n"/>
      <c r="X124" s="354" t="n"/>
    </row>
    <row r="125" ht="15.5" customHeight="1" s="297">
      <c r="B125" s="369" t="n">
        <v>45341</v>
      </c>
      <c r="C125" s="353" t="n">
        <v>7</v>
      </c>
      <c r="D125" s="361" t="inlineStr">
        <is>
          <t>Steker</t>
        </is>
      </c>
      <c r="E125" s="361" t="inlineStr">
        <is>
          <t>-</t>
        </is>
      </c>
      <c r="F125" s="370" t="n">
        <v>14000</v>
      </c>
      <c r="G125" s="353" t="inlineStr">
        <is>
          <t>IDR</t>
        </is>
      </c>
      <c r="H125" s="381" t="n">
        <v>1</v>
      </c>
      <c r="I125" s="360" t="n"/>
      <c r="J125" s="360" t="n"/>
      <c r="K125" s="354" t="n"/>
      <c r="L125" s="354" t="n"/>
      <c r="M125" s="360" t="n"/>
      <c r="N125" s="363" t="n">
        <v>14000</v>
      </c>
      <c r="O125" s="354" t="n"/>
      <c r="P125" s="354" t="n"/>
      <c r="Q125" s="354" t="n"/>
      <c r="R125" s="354" t="n"/>
      <c r="S125" s="354" t="n"/>
      <c r="T125" s="354" t="n"/>
      <c r="U125" s="354" t="n"/>
      <c r="V125" s="354" t="n"/>
      <c r="W125" s="354" t="n"/>
      <c r="X125" s="354" t="n"/>
    </row>
    <row r="126" ht="15.5" customHeight="1" s="297">
      <c r="B126" s="369" t="n">
        <v>45344</v>
      </c>
      <c r="C126" s="353" t="n">
        <v>8</v>
      </c>
      <c r="D126" s="361" t="inlineStr">
        <is>
          <t>Gloves</t>
        </is>
      </c>
      <c r="E126" s="361" t="inlineStr">
        <is>
          <t>-</t>
        </is>
      </c>
      <c r="F126" s="370" t="n">
        <v>65000</v>
      </c>
      <c r="G126" s="353" t="inlineStr">
        <is>
          <t>IDR</t>
        </is>
      </c>
      <c r="H126" s="381" t="n">
        <v>1</v>
      </c>
      <c r="I126" s="360" t="n"/>
      <c r="J126" s="360" t="n"/>
      <c r="K126" s="354" t="n"/>
      <c r="L126" s="354" t="n"/>
      <c r="M126" s="354" t="n"/>
      <c r="N126" s="363" t="n">
        <v>65000</v>
      </c>
      <c r="O126" s="354" t="n"/>
      <c r="P126" s="354" t="n"/>
      <c r="Q126" s="354" t="n"/>
      <c r="R126" s="354" t="n"/>
      <c r="S126" s="354" t="n"/>
      <c r="T126" s="354" t="n"/>
      <c r="U126" s="354" t="n"/>
      <c r="V126" s="354" t="n"/>
      <c r="W126" s="354" t="n"/>
      <c r="X126" s="354" t="n"/>
    </row>
    <row r="127" ht="15.5" customHeight="1" s="297">
      <c r="B127" s="382" t="n">
        <v>45347</v>
      </c>
      <c r="C127" s="353" t="n">
        <v>9</v>
      </c>
      <c r="D127" s="383" t="inlineStr">
        <is>
          <t>White Marker</t>
        </is>
      </c>
      <c r="E127" s="383" t="inlineStr">
        <is>
          <t>-</t>
        </is>
      </c>
      <c r="F127" s="363" t="n">
        <v>19000</v>
      </c>
      <c r="G127" s="353" t="inlineStr">
        <is>
          <t>IDR</t>
        </is>
      </c>
      <c r="H127" s="381" t="n">
        <v>1</v>
      </c>
      <c r="I127" s="359" t="n"/>
      <c r="J127" s="360" t="n"/>
      <c r="K127" s="354" t="n"/>
      <c r="L127" s="354" t="n"/>
      <c r="M127" s="359" t="n"/>
      <c r="N127" s="363" t="n">
        <v>19000</v>
      </c>
      <c r="O127" s="354" t="n"/>
      <c r="P127" s="354" t="n"/>
      <c r="Q127" s="354" t="n"/>
      <c r="R127" s="354" t="n"/>
      <c r="S127" s="354" t="n"/>
      <c r="T127" s="354" t="n"/>
      <c r="U127" s="354" t="n"/>
      <c r="V127" s="354" t="n"/>
      <c r="W127" s="354" t="n"/>
      <c r="X127" s="354" t="n"/>
    </row>
    <row r="128" ht="15.5" customHeight="1" s="297">
      <c r="B128" s="352" t="n">
        <v>45350</v>
      </c>
      <c r="C128" s="353" t="n">
        <v>10</v>
      </c>
      <c r="D128" s="354" t="inlineStr">
        <is>
          <t>Internet Data</t>
        </is>
      </c>
      <c r="E128" s="354" t="inlineStr">
        <is>
          <t>-</t>
        </is>
      </c>
      <c r="F128" s="370" t="n">
        <v>87000</v>
      </c>
      <c r="G128" s="353" t="inlineStr">
        <is>
          <t>IDR</t>
        </is>
      </c>
      <c r="H128" s="381" t="n">
        <v>1</v>
      </c>
      <c r="I128" s="359" t="n"/>
      <c r="J128" s="360" t="n"/>
      <c r="K128" s="354" t="n"/>
      <c r="L128" s="354" t="n"/>
      <c r="M128" s="359" t="n"/>
      <c r="N128" s="363" t="n">
        <v>87000</v>
      </c>
      <c r="O128" s="354" t="n"/>
      <c r="P128" s="354" t="n"/>
      <c r="Q128" s="354" t="n"/>
      <c r="R128" s="354" t="n"/>
      <c r="S128" s="354" t="n"/>
      <c r="T128" s="354" t="n"/>
      <c r="U128" s="354" t="n"/>
      <c r="V128" s="354" t="n"/>
      <c r="W128" s="354" t="n"/>
      <c r="X128" s="354" t="n"/>
    </row>
    <row r="129" ht="15.5" customHeight="1" s="297">
      <c r="B129" s="384" t="n"/>
      <c r="C129" s="343" t="n"/>
      <c r="D129" s="365" t="inlineStr">
        <is>
          <t>Meal</t>
        </is>
      </c>
      <c r="E129" s="366" t="n"/>
      <c r="F129" s="368" t="n"/>
      <c r="G129" s="343" t="n"/>
      <c r="H129" s="343" t="n"/>
      <c r="I129" s="348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51" t="n"/>
      <c r="S129" s="351" t="n"/>
      <c r="T129" s="351" t="n"/>
      <c r="U129" s="351" t="n"/>
      <c r="V129" s="351" t="n"/>
      <c r="W129" s="351" t="n"/>
      <c r="X129" s="351" t="n"/>
    </row>
    <row r="130" ht="15.5" customHeight="1" s="297">
      <c r="B130" s="369" t="n">
        <v>45355</v>
      </c>
      <c r="C130" s="353" t="n">
        <v>11</v>
      </c>
      <c r="D130" s="354" t="inlineStr">
        <is>
          <t>Meal Crew's Operational</t>
        </is>
      </c>
      <c r="E130" s="354" t="inlineStr">
        <is>
          <t>-</t>
        </is>
      </c>
      <c r="F130" s="370" t="n">
        <v>1966300</v>
      </c>
      <c r="G130" s="353" t="inlineStr">
        <is>
          <t>IDR</t>
        </is>
      </c>
      <c r="H130" s="381" t="n">
        <v>1</v>
      </c>
      <c r="I130" s="358" t="n">
        <v>1966300</v>
      </c>
      <c r="J130" s="360" t="n"/>
      <c r="K130" s="354" t="n"/>
      <c r="L130" s="354" t="n"/>
      <c r="M130" s="359" t="n"/>
      <c r="N130" s="354" t="n"/>
      <c r="O130" s="354" t="n"/>
      <c r="P130" s="354" t="n"/>
      <c r="Q130" s="354" t="n"/>
      <c r="R130" s="354" t="n"/>
      <c r="S130" s="354" t="n"/>
      <c r="T130" s="354" t="n"/>
      <c r="U130" s="354" t="n"/>
      <c r="V130" s="354" t="n"/>
      <c r="W130" s="354" t="n"/>
      <c r="X130" s="354" t="n"/>
    </row>
    <row r="131" ht="15.5" customHeight="1" s="297">
      <c r="B131" s="369" t="n">
        <v>45355</v>
      </c>
      <c r="C131" s="353" t="n">
        <v>12</v>
      </c>
      <c r="D131" s="361" t="inlineStr">
        <is>
          <t>Meals 27 days 1 Persons @ 150K IDR/day</t>
        </is>
      </c>
      <c r="E131" s="361" t="inlineStr">
        <is>
          <t>-</t>
        </is>
      </c>
      <c r="F131" s="370" t="n">
        <v>4050000</v>
      </c>
      <c r="G131" s="353" t="inlineStr">
        <is>
          <t>IDR</t>
        </is>
      </c>
      <c r="H131" s="381" t="n">
        <v>1</v>
      </c>
      <c r="I131" s="358" t="n">
        <v>4050000</v>
      </c>
      <c r="J131" s="360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354" t="n"/>
      <c r="U131" s="354" t="n"/>
      <c r="V131" s="354" t="n"/>
      <c r="W131" s="354" t="n"/>
      <c r="X131" s="354" t="n"/>
    </row>
    <row r="132" ht="15.5" customHeight="1" s="297">
      <c r="B132" s="384" t="n"/>
      <c r="C132" s="343" t="n"/>
      <c r="D132" s="365" t="inlineStr">
        <is>
          <t>Transportation</t>
        </is>
      </c>
      <c r="E132" s="366" t="n"/>
      <c r="F132" s="368" t="n"/>
      <c r="G132" s="343" t="n"/>
      <c r="H132" s="343" t="n"/>
      <c r="I132" s="348" t="n"/>
      <c r="J132" s="349" t="n"/>
      <c r="K132" s="350" t="n"/>
      <c r="L132" s="350" t="n"/>
      <c r="M132" s="350" t="n"/>
      <c r="N132" s="348" t="n"/>
      <c r="O132" s="350" t="n"/>
      <c r="P132" s="350" t="n"/>
      <c r="Q132" s="350" t="n"/>
      <c r="R132" s="351" t="n"/>
      <c r="S132" s="351" t="n"/>
      <c r="T132" s="351" t="n"/>
      <c r="U132" s="351" t="n"/>
      <c r="V132" s="351" t="n"/>
      <c r="W132" s="351" t="n"/>
      <c r="X132" s="351" t="n"/>
    </row>
    <row r="133" ht="15.5" customHeight="1" s="297">
      <c r="B133" s="369" t="n">
        <v>45329</v>
      </c>
      <c r="C133" s="353" t="n">
        <v>13</v>
      </c>
      <c r="D133" s="361" t="inlineStr">
        <is>
          <t>Airplane Ticket CGK-PLM</t>
        </is>
      </c>
      <c r="E133" s="361" t="inlineStr">
        <is>
          <t>-</t>
        </is>
      </c>
      <c r="F133" s="370" t="n">
        <v>1608000</v>
      </c>
      <c r="G133" s="353" t="inlineStr">
        <is>
          <t>IDR</t>
        </is>
      </c>
      <c r="H133" s="381" t="n">
        <v>1</v>
      </c>
      <c r="I133" s="358" t="n">
        <v>1608000</v>
      </c>
      <c r="J133" s="360" t="n"/>
      <c r="K133" s="354" t="n"/>
      <c r="L133" s="354" t="n"/>
      <c r="M133" s="354" t="n"/>
      <c r="N133" s="359" t="n"/>
      <c r="O133" s="354" t="n"/>
      <c r="P133" s="354" t="n"/>
      <c r="Q133" s="354" t="n"/>
      <c r="R133" s="354" t="n"/>
      <c r="S133" s="354" t="n"/>
      <c r="T133" s="354" t="n"/>
      <c r="U133" s="354" t="n"/>
      <c r="V133" s="354" t="n"/>
      <c r="W133" s="354" t="n"/>
      <c r="X133" s="354" t="n"/>
    </row>
    <row r="134" ht="15.5" customHeight="1" s="297">
      <c r="B134" s="369" t="n">
        <v>45329</v>
      </c>
      <c r="C134" s="353" t="n">
        <v>14</v>
      </c>
      <c r="D134" s="361" t="inlineStr">
        <is>
          <t>Taxi Bintaro-CGK</t>
        </is>
      </c>
      <c r="E134" s="361" t="inlineStr">
        <is>
          <t>-</t>
        </is>
      </c>
      <c r="F134" s="370" t="n">
        <v>250000</v>
      </c>
      <c r="G134" s="353" t="inlineStr">
        <is>
          <t>IDR</t>
        </is>
      </c>
      <c r="H134" s="381" t="n">
        <v>1</v>
      </c>
      <c r="I134" s="358" t="n">
        <v>250000</v>
      </c>
      <c r="J134" s="360" t="n"/>
      <c r="K134" s="354" t="n"/>
      <c r="L134" s="354" t="n"/>
      <c r="M134" s="354" t="n"/>
      <c r="N134" s="359" t="n"/>
      <c r="O134" s="354" t="n"/>
      <c r="P134" s="354" t="n"/>
      <c r="Q134" s="354" t="n"/>
      <c r="R134" s="354" t="n"/>
      <c r="S134" s="354" t="n"/>
      <c r="T134" s="354" t="n"/>
      <c r="U134" s="354" t="n"/>
      <c r="V134" s="354" t="n"/>
      <c r="W134" s="354" t="n"/>
      <c r="X134" s="354" t="n"/>
    </row>
    <row r="135" ht="15.5" customHeight="1" s="297">
      <c r="B135" s="369" t="n">
        <v>45330</v>
      </c>
      <c r="C135" s="353" t="n">
        <v>15</v>
      </c>
      <c r="D135" s="361" t="inlineStr">
        <is>
          <t>Rental Mobil Pajero 1 Hari</t>
        </is>
      </c>
      <c r="E135" s="361" t="inlineStr">
        <is>
          <t>-</t>
        </is>
      </c>
      <c r="F135" s="370" t="n">
        <v>900000</v>
      </c>
      <c r="G135" s="353" t="inlineStr">
        <is>
          <t>IDR</t>
        </is>
      </c>
      <c r="H135" s="381" t="n">
        <v>1</v>
      </c>
      <c r="I135" s="358" t="n">
        <v>900000</v>
      </c>
      <c r="J135" s="360" t="n"/>
      <c r="K135" s="354" t="n"/>
      <c r="L135" s="354" t="n"/>
      <c r="M135" s="354" t="n"/>
      <c r="N135" s="359" t="n"/>
      <c r="O135" s="354" t="n"/>
      <c r="P135" s="354" t="n"/>
      <c r="Q135" s="354" t="n"/>
      <c r="R135" s="354" t="n"/>
      <c r="S135" s="354" t="n"/>
      <c r="T135" s="354" t="n"/>
      <c r="U135" s="354" t="n"/>
      <c r="V135" s="354" t="n"/>
      <c r="W135" s="354" t="n"/>
      <c r="X135" s="354" t="n"/>
    </row>
    <row r="136" ht="15.5" customHeight="1" s="297">
      <c r="B136" s="369" t="n">
        <v>45330</v>
      </c>
      <c r="C136" s="353" t="n">
        <v>16</v>
      </c>
      <c r="D136" s="361" t="inlineStr">
        <is>
          <t>Rental Mobil Pajero Sebulan</t>
        </is>
      </c>
      <c r="E136" s="361" t="inlineStr">
        <is>
          <t>-</t>
        </is>
      </c>
      <c r="F136" s="370" t="n">
        <v>18000000</v>
      </c>
      <c r="G136" s="353" t="inlineStr">
        <is>
          <t>IDR</t>
        </is>
      </c>
      <c r="H136" s="381" t="n">
        <v>1</v>
      </c>
      <c r="I136" s="358" t="n">
        <v>18000000</v>
      </c>
      <c r="J136" s="360" t="n"/>
      <c r="K136" s="354" t="n"/>
      <c r="L136" s="354" t="n"/>
      <c r="M136" s="354" t="n"/>
      <c r="N136" s="354" t="n"/>
      <c r="O136" s="354" t="n"/>
      <c r="P136" s="354" t="n"/>
      <c r="Q136" s="354" t="n"/>
      <c r="R136" s="354" t="n"/>
      <c r="S136" s="354" t="n"/>
      <c r="T136" s="354" t="n"/>
      <c r="U136" s="354" t="n"/>
      <c r="V136" s="354" t="n"/>
      <c r="W136" s="354" t="n"/>
      <c r="X136" s="354" t="n"/>
    </row>
    <row r="137" ht="15.5" customHeight="1" s="297">
      <c r="B137" s="369" t="n">
        <v>45355</v>
      </c>
      <c r="C137" s="353" t="n">
        <v>17</v>
      </c>
      <c r="D137" s="361" t="inlineStr">
        <is>
          <t>Airplane Ticket PLM-CGK</t>
        </is>
      </c>
      <c r="E137" s="361" t="inlineStr">
        <is>
          <t>-</t>
        </is>
      </c>
      <c r="F137" s="370" t="n">
        <v>1119500</v>
      </c>
      <c r="G137" s="353" t="inlineStr">
        <is>
          <t>IDR</t>
        </is>
      </c>
      <c r="H137" s="381" t="n">
        <v>1</v>
      </c>
      <c r="I137" s="358" t="n">
        <v>1119500</v>
      </c>
      <c r="J137" s="360" t="n"/>
      <c r="K137" s="354" t="n"/>
      <c r="L137" s="354" t="n"/>
      <c r="M137" s="354" t="n"/>
      <c r="N137" s="354" t="n"/>
      <c r="O137" s="354" t="n"/>
      <c r="P137" s="354" t="n"/>
      <c r="Q137" s="354" t="n"/>
      <c r="R137" s="354" t="n"/>
      <c r="S137" s="354" t="n"/>
      <c r="T137" s="354" t="n"/>
      <c r="U137" s="354" t="n"/>
      <c r="V137" s="354" t="n"/>
      <c r="W137" s="354" t="n"/>
      <c r="X137" s="354" t="n"/>
    </row>
    <row r="138" ht="15.5" customHeight="1" s="297">
      <c r="B138" s="369" t="n">
        <v>45355</v>
      </c>
      <c r="C138" s="353" t="n">
        <v>18</v>
      </c>
      <c r="D138" s="354" t="inlineStr">
        <is>
          <t>Taxi CGK-Bintaro</t>
        </is>
      </c>
      <c r="E138" s="354" t="inlineStr">
        <is>
          <t>-</t>
        </is>
      </c>
      <c r="F138" s="370" t="n">
        <v>250000</v>
      </c>
      <c r="G138" s="353" t="inlineStr">
        <is>
          <t>IDR</t>
        </is>
      </c>
      <c r="H138" s="381" t="n">
        <v>1</v>
      </c>
      <c r="I138" s="358" t="n">
        <v>250000</v>
      </c>
      <c r="J138" s="360" t="n"/>
      <c r="K138" s="354" t="n"/>
      <c r="L138" s="354" t="n"/>
      <c r="M138" s="354" t="n"/>
      <c r="N138" s="360" t="n"/>
      <c r="O138" s="354" t="n"/>
      <c r="P138" s="354" t="n"/>
      <c r="Q138" s="354" t="n"/>
      <c r="R138" s="354" t="n"/>
      <c r="S138" s="354" t="n"/>
      <c r="T138" s="354" t="n"/>
      <c r="U138" s="354" t="n"/>
      <c r="V138" s="354" t="n"/>
      <c r="W138" s="354" t="n"/>
      <c r="X138" s="354" t="n"/>
    </row>
    <row r="139" ht="15.5" customHeight="1" s="297">
      <c r="B139" s="369" t="n">
        <v>45355</v>
      </c>
      <c r="C139" s="353" t="n">
        <v>19</v>
      </c>
      <c r="D139" s="354" t="inlineStr">
        <is>
          <t>Fuel</t>
        </is>
      </c>
      <c r="E139" s="354" t="inlineStr">
        <is>
          <t>-</t>
        </is>
      </c>
      <c r="F139" s="370" t="n">
        <v>1498484</v>
      </c>
      <c r="G139" s="353" t="inlineStr">
        <is>
          <t>IDR</t>
        </is>
      </c>
      <c r="H139" s="381" t="n">
        <v>1</v>
      </c>
      <c r="I139" s="363" t="n">
        <v>1498484</v>
      </c>
      <c r="J139" s="360" t="n"/>
      <c r="K139" s="354" t="n"/>
      <c r="L139" s="354" t="n"/>
      <c r="M139" s="359" t="n"/>
      <c r="N139" s="360" t="n"/>
      <c r="O139" s="354" t="n"/>
      <c r="P139" s="354" t="n"/>
      <c r="Q139" s="354" t="n"/>
      <c r="R139" s="354" t="n"/>
      <c r="S139" s="354" t="n"/>
      <c r="T139" s="354" t="n"/>
      <c r="U139" s="354" t="n"/>
      <c r="V139" s="354" t="n"/>
      <c r="W139" s="354" t="n"/>
      <c r="X139" s="354" t="n"/>
    </row>
    <row r="140" ht="15.5" customHeight="1" s="297">
      <c r="B140" s="369" t="n">
        <v>45355</v>
      </c>
      <c r="C140" s="353" t="n">
        <v>20</v>
      </c>
      <c r="D140" s="354" t="inlineStr">
        <is>
          <t>Toll Fee</t>
        </is>
      </c>
      <c r="E140" s="354" t="inlineStr">
        <is>
          <t>-</t>
        </is>
      </c>
      <c r="F140" s="370" t="n">
        <v>378000</v>
      </c>
      <c r="G140" s="353" t="inlineStr">
        <is>
          <t>IDR</t>
        </is>
      </c>
      <c r="H140" s="381" t="n">
        <v>1</v>
      </c>
      <c r="I140" s="363" t="n">
        <v>378000</v>
      </c>
      <c r="J140" s="360" t="n"/>
      <c r="K140" s="360" t="n"/>
      <c r="L140" s="360" t="n"/>
      <c r="M140" s="360" t="n"/>
      <c r="N140" s="360" t="n"/>
      <c r="O140" s="360" t="n"/>
      <c r="P140" s="360" t="n"/>
      <c r="Q140" s="360" t="n"/>
      <c r="R140" s="354" t="n"/>
      <c r="S140" s="354" t="n"/>
      <c r="T140" s="354" t="n"/>
      <c r="U140" s="354" t="n"/>
      <c r="V140" s="354" t="n"/>
      <c r="W140" s="354" t="n"/>
      <c r="X140" s="354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3" t="n"/>
      <c r="D142" s="365" t="inlineStr">
        <is>
          <t>Accommodation</t>
        </is>
      </c>
      <c r="E142" s="366" t="n"/>
      <c r="F142" s="368" t="n"/>
      <c r="G142" s="343" t="n"/>
      <c r="H142" s="343" t="n"/>
      <c r="I142" s="348" t="n"/>
      <c r="J142" s="349" t="n"/>
      <c r="K142" s="350" t="n"/>
      <c r="L142" s="350" t="n"/>
      <c r="M142" s="350" t="n"/>
      <c r="N142" s="350" t="n"/>
      <c r="O142" s="350" t="n"/>
      <c r="P142" s="350" t="n"/>
      <c r="Q142" s="350" t="n"/>
      <c r="R142" s="351" t="n"/>
      <c r="S142" s="351" t="n"/>
      <c r="T142" s="351" t="n"/>
      <c r="U142" s="351" t="n"/>
      <c r="V142" s="351" t="n"/>
      <c r="W142" s="351" t="n"/>
      <c r="X142" s="351" t="n"/>
    </row>
    <row r="143" ht="15.5" customHeight="1" s="297">
      <c r="B143" s="369" t="n">
        <v>45358</v>
      </c>
      <c r="C143" s="353" t="n">
        <v>1</v>
      </c>
      <c r="D143" s="361" t="inlineStr">
        <is>
          <t>Laundry 30 days 1 Persons @ 50K IDR/day</t>
        </is>
      </c>
      <c r="E143" s="361" t="inlineStr">
        <is>
          <t>-</t>
        </is>
      </c>
      <c r="F143" s="370" t="n">
        <v>1500000</v>
      </c>
      <c r="G143" s="353" t="inlineStr">
        <is>
          <t>IDR</t>
        </is>
      </c>
      <c r="H143" s="381" t="n">
        <v>1</v>
      </c>
      <c r="I143" s="363" t="n">
        <v>1500000</v>
      </c>
      <c r="J143" s="360" t="n"/>
      <c r="K143" s="354" t="n"/>
      <c r="L143" s="354" t="n"/>
      <c r="M143" s="354" t="n"/>
      <c r="N143" s="354" t="n"/>
      <c r="O143" s="354" t="n"/>
      <c r="P143" s="354" t="n"/>
      <c r="Q143" s="354" t="n"/>
      <c r="R143" s="354" t="n"/>
      <c r="S143" s="354" t="n"/>
      <c r="T143" s="354" t="n"/>
      <c r="U143" s="354" t="n"/>
      <c r="V143" s="354" t="n"/>
      <c r="W143" s="354" t="n"/>
      <c r="X143" s="354" t="n"/>
    </row>
    <row r="144" ht="15.5" customHeight="1" s="297">
      <c r="B144" s="384" t="n"/>
      <c r="C144" s="343" t="n"/>
      <c r="D144" s="365" t="inlineStr">
        <is>
          <t>Allowance</t>
        </is>
      </c>
      <c r="E144" s="366" t="n"/>
      <c r="F144" s="368" t="n"/>
      <c r="G144" s="343" t="n"/>
      <c r="H144" s="406" t="n"/>
      <c r="I144" s="349" t="n"/>
      <c r="J144" s="349" t="n"/>
      <c r="K144" s="350" t="n"/>
      <c r="L144" s="350" t="n"/>
      <c r="M144" s="348" t="n"/>
      <c r="N144" s="350" t="n"/>
      <c r="O144" s="350" t="n"/>
      <c r="P144" s="350" t="n"/>
      <c r="Q144" s="350" t="n"/>
      <c r="R144" s="351" t="n"/>
      <c r="S144" s="351" t="n"/>
      <c r="T144" s="351" t="n"/>
      <c r="U144" s="351" t="n"/>
      <c r="V144" s="351" t="n"/>
      <c r="W144" s="351" t="n"/>
      <c r="X144" s="351" t="n"/>
    </row>
    <row r="145" ht="15.5" customHeight="1" s="297">
      <c r="B145" s="382" t="n">
        <v>45358</v>
      </c>
      <c r="C145" s="353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3" t="n">
        <v>11705250</v>
      </c>
      <c r="G145" s="353" t="inlineStr">
        <is>
          <t>USD</t>
        </is>
      </c>
      <c r="H145" s="381" t="n">
        <v>15607</v>
      </c>
      <c r="I145" s="363" t="n">
        <v>11705250</v>
      </c>
      <c r="J145" s="360" t="n"/>
      <c r="K145" s="354" t="n"/>
      <c r="L145" s="354" t="n"/>
      <c r="M145" s="359" t="n"/>
      <c r="N145" s="354" t="n"/>
      <c r="O145" s="354" t="n"/>
      <c r="P145" s="354" t="n"/>
      <c r="Q145" s="354" t="n"/>
      <c r="R145" s="354" t="n"/>
      <c r="S145" s="354" t="n"/>
      <c r="T145" s="354" t="n"/>
      <c r="U145" s="354" t="n"/>
      <c r="V145" s="354" t="n"/>
      <c r="W145" s="354" t="n"/>
      <c r="X145" s="354" t="n"/>
    </row>
    <row r="146" ht="15.5" customHeight="1" s="297">
      <c r="B146" s="384" t="n"/>
      <c r="C146" s="343" t="n"/>
      <c r="D146" s="344" t="inlineStr">
        <is>
          <t>Logistic</t>
        </is>
      </c>
      <c r="E146" s="407" t="n"/>
      <c r="F146" s="368" t="n"/>
      <c r="G146" s="343" t="n"/>
      <c r="H146" s="343" t="n"/>
      <c r="I146" s="349" t="n"/>
      <c r="J146" s="349" t="n"/>
      <c r="K146" s="350" t="n"/>
      <c r="L146" s="350" t="n"/>
      <c r="M146" s="348" t="n"/>
      <c r="N146" s="350" t="n"/>
      <c r="O146" s="350" t="n"/>
      <c r="P146" s="350" t="n"/>
      <c r="Q146" s="350" t="n"/>
      <c r="R146" s="351" t="n"/>
      <c r="S146" s="351" t="n"/>
      <c r="T146" s="351" t="n"/>
      <c r="U146" s="351" t="n"/>
      <c r="V146" s="351" t="n"/>
      <c r="W146" s="351" t="n"/>
      <c r="X146" s="351" t="n"/>
    </row>
    <row r="147" ht="15.5" customHeight="1" s="297">
      <c r="B147" s="369" t="n">
        <v>45324</v>
      </c>
      <c r="C147" s="353" t="n">
        <v>3</v>
      </c>
      <c r="D147" s="361" t="inlineStr">
        <is>
          <t>Safety Shoes</t>
        </is>
      </c>
      <c r="E147" s="361" t="inlineStr">
        <is>
          <t>-</t>
        </is>
      </c>
      <c r="F147" s="370" t="n">
        <v>499940</v>
      </c>
      <c r="G147" s="353" t="inlineStr">
        <is>
          <t>IDR</t>
        </is>
      </c>
      <c r="H147" s="381" t="n">
        <v>1</v>
      </c>
      <c r="I147" s="359" t="n"/>
      <c r="J147" s="360" t="n"/>
      <c r="K147" s="354" t="n"/>
      <c r="L147" s="354" t="n"/>
      <c r="M147" s="359" t="n"/>
      <c r="N147" s="363" t="n">
        <v>499940</v>
      </c>
      <c r="O147" s="354" t="n"/>
      <c r="P147" s="354" t="n"/>
      <c r="Q147" s="354" t="n"/>
      <c r="R147" s="354" t="n"/>
      <c r="S147" s="354" t="n"/>
      <c r="T147" s="354" t="n"/>
      <c r="U147" s="354" t="n"/>
      <c r="V147" s="354" t="n"/>
      <c r="W147" s="354" t="n"/>
      <c r="X147" s="354" t="n"/>
    </row>
    <row r="148" ht="15.5" customHeight="1" s="297">
      <c r="B148" s="369" t="n">
        <v>45354</v>
      </c>
      <c r="C148" s="353" t="n">
        <v>4</v>
      </c>
      <c r="D148" s="361" t="inlineStr">
        <is>
          <t>Internet Data</t>
        </is>
      </c>
      <c r="E148" s="361" t="inlineStr">
        <is>
          <t>-</t>
        </is>
      </c>
      <c r="F148" s="370" t="n">
        <v>70000</v>
      </c>
      <c r="G148" s="353" t="inlineStr">
        <is>
          <t>IDR</t>
        </is>
      </c>
      <c r="H148" s="381" t="n">
        <v>1</v>
      </c>
      <c r="I148" s="359" t="n"/>
      <c r="J148" s="360" t="n"/>
      <c r="K148" s="354" t="n"/>
      <c r="L148" s="354" t="n"/>
      <c r="M148" s="354" t="n"/>
      <c r="N148" s="363" t="n">
        <v>70000</v>
      </c>
      <c r="O148" s="354" t="n"/>
      <c r="P148" s="354" t="n"/>
      <c r="Q148" s="354" t="n"/>
      <c r="R148" s="354" t="n"/>
      <c r="S148" s="354" t="n"/>
      <c r="T148" s="354" t="n"/>
      <c r="U148" s="354" t="n"/>
      <c r="V148" s="354" t="n"/>
      <c r="W148" s="354" t="n"/>
      <c r="X148" s="354" t="n"/>
    </row>
    <row r="149" ht="15.5" customHeight="1" s="297">
      <c r="B149" s="369" t="n">
        <v>45358</v>
      </c>
      <c r="C149" s="353" t="n">
        <v>5</v>
      </c>
      <c r="D149" s="361" t="inlineStr">
        <is>
          <t>Extra Baggage</t>
        </is>
      </c>
      <c r="E149" s="361" t="inlineStr">
        <is>
          <t>-</t>
        </is>
      </c>
      <c r="F149" s="370" t="n">
        <v>540000</v>
      </c>
      <c r="G149" s="353" t="inlineStr">
        <is>
          <t>IDR</t>
        </is>
      </c>
      <c r="H149" s="381" t="n">
        <v>1</v>
      </c>
      <c r="I149" s="360" t="n"/>
      <c r="J149" s="360" t="n"/>
      <c r="K149" s="354" t="n"/>
      <c r="L149" s="354" t="n"/>
      <c r="M149" s="354" t="n"/>
      <c r="N149" s="363" t="n">
        <v>540000</v>
      </c>
      <c r="O149" s="354" t="n"/>
      <c r="P149" s="354" t="n"/>
      <c r="Q149" s="354" t="n"/>
      <c r="R149" s="354" t="n"/>
      <c r="S149" s="354" t="n"/>
      <c r="T149" s="354" t="n"/>
      <c r="U149" s="354" t="n"/>
      <c r="V149" s="354" t="n"/>
      <c r="W149" s="354" t="n"/>
      <c r="X149" s="354" t="n"/>
    </row>
    <row r="150" ht="15.5" customHeight="1" s="297">
      <c r="B150" s="384" t="n"/>
      <c r="C150" s="343" t="n"/>
      <c r="D150" s="365" t="inlineStr">
        <is>
          <t>Meal</t>
        </is>
      </c>
      <c r="E150" s="366" t="n"/>
      <c r="F150" s="368" t="n"/>
      <c r="G150" s="343" t="n"/>
      <c r="H150" s="343" t="n"/>
      <c r="I150" s="349" t="n"/>
      <c r="J150" s="349" t="n"/>
      <c r="K150" s="350" t="n"/>
      <c r="L150" s="350" t="n"/>
      <c r="M150" s="350" t="n"/>
      <c r="N150" s="350" t="n"/>
      <c r="O150" s="350" t="n"/>
      <c r="P150" s="350" t="n"/>
      <c r="Q150" s="350" t="n"/>
      <c r="R150" s="351" t="n"/>
      <c r="S150" s="351" t="n"/>
      <c r="T150" s="351" t="n"/>
      <c r="U150" s="351" t="n"/>
      <c r="V150" s="351" t="n"/>
      <c r="W150" s="351" t="n"/>
      <c r="X150" s="351" t="n"/>
    </row>
    <row r="151" ht="15.5" customHeight="1" s="297">
      <c r="B151" s="369" t="n">
        <v>45358</v>
      </c>
      <c r="C151" s="353" t="n">
        <v>6</v>
      </c>
      <c r="D151" s="361" t="inlineStr">
        <is>
          <t>Meals 30 days 1 Persons @ 150K IDR/day</t>
        </is>
      </c>
      <c r="E151" s="361" t="inlineStr">
        <is>
          <t>-</t>
        </is>
      </c>
      <c r="F151" s="370" t="n">
        <v>4500000</v>
      </c>
      <c r="G151" s="353" t="inlineStr">
        <is>
          <t>IDR</t>
        </is>
      </c>
      <c r="H151" s="381" t="n">
        <v>1</v>
      </c>
      <c r="I151" s="363" t="n">
        <v>4500000</v>
      </c>
      <c r="J151" s="360" t="n"/>
      <c r="K151" s="354" t="n"/>
      <c r="L151" s="354" t="n"/>
      <c r="M151" s="354" t="n"/>
      <c r="N151" s="354" t="n"/>
      <c r="O151" s="354" t="n"/>
      <c r="P151" s="354" t="n"/>
      <c r="Q151" s="354" t="n"/>
      <c r="R151" s="354" t="n"/>
      <c r="S151" s="354" t="n"/>
      <c r="T151" s="354" t="n"/>
      <c r="U151" s="354" t="n"/>
      <c r="V151" s="354" t="n"/>
      <c r="W151" s="354" t="n"/>
      <c r="X151" s="354" t="n"/>
    </row>
    <row r="152" ht="15.5" customHeight="1" s="297">
      <c r="B152" s="384" t="n"/>
      <c r="C152" s="343" t="n"/>
      <c r="D152" s="365" t="inlineStr">
        <is>
          <t>Transportation</t>
        </is>
      </c>
      <c r="E152" s="366" t="n"/>
      <c r="F152" s="368" t="n"/>
      <c r="G152" s="343" t="n"/>
      <c r="H152" s="343" t="n"/>
      <c r="I152" s="349" t="n"/>
      <c r="J152" s="349" t="n"/>
      <c r="K152" s="350" t="n"/>
      <c r="L152" s="350" t="n"/>
      <c r="M152" s="350" t="n"/>
      <c r="N152" s="350" t="n"/>
      <c r="O152" s="350" t="n"/>
      <c r="P152" s="350" t="n"/>
      <c r="Q152" s="350" t="n"/>
      <c r="R152" s="351" t="n"/>
      <c r="S152" s="351" t="n"/>
      <c r="T152" s="351" t="n"/>
      <c r="U152" s="351" t="n"/>
      <c r="V152" s="351" t="n"/>
      <c r="W152" s="351" t="n"/>
      <c r="X152" s="351" t="n"/>
    </row>
    <row r="153" ht="15.5" customHeight="1" s="297">
      <c r="B153" s="369" t="n">
        <v>45329</v>
      </c>
      <c r="C153" s="353" t="n">
        <v>7</v>
      </c>
      <c r="D153" s="361" t="inlineStr">
        <is>
          <t>Taxi Pondok Cabe-CGK</t>
        </is>
      </c>
      <c r="E153" s="361" t="inlineStr">
        <is>
          <t>-</t>
        </is>
      </c>
      <c r="F153" s="370" t="n">
        <v>250000</v>
      </c>
      <c r="G153" s="353" t="inlineStr">
        <is>
          <t>IDR</t>
        </is>
      </c>
      <c r="H153" s="381" t="n">
        <v>1</v>
      </c>
      <c r="I153" s="363" t="n">
        <v>250000</v>
      </c>
      <c r="J153" s="360" t="n"/>
      <c r="K153" s="354" t="n"/>
      <c r="L153" s="354" t="n"/>
      <c r="M153" s="359" t="n"/>
      <c r="N153" s="354" t="n"/>
      <c r="O153" s="354" t="n"/>
      <c r="P153" s="354" t="n"/>
      <c r="Q153" s="354" t="n"/>
      <c r="R153" s="354" t="n"/>
      <c r="S153" s="354" t="n"/>
      <c r="T153" s="354" t="n"/>
      <c r="U153" s="354" t="n"/>
      <c r="V153" s="354" t="n"/>
      <c r="W153" s="354" t="n"/>
      <c r="X153" s="354" t="n"/>
    </row>
    <row r="154" ht="15.5" customHeight="1" s="297">
      <c r="B154" s="369" t="n">
        <v>45355</v>
      </c>
      <c r="C154" s="353" t="n">
        <v>8</v>
      </c>
      <c r="D154" s="361" t="inlineStr">
        <is>
          <t>Fuel</t>
        </is>
      </c>
      <c r="E154" s="361" t="inlineStr">
        <is>
          <t>-</t>
        </is>
      </c>
      <c r="F154" s="370" t="n">
        <v>200000</v>
      </c>
      <c r="G154" s="353" t="inlineStr">
        <is>
          <t>IDR</t>
        </is>
      </c>
      <c r="H154" s="381" t="n">
        <v>1</v>
      </c>
      <c r="I154" s="363" t="n">
        <v>200000</v>
      </c>
      <c r="J154" s="360" t="n"/>
      <c r="K154" s="354" t="n"/>
      <c r="L154" s="354" t="n"/>
      <c r="M154" s="354" t="n"/>
      <c r="N154" s="354" t="n"/>
      <c r="O154" s="354" t="n"/>
      <c r="P154" s="354" t="n"/>
      <c r="Q154" s="354" t="n"/>
      <c r="R154" s="354" t="n"/>
      <c r="S154" s="354" t="n"/>
      <c r="T154" s="354" t="n"/>
      <c r="U154" s="354" t="n"/>
      <c r="V154" s="354" t="n"/>
      <c r="W154" s="354" t="n"/>
      <c r="X154" s="354" t="n"/>
    </row>
    <row r="155" ht="15.5" customHeight="1" s="297">
      <c r="B155" s="382" t="n">
        <v>45357</v>
      </c>
      <c r="C155" s="353" t="n">
        <v>9</v>
      </c>
      <c r="D155" s="383" t="inlineStr">
        <is>
          <t>Airplane Ticket PLM-CGK</t>
        </is>
      </c>
      <c r="E155" s="383" t="inlineStr">
        <is>
          <t>-</t>
        </is>
      </c>
      <c r="F155" s="363" t="n">
        <v>1000106</v>
      </c>
      <c r="G155" s="353" t="inlineStr">
        <is>
          <t>IDR</t>
        </is>
      </c>
      <c r="H155" s="381" t="n">
        <v>1</v>
      </c>
      <c r="I155" s="363" t="n">
        <v>1000106</v>
      </c>
      <c r="J155" s="360" t="n"/>
      <c r="K155" s="354" t="n"/>
      <c r="L155" s="354" t="n"/>
      <c r="M155" s="359" t="n"/>
      <c r="N155" s="354" t="n"/>
      <c r="O155" s="354" t="n"/>
      <c r="P155" s="354" t="n"/>
      <c r="Q155" s="354" t="n"/>
      <c r="R155" s="354" t="n"/>
      <c r="S155" s="354" t="n"/>
      <c r="T155" s="354" t="n"/>
      <c r="U155" s="354" t="n"/>
      <c r="V155" s="354" t="n"/>
      <c r="W155" s="354" t="n"/>
      <c r="X155" s="354" t="n"/>
    </row>
    <row r="156" ht="15.5" customHeight="1" s="297">
      <c r="B156" s="369" t="n">
        <v>45358</v>
      </c>
      <c r="C156" s="353" t="n">
        <v>10</v>
      </c>
      <c r="D156" s="361" t="inlineStr">
        <is>
          <t>Taxi CGK-Pondok Cabe</t>
        </is>
      </c>
      <c r="E156" s="361" t="inlineStr">
        <is>
          <t>-</t>
        </is>
      </c>
      <c r="F156" s="370" t="n">
        <v>250000</v>
      </c>
      <c r="G156" s="353" t="inlineStr">
        <is>
          <t>IDR</t>
        </is>
      </c>
      <c r="H156" s="381" t="n">
        <v>1</v>
      </c>
      <c r="I156" s="363" t="n">
        <v>250000</v>
      </c>
      <c r="J156" s="360" t="n"/>
      <c r="K156" s="354" t="n"/>
      <c r="L156" s="354" t="n"/>
      <c r="M156" s="359" t="n"/>
      <c r="N156" s="360" t="n"/>
      <c r="O156" s="354" t="n"/>
      <c r="P156" s="354" t="n"/>
      <c r="Q156" s="354" t="n"/>
      <c r="R156" s="354" t="n"/>
      <c r="S156" s="354" t="n"/>
      <c r="T156" s="354" t="n"/>
      <c r="U156" s="354" t="n"/>
      <c r="V156" s="354" t="n"/>
      <c r="W156" s="354" t="n"/>
      <c r="X156" s="354" t="n"/>
    </row>
    <row r="157" ht="15.5" customHeight="1" s="297">
      <c r="B157" s="369" t="n">
        <v>45358</v>
      </c>
      <c r="C157" s="353" t="n">
        <v>11</v>
      </c>
      <c r="D157" s="361" t="inlineStr">
        <is>
          <t>Toll Fee</t>
        </is>
      </c>
      <c r="E157" s="361" t="inlineStr">
        <is>
          <t>-</t>
        </is>
      </c>
      <c r="F157" s="370" t="n">
        <v>105000</v>
      </c>
      <c r="G157" s="353" t="inlineStr">
        <is>
          <t>IDR</t>
        </is>
      </c>
      <c r="H157" s="381" t="n">
        <v>1</v>
      </c>
      <c r="I157" s="363" t="n">
        <v>105000</v>
      </c>
      <c r="J157" s="360" t="n"/>
      <c r="K157" s="354" t="n"/>
      <c r="L157" s="354" t="n"/>
      <c r="M157" s="359" t="n"/>
      <c r="N157" s="360" t="n"/>
      <c r="O157" s="354" t="n"/>
      <c r="P157" s="354" t="n"/>
      <c r="Q157" s="354" t="n"/>
      <c r="R157" s="354" t="n"/>
      <c r="S157" s="354" t="n"/>
      <c r="T157" s="354" t="n"/>
      <c r="U157" s="354" t="n"/>
      <c r="V157" s="354" t="n"/>
      <c r="W157" s="354" t="n"/>
      <c r="X157" s="354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3" t="n"/>
      <c r="D159" s="365" t="inlineStr">
        <is>
          <t>Accommodation</t>
        </is>
      </c>
      <c r="E159" s="366" t="n"/>
      <c r="F159" s="368" t="n"/>
      <c r="G159" s="343" t="n"/>
      <c r="H159" s="343" t="n"/>
      <c r="I159" s="349" t="n"/>
      <c r="J159" s="349" t="n"/>
      <c r="K159" s="350" t="n"/>
      <c r="L159" s="350" t="n"/>
      <c r="M159" s="348" t="n"/>
      <c r="N159" s="349" t="n"/>
      <c r="O159" s="350" t="n"/>
      <c r="P159" s="350" t="n"/>
      <c r="Q159" s="350" t="n"/>
      <c r="R159" s="351" t="n"/>
      <c r="S159" s="351" t="n"/>
      <c r="T159" s="351" t="n"/>
      <c r="U159" s="351" t="n"/>
      <c r="V159" s="351" t="n"/>
      <c r="W159" s="351" t="n"/>
      <c r="X159" s="351" t="n"/>
    </row>
    <row r="160" ht="15.5" customHeight="1" s="297">
      <c r="B160" s="369" t="n">
        <v>45375</v>
      </c>
      <c r="C160" s="353" t="n">
        <v>1</v>
      </c>
      <c r="D160" s="361" t="inlineStr">
        <is>
          <t>Laundry 6 days 1 Persons @ 50K IDR/day</t>
        </is>
      </c>
      <c r="E160" s="361" t="inlineStr">
        <is>
          <t>-</t>
        </is>
      </c>
      <c r="F160" s="370" t="n">
        <v>300000</v>
      </c>
      <c r="G160" s="353" t="inlineStr">
        <is>
          <t>IDR</t>
        </is>
      </c>
      <c r="H160" s="381" t="n">
        <v>1</v>
      </c>
      <c r="I160" s="363" t="n">
        <v>300000</v>
      </c>
      <c r="J160" s="360" t="n"/>
      <c r="K160" s="354" t="n"/>
      <c r="L160" s="354" t="n"/>
      <c r="M160" s="354" t="n"/>
      <c r="N160" s="360" t="n"/>
      <c r="O160" s="354" t="n"/>
      <c r="P160" s="354" t="n"/>
      <c r="Q160" s="354" t="n"/>
      <c r="R160" s="354" t="n"/>
      <c r="S160" s="354" t="n"/>
      <c r="T160" s="354" t="n"/>
      <c r="U160" s="354" t="n"/>
      <c r="V160" s="354" t="n"/>
      <c r="W160" s="354" t="n"/>
      <c r="X160" s="354" t="n"/>
    </row>
    <row r="161" ht="15.5" customHeight="1" s="297">
      <c r="B161" s="384" t="n"/>
      <c r="C161" s="343" t="n"/>
      <c r="D161" s="365" t="inlineStr">
        <is>
          <t>Allowance</t>
        </is>
      </c>
      <c r="E161" s="366" t="n"/>
      <c r="F161" s="368" t="n"/>
      <c r="G161" s="343" t="n"/>
      <c r="H161" s="343" t="n"/>
      <c r="I161" s="349" t="n"/>
      <c r="J161" s="349" t="n"/>
      <c r="K161" s="350" t="n"/>
      <c r="L161" s="350" t="n"/>
      <c r="M161" s="348" t="n"/>
      <c r="N161" s="349" t="n"/>
      <c r="O161" s="350" t="n"/>
      <c r="P161" s="350" t="n"/>
      <c r="Q161" s="350" t="n"/>
      <c r="R161" s="351" t="n"/>
      <c r="S161" s="351" t="n"/>
      <c r="T161" s="351" t="n"/>
      <c r="U161" s="351" t="n"/>
      <c r="V161" s="351" t="n"/>
      <c r="W161" s="351" t="n"/>
      <c r="X161" s="351" t="n"/>
    </row>
    <row r="162" ht="15.5" customHeight="1" s="297">
      <c r="B162" s="369" t="n">
        <v>45375</v>
      </c>
      <c r="C162" s="353" t="n">
        <v>2</v>
      </c>
      <c r="D162" s="361" t="inlineStr">
        <is>
          <t>Tunjangan Lapangan untuk 6 days</t>
        </is>
      </c>
      <c r="E162" s="361" t="inlineStr">
        <is>
          <t>-</t>
        </is>
      </c>
      <c r="F162" s="370" t="n">
        <v>9501000</v>
      </c>
      <c r="G162" s="353" t="inlineStr">
        <is>
          <t>USD</t>
        </is>
      </c>
      <c r="H162" s="381" t="n">
        <v>15835</v>
      </c>
      <c r="I162" s="363" t="n">
        <v>9501000</v>
      </c>
      <c r="J162" s="360" t="n"/>
      <c r="K162" s="360" t="n"/>
      <c r="L162" s="360" t="n"/>
      <c r="M162" s="360" t="n"/>
      <c r="N162" s="360" t="n"/>
      <c r="O162" s="360" t="n"/>
      <c r="P162" s="360" t="n"/>
      <c r="Q162" s="360" t="n"/>
      <c r="R162" s="354" t="n"/>
      <c r="S162" s="354" t="n"/>
      <c r="T162" s="354" t="n"/>
      <c r="U162" s="354" t="n"/>
      <c r="V162" s="354" t="n"/>
      <c r="W162" s="354" t="n"/>
      <c r="X162" s="354" t="n"/>
    </row>
    <row r="163" ht="15.5" customHeight="1" s="297">
      <c r="B163" s="384" t="n"/>
      <c r="C163" s="343" t="n"/>
      <c r="D163" s="365" t="inlineStr">
        <is>
          <t>Meal</t>
        </is>
      </c>
      <c r="E163" s="366" t="n"/>
      <c r="F163" s="368" t="n"/>
      <c r="G163" s="343" t="n"/>
      <c r="H163" s="343" t="n"/>
      <c r="I163" s="349" t="n"/>
      <c r="J163" s="349" t="n"/>
      <c r="K163" s="350" t="n"/>
      <c r="L163" s="350" t="n"/>
      <c r="M163" s="350" t="n"/>
      <c r="N163" s="349" t="n"/>
      <c r="O163" s="350" t="n"/>
      <c r="P163" s="350" t="n"/>
      <c r="Q163" s="350" t="n"/>
      <c r="R163" s="351" t="n"/>
      <c r="S163" s="351" t="n"/>
      <c r="T163" s="351" t="n"/>
      <c r="U163" s="351" t="n"/>
      <c r="V163" s="351" t="n"/>
      <c r="W163" s="351" t="n"/>
      <c r="X163" s="351" t="n"/>
    </row>
    <row r="164" ht="15.5" customHeight="1" s="297">
      <c r="B164" s="382" t="n">
        <v>45375</v>
      </c>
      <c r="C164" s="353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3" t="n">
        <v>900000</v>
      </c>
      <c r="G164" s="353" t="inlineStr">
        <is>
          <t>IDR</t>
        </is>
      </c>
      <c r="H164" s="381" t="n">
        <v>1</v>
      </c>
      <c r="I164" s="363" t="n">
        <v>900000</v>
      </c>
      <c r="J164" s="360" t="n"/>
      <c r="K164" s="354" t="n"/>
      <c r="L164" s="354" t="n"/>
      <c r="M164" s="354" t="n"/>
      <c r="N164" s="354" t="n"/>
      <c r="O164" s="354" t="n"/>
      <c r="P164" s="354" t="n"/>
      <c r="Q164" s="354" t="n"/>
      <c r="R164" s="354" t="n"/>
      <c r="S164" s="354" t="n"/>
      <c r="T164" s="354" t="n"/>
      <c r="U164" s="354" t="n"/>
      <c r="V164" s="354" t="n"/>
      <c r="W164" s="354" t="n"/>
      <c r="X164" s="354" t="n"/>
    </row>
    <row r="165" ht="15.5" customHeight="1" s="297">
      <c r="B165" s="384" t="n"/>
      <c r="C165" s="343" t="n"/>
      <c r="D165" s="365" t="inlineStr">
        <is>
          <t>Transportation</t>
        </is>
      </c>
      <c r="E165" s="366" t="n"/>
      <c r="F165" s="346" t="n"/>
      <c r="G165" s="343" t="n"/>
      <c r="H165" s="343" t="n"/>
      <c r="I165" s="349" t="n"/>
      <c r="J165" s="349" t="n"/>
      <c r="K165" s="350" t="n"/>
      <c r="L165" s="350" t="n"/>
      <c r="M165" s="350" t="n"/>
      <c r="N165" s="350" t="n"/>
      <c r="O165" s="350" t="n"/>
      <c r="P165" s="349" t="n"/>
      <c r="Q165" s="350" t="n"/>
      <c r="R165" s="351" t="n"/>
      <c r="S165" s="351" t="n"/>
      <c r="T165" s="351" t="n"/>
      <c r="U165" s="351" t="n"/>
      <c r="V165" s="351" t="n"/>
      <c r="W165" s="351" t="n"/>
      <c r="X165" s="351" t="n"/>
    </row>
    <row r="166" ht="15.5" customHeight="1" s="297">
      <c r="B166" s="382" t="n">
        <v>45370</v>
      </c>
      <c r="C166" s="353" t="n">
        <v>4</v>
      </c>
      <c r="D166" s="383" t="inlineStr">
        <is>
          <t>Taxi Bintaro-CGK</t>
        </is>
      </c>
      <c r="E166" s="383" t="inlineStr">
        <is>
          <t>-</t>
        </is>
      </c>
      <c r="F166" s="363" t="n">
        <v>250000</v>
      </c>
      <c r="G166" s="353" t="inlineStr">
        <is>
          <t>IDR</t>
        </is>
      </c>
      <c r="H166" s="381" t="n">
        <v>1</v>
      </c>
      <c r="I166" s="363" t="n">
        <v>250000</v>
      </c>
      <c r="J166" s="360" t="n"/>
      <c r="K166" s="354" t="n"/>
      <c r="L166" s="354" t="n"/>
      <c r="M166" s="360" t="n"/>
      <c r="N166" s="354" t="n"/>
      <c r="O166" s="354" t="n"/>
      <c r="P166" s="354" t="n"/>
      <c r="Q166" s="354" t="n"/>
      <c r="R166" s="354" t="n"/>
      <c r="S166" s="354" t="n"/>
      <c r="T166" s="354" t="n"/>
      <c r="U166" s="354" t="n"/>
      <c r="V166" s="354" t="n"/>
      <c r="W166" s="354" t="n"/>
      <c r="X166" s="354" t="n"/>
    </row>
    <row r="167" ht="15.5" customHeight="1" s="297">
      <c r="B167" s="369" t="n">
        <v>45375</v>
      </c>
      <c r="C167" s="353" t="n">
        <v>5</v>
      </c>
      <c r="D167" s="354" t="inlineStr">
        <is>
          <t>Taxi CGK-Bintaro</t>
        </is>
      </c>
      <c r="E167" s="354" t="inlineStr">
        <is>
          <t>-</t>
        </is>
      </c>
      <c r="F167" s="370" t="n">
        <v>250000</v>
      </c>
      <c r="G167" s="353" t="inlineStr">
        <is>
          <t>IDR</t>
        </is>
      </c>
      <c r="H167" s="381" t="n">
        <v>1</v>
      </c>
      <c r="I167" s="363" t="n">
        <v>250000</v>
      </c>
      <c r="J167" s="360" t="n"/>
      <c r="K167" s="354" t="n"/>
      <c r="L167" s="354" t="n"/>
      <c r="M167" s="360" t="n"/>
      <c r="N167" s="354" t="n"/>
      <c r="O167" s="354" t="n"/>
      <c r="P167" s="354" t="n"/>
      <c r="Q167" s="354" t="n"/>
      <c r="R167" s="354" t="n"/>
      <c r="S167" s="354" t="n"/>
      <c r="T167" s="354" t="n"/>
      <c r="U167" s="354" t="n"/>
      <c r="V167" s="354" t="n"/>
      <c r="W167" s="354" t="n"/>
      <c r="X167" s="354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3" t="n"/>
      <c r="D169" s="365" t="inlineStr">
        <is>
          <t>Pembelian Barang</t>
        </is>
      </c>
      <c r="E169" s="366" t="n"/>
      <c r="F169" s="368" t="n"/>
      <c r="G169" s="343" t="n"/>
      <c r="H169" s="343" t="n"/>
      <c r="I169" s="348" t="n"/>
      <c r="J169" s="349" t="n"/>
      <c r="K169" s="350" t="n"/>
      <c r="L169" s="350" t="n"/>
      <c r="M169" s="349" t="n"/>
      <c r="N169" s="350" t="n"/>
      <c r="O169" s="350" t="n"/>
      <c r="P169" s="350" t="n"/>
      <c r="Q169" s="350" t="n"/>
      <c r="R169" s="351" t="n"/>
      <c r="S169" s="351" t="n"/>
      <c r="T169" s="351" t="n"/>
      <c r="U169" s="351" t="n"/>
      <c r="V169" s="351" t="n"/>
      <c r="W169" s="351" t="n"/>
      <c r="X169" s="351" t="n"/>
    </row>
    <row r="170" ht="15.5" customHeight="1" s="297">
      <c r="B170" s="369" t="n">
        <v>45354</v>
      </c>
      <c r="C170" s="353" t="n">
        <v>1</v>
      </c>
      <c r="D170" s="361" t="inlineStr">
        <is>
          <t>Send Tool from Bintaro to Gowell</t>
        </is>
      </c>
      <c r="E170" s="361" t="inlineStr">
        <is>
          <t>-</t>
        </is>
      </c>
      <c r="F170" s="370" t="n">
        <v>168732</v>
      </c>
      <c r="G170" s="353" t="inlineStr">
        <is>
          <t>IDR</t>
        </is>
      </c>
      <c r="H170" s="381" t="n">
        <v>1</v>
      </c>
      <c r="I170" s="360" t="n"/>
      <c r="J170" s="360" t="n"/>
      <c r="K170" s="354" t="n"/>
      <c r="L170" s="354" t="n"/>
      <c r="M170" s="360" t="n"/>
      <c r="N170" s="363" t="n">
        <v>168732</v>
      </c>
      <c r="O170" s="354" t="n"/>
      <c r="P170" s="354" t="n"/>
      <c r="Q170" s="354" t="n"/>
      <c r="R170" s="354" t="n"/>
      <c r="S170" s="354" t="n"/>
      <c r="T170" s="354" t="n"/>
      <c r="U170" s="354" t="n"/>
      <c r="V170" s="354" t="n"/>
      <c r="W170" s="354" t="n"/>
      <c r="X170" s="354" t="n"/>
    </row>
    <row r="171" ht="15.5" customHeight="1" s="297">
      <c r="B171" s="369" t="n">
        <v>45369</v>
      </c>
      <c r="C171" s="353" t="n">
        <v>2</v>
      </c>
      <c r="D171" s="361" t="inlineStr">
        <is>
          <t>Buy Cable type C to A</t>
        </is>
      </c>
      <c r="E171" s="361" t="inlineStr">
        <is>
          <t>-</t>
        </is>
      </c>
      <c r="F171" s="370" t="n">
        <v>69009</v>
      </c>
      <c r="G171" s="353" t="inlineStr">
        <is>
          <t>IDR</t>
        </is>
      </c>
      <c r="H171" s="381" t="n">
        <v>1</v>
      </c>
      <c r="I171" s="360" t="n"/>
      <c r="J171" s="360" t="n"/>
      <c r="K171" s="354" t="n"/>
      <c r="L171" s="354" t="n"/>
      <c r="M171" s="360" t="n"/>
      <c r="N171" s="363" t="n">
        <v>69009</v>
      </c>
      <c r="O171" s="354" t="n"/>
      <c r="P171" s="354" t="n"/>
      <c r="Q171" s="354" t="n"/>
      <c r="R171" s="354" t="n"/>
      <c r="S171" s="354" t="n"/>
      <c r="T171" s="354" t="n"/>
      <c r="U171" s="354" t="n"/>
      <c r="V171" s="354" t="n"/>
      <c r="W171" s="354" t="n"/>
      <c r="X171" s="354" t="n"/>
    </row>
    <row r="172" ht="15.5" customHeight="1" s="297">
      <c r="B172" s="369" t="n">
        <v>45369</v>
      </c>
      <c r="C172" s="353" t="n">
        <v>3</v>
      </c>
      <c r="D172" s="361" t="inlineStr">
        <is>
          <t>Buy Cable type C to C</t>
        </is>
      </c>
      <c r="E172" s="361" t="inlineStr">
        <is>
          <t>-</t>
        </is>
      </c>
      <c r="F172" s="370" t="n">
        <v>145800</v>
      </c>
      <c r="G172" s="353" t="inlineStr">
        <is>
          <t>IDR</t>
        </is>
      </c>
      <c r="H172" s="381" t="n">
        <v>1</v>
      </c>
      <c r="I172" s="360" t="n"/>
      <c r="J172" s="360" t="n"/>
      <c r="K172" s="354" t="n"/>
      <c r="L172" s="354" t="n"/>
      <c r="M172" s="360" t="n"/>
      <c r="N172" s="363" t="n">
        <v>145800</v>
      </c>
      <c r="O172" s="354" t="n"/>
      <c r="P172" s="354" t="n"/>
      <c r="Q172" s="354" t="n"/>
      <c r="R172" s="354" t="n"/>
      <c r="S172" s="354" t="n"/>
      <c r="T172" s="354" t="n"/>
      <c r="U172" s="354" t="n"/>
      <c r="V172" s="354" t="n"/>
      <c r="W172" s="354" t="n"/>
      <c r="X172" s="354" t="n"/>
    </row>
    <row r="173" ht="15.5" customHeight="1" s="297">
      <c r="B173" s="369" t="n">
        <v>45369</v>
      </c>
      <c r="C173" s="353" t="n">
        <v>4</v>
      </c>
      <c r="D173" s="361" t="inlineStr">
        <is>
          <t>Buy Jack 3 Pin Socket</t>
        </is>
      </c>
      <c r="E173" s="361" t="inlineStr">
        <is>
          <t>-</t>
        </is>
      </c>
      <c r="F173" s="370" t="n">
        <v>20891</v>
      </c>
      <c r="G173" s="353" t="inlineStr">
        <is>
          <t>IDR</t>
        </is>
      </c>
      <c r="H173" s="381" t="n">
        <v>1</v>
      </c>
      <c r="I173" s="360" t="n"/>
      <c r="J173" s="360" t="n"/>
      <c r="K173" s="354" t="n"/>
      <c r="L173" s="354" t="n"/>
      <c r="M173" s="360" t="n"/>
      <c r="N173" s="363" t="n">
        <v>20891</v>
      </c>
      <c r="O173" s="354" t="n"/>
      <c r="P173" s="354" t="n"/>
      <c r="Q173" s="354" t="n"/>
      <c r="R173" s="354" t="n"/>
      <c r="S173" s="354" t="n"/>
      <c r="T173" s="354" t="n"/>
      <c r="U173" s="354" t="n"/>
      <c r="V173" s="354" t="n"/>
      <c r="W173" s="354" t="n"/>
      <c r="X173" s="354" t="n"/>
    </row>
    <row r="174" ht="15.5" customHeight="1" s="297">
      <c r="B174" s="369" t="n">
        <v>45369</v>
      </c>
      <c r="C174" s="353" t="n">
        <v>5</v>
      </c>
      <c r="D174" s="361" t="inlineStr">
        <is>
          <t>Buy Powerbank 2 ea 27kmah &amp; 52kmah</t>
        </is>
      </c>
      <c r="E174" s="361" t="inlineStr">
        <is>
          <t>-</t>
        </is>
      </c>
      <c r="F174" s="370" t="n">
        <v>3325760</v>
      </c>
      <c r="G174" s="353" t="inlineStr">
        <is>
          <t>IDR</t>
        </is>
      </c>
      <c r="H174" s="381" t="n">
        <v>1</v>
      </c>
      <c r="I174" s="360" t="n"/>
      <c r="J174" s="360" t="n"/>
      <c r="K174" s="354" t="n"/>
      <c r="L174" s="354" t="n"/>
      <c r="M174" s="360" t="n"/>
      <c r="N174" s="363" t="n">
        <v>3325760</v>
      </c>
      <c r="O174" s="354" t="n"/>
      <c r="P174" s="354" t="n"/>
      <c r="Q174" s="354" t="n"/>
      <c r="R174" s="354" t="n"/>
      <c r="S174" s="354" t="n"/>
      <c r="T174" s="354" t="n"/>
      <c r="U174" s="354" t="n"/>
      <c r="V174" s="354" t="n"/>
      <c r="W174" s="354" t="n"/>
      <c r="X174" s="354" t="n"/>
    </row>
    <row r="175" ht="15.5" customHeight="1" s="297">
      <c r="B175" s="369" t="n">
        <v>45369</v>
      </c>
      <c r="C175" s="353" t="n">
        <v>6</v>
      </c>
      <c r="D175" s="361" t="inlineStr">
        <is>
          <t>Buy Fluke-117</t>
        </is>
      </c>
      <c r="E175" s="361" t="inlineStr">
        <is>
          <t>-</t>
        </is>
      </c>
      <c r="F175" s="370" t="n">
        <v>4332000</v>
      </c>
      <c r="G175" s="353" t="inlineStr">
        <is>
          <t>IDR</t>
        </is>
      </c>
      <c r="H175" s="381" t="n">
        <v>1</v>
      </c>
      <c r="I175" s="359" t="n"/>
      <c r="J175" s="360" t="n"/>
      <c r="K175" s="354" t="n"/>
      <c r="L175" s="354" t="n"/>
      <c r="M175" s="359" t="n"/>
      <c r="N175" s="363" t="n">
        <v>4332000</v>
      </c>
      <c r="O175" s="354" t="n"/>
      <c r="P175" s="354" t="n"/>
      <c r="Q175" s="354" t="n"/>
      <c r="R175" s="354" t="n"/>
      <c r="S175" s="354" t="n"/>
      <c r="T175" s="354" t="n"/>
      <c r="U175" s="354" t="n"/>
      <c r="V175" s="354" t="n"/>
      <c r="W175" s="354" t="n"/>
      <c r="X175" s="354" t="n"/>
    </row>
    <row r="176" ht="15.5" customHeight="1" s="297">
      <c r="B176" s="369" t="n">
        <v>45369</v>
      </c>
      <c r="C176" s="353" t="n">
        <v>7</v>
      </c>
      <c r="D176" s="361" t="inlineStr">
        <is>
          <t>Buy SANWA YX360TRF</t>
        </is>
      </c>
      <c r="E176" s="361" t="inlineStr">
        <is>
          <t>-</t>
        </is>
      </c>
      <c r="F176" s="370" t="n">
        <v>455600</v>
      </c>
      <c r="G176" s="353" t="inlineStr">
        <is>
          <t>IDR</t>
        </is>
      </c>
      <c r="H176" s="381" t="n">
        <v>1</v>
      </c>
      <c r="I176" s="359" t="n"/>
      <c r="J176" s="360" t="n"/>
      <c r="K176" s="354" t="n"/>
      <c r="L176" s="354" t="n"/>
      <c r="M176" s="359" t="n"/>
      <c r="N176" s="363" t="n">
        <v>455600</v>
      </c>
      <c r="O176" s="354" t="n"/>
      <c r="P176" s="354" t="n"/>
      <c r="Q176" s="354" t="n"/>
      <c r="R176" s="354" t="n"/>
      <c r="S176" s="354" t="n"/>
      <c r="T176" s="354" t="n"/>
      <c r="U176" s="354" t="n"/>
      <c r="V176" s="354" t="n"/>
      <c r="W176" s="354" t="n"/>
      <c r="X176" s="354" t="n"/>
    </row>
    <row r="177" ht="15.5" customHeight="1" s="297">
      <c r="B177" s="369" t="n">
        <v>45370</v>
      </c>
      <c r="C177" s="353" t="n">
        <v>8</v>
      </c>
      <c r="D177" s="361" t="inlineStr">
        <is>
          <t>Send Tool from Gowell to TGE</t>
        </is>
      </c>
      <c r="E177" s="361" t="inlineStr">
        <is>
          <t>-</t>
        </is>
      </c>
      <c r="F177" s="370" t="n">
        <v>168732</v>
      </c>
      <c r="G177" s="353" t="inlineStr">
        <is>
          <t>IDR</t>
        </is>
      </c>
      <c r="H177" s="381" t="n">
        <v>1</v>
      </c>
      <c r="I177" s="359" t="n"/>
      <c r="J177" s="360" t="n"/>
      <c r="K177" s="354" t="n"/>
      <c r="L177" s="354" t="n"/>
      <c r="M177" s="354" t="n"/>
      <c r="N177" s="363" t="n">
        <v>168732</v>
      </c>
      <c r="O177" s="354" t="n"/>
      <c r="P177" s="354" t="n"/>
      <c r="Q177" s="354" t="n"/>
      <c r="R177" s="354" t="n"/>
      <c r="S177" s="354" t="n"/>
      <c r="T177" s="354" t="n"/>
      <c r="U177" s="354" t="n"/>
      <c r="V177" s="354" t="n"/>
      <c r="W177" s="354" t="n"/>
      <c r="X177" s="354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3" t="n"/>
      <c r="D179" s="365" t="inlineStr">
        <is>
          <t>Kesehatan</t>
        </is>
      </c>
      <c r="E179" s="366" t="n"/>
      <c r="F179" s="368" t="n"/>
      <c r="G179" s="343" t="n"/>
      <c r="H179" s="343" t="n"/>
      <c r="I179" s="348" t="n"/>
      <c r="J179" s="349" t="n"/>
      <c r="K179" s="350" t="n"/>
      <c r="L179" s="350" t="n"/>
      <c r="M179" s="350" t="n"/>
      <c r="N179" s="350" t="n"/>
      <c r="O179" s="350" t="n"/>
      <c r="P179" s="350" t="n"/>
      <c r="Q179" s="350" t="n"/>
      <c r="R179" s="351" t="n"/>
      <c r="S179" s="351" t="n"/>
      <c r="T179" s="351" t="n"/>
      <c r="U179" s="351" t="n"/>
      <c r="V179" s="351" t="n"/>
      <c r="W179" s="351" t="n"/>
      <c r="X179" s="351" t="n"/>
    </row>
    <row r="180" ht="15.5" customHeight="1" s="297">
      <c r="B180" s="369" t="n">
        <v>45384</v>
      </c>
      <c r="C180" s="353" t="n">
        <v>1</v>
      </c>
      <c r="D180" s="361" t="inlineStr">
        <is>
          <t>MCU RS PP</t>
        </is>
      </c>
      <c r="E180" s="361" t="inlineStr">
        <is>
          <t>-</t>
        </is>
      </c>
      <c r="F180" s="370" t="n">
        <v>5407000</v>
      </c>
      <c r="G180" s="353" t="inlineStr">
        <is>
          <t>IDR</t>
        </is>
      </c>
      <c r="H180" s="381" t="n">
        <v>1</v>
      </c>
      <c r="I180" s="359" t="n"/>
      <c r="J180" s="360" t="n"/>
      <c r="K180" s="354" t="n"/>
      <c r="L180" s="354" t="n"/>
      <c r="M180" s="354" t="n"/>
      <c r="N180" s="359" t="n"/>
      <c r="O180" s="354" t="n"/>
      <c r="P180" s="363" t="n">
        <v>5407000</v>
      </c>
      <c r="Q180" s="354" t="n"/>
      <c r="R180" s="354" t="n"/>
      <c r="S180" s="354" t="n"/>
      <c r="T180" s="354" t="n"/>
      <c r="U180" s="354" t="n"/>
      <c r="V180" s="354" t="n"/>
      <c r="W180" s="354" t="n"/>
      <c r="X180" s="354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3" t="n"/>
      <c r="D182" s="365" t="inlineStr">
        <is>
          <t>Accommodation</t>
        </is>
      </c>
      <c r="E182" s="366" t="n"/>
      <c r="F182" s="368" t="n"/>
      <c r="G182" s="343" t="n"/>
      <c r="H182" s="343" t="n"/>
      <c r="I182" s="348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51" t="n"/>
      <c r="S182" s="351" t="n"/>
      <c r="T182" s="351" t="n"/>
      <c r="U182" s="351" t="n"/>
      <c r="V182" s="351" t="n"/>
      <c r="W182" s="351" t="n"/>
      <c r="X182" s="351" t="n"/>
    </row>
    <row r="183" ht="15.5" customHeight="1" s="297">
      <c r="B183" s="369" t="n">
        <v>45402</v>
      </c>
      <c r="C183" s="353" t="n">
        <v>1</v>
      </c>
      <c r="D183" s="361" t="inlineStr">
        <is>
          <t>Laundry 5 days 1 Persons @ 50K IDR/day</t>
        </is>
      </c>
      <c r="E183" s="361" t="inlineStr">
        <is>
          <t>-</t>
        </is>
      </c>
      <c r="F183" s="370" t="n">
        <v>250000</v>
      </c>
      <c r="G183" s="353" t="inlineStr">
        <is>
          <t>IDR</t>
        </is>
      </c>
      <c r="H183" s="381" t="n">
        <v>1</v>
      </c>
      <c r="I183" s="363" t="n">
        <v>250000</v>
      </c>
      <c r="J183" s="354" t="n"/>
      <c r="K183" s="354" t="n"/>
      <c r="L183" s="354" t="n"/>
      <c r="M183" s="354" t="n"/>
      <c r="N183" s="354" t="n"/>
      <c r="O183" s="354" t="n"/>
      <c r="P183" s="354" t="n"/>
      <c r="Q183" s="354" t="n"/>
      <c r="R183" s="354" t="n"/>
      <c r="S183" s="354" t="n"/>
      <c r="T183" s="354" t="n"/>
      <c r="U183" s="354" t="n"/>
      <c r="V183" s="354" t="n"/>
      <c r="W183" s="354" t="n"/>
      <c r="X183" s="354" t="n"/>
    </row>
    <row r="184" ht="15.5" customHeight="1" s="297">
      <c r="B184" s="384" t="n"/>
      <c r="C184" s="343" t="n"/>
      <c r="D184" s="365" t="inlineStr">
        <is>
          <t>Meal</t>
        </is>
      </c>
      <c r="E184" s="366" t="n"/>
      <c r="F184" s="368" t="n"/>
      <c r="G184" s="343" t="n"/>
      <c r="H184" s="406" t="n"/>
      <c r="I184" s="349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51" t="n"/>
      <c r="S184" s="351" t="n"/>
      <c r="T184" s="351" t="n"/>
      <c r="U184" s="351" t="n"/>
      <c r="V184" s="351" t="n"/>
      <c r="W184" s="351" t="n"/>
      <c r="X184" s="351" t="n"/>
    </row>
    <row r="185" ht="15.5" customHeight="1" s="297">
      <c r="B185" s="382" t="n">
        <v>45402</v>
      </c>
      <c r="C185" s="353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3" t="n">
        <v>750000</v>
      </c>
      <c r="G185" s="353" t="inlineStr">
        <is>
          <t>IDR</t>
        </is>
      </c>
      <c r="H185" s="381" t="n">
        <v>1</v>
      </c>
      <c r="I185" s="363" t="n">
        <v>750000</v>
      </c>
      <c r="J185" s="360" t="n"/>
      <c r="K185" s="354" t="n"/>
      <c r="L185" s="354" t="n"/>
      <c r="M185" s="354" t="n"/>
      <c r="N185" s="354" t="n"/>
      <c r="O185" s="354" t="n"/>
      <c r="P185" s="354" t="n"/>
      <c r="Q185" s="354" t="n"/>
      <c r="R185" s="354" t="n"/>
      <c r="S185" s="354" t="n"/>
      <c r="T185" s="354" t="n"/>
      <c r="U185" s="354" t="n"/>
      <c r="V185" s="354" t="n"/>
      <c r="W185" s="354" t="n"/>
      <c r="X185" s="354" t="n"/>
    </row>
    <row r="186" ht="15.5" customHeight="1" s="297">
      <c r="B186" s="352" t="n">
        <v>45402</v>
      </c>
      <c r="C186" s="353" t="n">
        <v>3</v>
      </c>
      <c r="D186" s="354" t="inlineStr">
        <is>
          <t>Crews' Food</t>
        </is>
      </c>
      <c r="E186" s="354" t="inlineStr">
        <is>
          <t>-</t>
        </is>
      </c>
      <c r="F186" s="370" t="n">
        <v>160000</v>
      </c>
      <c r="G186" s="353" t="inlineStr">
        <is>
          <t>IDR</t>
        </is>
      </c>
      <c r="H186" s="381" t="n">
        <v>1</v>
      </c>
      <c r="I186" s="363" t="n">
        <v>160000</v>
      </c>
      <c r="J186" s="360" t="n"/>
      <c r="K186" s="354" t="n"/>
      <c r="L186" s="354" t="n"/>
      <c r="M186" s="359" t="n"/>
      <c r="N186" s="354" t="n"/>
      <c r="O186" s="354" t="n"/>
      <c r="P186" s="354" t="n"/>
      <c r="Q186" s="354" t="n"/>
      <c r="R186" s="354" t="n"/>
      <c r="S186" s="354" t="n"/>
      <c r="T186" s="354" t="n"/>
      <c r="U186" s="354" t="n"/>
      <c r="V186" s="354" t="n"/>
      <c r="W186" s="354" t="n"/>
      <c r="X186" s="354" t="n"/>
    </row>
    <row r="187" ht="15.5" customHeight="1" s="297">
      <c r="B187" s="384" t="n"/>
      <c r="C187" s="343" t="n"/>
      <c r="D187" s="365" t="inlineStr">
        <is>
          <t>Shipping</t>
        </is>
      </c>
      <c r="E187" s="366" t="n"/>
      <c r="F187" s="368" t="n"/>
      <c r="G187" s="343" t="n"/>
      <c r="H187" s="343" t="n"/>
      <c r="I187" s="348" t="n"/>
      <c r="J187" s="349" t="n"/>
      <c r="K187" s="350" t="n"/>
      <c r="L187" s="350" t="n"/>
      <c r="M187" s="348" t="n"/>
      <c r="N187" s="350" t="n"/>
      <c r="O187" s="350" t="n"/>
      <c r="P187" s="350" t="n"/>
      <c r="Q187" s="350" t="n"/>
      <c r="R187" s="351" t="n"/>
      <c r="S187" s="351" t="n"/>
      <c r="T187" s="351" t="n"/>
      <c r="U187" s="351" t="n"/>
      <c r="V187" s="351" t="n"/>
      <c r="W187" s="351" t="n"/>
      <c r="X187" s="351" t="n"/>
    </row>
    <row r="188" ht="15.5" customHeight="1" s="297">
      <c r="B188" s="369" t="n">
        <v>45385</v>
      </c>
      <c r="C188" s="353" t="n">
        <v>4</v>
      </c>
      <c r="D188" s="361" t="inlineStr">
        <is>
          <t>Send DTR Bintaro - Gowell</t>
        </is>
      </c>
      <c r="E188" s="361" t="inlineStr">
        <is>
          <t>-</t>
        </is>
      </c>
      <c r="F188" s="370" t="n">
        <v>38121</v>
      </c>
      <c r="G188" s="353" t="inlineStr">
        <is>
          <t>IDR</t>
        </is>
      </c>
      <c r="H188" s="381" t="n">
        <v>1</v>
      </c>
      <c r="I188" s="358" t="n">
        <v>38121</v>
      </c>
      <c r="J188" s="360" t="n"/>
      <c r="K188" s="354" t="n"/>
      <c r="L188" s="354" t="n"/>
      <c r="M188" s="354" t="n"/>
      <c r="N188" s="354" t="n"/>
      <c r="O188" s="354" t="n"/>
      <c r="P188" s="354" t="n"/>
      <c r="Q188" s="354" t="n"/>
      <c r="R188" s="354" t="n"/>
      <c r="S188" s="354" t="n"/>
      <c r="T188" s="354" t="n"/>
      <c r="U188" s="354" t="n"/>
      <c r="V188" s="354" t="n"/>
      <c r="W188" s="354" t="n"/>
      <c r="X188" s="354" t="n"/>
    </row>
    <row r="189" ht="15.5" customHeight="1" s="297">
      <c r="B189" s="369" t="n">
        <v>45398</v>
      </c>
      <c r="C189" s="353" t="n">
        <v>5</v>
      </c>
      <c r="D189" s="361" t="inlineStr">
        <is>
          <t>Send QPS Gowell - TGE</t>
        </is>
      </c>
      <c r="E189" s="361" t="inlineStr">
        <is>
          <t>-</t>
        </is>
      </c>
      <c r="F189" s="370" t="n">
        <v>105879</v>
      </c>
      <c r="G189" s="353" t="inlineStr">
        <is>
          <t>IDR</t>
        </is>
      </c>
      <c r="H189" s="381" t="n">
        <v>1</v>
      </c>
      <c r="I189" s="363" t="n">
        <v>105879</v>
      </c>
      <c r="J189" s="360" t="n"/>
      <c r="K189" s="354" t="n"/>
      <c r="L189" s="354" t="n"/>
      <c r="M189" s="354" t="n"/>
      <c r="N189" s="359" t="n"/>
      <c r="O189" s="354" t="n"/>
      <c r="P189" s="354" t="n"/>
      <c r="Q189" s="354" t="n"/>
      <c r="R189" s="354" t="n"/>
      <c r="S189" s="354" t="n"/>
      <c r="T189" s="354" t="n"/>
      <c r="U189" s="354" t="n"/>
      <c r="V189" s="354" t="n"/>
      <c r="W189" s="354" t="n"/>
      <c r="X189" s="354" t="n"/>
    </row>
    <row r="190" ht="15.5" customHeight="1" s="297">
      <c r="B190" s="369" t="n">
        <v>45403</v>
      </c>
      <c r="C190" s="353" t="n">
        <v>6</v>
      </c>
      <c r="D190" s="361" t="inlineStr">
        <is>
          <t>Send ALFA Bintaro - Andara</t>
        </is>
      </c>
      <c r="E190" s="361" t="inlineStr">
        <is>
          <t>-</t>
        </is>
      </c>
      <c r="F190" s="370" t="n">
        <v>39654</v>
      </c>
      <c r="G190" s="353" t="inlineStr">
        <is>
          <t>IDR</t>
        </is>
      </c>
      <c r="H190" s="381" t="n">
        <v>1</v>
      </c>
      <c r="I190" s="358" t="n">
        <v>39654</v>
      </c>
      <c r="J190" s="360" t="n"/>
      <c r="K190" s="354" t="n"/>
      <c r="L190" s="354" t="n"/>
      <c r="M190" s="354" t="n"/>
      <c r="N190" s="359" t="n"/>
      <c r="O190" s="354" t="n"/>
      <c r="P190" s="354" t="n"/>
      <c r="Q190" s="354" t="n"/>
      <c r="R190" s="354" t="n"/>
      <c r="S190" s="354" t="n"/>
      <c r="T190" s="354" t="n"/>
      <c r="U190" s="354" t="n"/>
      <c r="V190" s="354" t="n"/>
      <c r="W190" s="354" t="n"/>
      <c r="X190" s="354" t="n"/>
    </row>
    <row r="191" ht="15.5" customHeight="1" s="297">
      <c r="B191" s="369" t="n">
        <v>45403</v>
      </c>
      <c r="C191" s="353" t="n">
        <v>7</v>
      </c>
      <c r="D191" s="361" t="inlineStr">
        <is>
          <t>Send HPTC Bintaro - Andara</t>
        </is>
      </c>
      <c r="E191" s="361" t="inlineStr">
        <is>
          <t>-</t>
        </is>
      </c>
      <c r="F191" s="370" t="n">
        <v>39654</v>
      </c>
      <c r="G191" s="353" t="inlineStr">
        <is>
          <t>IDR</t>
        </is>
      </c>
      <c r="H191" s="381" t="n">
        <v>1</v>
      </c>
      <c r="I191" s="358" t="n">
        <v>39654</v>
      </c>
      <c r="J191" s="360" t="n"/>
      <c r="K191" s="354" t="n"/>
      <c r="L191" s="354" t="n"/>
      <c r="M191" s="354" t="n"/>
      <c r="N191" s="359" t="n"/>
      <c r="O191" s="354" t="n"/>
      <c r="P191" s="354" t="n"/>
      <c r="Q191" s="354" t="n"/>
      <c r="R191" s="354" t="n"/>
      <c r="S191" s="354" t="n"/>
      <c r="T191" s="354" t="n"/>
      <c r="U191" s="354" t="n"/>
      <c r="V191" s="354" t="n"/>
      <c r="W191" s="354" t="n"/>
      <c r="X191" s="354" t="n"/>
    </row>
    <row r="192" ht="15.5" customHeight="1" s="297">
      <c r="B192" s="369" t="n">
        <v>45405</v>
      </c>
      <c r="C192" s="353" t="n">
        <v>8</v>
      </c>
      <c r="D192" s="361" t="inlineStr">
        <is>
          <t>Send BA Bintaro - TGE</t>
        </is>
      </c>
      <c r="E192" s="361" t="inlineStr">
        <is>
          <t>-</t>
        </is>
      </c>
      <c r="F192" s="370" t="n">
        <v>18000</v>
      </c>
      <c r="G192" s="353" t="inlineStr">
        <is>
          <t>IDR</t>
        </is>
      </c>
      <c r="H192" s="381" t="n">
        <v>1</v>
      </c>
      <c r="I192" s="358" t="n">
        <v>18000</v>
      </c>
      <c r="J192" s="360" t="n"/>
      <c r="K192" s="354" t="n"/>
      <c r="L192" s="354" t="n"/>
      <c r="M192" s="354" t="n"/>
      <c r="N192" s="359" t="n"/>
      <c r="O192" s="354" t="n"/>
      <c r="P192" s="354" t="n"/>
      <c r="Q192" s="354" t="n"/>
      <c r="R192" s="354" t="n"/>
      <c r="S192" s="354" t="n"/>
      <c r="T192" s="354" t="n"/>
      <c r="U192" s="354" t="n"/>
      <c r="V192" s="354" t="n"/>
      <c r="W192" s="354" t="n"/>
      <c r="X192" s="354" t="n"/>
    </row>
    <row r="193" ht="15.5" customHeight="1" s="297">
      <c r="B193" s="369" t="n">
        <v>45407</v>
      </c>
      <c r="C193" s="353" t="n">
        <v>9</v>
      </c>
      <c r="D193" s="361" t="inlineStr">
        <is>
          <t>Send MPLT TGE - Gowell</t>
        </is>
      </c>
      <c r="E193" s="361" t="inlineStr">
        <is>
          <t>-</t>
        </is>
      </c>
      <c r="F193" s="370" t="n">
        <v>167297</v>
      </c>
      <c r="G193" s="353" t="inlineStr">
        <is>
          <t>IDR</t>
        </is>
      </c>
      <c r="H193" s="381" t="n">
        <v>1</v>
      </c>
      <c r="I193" s="358" t="n">
        <v>167297</v>
      </c>
      <c r="J193" s="360" t="n"/>
      <c r="K193" s="354" t="n"/>
      <c r="L193" s="354" t="n"/>
      <c r="M193" s="354" t="n"/>
      <c r="N193" s="359" t="n"/>
      <c r="O193" s="354" t="n"/>
      <c r="P193" s="354" t="n"/>
      <c r="Q193" s="354" t="n"/>
      <c r="R193" s="354" t="n"/>
      <c r="S193" s="354" t="n"/>
      <c r="T193" s="354" t="n"/>
      <c r="U193" s="354" t="n"/>
      <c r="V193" s="354" t="n"/>
      <c r="W193" s="354" t="n"/>
      <c r="X193" s="354" t="n"/>
    </row>
    <row r="194" ht="15.5" customHeight="1" s="297">
      <c r="B194" s="384" t="n"/>
      <c r="C194" s="343" t="n"/>
      <c r="D194" s="365" t="inlineStr">
        <is>
          <t>Transportation</t>
        </is>
      </c>
      <c r="E194" s="409" t="n"/>
      <c r="F194" s="368" t="n"/>
      <c r="G194" s="343" t="n"/>
      <c r="H194" s="343" t="n"/>
      <c r="I194" s="350" t="n"/>
      <c r="J194" s="349" t="n"/>
      <c r="K194" s="350" t="n"/>
      <c r="L194" s="350" t="n"/>
      <c r="M194" s="350" t="n"/>
      <c r="N194" s="350" t="n"/>
      <c r="O194" s="350" t="n"/>
      <c r="P194" s="350" t="n"/>
      <c r="Q194" s="350" t="n"/>
      <c r="R194" s="351" t="n"/>
      <c r="S194" s="351" t="n"/>
      <c r="T194" s="351" t="n"/>
      <c r="U194" s="351" t="n"/>
      <c r="V194" s="351" t="n"/>
      <c r="W194" s="351" t="n"/>
      <c r="X194" s="351" t="n"/>
    </row>
    <row r="195" ht="15.5" customHeight="1" s="297">
      <c r="B195" s="369" t="n">
        <v>45398</v>
      </c>
      <c r="C195" s="353" t="n">
        <v>10</v>
      </c>
      <c r="D195" s="361" t="inlineStr">
        <is>
          <t>Taxi Bintaro-CGK</t>
        </is>
      </c>
      <c r="E195" s="361" t="inlineStr">
        <is>
          <t>-</t>
        </is>
      </c>
      <c r="F195" s="370" t="n">
        <v>250000</v>
      </c>
      <c r="G195" s="353" t="inlineStr">
        <is>
          <t>IDR</t>
        </is>
      </c>
      <c r="H195" s="381" t="n">
        <v>1</v>
      </c>
      <c r="I195" s="363" t="n">
        <v>250000</v>
      </c>
      <c r="J195" s="360" t="n"/>
      <c r="K195" s="354" t="n"/>
      <c r="L195" s="354" t="n"/>
      <c r="M195" s="354" t="n"/>
      <c r="N195" s="354" t="n"/>
      <c r="O195" s="354" t="n"/>
      <c r="P195" s="354" t="n"/>
      <c r="Q195" s="354" t="n"/>
      <c r="R195" s="354" t="n"/>
      <c r="S195" s="354" t="n"/>
      <c r="T195" s="354" t="n"/>
      <c r="U195" s="354" t="n"/>
      <c r="V195" s="354" t="n"/>
      <c r="W195" s="354" t="n"/>
      <c r="X195" s="354" t="n"/>
    </row>
    <row r="196" ht="15.5" customHeight="1" s="297">
      <c r="B196" s="382" t="n">
        <v>45402</v>
      </c>
      <c r="C196" s="353" t="n">
        <v>11</v>
      </c>
      <c r="D196" s="383" t="inlineStr">
        <is>
          <t>Taxi CGK-Bintaro</t>
        </is>
      </c>
      <c r="E196" s="383" t="inlineStr">
        <is>
          <t>-</t>
        </is>
      </c>
      <c r="F196" s="363" t="n">
        <v>250000</v>
      </c>
      <c r="G196" s="353" t="inlineStr">
        <is>
          <t>IDR</t>
        </is>
      </c>
      <c r="H196" s="381" t="n">
        <v>1</v>
      </c>
      <c r="I196" s="363" t="n">
        <v>250000</v>
      </c>
      <c r="J196" s="360" t="n"/>
      <c r="K196" s="354" t="n"/>
      <c r="L196" s="354" t="n"/>
      <c r="M196" s="359" t="n"/>
      <c r="N196" s="354" t="n"/>
      <c r="O196" s="354" t="n"/>
      <c r="P196" s="354" t="n"/>
      <c r="Q196" s="354" t="n"/>
      <c r="R196" s="354" t="n"/>
      <c r="S196" s="354" t="n"/>
      <c r="T196" s="354" t="n"/>
      <c r="U196" s="354" t="n"/>
      <c r="V196" s="354" t="n"/>
      <c r="W196" s="354" t="n"/>
      <c r="X196" s="354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3" t="n"/>
      <c r="D198" s="344" t="inlineStr">
        <is>
          <t>Accommodation</t>
        </is>
      </c>
      <c r="E198" s="345" t="n"/>
      <c r="F198" s="346" t="n"/>
      <c r="G198" s="343" t="n"/>
      <c r="H198" s="343" t="n"/>
      <c r="I198" s="348" t="n"/>
      <c r="J198" s="349" t="n"/>
      <c r="K198" s="350" t="n"/>
      <c r="L198" s="350" t="n"/>
      <c r="M198" s="348" t="n"/>
      <c r="N198" s="350" t="n"/>
      <c r="O198" s="350" t="n"/>
      <c r="P198" s="350" t="n"/>
      <c r="Q198" s="350" t="n"/>
      <c r="R198" s="351" t="n"/>
      <c r="S198" s="351" t="n"/>
      <c r="T198" s="351" t="n"/>
      <c r="U198" s="351" t="n"/>
      <c r="V198" s="351" t="n"/>
      <c r="W198" s="351" t="n"/>
      <c r="X198" s="351" t="n"/>
    </row>
    <row r="199" ht="15.5" customHeight="1" s="297">
      <c r="B199" s="369" t="n">
        <v>45410</v>
      </c>
      <c r="C199" s="353" t="n">
        <v>1</v>
      </c>
      <c r="D199" s="354" t="inlineStr">
        <is>
          <t>Hotel 2 days</t>
        </is>
      </c>
      <c r="E199" s="354" t="inlineStr">
        <is>
          <t>-</t>
        </is>
      </c>
      <c r="F199" s="355" t="n">
        <v>1357481</v>
      </c>
      <c r="G199" s="353" t="inlineStr">
        <is>
          <t>IDR</t>
        </is>
      </c>
      <c r="H199" s="381" t="n">
        <v>1</v>
      </c>
      <c r="I199" s="363" t="n">
        <v>1357481</v>
      </c>
      <c r="J199" s="360" t="n"/>
      <c r="K199" s="354" t="n"/>
      <c r="L199" s="354" t="n"/>
      <c r="M199" s="360" t="n"/>
      <c r="N199" s="354" t="n"/>
      <c r="O199" s="354" t="n"/>
      <c r="P199" s="354" t="n"/>
      <c r="Q199" s="354" t="n"/>
      <c r="R199" s="354" t="n"/>
      <c r="S199" s="354" t="n"/>
      <c r="T199" s="354" t="n"/>
      <c r="U199" s="354" t="n"/>
      <c r="V199" s="354" t="n"/>
      <c r="W199" s="354" t="n"/>
      <c r="X199" s="354" t="n"/>
    </row>
    <row r="200" ht="15.5" customHeight="1" s="297">
      <c r="B200" s="413" t="n">
        <v>45410</v>
      </c>
      <c r="C200" s="353" t="n">
        <v>2</v>
      </c>
      <c r="D200" s="361" t="inlineStr">
        <is>
          <t>Laundry 2 days</t>
        </is>
      </c>
      <c r="E200" s="361" t="inlineStr">
        <is>
          <t>-</t>
        </is>
      </c>
      <c r="F200" s="355" t="n">
        <v>100000</v>
      </c>
      <c r="G200" s="353" t="inlineStr">
        <is>
          <t>IDR</t>
        </is>
      </c>
      <c r="H200" s="381" t="n">
        <v>1</v>
      </c>
      <c r="I200" s="358" t="n">
        <v>100000</v>
      </c>
      <c r="J200" s="360" t="n"/>
      <c r="K200" s="354" t="n"/>
      <c r="L200" s="354" t="n"/>
      <c r="M200" s="359" t="n"/>
      <c r="N200" s="354" t="n"/>
      <c r="O200" s="354" t="n"/>
      <c r="P200" s="354" t="n"/>
      <c r="Q200" s="354" t="n"/>
      <c r="R200" s="354" t="n"/>
      <c r="S200" s="354" t="n"/>
      <c r="T200" s="354" t="n"/>
      <c r="U200" s="354" t="n"/>
      <c r="V200" s="354" t="n"/>
      <c r="W200" s="354" t="n"/>
      <c r="X200" s="354" t="n"/>
    </row>
    <row r="201" ht="15.5" customHeight="1" s="297">
      <c r="B201" s="384" t="n"/>
      <c r="C201" s="343" t="n"/>
      <c r="D201" s="365" t="inlineStr">
        <is>
          <t>Allowance</t>
        </is>
      </c>
      <c r="E201" s="366" t="n"/>
      <c r="F201" s="346" t="n"/>
      <c r="G201" s="343" t="n"/>
      <c r="H201" s="343" t="n"/>
      <c r="I201" s="348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51" t="n"/>
      <c r="S201" s="351" t="n"/>
      <c r="T201" s="351" t="n"/>
      <c r="U201" s="351" t="n"/>
      <c r="V201" s="351" t="n"/>
      <c r="W201" s="351" t="n"/>
      <c r="X201" s="351" t="n"/>
    </row>
    <row r="202" ht="15.5" customHeight="1" s="297">
      <c r="B202" s="369" t="n">
        <v>45410</v>
      </c>
      <c r="C202" s="353" t="n">
        <v>3</v>
      </c>
      <c r="D202" s="361" t="inlineStr">
        <is>
          <t>Tunjangan Lapangan for 2 days</t>
        </is>
      </c>
      <c r="E202" s="361" t="inlineStr">
        <is>
          <t>-</t>
        </is>
      </c>
      <c r="F202" s="355" t="n">
        <v>3251400</v>
      </c>
      <c r="G202" s="353" t="inlineStr">
        <is>
          <t>USD</t>
        </is>
      </c>
      <c r="H202" s="381" t="n">
        <v>16257</v>
      </c>
      <c r="I202" s="358" t="n">
        <v>3251400</v>
      </c>
      <c r="J202" s="360" t="n"/>
      <c r="K202" s="354" t="n"/>
      <c r="L202" s="354" t="n"/>
      <c r="M202" s="354" t="n"/>
      <c r="N202" s="354" t="n"/>
      <c r="O202" s="354" t="n"/>
      <c r="P202" s="354" t="n"/>
      <c r="Q202" s="354" t="n"/>
      <c r="R202" s="354" t="n"/>
      <c r="S202" s="354" t="n"/>
      <c r="T202" s="354" t="n"/>
      <c r="U202" s="354" t="n"/>
      <c r="V202" s="354" t="n"/>
      <c r="W202" s="354" t="n"/>
      <c r="X202" s="354" t="n"/>
    </row>
    <row r="203" ht="15.5" customHeight="1" s="297">
      <c r="B203" s="384" t="n"/>
      <c r="C203" s="343" t="n"/>
      <c r="D203" s="365" t="inlineStr">
        <is>
          <t>Meal</t>
        </is>
      </c>
      <c r="E203" s="366" t="n"/>
      <c r="F203" s="346" t="n"/>
      <c r="G203" s="343" t="n"/>
      <c r="H203" s="343" t="n"/>
      <c r="I203" s="348" t="n"/>
      <c r="J203" s="349" t="n"/>
      <c r="K203" s="350" t="n"/>
      <c r="L203" s="350" t="n"/>
      <c r="M203" s="350" t="n"/>
      <c r="N203" s="350" t="n"/>
      <c r="O203" s="350" t="n"/>
      <c r="P203" s="350" t="n"/>
      <c r="Q203" s="350" t="n"/>
      <c r="R203" s="351" t="n"/>
      <c r="S203" s="351" t="n"/>
      <c r="T203" s="351" t="n"/>
      <c r="U203" s="351" t="n"/>
      <c r="V203" s="351" t="n"/>
      <c r="W203" s="351" t="n"/>
      <c r="X203" s="351" t="n"/>
    </row>
    <row r="204" ht="15.5" customHeight="1" s="297">
      <c r="B204" s="369" t="n">
        <v>45410</v>
      </c>
      <c r="C204" s="353" t="n">
        <v>4</v>
      </c>
      <c r="D204" s="361" t="inlineStr">
        <is>
          <t>Meals 2 days 1 Persons @ 150K IDR/day</t>
        </is>
      </c>
      <c r="E204" s="361" t="inlineStr">
        <is>
          <t>-</t>
        </is>
      </c>
      <c r="F204" s="355" t="n">
        <v>300000</v>
      </c>
      <c r="G204" s="353" t="inlineStr">
        <is>
          <t>IDR</t>
        </is>
      </c>
      <c r="H204" s="381" t="n">
        <v>1</v>
      </c>
      <c r="I204" s="358" t="n">
        <v>300000</v>
      </c>
      <c r="J204" s="360" t="n"/>
      <c r="K204" s="354" t="n"/>
      <c r="L204" s="354" t="n"/>
      <c r="M204" s="354" t="n"/>
      <c r="N204" s="354" t="n"/>
      <c r="O204" s="354" t="n"/>
      <c r="P204" s="354" t="n"/>
      <c r="Q204" s="354" t="n"/>
      <c r="R204" s="354" t="n"/>
      <c r="S204" s="354" t="n"/>
      <c r="T204" s="354" t="n"/>
      <c r="U204" s="354" t="n"/>
      <c r="V204" s="354" t="n"/>
      <c r="W204" s="354" t="n"/>
      <c r="X204" s="354" t="n"/>
    </row>
    <row r="205" ht="15.5" customHeight="1" s="297">
      <c r="B205" s="384" t="n"/>
      <c r="C205" s="343" t="n"/>
      <c r="D205" s="365" t="inlineStr">
        <is>
          <t>Transportation</t>
        </is>
      </c>
      <c r="E205" s="409" t="n"/>
      <c r="F205" s="346" t="n"/>
      <c r="G205" s="343" t="n"/>
      <c r="H205" s="343" t="n"/>
      <c r="I205" s="348" t="n"/>
      <c r="J205" s="349" t="n"/>
      <c r="K205" s="350" t="n"/>
      <c r="L205" s="350" t="n"/>
      <c r="M205" s="350" t="n"/>
      <c r="N205" s="350" t="n"/>
      <c r="O205" s="350" t="n"/>
      <c r="P205" s="350" t="n"/>
      <c r="Q205" s="350" t="n"/>
      <c r="R205" s="351" t="n"/>
      <c r="S205" s="351" t="n"/>
      <c r="T205" s="351" t="n"/>
      <c r="U205" s="351" t="n"/>
      <c r="V205" s="351" t="n"/>
      <c r="W205" s="351" t="n"/>
      <c r="X205" s="351" t="n"/>
    </row>
    <row r="206" ht="15.5" customHeight="1" s="297">
      <c r="B206" s="369" t="n">
        <v>45408</v>
      </c>
      <c r="C206" s="353" t="n">
        <v>5</v>
      </c>
      <c r="D206" s="361" t="inlineStr">
        <is>
          <t>Fuels</t>
        </is>
      </c>
      <c r="E206" s="361" t="inlineStr">
        <is>
          <t>-</t>
        </is>
      </c>
      <c r="F206" s="355" t="n">
        <v>284308</v>
      </c>
      <c r="G206" s="353" t="inlineStr">
        <is>
          <t>IDR</t>
        </is>
      </c>
      <c r="H206" s="381" t="n">
        <v>1</v>
      </c>
      <c r="I206" s="363" t="n">
        <v>284308</v>
      </c>
      <c r="J206" s="360" t="n"/>
      <c r="K206" s="354" t="n"/>
      <c r="L206" s="354" t="n"/>
      <c r="M206" s="354" t="n"/>
      <c r="N206" s="354" t="n"/>
      <c r="O206" s="354" t="n"/>
      <c r="P206" s="354" t="n"/>
      <c r="Q206" s="354" t="n"/>
      <c r="R206" s="354" t="n"/>
      <c r="S206" s="354" t="n"/>
      <c r="T206" s="354" t="n"/>
      <c r="U206" s="354" t="n"/>
      <c r="V206" s="354" t="n"/>
      <c r="W206" s="354" t="n"/>
      <c r="X206" s="354" t="n"/>
    </row>
    <row r="207" ht="15.5" customHeight="1" s="297">
      <c r="B207" s="369" t="n">
        <v>45410</v>
      </c>
      <c r="C207" s="353" t="n">
        <v>6</v>
      </c>
      <c r="D207" s="361" t="inlineStr">
        <is>
          <t>Toll</t>
        </is>
      </c>
      <c r="E207" s="361" t="inlineStr">
        <is>
          <t>-</t>
        </is>
      </c>
      <c r="F207" s="355" t="n">
        <v>298000</v>
      </c>
      <c r="G207" s="353" t="inlineStr">
        <is>
          <t>IDR</t>
        </is>
      </c>
      <c r="H207" s="381" t="n">
        <v>1</v>
      </c>
      <c r="I207" s="363" t="n">
        <v>298000</v>
      </c>
      <c r="J207" s="360" t="n"/>
      <c r="K207" s="354" t="n"/>
      <c r="L207" s="354" t="n"/>
      <c r="M207" s="354" t="n"/>
      <c r="N207" s="354" t="n"/>
      <c r="O207" s="354" t="n"/>
      <c r="P207" s="354" t="n"/>
      <c r="Q207" s="354" t="n"/>
      <c r="R207" s="354" t="n"/>
      <c r="S207" s="354" t="n"/>
      <c r="T207" s="354" t="n"/>
      <c r="U207" s="354" t="n"/>
      <c r="V207" s="354" t="n"/>
      <c r="W207" s="354" t="n"/>
      <c r="X207" s="354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0" t="n"/>
      <c r="C209" s="414" t="n"/>
      <c r="D209" s="415" t="inlineStr">
        <is>
          <t>Accommodation</t>
        </is>
      </c>
      <c r="E209" s="416" t="n"/>
      <c r="F209" s="346" t="n"/>
      <c r="G209" s="343" t="n"/>
      <c r="H209" s="343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51" t="n"/>
      <c r="S209" s="351" t="n"/>
      <c r="T209" s="351" t="n"/>
      <c r="U209" s="351" t="n"/>
      <c r="V209" s="351" t="n"/>
      <c r="W209" s="351" t="n"/>
      <c r="X209" s="351" t="n"/>
    </row>
    <row r="210" ht="15.5" customHeight="1" s="297">
      <c r="B210" s="369" t="n">
        <v>45420</v>
      </c>
      <c r="C210" s="353" t="n">
        <v>1</v>
      </c>
      <c r="D210" s="354" t="inlineStr">
        <is>
          <t>Hotel</t>
        </is>
      </c>
      <c r="E210" s="354" t="inlineStr">
        <is>
          <t>-</t>
        </is>
      </c>
      <c r="F210" s="355" t="n">
        <v>360000</v>
      </c>
      <c r="G210" s="353" t="inlineStr">
        <is>
          <t>IDR</t>
        </is>
      </c>
      <c r="H210" s="381" t="n">
        <v>1</v>
      </c>
      <c r="I210" s="363" t="n">
        <v>360000</v>
      </c>
      <c r="J210" s="354" t="n"/>
      <c r="K210" s="354" t="n"/>
      <c r="L210" s="354" t="n"/>
      <c r="M210" s="354" t="n"/>
      <c r="N210" s="354" t="n"/>
      <c r="O210" s="354" t="n"/>
      <c r="P210" s="354" t="n"/>
      <c r="Q210" s="354" t="n"/>
      <c r="R210" s="354" t="n"/>
      <c r="S210" s="354" t="n"/>
      <c r="T210" s="354" t="n"/>
      <c r="U210" s="354" t="n"/>
      <c r="V210" s="354" t="n"/>
      <c r="W210" s="354" t="n"/>
      <c r="X210" s="354" t="n"/>
    </row>
    <row r="211" ht="15.5" customHeight="1" s="297">
      <c r="B211" s="384" t="n"/>
      <c r="C211" s="343" t="n"/>
      <c r="D211" s="365" t="inlineStr">
        <is>
          <t>Meal</t>
        </is>
      </c>
      <c r="E211" s="366" t="n"/>
      <c r="F211" s="346" t="n"/>
      <c r="G211" s="343" t="n"/>
      <c r="H211" s="343" t="n"/>
      <c r="I211" s="348" t="n"/>
      <c r="J211" s="349" t="n"/>
      <c r="K211" s="350" t="n"/>
      <c r="L211" s="350" t="n"/>
      <c r="M211" s="350" t="n"/>
      <c r="N211" s="350" t="n"/>
      <c r="O211" s="350" t="n"/>
      <c r="P211" s="350" t="n"/>
      <c r="Q211" s="350" t="n"/>
      <c r="R211" s="351" t="n"/>
      <c r="S211" s="351" t="n"/>
      <c r="T211" s="351" t="n"/>
      <c r="U211" s="351" t="n"/>
      <c r="V211" s="351" t="n"/>
      <c r="W211" s="351" t="n"/>
      <c r="X211" s="351" t="n"/>
    </row>
    <row r="212" ht="15.5" customHeight="1" s="297">
      <c r="B212" s="369" t="n">
        <v>45419</v>
      </c>
      <c r="C212" s="353" t="n">
        <v>2</v>
      </c>
      <c r="D212" s="361" t="inlineStr">
        <is>
          <t>Dinner (Dwi, Febri, Ilham)</t>
        </is>
      </c>
      <c r="E212" s="361" t="inlineStr">
        <is>
          <t>-</t>
        </is>
      </c>
      <c r="F212" s="355" t="n">
        <v>103400</v>
      </c>
      <c r="G212" s="353" t="inlineStr">
        <is>
          <t>IDR</t>
        </is>
      </c>
      <c r="H212" s="381" t="n">
        <v>1</v>
      </c>
      <c r="I212" s="358" t="n">
        <v>103400</v>
      </c>
      <c r="J212" s="360" t="n"/>
      <c r="K212" s="354" t="n"/>
      <c r="L212" s="354" t="n"/>
      <c r="M212" s="354" t="n"/>
      <c r="N212" s="354" t="n"/>
      <c r="O212" s="354" t="n"/>
      <c r="P212" s="354" t="n"/>
      <c r="Q212" s="354" t="n"/>
      <c r="R212" s="354" t="n"/>
      <c r="S212" s="354" t="n"/>
      <c r="T212" s="354" t="n"/>
      <c r="U212" s="354" t="n"/>
      <c r="V212" s="354" t="n"/>
      <c r="W212" s="354" t="n"/>
      <c r="X212" s="354" t="n"/>
    </row>
    <row r="213" ht="15.5" customHeight="1" s="297">
      <c r="B213" s="384" t="n"/>
      <c r="C213" s="343" t="n"/>
      <c r="D213" s="365" t="inlineStr">
        <is>
          <t>Transportation</t>
        </is>
      </c>
      <c r="E213" s="409" t="n"/>
      <c r="F213" s="346" t="n"/>
      <c r="G213" s="343" t="n"/>
      <c r="H213" s="343" t="n"/>
      <c r="I213" s="349" t="n"/>
      <c r="J213" s="349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  <c r="S213" s="351" t="n"/>
      <c r="T213" s="351" t="n"/>
      <c r="U213" s="351" t="n"/>
      <c r="V213" s="351" t="n"/>
      <c r="W213" s="351" t="n"/>
      <c r="X213" s="351" t="n"/>
    </row>
    <row r="214" ht="15.5" customHeight="1" s="297">
      <c r="B214" s="369" t="n">
        <v>45418</v>
      </c>
      <c r="C214" s="353" t="n">
        <v>3</v>
      </c>
      <c r="D214" s="361" t="inlineStr">
        <is>
          <t>Jakarta - Palembang - Jakarta</t>
        </is>
      </c>
      <c r="E214" s="361" t="inlineStr">
        <is>
          <t>-</t>
        </is>
      </c>
      <c r="F214" s="355" t="n">
        <v>1387800</v>
      </c>
      <c r="G214" s="353" t="inlineStr">
        <is>
          <t>IDR</t>
        </is>
      </c>
      <c r="H214" s="381" t="n">
        <v>1</v>
      </c>
      <c r="I214" s="363" t="n">
        <v>1387800</v>
      </c>
      <c r="J214" s="360" t="n"/>
      <c r="K214" s="354" t="n"/>
      <c r="L214" s="354" t="n"/>
      <c r="M214" s="354" t="n"/>
      <c r="N214" s="354" t="n"/>
      <c r="O214" s="354" t="n"/>
      <c r="P214" s="354" t="n"/>
      <c r="Q214" s="354" t="n"/>
      <c r="R214" s="354" t="n"/>
      <c r="S214" s="354" t="n"/>
      <c r="T214" s="354" t="n"/>
      <c r="U214" s="354" t="n"/>
      <c r="V214" s="354" t="n"/>
      <c r="W214" s="354" t="n"/>
      <c r="X214" s="354" t="n"/>
    </row>
    <row r="215" ht="15.5" customHeight="1" s="297">
      <c r="B215" s="369" t="n">
        <v>45419</v>
      </c>
      <c r="C215" s="353" t="n">
        <v>4</v>
      </c>
      <c r="D215" s="361" t="inlineStr">
        <is>
          <t>Taxi + Tol to Airport Jakarta</t>
        </is>
      </c>
      <c r="E215" s="361" t="inlineStr">
        <is>
          <t>-</t>
        </is>
      </c>
      <c r="F215" s="355" t="n">
        <v>234140</v>
      </c>
      <c r="G215" s="353" t="inlineStr">
        <is>
          <t>IDR</t>
        </is>
      </c>
      <c r="H215" s="381" t="n">
        <v>1</v>
      </c>
      <c r="I215" s="363" t="n">
        <v>234140</v>
      </c>
      <c r="J215" s="360" t="n"/>
      <c r="K215" s="354" t="n"/>
      <c r="L215" s="354" t="n"/>
      <c r="M215" s="354" t="n"/>
      <c r="N215" s="354" t="n"/>
      <c r="O215" s="354" t="n"/>
      <c r="P215" s="354" t="n"/>
      <c r="Q215" s="354" t="n"/>
      <c r="R215" s="354" t="n"/>
      <c r="S215" s="354" t="n"/>
      <c r="T215" s="354" t="n"/>
      <c r="U215" s="354" t="n"/>
      <c r="V215" s="354" t="n"/>
      <c r="W215" s="354" t="n"/>
      <c r="X215" s="354" t="n"/>
    </row>
    <row r="216" ht="15.5" customHeight="1" s="297">
      <c r="B216" s="369" t="n">
        <v>45419</v>
      </c>
      <c r="C216" s="353" t="n">
        <v>5</v>
      </c>
      <c r="D216" s="361" t="inlineStr">
        <is>
          <t>Airport park + fuel + tol Indralaya</t>
        </is>
      </c>
      <c r="E216" s="361" t="inlineStr">
        <is>
          <t>-</t>
        </is>
      </c>
      <c r="F216" s="355" t="n">
        <v>232000</v>
      </c>
      <c r="G216" s="353" t="inlineStr">
        <is>
          <t>IDR</t>
        </is>
      </c>
      <c r="H216" s="381" t="n">
        <v>1</v>
      </c>
      <c r="I216" s="363" t="n">
        <v>232000</v>
      </c>
      <c r="J216" s="360" t="n"/>
      <c r="K216" s="354" t="n"/>
      <c r="L216" s="354" t="n"/>
      <c r="M216" s="354" t="n"/>
      <c r="N216" s="354" t="n"/>
      <c r="O216" s="354" t="n"/>
      <c r="P216" s="354" t="n"/>
      <c r="Q216" s="354" t="n"/>
      <c r="R216" s="354" t="n"/>
      <c r="S216" s="354" t="n"/>
      <c r="T216" s="354" t="n"/>
      <c r="U216" s="354" t="n"/>
      <c r="V216" s="354" t="n"/>
      <c r="W216" s="354" t="n"/>
      <c r="X216" s="354" t="n"/>
    </row>
    <row r="217" ht="15.5" customHeight="1" s="297">
      <c r="B217" s="369" t="n">
        <v>45420</v>
      </c>
      <c r="C217" s="353" t="n">
        <v>6</v>
      </c>
      <c r="D217" s="361" t="inlineStr">
        <is>
          <t>Car Rental</t>
        </is>
      </c>
      <c r="E217" s="361" t="inlineStr">
        <is>
          <t>-</t>
        </is>
      </c>
      <c r="F217" s="355" t="n">
        <v>600000</v>
      </c>
      <c r="G217" s="353" t="inlineStr">
        <is>
          <t>IDR</t>
        </is>
      </c>
      <c r="H217" s="381" t="n">
        <v>1</v>
      </c>
      <c r="I217" s="363" t="n">
        <v>600000</v>
      </c>
      <c r="J217" s="360" t="n"/>
      <c r="K217" s="354" t="n"/>
      <c r="L217" s="354" t="n"/>
      <c r="M217" s="354" t="n"/>
      <c r="N217" s="354" t="n"/>
      <c r="O217" s="354" t="n"/>
      <c r="P217" s="354" t="n"/>
      <c r="Q217" s="354" t="n"/>
      <c r="R217" s="354" t="n"/>
      <c r="S217" s="354" t="n"/>
      <c r="T217" s="354" t="n"/>
      <c r="U217" s="354" t="n"/>
      <c r="V217" s="354" t="n"/>
      <c r="W217" s="354" t="n"/>
      <c r="X217" s="354" t="n"/>
    </row>
    <row r="218" ht="15.5" customHeight="1" s="297">
      <c r="B218" s="369" t="n">
        <v>45420</v>
      </c>
      <c r="C218" s="353" t="n">
        <v>7</v>
      </c>
      <c r="D218" s="361" t="inlineStr">
        <is>
          <t>Tol Indralaya</t>
        </is>
      </c>
      <c r="E218" s="361" t="inlineStr">
        <is>
          <t>-</t>
        </is>
      </c>
      <c r="F218" s="355" t="n">
        <v>27000</v>
      </c>
      <c r="G218" s="353" t="inlineStr">
        <is>
          <t>IDR</t>
        </is>
      </c>
      <c r="H218" s="381" t="n">
        <v>1</v>
      </c>
      <c r="I218" s="363" t="n">
        <v>27000</v>
      </c>
      <c r="J218" s="360" t="n"/>
      <c r="K218" s="354" t="n"/>
      <c r="L218" s="354" t="n"/>
      <c r="M218" s="354" t="n"/>
      <c r="N218" s="354" t="n"/>
      <c r="O218" s="354" t="n"/>
      <c r="P218" s="354" t="n"/>
      <c r="Q218" s="354" t="n"/>
      <c r="R218" s="354" t="n"/>
      <c r="S218" s="354" t="n"/>
      <c r="T218" s="354" t="n"/>
      <c r="U218" s="354" t="n"/>
      <c r="V218" s="354" t="n"/>
      <c r="W218" s="354" t="n"/>
      <c r="X218" s="354" t="n"/>
    </row>
    <row r="219" ht="15.5" customHeight="1" s="297">
      <c r="B219" s="369" t="n">
        <v>45421</v>
      </c>
      <c r="C219" s="353" t="n">
        <v>8</v>
      </c>
      <c r="D219" s="361" t="inlineStr">
        <is>
          <t>Tol + Taxi From Airport Jakarta</t>
        </is>
      </c>
      <c r="E219" s="361" t="inlineStr">
        <is>
          <t>-</t>
        </is>
      </c>
      <c r="F219" s="355" t="n">
        <v>276900</v>
      </c>
      <c r="G219" s="353" t="inlineStr">
        <is>
          <t>IDR</t>
        </is>
      </c>
      <c r="H219" s="381" t="n">
        <v>1</v>
      </c>
      <c r="I219" s="363" t="n">
        <v>276900</v>
      </c>
      <c r="J219" s="360" t="n"/>
      <c r="K219" s="354" t="n"/>
      <c r="L219" s="354" t="n"/>
      <c r="M219" s="354" t="n"/>
      <c r="N219" s="354" t="n"/>
      <c r="O219" s="354" t="n"/>
      <c r="P219" s="354" t="n"/>
      <c r="Q219" s="354" t="n"/>
      <c r="R219" s="354" t="n"/>
      <c r="S219" s="354" t="n"/>
      <c r="T219" s="354" t="n"/>
      <c r="U219" s="354" t="n"/>
      <c r="V219" s="354" t="n"/>
      <c r="W219" s="354" t="n"/>
      <c r="X219" s="354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3" t="n"/>
      <c r="D221" s="365" t="inlineStr">
        <is>
          <t>Accommodation</t>
        </is>
      </c>
      <c r="E221" s="409" t="n"/>
      <c r="F221" s="346" t="n"/>
      <c r="G221" s="345" t="n"/>
      <c r="H221" s="345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51" t="n"/>
      <c r="S221" s="351" t="n"/>
      <c r="T221" s="351" t="n"/>
      <c r="U221" s="351" t="n"/>
      <c r="V221" s="351" t="n"/>
      <c r="W221" s="351" t="n"/>
      <c r="X221" s="351" t="n"/>
    </row>
    <row r="222" ht="15.5" customHeight="1" s="297">
      <c r="B222" s="369" t="n">
        <v>45403</v>
      </c>
      <c r="C222" s="353" t="n">
        <v>1</v>
      </c>
      <c r="D222" s="361" t="inlineStr">
        <is>
          <t>Laundry 3 days @ Rp. 50.000</t>
        </is>
      </c>
      <c r="E222" s="361" t="inlineStr">
        <is>
          <t>-</t>
        </is>
      </c>
      <c r="F222" s="355" t="n">
        <v>150000</v>
      </c>
      <c r="G222" s="354" t="inlineStr">
        <is>
          <t>IDR</t>
        </is>
      </c>
      <c r="H222" s="381" t="n">
        <v>1</v>
      </c>
      <c r="I222" s="358" t="n">
        <v>150000</v>
      </c>
      <c r="J222" s="360" t="n"/>
      <c r="K222" s="354" t="n"/>
      <c r="L222" s="354" t="n"/>
      <c r="M222" s="354" t="n"/>
      <c r="N222" s="354" t="n"/>
      <c r="O222" s="354" t="n"/>
      <c r="P222" s="354" t="n"/>
      <c r="Q222" s="354" t="n"/>
      <c r="R222" s="354" t="n"/>
      <c r="S222" s="354" t="n"/>
      <c r="T222" s="354" t="n"/>
      <c r="U222" s="354" t="n"/>
      <c r="V222" s="354" t="n"/>
      <c r="W222" s="354" t="n"/>
      <c r="X222" s="354" t="n"/>
    </row>
    <row r="223" ht="15.5" customHeight="1" s="297">
      <c r="B223" s="384" t="n"/>
      <c r="C223" s="343" t="n"/>
      <c r="D223" s="365" t="inlineStr">
        <is>
          <t>Allowance</t>
        </is>
      </c>
      <c r="E223" s="366" t="n"/>
      <c r="F223" s="346" t="n"/>
      <c r="G223" s="345" t="n"/>
      <c r="H223" s="343" t="n"/>
      <c r="I223" s="348" t="n"/>
      <c r="J223" s="349" t="n"/>
      <c r="K223" s="350" t="n"/>
      <c r="L223" s="350" t="n"/>
      <c r="M223" s="350" t="n"/>
      <c r="N223" s="350" t="n"/>
      <c r="O223" s="350" t="n"/>
      <c r="P223" s="350" t="n"/>
      <c r="Q223" s="350" t="n"/>
      <c r="R223" s="351" t="n"/>
      <c r="S223" s="351" t="n"/>
      <c r="T223" s="351" t="n"/>
      <c r="U223" s="351" t="n"/>
      <c r="V223" s="351" t="n"/>
      <c r="W223" s="351" t="n"/>
      <c r="X223" s="351" t="n"/>
    </row>
    <row r="224" ht="15.5" customHeight="1" s="297">
      <c r="B224" s="369" t="n">
        <v>45403</v>
      </c>
      <c r="C224" s="353" t="n">
        <v>2</v>
      </c>
      <c r="D224" s="361" t="inlineStr">
        <is>
          <t>Uang makan utk 3 hari (19-21 apr-24) @150.000</t>
        </is>
      </c>
      <c r="E224" s="361" t="inlineStr">
        <is>
          <t>-</t>
        </is>
      </c>
      <c r="F224" s="355" t="n">
        <v>450000</v>
      </c>
      <c r="G224" s="354" t="inlineStr">
        <is>
          <t>IDR</t>
        </is>
      </c>
      <c r="H224" s="381" t="n">
        <v>1</v>
      </c>
      <c r="I224" s="363" t="n">
        <v>450000</v>
      </c>
      <c r="J224" s="360" t="n"/>
      <c r="K224" s="354" t="n"/>
      <c r="L224" s="354" t="n"/>
      <c r="M224" s="354" t="n"/>
      <c r="N224" s="354" t="n"/>
      <c r="O224" s="354" t="n"/>
      <c r="P224" s="354" t="n"/>
      <c r="Q224" s="354" t="n"/>
      <c r="R224" s="354" t="n"/>
      <c r="S224" s="354" t="n"/>
      <c r="T224" s="354" t="n"/>
      <c r="U224" s="354" t="n"/>
      <c r="V224" s="354" t="n"/>
      <c r="W224" s="354" t="n"/>
      <c r="X224" s="354" t="n"/>
    </row>
    <row r="225" ht="15.5" customHeight="1" s="297">
      <c r="B225" s="369" t="n">
        <v>45403</v>
      </c>
      <c r="C225" s="353" t="n">
        <v>3</v>
      </c>
      <c r="D225" s="354" t="inlineStr">
        <is>
          <t>Tunajngan lapangan for 3 days (19-21 apr24) Anevril</t>
        </is>
      </c>
      <c r="E225" s="354" t="inlineStr">
        <is>
          <t>-</t>
        </is>
      </c>
      <c r="F225" s="355" t="n">
        <v>4815300</v>
      </c>
      <c r="G225" s="354" t="inlineStr">
        <is>
          <t>USD</t>
        </is>
      </c>
      <c r="H225" s="381" t="n">
        <v>16051</v>
      </c>
      <c r="I225" s="363" t="n">
        <v>4815300</v>
      </c>
      <c r="J225" s="360" t="n"/>
      <c r="K225" s="354" t="n"/>
      <c r="L225" s="354" t="n"/>
      <c r="M225" s="354" t="n"/>
      <c r="N225" s="359" t="n"/>
      <c r="O225" s="354" t="n"/>
      <c r="P225" s="354" t="n"/>
      <c r="Q225" s="354" t="n"/>
      <c r="R225" s="354" t="n"/>
      <c r="S225" s="354" t="n"/>
      <c r="T225" s="354" t="n"/>
      <c r="U225" s="354" t="n"/>
      <c r="V225" s="354" t="n"/>
      <c r="W225" s="354" t="n"/>
      <c r="X225" s="354" t="n"/>
    </row>
    <row r="226" ht="15.5" customHeight="1" s="297">
      <c r="B226" s="369" t="n">
        <v>45420</v>
      </c>
      <c r="C226" s="353" t="n">
        <v>4</v>
      </c>
      <c r="D226" s="354" t="inlineStr">
        <is>
          <t>Dinner (Dwi, Febri, Ilham)</t>
        </is>
      </c>
      <c r="E226" s="354" t="inlineStr">
        <is>
          <t>-</t>
        </is>
      </c>
      <c r="F226" s="355" t="n">
        <v>128000</v>
      </c>
      <c r="G226" s="354" t="inlineStr">
        <is>
          <t>IDR</t>
        </is>
      </c>
      <c r="H226" s="381" t="n">
        <v>1</v>
      </c>
      <c r="I226" s="358" t="n">
        <v>128000</v>
      </c>
      <c r="J226" s="360" t="n"/>
      <c r="K226" s="354" t="n"/>
      <c r="L226" s="354" t="n"/>
      <c r="M226" s="354" t="n"/>
      <c r="N226" s="354" t="n"/>
      <c r="O226" s="354" t="n"/>
      <c r="P226" s="354" t="n"/>
      <c r="Q226" s="354" t="n"/>
      <c r="R226" s="354" t="n"/>
      <c r="S226" s="354" t="n"/>
      <c r="T226" s="354" t="n"/>
      <c r="U226" s="354" t="n"/>
      <c r="V226" s="354" t="n"/>
      <c r="W226" s="354" t="n"/>
      <c r="X226" s="354" t="n"/>
    </row>
    <row r="227" ht="15.5" customHeight="1" s="297">
      <c r="B227" s="384" t="n"/>
      <c r="C227" s="343" t="n"/>
      <c r="D227" s="365" t="inlineStr">
        <is>
          <t>Transportation</t>
        </is>
      </c>
      <c r="E227" s="409" t="n"/>
      <c r="F227" s="346" t="n"/>
      <c r="G227" s="345" t="n"/>
      <c r="H227" s="343" t="n"/>
      <c r="I227" s="349" t="n"/>
      <c r="J227" s="349" t="n"/>
      <c r="K227" s="350" t="n"/>
      <c r="L227" s="350" t="n"/>
      <c r="M227" s="350" t="n"/>
      <c r="N227" s="350" t="n"/>
      <c r="O227" s="350" t="n"/>
      <c r="P227" s="350" t="n"/>
      <c r="Q227" s="350" t="n"/>
      <c r="R227" s="351" t="n"/>
      <c r="S227" s="351" t="n"/>
      <c r="T227" s="351" t="n"/>
      <c r="U227" s="351" t="n"/>
      <c r="V227" s="351" t="n"/>
      <c r="W227" s="351" t="n"/>
      <c r="X227" s="351" t="n"/>
    </row>
    <row r="228" ht="15.5" customHeight="1" s="297">
      <c r="B228" s="369" t="n">
        <v>45403</v>
      </c>
      <c r="C228" s="353" t="n">
        <v>5</v>
      </c>
      <c r="D228" s="361" t="inlineStr">
        <is>
          <t>Train (Jati barang - Jati Negara)</t>
        </is>
      </c>
      <c r="E228" s="361" t="inlineStr">
        <is>
          <t>-</t>
        </is>
      </c>
      <c r="F228" s="363" t="n">
        <v>255500</v>
      </c>
      <c r="G228" s="354" t="inlineStr">
        <is>
          <t>IDR</t>
        </is>
      </c>
      <c r="H228" s="381" t="n">
        <v>1</v>
      </c>
      <c r="I228" s="358" t="n">
        <v>255500</v>
      </c>
      <c r="J228" s="360" t="n"/>
      <c r="K228" s="354" t="n"/>
      <c r="L228" s="354" t="n"/>
      <c r="M228" s="354" t="n"/>
      <c r="N228" s="354" t="n"/>
      <c r="O228" s="354" t="n"/>
      <c r="P228" s="354" t="n"/>
      <c r="Q228" s="354" t="n"/>
      <c r="R228" s="354" t="n"/>
      <c r="S228" s="354" t="n"/>
      <c r="T228" s="354" t="n"/>
      <c r="U228" s="354" t="n"/>
      <c r="V228" s="354" t="n"/>
      <c r="W228" s="354" t="n"/>
      <c r="X228" s="354" t="n"/>
    </row>
    <row r="229" ht="15.5" customHeight="1" s="297">
      <c r="B229" s="369" t="n">
        <v>45403</v>
      </c>
      <c r="C229" s="353" t="n">
        <v>6</v>
      </c>
      <c r="D229" s="361" t="inlineStr">
        <is>
          <t>Taksi</t>
        </is>
      </c>
      <c r="E229" s="361" t="inlineStr">
        <is>
          <t>-</t>
        </is>
      </c>
      <c r="F229" s="355" t="n">
        <v>150000</v>
      </c>
      <c r="G229" s="354" t="inlineStr">
        <is>
          <t>IDR</t>
        </is>
      </c>
      <c r="H229" s="381" t="n">
        <v>1</v>
      </c>
      <c r="I229" s="363" t="n">
        <v>150000</v>
      </c>
      <c r="J229" s="360" t="n"/>
      <c r="K229" s="354" t="n"/>
      <c r="L229" s="354" t="n"/>
      <c r="M229" s="354" t="n"/>
      <c r="N229" s="354" t="n"/>
      <c r="O229" s="354" t="n"/>
      <c r="P229" s="354" t="n"/>
      <c r="Q229" s="354" t="n"/>
      <c r="R229" s="354" t="n"/>
      <c r="S229" s="354" t="n"/>
      <c r="T229" s="354" t="n"/>
      <c r="U229" s="354" t="n"/>
      <c r="V229" s="354" t="n"/>
      <c r="W229" s="354" t="n"/>
      <c r="X229" s="354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3" t="n"/>
      <c r="D231" s="365" t="inlineStr">
        <is>
          <t>Accommodation</t>
        </is>
      </c>
      <c r="E231" s="409" t="n"/>
      <c r="F231" s="346" t="n"/>
      <c r="G231" s="345" t="n"/>
      <c r="H231" s="343" t="n"/>
      <c r="I231" s="349" t="n"/>
      <c r="J231" s="349" t="n"/>
      <c r="K231" s="350" t="n"/>
      <c r="L231" s="350" t="n"/>
      <c r="M231" s="350" t="n"/>
      <c r="N231" s="350" t="n"/>
      <c r="O231" s="350" t="n"/>
      <c r="P231" s="350" t="n"/>
      <c r="Q231" s="350" t="n"/>
      <c r="R231" s="351" t="n"/>
      <c r="S231" s="351" t="n"/>
      <c r="T231" s="351" t="n"/>
      <c r="U231" s="351" t="n"/>
      <c r="V231" s="351" t="n"/>
      <c r="W231" s="351" t="n"/>
      <c r="X231" s="351" t="n"/>
    </row>
    <row r="232" ht="15.5" customHeight="1" s="297">
      <c r="B232" s="369" t="n">
        <v>45407</v>
      </c>
      <c r="C232" s="353" t="n">
        <v>1</v>
      </c>
      <c r="D232" s="361" t="inlineStr">
        <is>
          <t>Hotel 25 Apr - 27 Apr &amp; 29 Apr- 2 May 2024 (6 days)</t>
        </is>
      </c>
      <c r="E232" s="361" t="inlineStr">
        <is>
          <t>-</t>
        </is>
      </c>
      <c r="F232" s="355" t="n">
        <v>3292802</v>
      </c>
      <c r="G232" s="354" t="inlineStr">
        <is>
          <t>IDR</t>
        </is>
      </c>
      <c r="H232" s="381" t="n">
        <v>1</v>
      </c>
      <c r="I232" s="358" t="n">
        <v>3292802</v>
      </c>
      <c r="J232" s="360" t="n"/>
      <c r="K232" s="354" t="n"/>
      <c r="L232" s="354" t="n"/>
      <c r="M232" s="354" t="n"/>
      <c r="N232" s="354" t="n"/>
      <c r="O232" s="354" t="n"/>
      <c r="P232" s="354" t="n"/>
      <c r="Q232" s="354" t="n"/>
      <c r="R232" s="354" t="n"/>
      <c r="S232" s="354" t="n"/>
      <c r="T232" s="354" t="n"/>
      <c r="U232" s="354" t="n"/>
      <c r="V232" s="354" t="n"/>
      <c r="W232" s="354" t="n"/>
      <c r="X232" s="354" t="n"/>
    </row>
    <row r="233" ht="15.5" customHeight="1" s="297">
      <c r="B233" s="369" t="n">
        <v>45407</v>
      </c>
      <c r="C233" s="353" t="n">
        <v>2</v>
      </c>
      <c r="D233" s="361" t="inlineStr">
        <is>
          <t>Laundry 7 days 1 Persons @ 50K IDR/day</t>
        </is>
      </c>
      <c r="E233" s="361" t="inlineStr">
        <is>
          <t>-</t>
        </is>
      </c>
      <c r="F233" s="355" t="n">
        <v>350000</v>
      </c>
      <c r="G233" s="354" t="inlineStr">
        <is>
          <t>IDR</t>
        </is>
      </c>
      <c r="H233" s="381" t="n">
        <v>1</v>
      </c>
      <c r="I233" s="358" t="n">
        <v>350000</v>
      </c>
      <c r="J233" s="360" t="n"/>
      <c r="K233" s="354" t="n"/>
      <c r="L233" s="354" t="n"/>
      <c r="M233" s="354" t="n"/>
      <c r="N233" s="354" t="n"/>
      <c r="O233" s="354" t="n"/>
      <c r="P233" s="354" t="n"/>
      <c r="Q233" s="354" t="n"/>
      <c r="R233" s="354" t="n"/>
      <c r="S233" s="354" t="n"/>
      <c r="T233" s="354" t="n"/>
      <c r="U233" s="354" t="n"/>
      <c r="V233" s="354" t="n"/>
      <c r="W233" s="354" t="n"/>
      <c r="X233" s="354" t="n"/>
    </row>
    <row r="234" ht="15.5" customHeight="1" s="297">
      <c r="B234" s="350" t="n"/>
      <c r="C234" s="414" t="n"/>
      <c r="D234" s="415" t="inlineStr">
        <is>
          <t>Allowance</t>
        </is>
      </c>
      <c r="E234" s="416" t="n"/>
      <c r="F234" s="346" t="n"/>
      <c r="G234" s="343" t="n"/>
      <c r="H234" s="343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51" t="n"/>
      <c r="S234" s="351" t="n"/>
      <c r="T234" s="351" t="n"/>
      <c r="U234" s="351" t="n"/>
      <c r="V234" s="351" t="n"/>
      <c r="W234" s="351" t="n"/>
      <c r="X234" s="351" t="n"/>
    </row>
    <row r="235" ht="15.5" customHeight="1" s="297">
      <c r="B235" s="369" t="n">
        <v>45407</v>
      </c>
      <c r="C235" s="353" t="n">
        <v>3</v>
      </c>
      <c r="D235" s="361" t="inlineStr">
        <is>
          <t>Field Bonus for 7 days (25$/Day)</t>
        </is>
      </c>
      <c r="E235" s="361" t="inlineStr">
        <is>
          <t>-</t>
        </is>
      </c>
      <c r="F235" s="355" t="n">
        <v>1203813.75</v>
      </c>
      <c r="G235" s="354" t="inlineStr">
        <is>
          <t>USD</t>
        </is>
      </c>
      <c r="H235" s="420" t="n">
        <v>16050.85</v>
      </c>
      <c r="I235" s="363" t="n">
        <v>1203813.75</v>
      </c>
      <c r="J235" s="354" t="n"/>
      <c r="K235" s="354" t="n"/>
      <c r="L235" s="354" t="n"/>
      <c r="M235" s="354" t="n"/>
      <c r="N235" s="354" t="n"/>
      <c r="O235" s="354" t="n"/>
      <c r="P235" s="354" t="n"/>
      <c r="Q235" s="354" t="n"/>
      <c r="R235" s="354" t="n"/>
      <c r="S235" s="354" t="n"/>
      <c r="T235" s="354" t="n"/>
      <c r="U235" s="354" t="n"/>
      <c r="V235" s="354" t="n"/>
      <c r="W235" s="354" t="n"/>
      <c r="X235" s="354" t="n"/>
    </row>
    <row r="236" ht="15.5" customHeight="1" s="297">
      <c r="B236" s="369" t="n">
        <v>45407</v>
      </c>
      <c r="C236" s="353" t="n">
        <v>4</v>
      </c>
      <c r="D236" s="361" t="inlineStr">
        <is>
          <t>Field Bonus for 4 days 29 April-2 May 2024 (100$/Day</t>
        </is>
      </c>
      <c r="E236" s="361" t="inlineStr">
        <is>
          <t>-</t>
        </is>
      </c>
      <c r="F236" s="355" t="n">
        <v>6420340</v>
      </c>
      <c r="G236" s="354" t="inlineStr">
        <is>
          <t>USD</t>
        </is>
      </c>
      <c r="H236" s="420" t="n">
        <v>16050.85</v>
      </c>
      <c r="I236" s="358" t="n">
        <v>6420340</v>
      </c>
      <c r="J236" s="360" t="n"/>
      <c r="K236" s="354" t="n"/>
      <c r="L236" s="354" t="n"/>
      <c r="M236" s="354" t="n"/>
      <c r="N236" s="354" t="n"/>
      <c r="O236" s="354" t="n"/>
      <c r="P236" s="354" t="n"/>
      <c r="Q236" s="354" t="n"/>
      <c r="R236" s="354" t="n"/>
      <c r="S236" s="354" t="n"/>
      <c r="T236" s="354" t="n"/>
      <c r="U236" s="354" t="n"/>
      <c r="V236" s="354" t="n"/>
      <c r="W236" s="354" t="n"/>
      <c r="X236" s="354" t="n"/>
    </row>
    <row r="237" ht="15.5" customHeight="1" s="297">
      <c r="B237" s="384" t="n"/>
      <c r="C237" s="343" t="n"/>
      <c r="D237" s="365" t="inlineStr">
        <is>
          <t>Logistic</t>
        </is>
      </c>
      <c r="E237" s="366" t="n"/>
      <c r="F237" s="346" t="n"/>
      <c r="G237" s="345" t="n"/>
      <c r="H237" s="345" t="n"/>
      <c r="I237" s="348" t="n"/>
      <c r="J237" s="349" t="n"/>
      <c r="K237" s="350" t="n"/>
      <c r="L237" s="350" t="n"/>
      <c r="M237" s="350" t="n"/>
      <c r="N237" s="350" t="n"/>
      <c r="O237" s="350" t="n"/>
      <c r="P237" s="350" t="n"/>
      <c r="Q237" s="350" t="n"/>
      <c r="R237" s="351" t="n"/>
      <c r="S237" s="351" t="n"/>
      <c r="T237" s="351" t="n"/>
      <c r="U237" s="351" t="n"/>
      <c r="V237" s="351" t="n"/>
      <c r="W237" s="351" t="n"/>
      <c r="X237" s="351" t="n"/>
    </row>
    <row r="238" ht="15.5" customHeight="1" s="297">
      <c r="B238" s="369" t="n">
        <v>45401</v>
      </c>
      <c r="C238" s="353" t="n">
        <v>5</v>
      </c>
      <c r="D238" s="361" t="inlineStr">
        <is>
          <t>Tekiro Kunci L, Tekiro Tang, Obeng Set</t>
        </is>
      </c>
      <c r="E238" s="361" t="inlineStr">
        <is>
          <t>-</t>
        </is>
      </c>
      <c r="F238" s="355" t="n">
        <v>349000</v>
      </c>
      <c r="G238" s="354" t="inlineStr">
        <is>
          <t>IDR</t>
        </is>
      </c>
      <c r="H238" s="420" t="n">
        <v>1</v>
      </c>
      <c r="I238" s="360" t="n"/>
      <c r="J238" s="360" t="n"/>
      <c r="K238" s="354" t="n"/>
      <c r="L238" s="354" t="n"/>
      <c r="M238" s="354" t="n"/>
      <c r="N238" s="363" t="n">
        <v>349000</v>
      </c>
      <c r="O238" s="354" t="n"/>
      <c r="P238" s="354" t="n"/>
      <c r="Q238" s="354" t="n"/>
      <c r="R238" s="354" t="n"/>
      <c r="S238" s="354" t="n"/>
      <c r="T238" s="354" t="n"/>
      <c r="U238" s="354" t="n"/>
      <c r="V238" s="354" t="n"/>
      <c r="W238" s="354" t="n"/>
      <c r="X238" s="354" t="n"/>
    </row>
    <row r="239" ht="15.5" customHeight="1" s="297">
      <c r="B239" s="369" t="n">
        <v>45411</v>
      </c>
      <c r="C239" s="353" t="n">
        <v>6</v>
      </c>
      <c r="D239" s="354" t="inlineStr">
        <is>
          <t>Internet Data</t>
        </is>
      </c>
      <c r="E239" s="354" t="inlineStr">
        <is>
          <t>-</t>
        </is>
      </c>
      <c r="F239" s="355" t="n">
        <v>75000</v>
      </c>
      <c r="G239" s="354" t="inlineStr">
        <is>
          <t>IDR</t>
        </is>
      </c>
      <c r="H239" s="420" t="n">
        <v>1</v>
      </c>
      <c r="I239" s="358" t="n">
        <v>75000</v>
      </c>
      <c r="J239" s="360" t="n"/>
      <c r="K239" s="354" t="n"/>
      <c r="L239" s="354" t="n"/>
      <c r="M239" s="354" t="n"/>
      <c r="N239" s="359" t="n"/>
      <c r="O239" s="354" t="n"/>
      <c r="P239" s="354" t="n"/>
      <c r="Q239" s="354" t="n"/>
      <c r="R239" s="354" t="n"/>
      <c r="S239" s="354" t="n"/>
      <c r="T239" s="354" t="n"/>
      <c r="U239" s="354" t="n"/>
      <c r="V239" s="354" t="n"/>
      <c r="W239" s="354" t="n"/>
      <c r="X239" s="354" t="n"/>
    </row>
    <row r="240" ht="15.5" customHeight="1" s="297">
      <c r="B240" s="384" t="n"/>
      <c r="C240" s="343" t="n"/>
      <c r="D240" s="365" t="inlineStr">
        <is>
          <t>Meal</t>
        </is>
      </c>
      <c r="E240" s="409" t="n"/>
      <c r="F240" s="346" t="n"/>
      <c r="G240" s="345" t="n"/>
      <c r="H240" s="345" t="n"/>
      <c r="I240" s="348" t="n"/>
      <c r="J240" s="349" t="n"/>
      <c r="K240" s="350" t="n"/>
      <c r="L240" s="350" t="n"/>
      <c r="M240" s="350" t="n"/>
      <c r="N240" s="350" t="n"/>
      <c r="O240" s="350" t="n"/>
      <c r="P240" s="350" t="n"/>
      <c r="Q240" s="350" t="n"/>
      <c r="R240" s="351" t="n"/>
      <c r="S240" s="351" t="n"/>
      <c r="T240" s="351" t="n"/>
      <c r="U240" s="351" t="n"/>
      <c r="V240" s="351" t="n"/>
      <c r="W240" s="351" t="n"/>
      <c r="X240" s="351" t="n"/>
    </row>
    <row r="241" ht="15.5" customHeight="1" s="297">
      <c r="B241" s="369" t="n">
        <v>45407</v>
      </c>
      <c r="C241" s="353" t="n">
        <v>7</v>
      </c>
      <c r="D241" s="361" t="inlineStr">
        <is>
          <t>Crew's Operational</t>
        </is>
      </c>
      <c r="E241" s="361" t="inlineStr">
        <is>
          <t>-</t>
        </is>
      </c>
      <c r="F241" s="363" t="n">
        <v>657000</v>
      </c>
      <c r="G241" s="354" t="inlineStr">
        <is>
          <t>IDR</t>
        </is>
      </c>
      <c r="H241" s="420" t="n">
        <v>1</v>
      </c>
      <c r="I241" s="358" t="n">
        <v>657000</v>
      </c>
      <c r="J241" s="360" t="n"/>
      <c r="K241" s="354" t="n"/>
      <c r="L241" s="354" t="n"/>
      <c r="M241" s="354" t="n"/>
      <c r="N241" s="354" t="n"/>
      <c r="O241" s="354" t="n"/>
      <c r="P241" s="354" t="n"/>
      <c r="Q241" s="354" t="n"/>
      <c r="R241" s="354" t="n"/>
      <c r="S241" s="354" t="n"/>
      <c r="T241" s="354" t="n"/>
      <c r="U241" s="354" t="n"/>
      <c r="V241" s="354" t="n"/>
      <c r="W241" s="354" t="n"/>
      <c r="X241" s="354" t="n"/>
    </row>
    <row r="242" ht="15.5" customHeight="1" s="297">
      <c r="B242" s="369" t="n">
        <v>45407</v>
      </c>
      <c r="C242" s="353" t="n">
        <v>8</v>
      </c>
      <c r="D242" s="361" t="inlineStr">
        <is>
          <t>Meals 7 days 1 Persons @ 150K IDR/day</t>
        </is>
      </c>
      <c r="E242" s="361" t="inlineStr">
        <is>
          <t>-</t>
        </is>
      </c>
      <c r="F242" s="355" t="n">
        <v>1050000</v>
      </c>
      <c r="G242" s="354" t="inlineStr">
        <is>
          <t>IDR</t>
        </is>
      </c>
      <c r="H242" s="420" t="n">
        <v>1</v>
      </c>
      <c r="I242" s="358" t="n">
        <v>1050000</v>
      </c>
      <c r="J242" s="360" t="n"/>
      <c r="K242" s="354" t="n"/>
      <c r="L242" s="354" t="n"/>
      <c r="M242" s="354" t="n"/>
      <c r="N242" s="354" t="n"/>
      <c r="O242" s="354" t="n"/>
      <c r="P242" s="354" t="n"/>
      <c r="Q242" s="354" t="n"/>
      <c r="R242" s="354" t="n"/>
      <c r="S242" s="354" t="n"/>
      <c r="T242" s="354" t="n"/>
      <c r="U242" s="354" t="n"/>
      <c r="V242" s="354" t="n"/>
      <c r="W242" s="354" t="n"/>
      <c r="X242" s="354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3" t="n"/>
      <c r="D244" s="365" t="inlineStr">
        <is>
          <t>Accommodation</t>
        </is>
      </c>
      <c r="E244" s="409" t="n"/>
      <c r="F244" s="346" t="n"/>
      <c r="G244" s="345" t="n"/>
      <c r="H244" s="345" t="n"/>
      <c r="I244" s="348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51" t="n"/>
      <c r="S244" s="351" t="n"/>
      <c r="T244" s="351" t="n"/>
      <c r="U244" s="351" t="n"/>
      <c r="V244" s="351" t="n"/>
      <c r="W244" s="351" t="n"/>
      <c r="X244" s="351" t="n"/>
    </row>
    <row r="245" ht="15.5" customHeight="1" s="297">
      <c r="B245" s="369" t="n">
        <v>45401</v>
      </c>
      <c r="C245" s="353" t="n">
        <v>1</v>
      </c>
      <c r="D245" s="361" t="inlineStr">
        <is>
          <t>Hotel 19 Apr-22 Apr 2024 (3 days)</t>
        </is>
      </c>
      <c r="E245" s="361" t="inlineStr">
        <is>
          <t>-</t>
        </is>
      </c>
      <c r="F245" s="355" t="n">
        <v>1950000</v>
      </c>
      <c r="G245" s="354" t="inlineStr">
        <is>
          <t>IDR</t>
        </is>
      </c>
      <c r="H245" s="420" t="n">
        <v>1</v>
      </c>
      <c r="I245" s="358" t="n">
        <v>1950000</v>
      </c>
      <c r="J245" s="360" t="n"/>
      <c r="K245" s="354" t="n"/>
      <c r="L245" s="354" t="n"/>
      <c r="M245" s="354" t="n"/>
      <c r="N245" s="354" t="n"/>
      <c r="O245" s="354" t="n"/>
      <c r="P245" s="354" t="n"/>
      <c r="Q245" s="354" t="n"/>
      <c r="R245" s="354" t="n"/>
      <c r="S245" s="354" t="n"/>
      <c r="T245" s="354" t="n"/>
      <c r="U245" s="354" t="n"/>
      <c r="V245" s="354" t="n"/>
      <c r="W245" s="354" t="n"/>
      <c r="X245" s="354" t="n"/>
    </row>
    <row r="246" ht="15.5" customHeight="1" s="297">
      <c r="B246" s="369" t="n">
        <v>45401</v>
      </c>
      <c r="C246" s="353" t="n">
        <v>2</v>
      </c>
      <c r="D246" s="361" t="inlineStr">
        <is>
          <t>Laundry 4 days 1 Persons @ 50K IDR/day</t>
        </is>
      </c>
      <c r="E246" s="361" t="inlineStr">
        <is>
          <t>-</t>
        </is>
      </c>
      <c r="F246" s="355" t="n">
        <v>200000</v>
      </c>
      <c r="G246" s="354" t="inlineStr">
        <is>
          <t>IDR</t>
        </is>
      </c>
      <c r="H246" s="420" t="n">
        <v>1</v>
      </c>
      <c r="I246" s="358" t="n">
        <v>200000</v>
      </c>
      <c r="J246" s="360" t="n"/>
      <c r="K246" s="354" t="n"/>
      <c r="L246" s="354" t="n"/>
      <c r="M246" s="354" t="n"/>
      <c r="N246" s="354" t="n"/>
      <c r="O246" s="354" t="n"/>
      <c r="P246" s="354" t="n"/>
      <c r="Q246" s="354" t="n"/>
      <c r="R246" s="354" t="n"/>
      <c r="S246" s="354" t="n"/>
      <c r="T246" s="354" t="n"/>
      <c r="U246" s="354" t="n"/>
      <c r="V246" s="354" t="n"/>
      <c r="W246" s="354" t="n"/>
      <c r="X246" s="354" t="n"/>
    </row>
    <row r="247" ht="15.5" customHeight="1" s="297">
      <c r="B247" s="384" t="n"/>
      <c r="C247" s="343" t="n"/>
      <c r="D247" s="365" t="inlineStr">
        <is>
          <t>Allowance</t>
        </is>
      </c>
      <c r="E247" s="366" t="n"/>
      <c r="F247" s="346" t="n"/>
      <c r="G247" s="345" t="n"/>
      <c r="H247" s="421" t="n"/>
      <c r="I247" s="348" t="n"/>
      <c r="J247" s="349" t="n"/>
      <c r="K247" s="350" t="n"/>
      <c r="L247" s="350" t="n"/>
      <c r="M247" s="350" t="n"/>
      <c r="N247" s="350" t="n"/>
      <c r="O247" s="350" t="n"/>
      <c r="P247" s="350" t="n"/>
      <c r="Q247" s="350" t="n"/>
      <c r="R247" s="351" t="n"/>
      <c r="S247" s="351" t="n"/>
      <c r="T247" s="351" t="n"/>
      <c r="U247" s="351" t="n"/>
      <c r="V247" s="351" t="n"/>
      <c r="W247" s="351" t="n"/>
      <c r="X247" s="351" t="n"/>
    </row>
    <row r="248" ht="15.5" customHeight="1" s="297">
      <c r="B248" s="382" t="n">
        <v>45401</v>
      </c>
      <c r="C248" s="353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3" t="n">
        <v>1605085</v>
      </c>
      <c r="G248" s="353" t="inlineStr">
        <is>
          <t>USD</t>
        </is>
      </c>
      <c r="H248" s="381" t="n">
        <v>16050.85</v>
      </c>
      <c r="I248" s="363" t="n">
        <v>1605085</v>
      </c>
      <c r="J248" s="360" t="n"/>
      <c r="K248" s="354" t="n"/>
      <c r="L248" s="354" t="n"/>
      <c r="M248" s="354" t="n"/>
      <c r="N248" s="354" t="n"/>
      <c r="O248" s="354" t="n"/>
      <c r="P248" s="354" t="n"/>
      <c r="Q248" s="354" t="n"/>
      <c r="R248" s="354" t="n"/>
      <c r="S248" s="354" t="n"/>
      <c r="T248" s="354" t="n"/>
      <c r="U248" s="354" t="n"/>
      <c r="V248" s="354" t="n"/>
      <c r="W248" s="354" t="n"/>
      <c r="X248" s="354" t="n"/>
    </row>
    <row r="249" ht="15.5" customHeight="1" s="297">
      <c r="B249" s="384" t="n"/>
      <c r="C249" s="343" t="n"/>
      <c r="D249" s="365" t="inlineStr">
        <is>
          <t>Logistic</t>
        </is>
      </c>
      <c r="E249" s="366" t="n"/>
      <c r="F249" s="346" t="n"/>
      <c r="G249" s="343" t="n"/>
      <c r="H249" s="343" t="n"/>
      <c r="I249" s="348" t="n"/>
      <c r="J249" s="349" t="n"/>
      <c r="K249" s="350" t="n"/>
      <c r="L249" s="350" t="n"/>
      <c r="M249" s="350" t="n"/>
      <c r="N249" s="350" t="n"/>
      <c r="O249" s="350" t="n"/>
      <c r="P249" s="350" t="n"/>
      <c r="Q249" s="350" t="n"/>
      <c r="R249" s="351" t="n"/>
      <c r="S249" s="351" t="n"/>
      <c r="T249" s="351" t="n"/>
      <c r="U249" s="351" t="n"/>
      <c r="V249" s="351" t="n"/>
      <c r="W249" s="351" t="n"/>
      <c r="X249" s="351" t="n"/>
    </row>
    <row r="250" ht="15.5" customHeight="1" s="297">
      <c r="B250" s="382" t="n">
        <v>45401</v>
      </c>
      <c r="C250" s="353" t="n">
        <v>4</v>
      </c>
      <c r="D250" s="383" t="inlineStr">
        <is>
          <t>Battery A2</t>
        </is>
      </c>
      <c r="E250" s="383" t="inlineStr">
        <is>
          <t>-</t>
        </is>
      </c>
      <c r="F250" s="363" t="n">
        <v>101800</v>
      </c>
      <c r="G250" s="353" t="inlineStr">
        <is>
          <t>IDR</t>
        </is>
      </c>
      <c r="H250" s="381" t="n">
        <v>1</v>
      </c>
      <c r="I250" s="363" t="n">
        <v>101800</v>
      </c>
      <c r="J250" s="360" t="n"/>
      <c r="K250" s="354" t="n"/>
      <c r="L250" s="354" t="n"/>
      <c r="M250" s="354" t="n"/>
      <c r="N250" s="354" t="n"/>
      <c r="O250" s="354" t="n"/>
      <c r="P250" s="354" t="n"/>
      <c r="Q250" s="354" t="n"/>
      <c r="R250" s="354" t="n"/>
      <c r="S250" s="354" t="n"/>
      <c r="T250" s="354" t="n"/>
      <c r="U250" s="354" t="n"/>
      <c r="V250" s="354" t="n"/>
      <c r="W250" s="354" t="n"/>
      <c r="X250" s="354" t="n"/>
    </row>
    <row r="251" ht="15.5" customHeight="1" s="297">
      <c r="B251" s="342" t="n"/>
      <c r="C251" s="343" t="n"/>
      <c r="D251" s="344" t="inlineStr">
        <is>
          <t>Meal</t>
        </is>
      </c>
      <c r="E251" s="345" t="n"/>
      <c r="F251" s="346" t="n"/>
      <c r="G251" s="343" t="n"/>
      <c r="H251" s="343" t="n"/>
      <c r="I251" s="349" t="n"/>
      <c r="J251" s="349" t="n"/>
      <c r="K251" s="350" t="n"/>
      <c r="L251" s="350" t="n"/>
      <c r="M251" s="350" t="n"/>
      <c r="N251" s="350" t="n"/>
      <c r="O251" s="350" t="n"/>
      <c r="P251" s="349" t="n"/>
      <c r="Q251" s="350" t="n"/>
      <c r="R251" s="351" t="n"/>
      <c r="S251" s="351" t="n"/>
      <c r="T251" s="351" t="n"/>
      <c r="U251" s="351" t="n"/>
      <c r="V251" s="351" t="n"/>
      <c r="W251" s="351" t="n"/>
      <c r="X251" s="351" t="n"/>
    </row>
    <row r="252" ht="15.5" customHeight="1" s="297">
      <c r="B252" s="352" t="n">
        <v>45401</v>
      </c>
      <c r="C252" s="353" t="n">
        <v>5</v>
      </c>
      <c r="D252" s="354" t="inlineStr">
        <is>
          <t>Crew's Operational</t>
        </is>
      </c>
      <c r="E252" s="354" t="inlineStr">
        <is>
          <t>-</t>
        </is>
      </c>
      <c r="F252" s="355" t="n">
        <v>481900</v>
      </c>
      <c r="G252" s="353" t="inlineStr">
        <is>
          <t>IDR</t>
        </is>
      </c>
      <c r="H252" s="381" t="n">
        <v>1</v>
      </c>
      <c r="I252" s="363" t="n">
        <v>481900</v>
      </c>
      <c r="J252" s="360" t="n"/>
      <c r="K252" s="354" t="n"/>
      <c r="L252" s="354" t="n"/>
      <c r="M252" s="354" t="n"/>
      <c r="N252" s="360" t="n"/>
      <c r="O252" s="354" t="n"/>
      <c r="P252" s="354" t="n"/>
      <c r="Q252" s="354" t="n"/>
      <c r="R252" s="354" t="n"/>
      <c r="S252" s="354" t="n"/>
      <c r="T252" s="354" t="n"/>
      <c r="U252" s="354" t="n"/>
      <c r="V252" s="354" t="n"/>
      <c r="W252" s="354" t="n"/>
      <c r="X252" s="354" t="n"/>
    </row>
    <row r="253" ht="15.5" customHeight="1" s="297">
      <c r="B253" s="382" t="n">
        <v>45401</v>
      </c>
      <c r="C253" s="353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3" t="n">
        <v>600000</v>
      </c>
      <c r="G253" s="353" t="inlineStr">
        <is>
          <t>IDR</t>
        </is>
      </c>
      <c r="H253" s="381" t="n">
        <v>1</v>
      </c>
      <c r="I253" s="363" t="n">
        <v>600000</v>
      </c>
      <c r="J253" s="354" t="n"/>
      <c r="K253" s="354" t="n"/>
      <c r="L253" s="354" t="n"/>
      <c r="M253" s="354" t="n"/>
      <c r="N253" s="354" t="n"/>
      <c r="O253" s="354" t="n"/>
      <c r="P253" s="354" t="n"/>
      <c r="Q253" s="354" t="n"/>
      <c r="R253" s="354" t="n"/>
      <c r="S253" s="354" t="n"/>
      <c r="T253" s="354" t="n"/>
      <c r="U253" s="354" t="n"/>
      <c r="V253" s="354" t="n"/>
      <c r="W253" s="354" t="n"/>
      <c r="X253" s="354" t="n"/>
    </row>
    <row r="254" ht="15.5" customHeight="1" s="297">
      <c r="B254" s="342" t="n"/>
      <c r="C254" s="343" t="n"/>
      <c r="D254" s="344" t="inlineStr">
        <is>
          <t>Transportation</t>
        </is>
      </c>
      <c r="E254" s="345" t="n"/>
      <c r="F254" s="346" t="n"/>
      <c r="G254" s="343" t="n"/>
      <c r="H254" s="343" t="n"/>
      <c r="I254" s="348" t="n"/>
      <c r="J254" s="349" t="n"/>
      <c r="K254" s="350" t="n"/>
      <c r="L254" s="350" t="n"/>
      <c r="M254" s="350" t="n"/>
      <c r="N254" s="350" t="n"/>
      <c r="O254" s="350" t="n"/>
      <c r="P254" s="349" t="n"/>
      <c r="Q254" s="350" t="n"/>
      <c r="R254" s="351" t="n"/>
      <c r="S254" s="351" t="n"/>
      <c r="T254" s="351" t="n"/>
      <c r="U254" s="351" t="n"/>
      <c r="V254" s="351" t="n"/>
      <c r="W254" s="351" t="n"/>
      <c r="X254" s="351" t="n"/>
    </row>
    <row r="255" ht="15.5" customHeight="1" s="297">
      <c r="B255" s="382" t="n">
        <v>45404</v>
      </c>
      <c r="C255" s="353" t="n">
        <v>7</v>
      </c>
      <c r="D255" s="383" t="inlineStr">
        <is>
          <t>Taxi Bintaro-Wisma Mas</t>
        </is>
      </c>
      <c r="E255" s="383" t="inlineStr">
        <is>
          <t>-</t>
        </is>
      </c>
      <c r="F255" s="363" t="n">
        <v>78500</v>
      </c>
      <c r="G255" s="353" t="inlineStr">
        <is>
          <t>IDR</t>
        </is>
      </c>
      <c r="H255" s="381" t="n">
        <v>1</v>
      </c>
      <c r="I255" s="358" t="n">
        <v>78500</v>
      </c>
      <c r="J255" s="360" t="n"/>
      <c r="K255" s="354" t="n"/>
      <c r="L255" s="354" t="n"/>
      <c r="M255" s="354" t="n"/>
      <c r="N255" s="354" t="n"/>
      <c r="O255" s="354" t="n"/>
      <c r="P255" s="354" t="n"/>
      <c r="Q255" s="354" t="n"/>
      <c r="R255" s="354" t="n"/>
      <c r="S255" s="354" t="n"/>
      <c r="T255" s="354" t="n"/>
      <c r="U255" s="354" t="n"/>
      <c r="V255" s="354" t="n"/>
      <c r="W255" s="354" t="n"/>
      <c r="X255" s="354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3" t="n"/>
      <c r="D257" s="422" t="inlineStr">
        <is>
          <t>Biaya Operasi</t>
        </is>
      </c>
      <c r="E257" s="423" t="n"/>
      <c r="F257" s="346" t="n"/>
      <c r="G257" s="343" t="n"/>
      <c r="H257" s="343" t="n"/>
      <c r="I257" s="348" t="n"/>
      <c r="J257" s="349" t="n"/>
      <c r="K257" s="350" t="n"/>
      <c r="L257" s="350" t="n"/>
      <c r="M257" s="350" t="n"/>
      <c r="N257" s="350" t="n"/>
      <c r="O257" s="350" t="n"/>
      <c r="P257" s="350" t="n"/>
      <c r="Q257" s="350" t="n"/>
      <c r="R257" s="351" t="n"/>
      <c r="S257" s="351" t="n"/>
      <c r="T257" s="351" t="n"/>
      <c r="U257" s="351" t="n"/>
      <c r="V257" s="351" t="n"/>
      <c r="W257" s="351" t="n"/>
      <c r="X257" s="351" t="n"/>
    </row>
    <row r="258" ht="15.5" customHeight="1" s="297">
      <c r="B258" s="369" t="n">
        <v>45429</v>
      </c>
      <c r="C258" s="353" t="n">
        <v>1</v>
      </c>
      <c r="D258" s="361" t="inlineStr">
        <is>
          <t>BOSIET Training</t>
        </is>
      </c>
      <c r="E258" s="361" t="inlineStr">
        <is>
          <t>-</t>
        </is>
      </c>
      <c r="F258" s="355" t="n">
        <v>9693878</v>
      </c>
      <c r="G258" s="353" t="inlineStr">
        <is>
          <t>IDR</t>
        </is>
      </c>
      <c r="H258" s="381" t="n">
        <v>1</v>
      </c>
      <c r="I258" s="358" t="n">
        <v>9693878</v>
      </c>
      <c r="J258" s="360" t="n"/>
      <c r="K258" s="354" t="n"/>
      <c r="L258" s="354" t="n"/>
      <c r="M258" s="354" t="n"/>
      <c r="N258" s="354" t="n"/>
      <c r="O258" s="354" t="n"/>
      <c r="P258" s="354" t="n"/>
      <c r="Q258" s="354" t="n"/>
      <c r="R258" s="354" t="n"/>
      <c r="S258" s="354" t="n"/>
      <c r="T258" s="354" t="n"/>
      <c r="U258" s="354" t="n"/>
      <c r="V258" s="354" t="n"/>
      <c r="W258" s="354" t="n"/>
      <c r="X258" s="354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3" t="n"/>
      <c r="D260" s="365" t="inlineStr">
        <is>
          <t>Kesehatan</t>
        </is>
      </c>
      <c r="E260" s="366" t="n"/>
      <c r="F260" s="346" t="n"/>
      <c r="G260" s="343" t="n"/>
      <c r="H260" s="343" t="n"/>
      <c r="I260" s="348" t="n"/>
      <c r="J260" s="349" t="n"/>
      <c r="K260" s="350" t="n"/>
      <c r="L260" s="350" t="n"/>
      <c r="M260" s="348" t="n"/>
      <c r="N260" s="350" t="n"/>
      <c r="O260" s="350" t="n"/>
      <c r="P260" s="350" t="n"/>
      <c r="Q260" s="350" t="n"/>
      <c r="R260" s="351" t="n"/>
      <c r="S260" s="351" t="n"/>
      <c r="T260" s="351" t="n"/>
      <c r="U260" s="351" t="n"/>
      <c r="V260" s="351" t="n"/>
      <c r="W260" s="351" t="n"/>
      <c r="X260" s="351" t="n"/>
    </row>
    <row r="261" ht="15.5" customHeight="1" s="297">
      <c r="B261" s="369" t="n">
        <v>45432</v>
      </c>
      <c r="C261" s="353" t="n">
        <v>1</v>
      </c>
      <c r="D261" s="361" t="inlineStr">
        <is>
          <t>MCU Paket Umum Basic 1</t>
        </is>
      </c>
      <c r="E261" s="361" t="inlineStr">
        <is>
          <t>-</t>
        </is>
      </c>
      <c r="F261" s="355" t="n">
        <v>5322000</v>
      </c>
      <c r="G261" s="353" t="inlineStr">
        <is>
          <t>IDR</t>
        </is>
      </c>
      <c r="H261" s="381" t="n">
        <v>1</v>
      </c>
      <c r="I261" s="359" t="n"/>
      <c r="J261" s="360" t="n"/>
      <c r="K261" s="354" t="n"/>
      <c r="L261" s="354" t="n"/>
      <c r="M261" s="359" t="n"/>
      <c r="N261" s="354" t="n"/>
      <c r="O261" s="354" t="n"/>
      <c r="P261" s="363" t="n">
        <v>5322000</v>
      </c>
      <c r="Q261" s="354" t="n"/>
      <c r="R261" s="354" t="n"/>
      <c r="S261" s="354" t="n"/>
      <c r="T261" s="354" t="n"/>
      <c r="U261" s="354" t="n"/>
      <c r="V261" s="354" t="n"/>
      <c r="W261" s="354" t="n"/>
      <c r="X261" s="354" t="n"/>
    </row>
    <row r="262" ht="15.5" customHeight="1" s="297">
      <c r="B262" s="384" t="n"/>
      <c r="C262" s="343" t="n"/>
      <c r="D262" s="365" t="inlineStr">
        <is>
          <t>Pembelian Barang</t>
        </is>
      </c>
      <c r="E262" s="425" t="n"/>
      <c r="F262" s="346" t="n"/>
      <c r="G262" s="343" t="n"/>
      <c r="H262" s="343" t="n"/>
      <c r="I262" s="348" t="n"/>
      <c r="J262" s="349" t="n"/>
      <c r="K262" s="350" t="n"/>
      <c r="L262" s="350" t="n"/>
      <c r="M262" s="348" t="n"/>
      <c r="N262" s="350" t="n"/>
      <c r="O262" s="350" t="n"/>
      <c r="P262" s="350" t="n"/>
      <c r="Q262" s="350" t="n"/>
      <c r="R262" s="351" t="n"/>
      <c r="S262" s="351" t="n"/>
      <c r="T262" s="351" t="n"/>
      <c r="U262" s="351" t="n"/>
      <c r="V262" s="351" t="n"/>
      <c r="W262" s="351" t="n"/>
      <c r="X262" s="351" t="n"/>
    </row>
    <row r="263" ht="15.5" customHeight="1" s="297">
      <c r="B263" s="369" t="n">
        <v>45433</v>
      </c>
      <c r="C263" s="353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6" t="inlineStr">
        <is>
          <t>IDR</t>
        </is>
      </c>
      <c r="H263" s="357" t="n">
        <v>1</v>
      </c>
      <c r="I263" s="360" t="n"/>
      <c r="J263" s="360" t="n"/>
      <c r="K263" s="354" t="n"/>
      <c r="L263" s="354" t="n"/>
      <c r="M263" s="354" t="n"/>
      <c r="N263" s="363" t="n">
        <v>2402000</v>
      </c>
      <c r="O263" s="354" t="n"/>
      <c r="P263" s="354" t="n"/>
      <c r="Q263" s="354" t="n"/>
      <c r="R263" s="354" t="n"/>
      <c r="S263" s="354" t="n"/>
      <c r="T263" s="354" t="n"/>
      <c r="U263" s="354" t="n"/>
      <c r="V263" s="354" t="n"/>
      <c r="W263" s="354" t="n"/>
      <c r="X263" s="354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3" t="n"/>
      <c r="D265" s="344" t="inlineStr">
        <is>
          <t>Kesehatan</t>
        </is>
      </c>
      <c r="E265" s="407" t="n"/>
      <c r="F265" s="346" t="n"/>
      <c r="G265" s="343" t="n"/>
      <c r="H265" s="343" t="n"/>
      <c r="I265" s="349" t="n"/>
      <c r="J265" s="349" t="n"/>
      <c r="K265" s="350" t="n"/>
      <c r="L265" s="350" t="n"/>
      <c r="M265" s="350" t="n"/>
      <c r="N265" s="350" t="n"/>
      <c r="O265" s="350" t="n"/>
      <c r="P265" s="350" t="n"/>
      <c r="Q265" s="350" t="n"/>
      <c r="R265" s="351" t="n"/>
      <c r="S265" s="351" t="n"/>
      <c r="T265" s="351" t="n"/>
      <c r="U265" s="351" t="n"/>
      <c r="V265" s="351" t="n"/>
      <c r="W265" s="351" t="n"/>
      <c r="X265" s="351" t="n"/>
    </row>
    <row r="266" ht="15.5" customHeight="1" s="297">
      <c r="B266" s="413" t="n">
        <v>45432</v>
      </c>
      <c r="C266" s="353" t="n">
        <v>1</v>
      </c>
      <c r="D266" s="361" t="inlineStr">
        <is>
          <t>Biaya MCU</t>
        </is>
      </c>
      <c r="E266" s="361" t="inlineStr">
        <is>
          <t>-</t>
        </is>
      </c>
      <c r="F266" s="355" t="n">
        <v>5407000</v>
      </c>
      <c r="G266" s="353" t="inlineStr">
        <is>
          <t>IDR</t>
        </is>
      </c>
      <c r="H266" s="381" t="n">
        <v>1</v>
      </c>
      <c r="I266" s="359" t="n"/>
      <c r="J266" s="360" t="n"/>
      <c r="K266" s="354" t="n"/>
      <c r="L266" s="354" t="n"/>
      <c r="M266" s="354" t="n"/>
      <c r="N266" s="359" t="n"/>
      <c r="O266" s="354" t="n"/>
      <c r="P266" s="363" t="n">
        <v>5407000</v>
      </c>
      <c r="Q266" s="354" t="n"/>
      <c r="R266" s="354" t="n"/>
      <c r="S266" s="354" t="n"/>
      <c r="T266" s="354" t="n"/>
      <c r="U266" s="354" t="n"/>
      <c r="V266" s="354" t="n"/>
      <c r="W266" s="354" t="n"/>
      <c r="X266" s="354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3" t="n"/>
      <c r="D268" s="365" t="inlineStr">
        <is>
          <t>Allowance</t>
        </is>
      </c>
      <c r="E268" s="366" t="n"/>
      <c r="F268" s="346" t="n"/>
      <c r="G268" s="343" t="n"/>
      <c r="H268" s="343" t="n"/>
      <c r="I268" s="348" t="n"/>
      <c r="J268" s="349" t="n"/>
      <c r="K268" s="350" t="n"/>
      <c r="L268" s="350" t="n"/>
      <c r="M268" s="350" t="n"/>
      <c r="N268" s="348" t="n"/>
      <c r="O268" s="350" t="n"/>
      <c r="P268" s="350" t="n"/>
      <c r="Q268" s="350" t="n"/>
      <c r="R268" s="351" t="n"/>
      <c r="S268" s="351" t="n"/>
      <c r="T268" s="351" t="n"/>
      <c r="U268" s="351" t="n"/>
      <c r="V268" s="351" t="n"/>
      <c r="W268" s="351" t="n"/>
      <c r="X268" s="351" t="n"/>
    </row>
    <row r="269" ht="15.5" customHeight="1" s="297">
      <c r="B269" s="369" t="n">
        <v>45437</v>
      </c>
      <c r="C269" s="353" t="n">
        <v>1</v>
      </c>
      <c r="D269" s="361" t="inlineStr">
        <is>
          <t>Uang makan (25 - 30 May 2024)</t>
        </is>
      </c>
      <c r="E269" s="361" t="inlineStr">
        <is>
          <t>-</t>
        </is>
      </c>
      <c r="F269" s="355" t="n">
        <v>900000</v>
      </c>
      <c r="G269" s="353" t="inlineStr">
        <is>
          <t>IDR</t>
        </is>
      </c>
      <c r="H269" s="381" t="n">
        <v>1</v>
      </c>
      <c r="I269" s="358" t="n">
        <v>900000</v>
      </c>
      <c r="J269" s="360" t="n"/>
      <c r="K269" s="354" t="n"/>
      <c r="L269" s="354" t="n"/>
      <c r="M269" s="354" t="n"/>
      <c r="N269" s="359" t="n"/>
      <c r="O269" s="354" t="n"/>
      <c r="P269" s="354" t="n"/>
      <c r="Q269" s="354" t="n"/>
      <c r="R269" s="354" t="n"/>
      <c r="S269" s="354" t="n"/>
      <c r="T269" s="354" t="n"/>
      <c r="U269" s="354" t="n"/>
      <c r="V269" s="354" t="n"/>
      <c r="W269" s="354" t="n"/>
      <c r="X269" s="354" t="n"/>
    </row>
    <row r="270" ht="15.5" customHeight="1" s="297">
      <c r="B270" s="369" t="n">
        <v>45437</v>
      </c>
      <c r="C270" s="353" t="n">
        <v>2</v>
      </c>
      <c r="D270" s="354" t="inlineStr">
        <is>
          <t>Tunjangan Lapangan JRK-193 (25 - 30 May 2024)</t>
        </is>
      </c>
      <c r="E270" s="354" t="inlineStr">
        <is>
          <t>-</t>
        </is>
      </c>
      <c r="F270" s="355" t="n">
        <v>2430000</v>
      </c>
      <c r="G270" s="353" t="inlineStr">
        <is>
          <t>$</t>
        </is>
      </c>
      <c r="H270" s="381" t="n">
        <v>16200</v>
      </c>
      <c r="I270" s="358" t="n">
        <v>2430000</v>
      </c>
      <c r="J270" s="360" t="n"/>
      <c r="K270" s="354" t="n"/>
      <c r="L270" s="354" t="n"/>
      <c r="M270" s="354" t="n"/>
      <c r="N270" s="359" t="n"/>
      <c r="O270" s="354" t="n"/>
      <c r="P270" s="354" t="n"/>
      <c r="Q270" s="354" t="n"/>
      <c r="R270" s="354" t="n"/>
      <c r="S270" s="354" t="n"/>
      <c r="T270" s="354" t="n"/>
      <c r="U270" s="354" t="n"/>
      <c r="V270" s="354" t="n"/>
      <c r="W270" s="354" t="n"/>
      <c r="X270" s="354" t="n"/>
    </row>
    <row r="271" ht="15.5" customHeight="1" s="297">
      <c r="B271" s="384" t="n"/>
      <c r="C271" s="343" t="n"/>
      <c r="D271" s="365" t="inlineStr">
        <is>
          <t>Biaya Operasi</t>
        </is>
      </c>
      <c r="E271" s="409" t="n"/>
      <c r="F271" s="346" t="n"/>
      <c r="G271" s="343" t="n"/>
      <c r="H271" s="343" t="n"/>
      <c r="I271" s="348" t="n"/>
      <c r="J271" s="349" t="n"/>
      <c r="K271" s="350" t="n"/>
      <c r="L271" s="350" t="n"/>
      <c r="M271" s="350" t="n"/>
      <c r="N271" s="348" t="n"/>
      <c r="O271" s="350" t="n"/>
      <c r="P271" s="350" t="n"/>
      <c r="Q271" s="350" t="n"/>
      <c r="R271" s="351" t="n"/>
      <c r="S271" s="351" t="n"/>
      <c r="T271" s="351" t="n"/>
      <c r="U271" s="351" t="n"/>
      <c r="V271" s="351" t="n"/>
      <c r="W271" s="351" t="n"/>
      <c r="X271" s="351" t="n"/>
    </row>
    <row r="272" ht="15.5" customHeight="1" s="297">
      <c r="B272" s="369" t="n">
        <v>45433</v>
      </c>
      <c r="C272" s="353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5" t="n">
        <v>773238</v>
      </c>
      <c r="G272" s="353" t="inlineStr">
        <is>
          <t>IDR</t>
        </is>
      </c>
      <c r="H272" s="381" t="n">
        <v>1</v>
      </c>
      <c r="I272" s="358" t="n">
        <v>773238</v>
      </c>
      <c r="J272" s="360" t="n"/>
      <c r="K272" s="354" t="n"/>
      <c r="L272" s="354" t="n"/>
      <c r="M272" s="354" t="n"/>
      <c r="N272" s="359" t="n"/>
      <c r="O272" s="354" t="n"/>
      <c r="P272" s="354" t="n"/>
      <c r="Q272" s="354" t="n"/>
      <c r="R272" s="354" t="n"/>
      <c r="S272" s="354" t="n"/>
      <c r="T272" s="354" t="n"/>
      <c r="U272" s="354" t="n"/>
      <c r="V272" s="354" t="n"/>
      <c r="W272" s="354" t="n"/>
      <c r="X272" s="354" t="n"/>
    </row>
    <row r="273" ht="15.5" customHeight="1" s="297">
      <c r="B273" s="369" t="n">
        <v>45436</v>
      </c>
      <c r="C273" s="353" t="n">
        <v>4</v>
      </c>
      <c r="D273" s="361" t="inlineStr">
        <is>
          <t>Reschedule Tiket Pesawat dari Citilink ke Super Air Jet (CGK-PLg)</t>
        </is>
      </c>
      <c r="E273" s="361" t="inlineStr">
        <is>
          <t>-</t>
        </is>
      </c>
      <c r="F273" s="355" t="n">
        <v>296853</v>
      </c>
      <c r="G273" s="353" t="inlineStr">
        <is>
          <t>IDR</t>
        </is>
      </c>
      <c r="H273" s="381" t="n">
        <v>1</v>
      </c>
      <c r="I273" s="363" t="n">
        <v>296853</v>
      </c>
      <c r="J273" s="360" t="n"/>
      <c r="K273" s="354" t="n"/>
      <c r="L273" s="354" t="n"/>
      <c r="M273" s="354" t="n"/>
      <c r="N273" s="359" t="n"/>
      <c r="O273" s="354" t="n"/>
      <c r="P273" s="354" t="n"/>
      <c r="Q273" s="354" t="n"/>
      <c r="R273" s="354" t="n"/>
      <c r="S273" s="354" t="n"/>
      <c r="T273" s="354" t="n"/>
      <c r="U273" s="354" t="n"/>
      <c r="V273" s="354" t="n"/>
      <c r="W273" s="354" t="n"/>
      <c r="X273" s="354" t="n"/>
    </row>
    <row r="274" ht="15.5" customHeight="1" s="297">
      <c r="B274" s="369" t="n">
        <v>45436</v>
      </c>
      <c r="C274" s="353" t="n">
        <v>5</v>
      </c>
      <c r="D274" s="361" t="inlineStr">
        <is>
          <t>Taxi + Tol To Airport CGK</t>
        </is>
      </c>
      <c r="E274" s="361" t="inlineStr">
        <is>
          <t>-</t>
        </is>
      </c>
      <c r="F274" s="355" t="n">
        <v>250000</v>
      </c>
      <c r="G274" s="353" t="inlineStr">
        <is>
          <t>IDR</t>
        </is>
      </c>
      <c r="H274" s="381" t="n">
        <v>1</v>
      </c>
      <c r="I274" s="363" t="n">
        <v>250000</v>
      </c>
      <c r="J274" s="360" t="n"/>
      <c r="K274" s="354" t="n"/>
      <c r="L274" s="354" t="n"/>
      <c r="M274" s="359" t="n"/>
      <c r="N274" s="359" t="n"/>
      <c r="O274" s="354" t="n"/>
      <c r="P274" s="354" t="n"/>
      <c r="Q274" s="354" t="n"/>
      <c r="R274" s="354" t="n"/>
      <c r="S274" s="354" t="n"/>
      <c r="T274" s="354" t="n"/>
      <c r="U274" s="354" t="n"/>
      <c r="V274" s="354" t="n"/>
      <c r="W274" s="354" t="n"/>
      <c r="X274" s="354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3" t="n"/>
      <c r="D276" s="365" t="inlineStr">
        <is>
          <t>Allowance</t>
        </is>
      </c>
      <c r="E276" s="409" t="n"/>
      <c r="F276" s="346" t="n"/>
      <c r="G276" s="343" t="n"/>
      <c r="H276" s="343" t="n"/>
      <c r="I276" s="349" t="n"/>
      <c r="J276" s="349" t="n"/>
      <c r="K276" s="350" t="n"/>
      <c r="L276" s="350" t="n"/>
      <c r="M276" s="348" t="n"/>
      <c r="N276" s="350" t="n"/>
      <c r="O276" s="350" t="n"/>
      <c r="P276" s="350" t="n"/>
      <c r="Q276" s="350" t="n"/>
      <c r="R276" s="351" t="n"/>
      <c r="S276" s="351" t="n"/>
      <c r="T276" s="351" t="n"/>
      <c r="U276" s="351" t="n"/>
      <c r="V276" s="351" t="n"/>
      <c r="W276" s="351" t="n"/>
      <c r="X276" s="351" t="n"/>
    </row>
    <row r="277" ht="15.5" customHeight="1" s="297">
      <c r="B277" s="369" t="n">
        <v>45437</v>
      </c>
      <c r="C277" s="353" t="n">
        <v>1</v>
      </c>
      <c r="D277" s="361" t="inlineStr">
        <is>
          <t>Uang Makan (25 - 30 May 2024)</t>
        </is>
      </c>
      <c r="E277" s="361" t="inlineStr">
        <is>
          <t>-</t>
        </is>
      </c>
      <c r="F277" s="355" t="n">
        <v>900000</v>
      </c>
      <c r="G277" s="353" t="inlineStr">
        <is>
          <t>IDR</t>
        </is>
      </c>
      <c r="H277" s="381" t="n">
        <v>1</v>
      </c>
      <c r="I277" s="363" t="n">
        <v>900000</v>
      </c>
      <c r="J277" s="360" t="n"/>
      <c r="K277" s="354" t="n"/>
      <c r="L277" s="354" t="n"/>
      <c r="M277" s="360" t="n"/>
      <c r="N277" s="354" t="n"/>
      <c r="O277" s="354" t="n"/>
      <c r="P277" s="354" t="n"/>
      <c r="Q277" s="354" t="n"/>
      <c r="R277" s="354" t="n"/>
      <c r="S277" s="354" t="n"/>
      <c r="T277" s="354" t="n"/>
      <c r="U277" s="354" t="n"/>
      <c r="V277" s="354" t="n"/>
      <c r="W277" s="354" t="n"/>
      <c r="X277" s="354" t="n"/>
    </row>
    <row r="278" ht="15.5" customHeight="1" s="297">
      <c r="B278" s="369" t="n">
        <v>45437</v>
      </c>
      <c r="C278" s="353" t="n">
        <v>2</v>
      </c>
      <c r="D278" s="361" t="inlineStr">
        <is>
          <t>Tunjangan Lapangan JRK-193 (25 - 30 May 2024). 1US$=16.200</t>
        </is>
      </c>
      <c r="E278" s="361" t="inlineStr">
        <is>
          <t>-</t>
        </is>
      </c>
      <c r="F278" s="355" t="n">
        <v>150</v>
      </c>
      <c r="G278" s="353" t="inlineStr">
        <is>
          <t>IDR</t>
        </is>
      </c>
      <c r="H278" s="381" t="n">
        <v>16200</v>
      </c>
      <c r="I278" s="363" t="n">
        <v>150</v>
      </c>
      <c r="J278" s="360" t="n"/>
      <c r="K278" s="354" t="n"/>
      <c r="L278" s="354" t="n"/>
      <c r="M278" s="359" t="n"/>
      <c r="N278" s="354" t="n"/>
      <c r="O278" s="354" t="n"/>
      <c r="P278" s="354" t="n"/>
      <c r="Q278" s="354" t="n"/>
      <c r="R278" s="354" t="n"/>
      <c r="S278" s="354" t="n"/>
      <c r="T278" s="354" t="n"/>
      <c r="U278" s="354" t="n"/>
      <c r="V278" s="354" t="n"/>
      <c r="W278" s="354" t="n"/>
      <c r="X278" s="354" t="n"/>
    </row>
    <row r="279" ht="15.5" customHeight="1" s="297">
      <c r="B279" s="384" t="n"/>
      <c r="C279" s="343" t="n"/>
      <c r="D279" s="422" t="inlineStr">
        <is>
          <t>Hand Tools</t>
        </is>
      </c>
      <c r="E279" s="423" t="n"/>
      <c r="F279" s="346" t="n"/>
      <c r="G279" s="343" t="n"/>
      <c r="H279" s="343" t="n"/>
      <c r="I279" s="349" t="n"/>
      <c r="J279" s="349" t="n"/>
      <c r="K279" s="350" t="n"/>
      <c r="L279" s="350" t="n"/>
      <c r="M279" s="349" t="n"/>
      <c r="N279" s="350" t="n"/>
      <c r="O279" s="350" t="n"/>
      <c r="P279" s="350" t="n"/>
      <c r="Q279" s="350" t="n"/>
      <c r="R279" s="351" t="n"/>
      <c r="S279" s="351" t="n"/>
      <c r="T279" s="351" t="n"/>
      <c r="U279" s="351" t="n"/>
      <c r="V279" s="351" t="n"/>
      <c r="W279" s="351" t="n"/>
      <c r="X279" s="351" t="n"/>
    </row>
    <row r="280" ht="15.5" customHeight="1" s="297">
      <c r="B280" s="382" t="n">
        <v>45443</v>
      </c>
      <c r="C280" s="353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3" t="n">
        <v>268000</v>
      </c>
      <c r="G280" s="353" t="inlineStr">
        <is>
          <t>IDR</t>
        </is>
      </c>
      <c r="H280" s="381" t="n">
        <v>1</v>
      </c>
      <c r="I280" s="360" t="n"/>
      <c r="J280" s="360" t="n"/>
      <c r="K280" s="354" t="n"/>
      <c r="L280" s="354" t="n"/>
      <c r="M280" s="354" t="n"/>
      <c r="N280" s="363" t="n">
        <v>268000</v>
      </c>
      <c r="O280" s="354" t="n"/>
      <c r="P280" s="354" t="n"/>
      <c r="Q280" s="354" t="n"/>
      <c r="R280" s="354" t="n"/>
      <c r="S280" s="354" t="n"/>
      <c r="T280" s="354" t="n"/>
      <c r="U280" s="354" t="n"/>
      <c r="V280" s="354" t="n"/>
      <c r="W280" s="354" t="n"/>
      <c r="X280" s="354" t="n"/>
    </row>
    <row r="281" ht="15.5" customHeight="1" s="297">
      <c r="B281" s="384" t="n"/>
      <c r="C281" s="343" t="n"/>
      <c r="D281" s="365" t="inlineStr">
        <is>
          <t>Laundry</t>
        </is>
      </c>
      <c r="E281" s="409" t="n"/>
      <c r="F281" s="368" t="n"/>
      <c r="G281" s="343" t="n"/>
      <c r="H281" s="343" t="n"/>
      <c r="I281" s="349" t="n"/>
      <c r="J281" s="349" t="n"/>
      <c r="K281" s="350" t="n"/>
      <c r="L281" s="350" t="n"/>
      <c r="M281" s="350" t="n"/>
      <c r="N281" s="350" t="n"/>
      <c r="O281" s="350" t="n"/>
      <c r="P281" s="350" t="n"/>
      <c r="Q281" s="350" t="n"/>
      <c r="R281" s="351" t="n"/>
      <c r="S281" s="351" t="n"/>
      <c r="T281" s="351" t="n"/>
      <c r="U281" s="351" t="n"/>
      <c r="V281" s="351" t="n"/>
      <c r="W281" s="351" t="n"/>
      <c r="X281" s="351" t="n"/>
    </row>
    <row r="282" ht="15.5" customHeight="1" s="297">
      <c r="B282" s="369" t="n">
        <v>45437</v>
      </c>
      <c r="C282" s="353" t="n">
        <v>4</v>
      </c>
      <c r="D282" s="361" t="inlineStr">
        <is>
          <t>Laundry (25 - 30 May 2024)</t>
        </is>
      </c>
      <c r="E282" s="361" t="inlineStr">
        <is>
          <t>-</t>
        </is>
      </c>
      <c r="F282" s="370" t="n">
        <v>300000</v>
      </c>
      <c r="G282" s="353" t="inlineStr">
        <is>
          <t>IDR</t>
        </is>
      </c>
      <c r="H282" s="381" t="n">
        <v>1</v>
      </c>
      <c r="I282" s="363" t="n">
        <v>300000</v>
      </c>
      <c r="J282" s="360" t="n"/>
      <c r="K282" s="354" t="n"/>
      <c r="L282" s="354" t="n"/>
      <c r="M282" s="354" t="n"/>
      <c r="N282" s="354" t="n"/>
      <c r="O282" s="354" t="n"/>
      <c r="P282" s="354" t="n"/>
      <c r="Q282" s="354" t="n"/>
      <c r="R282" s="354" t="n"/>
      <c r="S282" s="354" t="n"/>
      <c r="T282" s="354" t="n"/>
      <c r="U282" s="354" t="n"/>
      <c r="V282" s="354" t="n"/>
      <c r="W282" s="354" t="n"/>
      <c r="X282" s="354" t="n"/>
    </row>
    <row r="283" ht="15.5" customHeight="1" s="297">
      <c r="B283" s="384" t="n"/>
      <c r="C283" s="343" t="n"/>
      <c r="D283" s="365" t="inlineStr">
        <is>
          <t>Logistic</t>
        </is>
      </c>
      <c r="E283" s="366" t="n"/>
      <c r="F283" s="368" t="n"/>
      <c r="G283" s="343" t="n"/>
      <c r="H283" s="343" t="n"/>
      <c r="I283" s="349" t="n"/>
      <c r="J283" s="349" t="n"/>
      <c r="K283" s="350" t="n"/>
      <c r="L283" s="350" t="n"/>
      <c r="M283" s="350" t="n"/>
      <c r="N283" s="350" t="n"/>
      <c r="O283" s="350" t="n"/>
      <c r="P283" s="350" t="n"/>
      <c r="Q283" s="350" t="n"/>
      <c r="R283" s="351" t="n"/>
      <c r="S283" s="351" t="n"/>
      <c r="T283" s="351" t="n"/>
      <c r="U283" s="351" t="n"/>
      <c r="V283" s="351" t="n"/>
      <c r="W283" s="351" t="n"/>
      <c r="X283" s="351" t="n"/>
    </row>
    <row r="284" ht="15.5" customHeight="1" s="297">
      <c r="B284" s="369" t="n">
        <v>45437</v>
      </c>
      <c r="C284" s="353" t="n">
        <v>5</v>
      </c>
      <c r="D284" s="361" t="inlineStr">
        <is>
          <t>Wrapping Alfa Box</t>
        </is>
      </c>
      <c r="E284" s="361" t="inlineStr">
        <is>
          <t>-</t>
        </is>
      </c>
      <c r="F284" s="370" t="n">
        <v>80000</v>
      </c>
      <c r="G284" s="353" t="inlineStr">
        <is>
          <t>IDR</t>
        </is>
      </c>
      <c r="H284" s="381" t="n">
        <v>1</v>
      </c>
      <c r="I284" s="360" t="n"/>
      <c r="J284" s="360" t="n"/>
      <c r="K284" s="354" t="n"/>
      <c r="L284" s="354" t="n"/>
      <c r="M284" s="354" t="n"/>
      <c r="N284" s="363" t="n">
        <v>80000</v>
      </c>
      <c r="O284" s="354" t="n"/>
      <c r="P284" s="354" t="n"/>
      <c r="Q284" s="354" t="n"/>
      <c r="R284" s="354" t="n"/>
      <c r="S284" s="354" t="n"/>
      <c r="T284" s="354" t="n"/>
      <c r="U284" s="354" t="n"/>
      <c r="V284" s="354" t="n"/>
      <c r="W284" s="354" t="n"/>
      <c r="X284" s="354" t="n"/>
    </row>
    <row r="285" ht="15.5" customHeight="1" s="297">
      <c r="B285" s="369" t="n">
        <v>45439</v>
      </c>
      <c r="C285" s="353" t="n">
        <v>6</v>
      </c>
      <c r="D285" s="361" t="inlineStr">
        <is>
          <t>Hand gloves</t>
        </is>
      </c>
      <c r="E285" s="361" t="inlineStr">
        <is>
          <t>-</t>
        </is>
      </c>
      <c r="F285" s="370" t="n">
        <v>21900</v>
      </c>
      <c r="G285" s="353" t="inlineStr">
        <is>
          <t>IDR</t>
        </is>
      </c>
      <c r="H285" s="381" t="n">
        <v>1</v>
      </c>
      <c r="I285" s="359" t="n"/>
      <c r="J285" s="360" t="n"/>
      <c r="K285" s="354" t="n"/>
      <c r="L285" s="354" t="n"/>
      <c r="M285" s="354" t="n"/>
      <c r="N285" s="363" t="n">
        <v>21900</v>
      </c>
      <c r="O285" s="354" t="n"/>
      <c r="P285" s="354" t="n"/>
      <c r="Q285" s="354" t="n"/>
      <c r="R285" s="354" t="n"/>
      <c r="S285" s="354" t="n"/>
      <c r="T285" s="354" t="n"/>
      <c r="U285" s="354" t="n"/>
      <c r="V285" s="354" t="n"/>
      <c r="W285" s="354" t="n"/>
      <c r="X285" s="354" t="n"/>
    </row>
    <row r="286" ht="15.5" customHeight="1" s="297">
      <c r="B286" s="384" t="n"/>
      <c r="C286" s="343" t="n"/>
      <c r="D286" s="365" t="inlineStr">
        <is>
          <t>Transportation</t>
        </is>
      </c>
      <c r="E286" s="366" t="n"/>
      <c r="F286" s="368" t="n"/>
      <c r="G286" s="343" t="n"/>
      <c r="H286" s="343" t="n"/>
      <c r="I286" s="348" t="n"/>
      <c r="J286" s="349" t="n"/>
      <c r="K286" s="350" t="n"/>
      <c r="L286" s="350" t="n"/>
      <c r="M286" s="350" t="n"/>
      <c r="N286" s="350" t="n"/>
      <c r="O286" s="350" t="n"/>
      <c r="P286" s="350" t="n"/>
      <c r="Q286" s="350" t="n"/>
      <c r="R286" s="351" t="n"/>
      <c r="S286" s="351" t="n"/>
      <c r="T286" s="351" t="n"/>
      <c r="U286" s="351" t="n"/>
      <c r="V286" s="351" t="n"/>
      <c r="W286" s="351" t="n"/>
      <c r="X286" s="351" t="n"/>
    </row>
    <row r="287" ht="15.5" customHeight="1" s="297">
      <c r="B287" s="369" t="n">
        <v>45437</v>
      </c>
      <c r="C287" s="353" t="n">
        <v>7</v>
      </c>
      <c r="D287" s="361" t="inlineStr">
        <is>
          <t>Taxi + Tol to Airport Jakarta</t>
        </is>
      </c>
      <c r="E287" s="361" t="inlineStr">
        <is>
          <t>-</t>
        </is>
      </c>
      <c r="F287" s="370" t="n">
        <v>232520</v>
      </c>
      <c r="G287" s="353" t="inlineStr">
        <is>
          <t>IDR</t>
        </is>
      </c>
      <c r="H287" s="381" t="n">
        <v>1</v>
      </c>
      <c r="I287" s="358" t="n">
        <v>232520</v>
      </c>
      <c r="J287" s="360" t="n"/>
      <c r="K287" s="354" t="n"/>
      <c r="L287" s="354" t="n"/>
      <c r="M287" s="354" t="n"/>
      <c r="N287" s="354" t="n"/>
      <c r="O287" s="354" t="n"/>
      <c r="P287" s="354" t="n"/>
      <c r="Q287" s="354" t="n"/>
      <c r="R287" s="354" t="n"/>
      <c r="S287" s="354" t="n"/>
      <c r="T287" s="354" t="n"/>
      <c r="U287" s="354" t="n"/>
      <c r="V287" s="354" t="n"/>
      <c r="W287" s="354" t="n"/>
      <c r="X287" s="354" t="n"/>
    </row>
    <row r="288" ht="15.5" customHeight="1" s="297">
      <c r="B288" s="369" t="n">
        <v>45437</v>
      </c>
      <c r="C288" s="353" t="n">
        <v>8</v>
      </c>
      <c r="D288" s="361" t="inlineStr">
        <is>
          <t>fuel + tol PLM-Prabu</t>
        </is>
      </c>
      <c r="E288" s="361" t="inlineStr">
        <is>
          <t>-</t>
        </is>
      </c>
      <c r="F288" s="370" t="n">
        <v>312000</v>
      </c>
      <c r="G288" s="353" t="inlineStr">
        <is>
          <t>IDR</t>
        </is>
      </c>
      <c r="H288" s="381" t="n">
        <v>1</v>
      </c>
      <c r="I288" s="358" t="n">
        <v>312000</v>
      </c>
      <c r="J288" s="360" t="n"/>
      <c r="K288" s="354" t="n"/>
      <c r="L288" s="354" t="n"/>
      <c r="M288" s="354" t="n"/>
      <c r="N288" s="354" t="n"/>
      <c r="O288" s="354" t="n"/>
      <c r="P288" s="354" t="n"/>
      <c r="Q288" s="354" t="n"/>
      <c r="R288" s="354" t="n"/>
      <c r="S288" s="354" t="n"/>
      <c r="T288" s="354" t="n"/>
      <c r="U288" s="354" t="n"/>
      <c r="V288" s="354" t="n"/>
      <c r="W288" s="354" t="n"/>
      <c r="X288" s="354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3" t="n"/>
      <c r="D290" s="344" t="inlineStr">
        <is>
          <t>Accommodation</t>
        </is>
      </c>
      <c r="E290" s="345" t="n"/>
      <c r="F290" s="368" t="n"/>
      <c r="G290" s="343" t="n"/>
      <c r="H290" s="343" t="n"/>
      <c r="I290" s="348" t="n"/>
      <c r="J290" s="349" t="n"/>
      <c r="K290" s="350" t="n"/>
      <c r="L290" s="350" t="n"/>
      <c r="M290" s="350" t="n"/>
      <c r="N290" s="350" t="n"/>
      <c r="O290" s="350" t="n"/>
      <c r="P290" s="350" t="n"/>
      <c r="Q290" s="350" t="n"/>
      <c r="R290" s="351" t="n"/>
      <c r="S290" s="351" t="n"/>
      <c r="T290" s="351" t="n"/>
      <c r="U290" s="351" t="n"/>
      <c r="V290" s="351" t="n"/>
      <c r="W290" s="351" t="n"/>
      <c r="X290" s="351" t="n"/>
    </row>
    <row r="291" ht="15.5" customHeight="1" s="297">
      <c r="B291" s="369" t="n">
        <v>45437</v>
      </c>
      <c r="C291" s="353" t="n">
        <v>1</v>
      </c>
      <c r="D291" s="361" t="inlineStr">
        <is>
          <t>Hotel 24 May - 30 May (6 days)</t>
        </is>
      </c>
      <c r="E291" s="361" t="inlineStr">
        <is>
          <t>-</t>
        </is>
      </c>
      <c r="F291" s="370" t="n">
        <v>1650000</v>
      </c>
      <c r="G291" s="353" t="inlineStr">
        <is>
          <t>IDR</t>
        </is>
      </c>
      <c r="H291" s="381" t="n">
        <v>1</v>
      </c>
      <c r="I291" s="358" t="n">
        <v>1650000</v>
      </c>
      <c r="J291" s="360" t="n"/>
      <c r="K291" s="354" t="n"/>
      <c r="L291" s="354" t="n"/>
      <c r="M291" s="354" t="n"/>
      <c r="N291" s="354" t="n"/>
      <c r="O291" s="354" t="n"/>
      <c r="P291" s="354" t="n"/>
      <c r="Q291" s="354" t="n"/>
      <c r="R291" s="354" t="n"/>
      <c r="S291" s="354" t="n"/>
      <c r="T291" s="354" t="n"/>
      <c r="U291" s="354" t="n"/>
      <c r="V291" s="354" t="n"/>
      <c r="W291" s="354" t="n"/>
      <c r="X291" s="354" t="n"/>
    </row>
    <row r="292" ht="15.5" customHeight="1" s="297">
      <c r="B292" s="369" t="n">
        <v>45437</v>
      </c>
      <c r="C292" s="428" t="n">
        <v>2</v>
      </c>
      <c r="D292" s="361" t="inlineStr">
        <is>
          <t>Laundry 6 days 1 Persons @ 50K IDR/day</t>
        </is>
      </c>
      <c r="E292" s="361" t="inlineStr">
        <is>
          <t>-</t>
        </is>
      </c>
      <c r="F292" s="370" t="n">
        <v>300000</v>
      </c>
      <c r="G292" s="353" t="inlineStr">
        <is>
          <t>IDR</t>
        </is>
      </c>
      <c r="H292" s="381" t="n">
        <v>1</v>
      </c>
      <c r="I292" s="363" t="n">
        <v>300000</v>
      </c>
      <c r="J292" s="360" t="n"/>
      <c r="K292" s="354" t="n"/>
      <c r="L292" s="354" t="n"/>
      <c r="M292" s="354" t="n"/>
      <c r="N292" s="354" t="n"/>
      <c r="O292" s="354" t="n"/>
      <c r="P292" s="354" t="n"/>
      <c r="Q292" s="354" t="n"/>
      <c r="R292" s="354" t="n"/>
      <c r="S292" s="354" t="n"/>
      <c r="T292" s="354" t="n"/>
      <c r="U292" s="354" t="n"/>
      <c r="V292" s="354" t="n"/>
      <c r="W292" s="354" t="n"/>
      <c r="X292" s="354" t="n"/>
    </row>
    <row r="293" ht="15.5" customHeight="1" s="297">
      <c r="B293" s="384" t="n"/>
      <c r="C293" s="343" t="n"/>
      <c r="D293" s="365" t="inlineStr">
        <is>
          <t>Allowance</t>
        </is>
      </c>
      <c r="E293" s="366" t="n"/>
      <c r="F293" s="403" t="n"/>
      <c r="G293" s="343" t="n"/>
      <c r="H293" s="343" t="n"/>
      <c r="I293" s="349" t="n"/>
      <c r="J293" s="349" t="n"/>
      <c r="K293" s="350" t="n"/>
      <c r="L293" s="350" t="n"/>
      <c r="M293" s="350" t="n"/>
      <c r="N293" s="350" t="n"/>
      <c r="O293" s="350" t="n"/>
      <c r="P293" s="350" t="n"/>
      <c r="Q293" s="350" t="n"/>
      <c r="R293" s="351" t="n"/>
      <c r="S293" s="351" t="n"/>
      <c r="T293" s="351" t="n"/>
      <c r="U293" s="351" t="n"/>
      <c r="V293" s="351" t="n"/>
      <c r="W293" s="351" t="n"/>
      <c r="X293" s="351" t="n"/>
    </row>
    <row r="294" ht="15.5" customHeight="1" s="297">
      <c r="B294" s="369" t="n">
        <v>45437</v>
      </c>
      <c r="C294" s="428" t="n">
        <v>3</v>
      </c>
      <c r="D294" s="361" t="inlineStr">
        <is>
          <t>Tunjangan Lapangan for 6 days</t>
        </is>
      </c>
      <c r="E294" s="361" t="inlineStr">
        <is>
          <t>-</t>
        </is>
      </c>
      <c r="F294" s="370" t="n">
        <v>9717600</v>
      </c>
      <c r="G294" s="353" t="inlineStr">
        <is>
          <t>USD</t>
        </is>
      </c>
      <c r="H294" s="381" t="n">
        <v>16196</v>
      </c>
      <c r="I294" s="363" t="n">
        <v>9717600</v>
      </c>
      <c r="J294" s="360" t="n"/>
      <c r="K294" s="354" t="n"/>
      <c r="L294" s="354" t="n"/>
      <c r="M294" s="359" t="n"/>
      <c r="N294" s="354" t="n"/>
      <c r="O294" s="354" t="n"/>
      <c r="P294" s="354" t="n"/>
      <c r="Q294" s="354" t="n"/>
      <c r="R294" s="354" t="n"/>
      <c r="S294" s="354" t="n"/>
      <c r="T294" s="354" t="n"/>
      <c r="U294" s="354" t="n"/>
      <c r="V294" s="354" t="n"/>
      <c r="W294" s="354" t="n"/>
      <c r="X294" s="354" t="n"/>
    </row>
    <row r="295" ht="15.5" customHeight="1" s="297">
      <c r="B295" s="384" t="n"/>
      <c r="C295" s="343" t="n"/>
      <c r="D295" s="365" t="inlineStr">
        <is>
          <t>Meal</t>
        </is>
      </c>
      <c r="E295" s="366" t="n"/>
      <c r="F295" s="368" t="n"/>
      <c r="G295" s="343" t="n"/>
      <c r="H295" s="343" t="n"/>
      <c r="I295" s="349" t="n"/>
      <c r="J295" s="349" t="n"/>
      <c r="K295" s="350" t="n"/>
      <c r="L295" s="350" t="n"/>
      <c r="M295" s="348" t="n"/>
      <c r="N295" s="350" t="n"/>
      <c r="O295" s="350" t="n"/>
      <c r="P295" s="350" t="n"/>
      <c r="Q295" s="350" t="n"/>
      <c r="R295" s="351" t="n"/>
      <c r="S295" s="351" t="n"/>
      <c r="T295" s="351" t="n"/>
      <c r="U295" s="351" t="n"/>
      <c r="V295" s="351" t="n"/>
      <c r="W295" s="351" t="n"/>
      <c r="X295" s="351" t="n"/>
    </row>
    <row r="296" ht="15.5" customHeight="1" s="297">
      <c r="B296" s="369" t="n">
        <v>45437</v>
      </c>
      <c r="C296" s="428" t="n">
        <v>4</v>
      </c>
      <c r="D296" s="361" t="inlineStr">
        <is>
          <t>Meal Crew's Operational</t>
        </is>
      </c>
      <c r="E296" s="361" t="inlineStr">
        <is>
          <t>-</t>
        </is>
      </c>
      <c r="F296" s="370" t="n">
        <v>709300</v>
      </c>
      <c r="G296" s="353" t="inlineStr">
        <is>
          <t>IDR</t>
        </is>
      </c>
      <c r="H296" s="381" t="n">
        <v>1</v>
      </c>
      <c r="I296" s="363" t="n">
        <v>709300</v>
      </c>
      <c r="J296" s="360" t="n"/>
      <c r="K296" s="354" t="n"/>
      <c r="L296" s="354" t="n"/>
      <c r="M296" s="359" t="n"/>
      <c r="N296" s="354" t="n"/>
      <c r="O296" s="354" t="n"/>
      <c r="P296" s="354" t="n"/>
      <c r="Q296" s="354" t="n"/>
      <c r="R296" s="354" t="n"/>
      <c r="S296" s="354" t="n"/>
      <c r="T296" s="354" t="n"/>
      <c r="U296" s="354" t="n"/>
      <c r="V296" s="354" t="n"/>
      <c r="W296" s="354" t="n"/>
      <c r="X296" s="354" t="n"/>
    </row>
    <row r="297" ht="15.5" customHeight="1" s="297">
      <c r="B297" s="369" t="n">
        <v>45437</v>
      </c>
      <c r="C297" s="428" t="n">
        <v>5</v>
      </c>
      <c r="D297" s="361" t="inlineStr">
        <is>
          <t>Meals 7 days 1 Persons @ 150K IDR/day</t>
        </is>
      </c>
      <c r="E297" s="361" t="inlineStr">
        <is>
          <t>-</t>
        </is>
      </c>
      <c r="F297" s="370" t="n">
        <v>900000</v>
      </c>
      <c r="G297" s="353" t="inlineStr">
        <is>
          <t>IDR</t>
        </is>
      </c>
      <c r="H297" s="381" t="n">
        <v>1</v>
      </c>
      <c r="I297" s="363" t="n">
        <v>900000</v>
      </c>
      <c r="J297" s="360" t="n"/>
      <c r="K297" s="354" t="n"/>
      <c r="L297" s="354" t="n"/>
      <c r="M297" s="359" t="n"/>
      <c r="N297" s="354" t="n"/>
      <c r="O297" s="354" t="n"/>
      <c r="P297" s="354" t="n"/>
      <c r="Q297" s="354" t="n"/>
      <c r="R297" s="354" t="n"/>
      <c r="S297" s="354" t="n"/>
      <c r="T297" s="354" t="n"/>
      <c r="U297" s="354" t="n"/>
      <c r="V297" s="354" t="n"/>
      <c r="W297" s="354" t="n"/>
      <c r="X297" s="354" t="n"/>
    </row>
    <row r="298" ht="15.5" customHeight="1" s="297">
      <c r="B298" s="350" t="n"/>
      <c r="C298" s="414" t="n"/>
      <c r="D298" s="415" t="inlineStr">
        <is>
          <t>Transportation</t>
        </is>
      </c>
      <c r="E298" s="416" t="n"/>
      <c r="F298" s="345" t="n"/>
      <c r="G298" s="343" t="n"/>
      <c r="H298" s="343" t="n"/>
      <c r="I298" s="350" t="n"/>
      <c r="J298" s="349" t="n"/>
      <c r="K298" s="350" t="n"/>
      <c r="L298" s="350" t="n"/>
      <c r="M298" s="348" t="n"/>
      <c r="N298" s="350" t="n"/>
      <c r="O298" s="350" t="n"/>
      <c r="P298" s="350" t="n"/>
      <c r="Q298" s="350" t="n"/>
      <c r="R298" s="351" t="n"/>
      <c r="S298" s="351" t="n"/>
      <c r="T298" s="351" t="n"/>
      <c r="U298" s="351" t="n"/>
      <c r="V298" s="351" t="n"/>
      <c r="W298" s="351" t="n"/>
      <c r="X298" s="351" t="n"/>
    </row>
    <row r="299" ht="15.5" customHeight="1" s="297">
      <c r="B299" s="352" t="n">
        <v>45437</v>
      </c>
      <c r="C299" s="353" t="n">
        <v>6</v>
      </c>
      <c r="D299" s="354" t="inlineStr">
        <is>
          <t>Airplane Ticket CGK-PLM (2 Person)</t>
        </is>
      </c>
      <c r="E299" s="354" t="inlineStr">
        <is>
          <t>-</t>
        </is>
      </c>
      <c r="F299" s="355" t="n">
        <v>1418800</v>
      </c>
      <c r="G299" s="353" t="inlineStr">
        <is>
          <t>IDR</t>
        </is>
      </c>
      <c r="H299" s="381" t="n">
        <v>1</v>
      </c>
      <c r="I299" s="363" t="n">
        <v>1418800</v>
      </c>
      <c r="J299" s="360" t="n"/>
      <c r="K299" s="354" t="n"/>
      <c r="L299" s="354" t="n"/>
      <c r="M299" s="360" t="n"/>
      <c r="N299" s="354" t="n"/>
      <c r="O299" s="354" t="n"/>
      <c r="P299" s="354" t="n"/>
      <c r="Q299" s="354" t="n"/>
      <c r="R299" s="354" t="n"/>
      <c r="S299" s="354" t="n"/>
      <c r="T299" s="354" t="n"/>
      <c r="U299" s="354" t="n"/>
      <c r="V299" s="354" t="n"/>
      <c r="W299" s="354" t="n"/>
      <c r="X299" s="354" t="n"/>
    </row>
    <row r="300" ht="15.5" customHeight="1" s="297">
      <c r="B300" s="352" t="n">
        <v>45437</v>
      </c>
      <c r="C300" s="353" t="n">
        <v>7</v>
      </c>
      <c r="D300" s="354" t="inlineStr">
        <is>
          <t>Taxi Pondok Cabe-CGK</t>
        </is>
      </c>
      <c r="E300" s="354" t="inlineStr">
        <is>
          <t>-</t>
        </is>
      </c>
      <c r="F300" s="355" t="n">
        <v>166000</v>
      </c>
      <c r="G300" s="353" t="inlineStr">
        <is>
          <t>IDR</t>
        </is>
      </c>
      <c r="H300" s="381" t="n">
        <v>1</v>
      </c>
      <c r="I300" s="358" t="n">
        <v>166000</v>
      </c>
      <c r="J300" s="360" t="n"/>
      <c r="K300" s="354" t="n"/>
      <c r="L300" s="354" t="n"/>
      <c r="M300" s="359" t="n"/>
      <c r="N300" s="354" t="n"/>
      <c r="O300" s="354" t="n"/>
      <c r="P300" s="354" t="n"/>
      <c r="Q300" s="354" t="n"/>
      <c r="R300" s="354" t="n"/>
      <c r="S300" s="354" t="n"/>
      <c r="T300" s="354" t="n"/>
      <c r="U300" s="354" t="n"/>
      <c r="V300" s="354" t="n"/>
      <c r="W300" s="354" t="n"/>
      <c r="X300" s="354" t="n"/>
    </row>
    <row r="301" ht="15.5" customHeight="1" s="297">
      <c r="B301" s="369" t="n">
        <v>45437</v>
      </c>
      <c r="C301" s="353" t="n">
        <v>8</v>
      </c>
      <c r="D301" s="354" t="inlineStr">
        <is>
          <t>Toll (Pondok Cabe-CGK)</t>
        </is>
      </c>
      <c r="E301" s="354" t="inlineStr">
        <is>
          <t>-</t>
        </is>
      </c>
      <c r="F301" s="355" t="n">
        <v>60000</v>
      </c>
      <c r="G301" s="353" t="inlineStr">
        <is>
          <t>IDR</t>
        </is>
      </c>
      <c r="H301" s="381" t="n">
        <v>1</v>
      </c>
      <c r="I301" s="363" t="n">
        <v>60000</v>
      </c>
      <c r="J301" s="360" t="n"/>
      <c r="K301" s="354" t="n"/>
      <c r="L301" s="354" t="n"/>
      <c r="M301" s="360" t="n"/>
      <c r="N301" s="354" t="n"/>
      <c r="O301" s="354" t="n"/>
      <c r="P301" s="354" t="n"/>
      <c r="Q301" s="354" t="n"/>
      <c r="R301" s="354" t="n"/>
      <c r="S301" s="354" t="n"/>
      <c r="T301" s="354" t="n"/>
      <c r="U301" s="354" t="n"/>
      <c r="V301" s="354" t="n"/>
      <c r="W301" s="354" t="n"/>
      <c r="X301" s="354" t="n"/>
    </row>
    <row r="302" ht="15.5" customHeight="1" s="297">
      <c r="B302" s="413" t="n">
        <v>45437</v>
      </c>
      <c r="C302" s="353" t="n">
        <v>9</v>
      </c>
      <c r="D302" s="426" t="inlineStr">
        <is>
          <t>Rent Car 6 Days</t>
        </is>
      </c>
      <c r="E302" s="426" t="inlineStr">
        <is>
          <t>-</t>
        </is>
      </c>
      <c r="F302" s="355" t="n">
        <v>2900000</v>
      </c>
      <c r="G302" s="353" t="inlineStr">
        <is>
          <t>IDR</t>
        </is>
      </c>
      <c r="H302" s="381" t="n">
        <v>1</v>
      </c>
      <c r="I302" s="358" t="n">
        <v>2900000</v>
      </c>
      <c r="J302" s="360" t="n"/>
      <c r="K302" s="354" t="n"/>
      <c r="L302" s="354" t="n"/>
      <c r="M302" s="359" t="n"/>
      <c r="N302" s="354" t="n"/>
      <c r="O302" s="354" t="n"/>
      <c r="P302" s="354" t="n"/>
      <c r="Q302" s="354" t="n"/>
      <c r="R302" s="354" t="n"/>
      <c r="S302" s="354" t="n"/>
      <c r="T302" s="354" t="n"/>
      <c r="U302" s="354" t="n"/>
      <c r="V302" s="354" t="n"/>
      <c r="W302" s="354" t="n"/>
      <c r="X302" s="354" t="n"/>
    </row>
    <row r="303" ht="15.5" customHeight="1" s="297">
      <c r="B303" s="413" t="n">
        <v>45437</v>
      </c>
      <c r="C303" s="353" t="n">
        <v>10</v>
      </c>
      <c r="D303" s="426" t="inlineStr">
        <is>
          <t>Gasoline</t>
        </is>
      </c>
      <c r="E303" s="426" t="inlineStr">
        <is>
          <t>-</t>
        </is>
      </c>
      <c r="F303" s="355" t="n">
        <v>400000</v>
      </c>
      <c r="G303" s="353" t="inlineStr">
        <is>
          <t>IDR</t>
        </is>
      </c>
      <c r="H303" s="381" t="n">
        <v>1</v>
      </c>
      <c r="I303" s="358" t="n">
        <v>400000</v>
      </c>
      <c r="J303" s="360" t="n"/>
      <c r="K303" s="354" t="n"/>
      <c r="L303" s="354" t="n"/>
      <c r="M303" s="354" t="n"/>
      <c r="N303" s="354" t="n"/>
      <c r="O303" s="354" t="n"/>
      <c r="P303" s="354" t="n"/>
      <c r="Q303" s="354" t="n"/>
      <c r="R303" s="354" t="n"/>
      <c r="S303" s="354" t="n"/>
      <c r="T303" s="354" t="n"/>
      <c r="U303" s="354" t="n"/>
      <c r="V303" s="354" t="n"/>
      <c r="W303" s="354" t="n"/>
      <c r="X303" s="354" t="n"/>
    </row>
    <row r="304" ht="15.5" customHeight="1" s="297">
      <c r="B304" s="369" t="n">
        <v>45442</v>
      </c>
      <c r="C304" s="353" t="n">
        <v>11</v>
      </c>
      <c r="D304" s="361" t="inlineStr">
        <is>
          <t>Taxi CGK-Pondok Cabe (inc Toll+Parking)</t>
        </is>
      </c>
      <c r="E304" s="361" t="inlineStr">
        <is>
          <t>-</t>
        </is>
      </c>
      <c r="F304" s="355" t="n">
        <v>300000</v>
      </c>
      <c r="G304" s="353" t="inlineStr">
        <is>
          <t>IDR</t>
        </is>
      </c>
      <c r="H304" s="381" t="n">
        <v>1</v>
      </c>
      <c r="I304" s="358" t="n">
        <v>300000</v>
      </c>
      <c r="J304" s="360" t="n"/>
      <c r="K304" s="354" t="n"/>
      <c r="L304" s="354" t="n"/>
      <c r="M304" s="359" t="n"/>
      <c r="N304" s="354" t="n"/>
      <c r="O304" s="354" t="n"/>
      <c r="P304" s="354" t="n"/>
      <c r="Q304" s="354" t="n"/>
      <c r="R304" s="354" t="n"/>
      <c r="S304" s="354" t="n"/>
      <c r="T304" s="354" t="n"/>
      <c r="U304" s="354" t="n"/>
      <c r="V304" s="354" t="n"/>
      <c r="W304" s="354" t="n"/>
      <c r="X304" s="354" t="n"/>
    </row>
    <row r="305" ht="15.5" customHeight="1" s="297">
      <c r="B305" s="382" t="n">
        <v>45442</v>
      </c>
      <c r="C305" s="353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3" t="n">
        <v>1326410</v>
      </c>
      <c r="G305" s="353" t="inlineStr">
        <is>
          <t>IDR</t>
        </is>
      </c>
      <c r="H305" s="381" t="n">
        <v>1</v>
      </c>
      <c r="I305" s="363" t="n">
        <v>1326410</v>
      </c>
      <c r="J305" s="360" t="n"/>
      <c r="K305" s="354" t="n"/>
      <c r="L305" s="354" t="n"/>
      <c r="M305" s="354" t="n"/>
      <c r="N305" s="359" t="n"/>
      <c r="O305" s="354" t="n"/>
      <c r="P305" s="354" t="n"/>
      <c r="Q305" s="354" t="n"/>
      <c r="R305" s="354" t="n"/>
      <c r="S305" s="354" t="n"/>
      <c r="T305" s="354" t="n"/>
      <c r="U305" s="354" t="n"/>
      <c r="V305" s="354" t="n"/>
      <c r="W305" s="354" t="n"/>
      <c r="X305" s="354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3" t="n"/>
      <c r="D307" s="365" t="inlineStr">
        <is>
          <t>Training</t>
        </is>
      </c>
      <c r="E307" s="366" t="n"/>
      <c r="F307" s="346" t="n"/>
      <c r="G307" s="343" t="n"/>
      <c r="H307" s="343" t="n"/>
      <c r="I307" s="430" t="n"/>
      <c r="J307" s="349" t="n"/>
      <c r="K307" s="350" t="n"/>
      <c r="L307" s="350" t="n"/>
      <c r="M307" s="350" t="n"/>
      <c r="N307" s="350" t="n"/>
      <c r="O307" s="350" t="n"/>
      <c r="P307" s="350" t="n"/>
      <c r="Q307" s="350" t="n"/>
      <c r="R307" s="351" t="n"/>
      <c r="S307" s="351" t="n"/>
      <c r="T307" s="351" t="n"/>
      <c r="U307" s="351" t="n"/>
      <c r="V307" s="351" t="n"/>
      <c r="W307" s="351" t="n"/>
      <c r="X307" s="351" t="n"/>
    </row>
    <row r="308" ht="15.5" customHeight="1" s="297">
      <c r="B308" s="369" t="n">
        <v>45450</v>
      </c>
      <c r="C308" s="353" t="n">
        <v>1</v>
      </c>
      <c r="D308" s="361" t="inlineStr">
        <is>
          <t>BOSIET 5 - 7 June 2024</t>
        </is>
      </c>
      <c r="E308" s="361" t="inlineStr">
        <is>
          <t>-</t>
        </is>
      </c>
      <c r="F308" s="355" t="n">
        <v>9693878</v>
      </c>
      <c r="G308" s="353" t="inlineStr">
        <is>
          <t>IDR</t>
        </is>
      </c>
      <c r="H308" s="381" t="n">
        <v>1</v>
      </c>
      <c r="I308" s="358" t="n">
        <v>9693878</v>
      </c>
      <c r="J308" s="360" t="n"/>
      <c r="K308" s="354" t="n"/>
      <c r="L308" s="354" t="n"/>
      <c r="M308" s="354" t="n"/>
      <c r="N308" s="354" t="n"/>
      <c r="O308" s="354" t="n"/>
      <c r="P308" s="354" t="n"/>
      <c r="Q308" s="354" t="n"/>
      <c r="R308" s="354" t="n"/>
      <c r="S308" s="354" t="n"/>
      <c r="T308" s="354" t="n"/>
      <c r="U308" s="354" t="n"/>
      <c r="V308" s="354" t="n"/>
      <c r="W308" s="354" t="n"/>
      <c r="X308" s="354" t="n"/>
    </row>
    <row r="309" ht="15.5" customHeight="1" s="297">
      <c r="B309" s="384" t="n"/>
      <c r="C309" s="343" t="n"/>
      <c r="D309" s="365" t="inlineStr">
        <is>
          <t>Transportation</t>
        </is>
      </c>
      <c r="E309" s="409" t="n"/>
      <c r="F309" s="346" t="n"/>
      <c r="G309" s="343" t="n"/>
      <c r="H309" s="343" t="n"/>
      <c r="I309" s="430" t="n"/>
      <c r="J309" s="349" t="n"/>
      <c r="K309" s="350" t="n"/>
      <c r="L309" s="350" t="n"/>
      <c r="M309" s="350" t="n"/>
      <c r="N309" s="350" t="n"/>
      <c r="O309" s="350" t="n"/>
      <c r="P309" s="350" t="n"/>
      <c r="Q309" s="350" t="n"/>
      <c r="R309" s="351" t="n"/>
      <c r="S309" s="351" t="n"/>
      <c r="T309" s="351" t="n"/>
      <c r="U309" s="351" t="n"/>
      <c r="V309" s="351" t="n"/>
      <c r="W309" s="351" t="n"/>
      <c r="X309" s="351" t="n"/>
    </row>
    <row r="310" ht="15.5" customHeight="1" s="297">
      <c r="B310" s="369" t="n">
        <v>45448</v>
      </c>
      <c r="C310" s="353" t="n">
        <v>2</v>
      </c>
      <c r="D310" s="361" t="inlineStr">
        <is>
          <t>Personal Car from Home to PT. LTJ (converted) DAY-1</t>
        </is>
      </c>
      <c r="E310" s="361" t="inlineStr">
        <is>
          <t>-</t>
        </is>
      </c>
      <c r="F310" s="355" t="n">
        <v>233000</v>
      </c>
      <c r="G310" s="353" t="inlineStr">
        <is>
          <t>IDR</t>
        </is>
      </c>
      <c r="H310" s="381" t="n">
        <v>1</v>
      </c>
      <c r="I310" s="358" t="n">
        <v>233000</v>
      </c>
      <c r="J310" s="360" t="n"/>
      <c r="K310" s="354" t="n"/>
      <c r="L310" s="354" t="n"/>
      <c r="M310" s="354" t="n"/>
      <c r="N310" s="354" t="n"/>
      <c r="O310" s="354" t="n"/>
      <c r="P310" s="354" t="n"/>
      <c r="Q310" s="354" t="n"/>
      <c r="R310" s="354" t="n"/>
      <c r="S310" s="354" t="n"/>
      <c r="T310" s="354" t="n"/>
      <c r="U310" s="354" t="n"/>
      <c r="V310" s="354" t="n"/>
      <c r="W310" s="354" t="n"/>
      <c r="X310" s="354" t="n"/>
    </row>
    <row r="311" ht="15.5" customHeight="1" s="297">
      <c r="B311" s="369" t="n">
        <v>45449</v>
      </c>
      <c r="C311" s="353" t="n">
        <v>3</v>
      </c>
      <c r="D311" s="361" t="inlineStr">
        <is>
          <t>Transport DAY - 2 BOSIET</t>
        </is>
      </c>
      <c r="E311" s="361" t="inlineStr">
        <is>
          <t>-</t>
        </is>
      </c>
      <c r="F311" s="355" t="n">
        <v>73000</v>
      </c>
      <c r="G311" s="353" t="inlineStr">
        <is>
          <t>IDR</t>
        </is>
      </c>
      <c r="H311" s="381" t="n">
        <v>1</v>
      </c>
      <c r="I311" s="358" t="n">
        <v>73000</v>
      </c>
      <c r="J311" s="360" t="n"/>
      <c r="K311" s="354" t="n"/>
      <c r="L311" s="354" t="n"/>
      <c r="M311" s="359" t="n"/>
      <c r="N311" s="354" t="n"/>
      <c r="O311" s="354" t="n"/>
      <c r="P311" s="354" t="n"/>
      <c r="Q311" s="354" t="n"/>
      <c r="R311" s="354" t="n"/>
      <c r="S311" s="354" t="n"/>
      <c r="T311" s="354" t="n"/>
      <c r="U311" s="354" t="n"/>
      <c r="V311" s="354" t="n"/>
      <c r="W311" s="354" t="n"/>
      <c r="X311" s="354" t="n"/>
    </row>
    <row r="312" ht="15.5" customHeight="1" s="297">
      <c r="B312" s="369" t="n">
        <v>45450</v>
      </c>
      <c r="C312" s="353" t="n">
        <v>4</v>
      </c>
      <c r="D312" s="361" t="inlineStr">
        <is>
          <t>Transport DAY - 3 BOSIET</t>
        </is>
      </c>
      <c r="E312" s="361" t="inlineStr">
        <is>
          <t>-</t>
        </is>
      </c>
      <c r="F312" s="355" t="n">
        <v>59000</v>
      </c>
      <c r="G312" s="353" t="inlineStr">
        <is>
          <t>IDR</t>
        </is>
      </c>
      <c r="H312" s="381" t="n">
        <v>1</v>
      </c>
      <c r="I312" s="358" t="n">
        <v>59000</v>
      </c>
      <c r="J312" s="360" t="n"/>
      <c r="K312" s="354" t="n"/>
      <c r="L312" s="354" t="n"/>
      <c r="M312" s="359" t="n"/>
      <c r="N312" s="354" t="n"/>
      <c r="O312" s="354" t="n"/>
      <c r="P312" s="354" t="n"/>
      <c r="Q312" s="354" t="n"/>
      <c r="R312" s="354" t="n"/>
      <c r="S312" s="354" t="n"/>
      <c r="T312" s="354" t="n"/>
      <c r="U312" s="354" t="n"/>
      <c r="V312" s="354" t="n"/>
      <c r="W312" s="354" t="n"/>
      <c r="X312" s="354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3" t="n"/>
      <c r="D314" s="344" t="inlineStr">
        <is>
          <t>Accommodation</t>
        </is>
      </c>
      <c r="E314" s="345" t="n"/>
      <c r="F314" s="346" t="n"/>
      <c r="G314" s="343" t="n"/>
      <c r="H314" s="343" t="n"/>
      <c r="I314" s="348" t="n"/>
      <c r="J314" s="349" t="n"/>
      <c r="K314" s="350" t="n"/>
      <c r="L314" s="350" t="n"/>
      <c r="M314" s="348" t="n"/>
      <c r="N314" s="350" t="n"/>
      <c r="O314" s="350" t="n"/>
      <c r="P314" s="350" t="n"/>
      <c r="Q314" s="350" t="n"/>
      <c r="R314" s="351" t="n"/>
      <c r="S314" s="351" t="n"/>
      <c r="T314" s="351" t="n"/>
      <c r="U314" s="351" t="n"/>
      <c r="V314" s="351" t="n"/>
      <c r="W314" s="351" t="n"/>
      <c r="X314" s="351" t="n"/>
    </row>
    <row r="315" ht="15.5" customHeight="1" s="297">
      <c r="B315" s="369" t="n">
        <v>45428</v>
      </c>
      <c r="C315" s="353" t="n">
        <v>1</v>
      </c>
      <c r="D315" s="354" t="inlineStr">
        <is>
          <t>Hotel 16 June - 19 June (3 days)</t>
        </is>
      </c>
      <c r="E315" s="354" t="inlineStr">
        <is>
          <t>-</t>
        </is>
      </c>
      <c r="F315" s="355" t="n">
        <v>720000</v>
      </c>
      <c r="G315" s="353" t="inlineStr">
        <is>
          <t>IDR</t>
        </is>
      </c>
      <c r="H315" s="381" t="n">
        <v>1</v>
      </c>
      <c r="I315" s="358" t="n">
        <v>720000</v>
      </c>
      <c r="J315" s="360" t="n"/>
      <c r="K315" s="354" t="n"/>
      <c r="L315" s="354" t="n"/>
      <c r="M315" s="359" t="n"/>
      <c r="N315" s="354" t="n"/>
      <c r="O315" s="354" t="n"/>
      <c r="P315" s="354" t="n"/>
      <c r="Q315" s="354" t="n"/>
      <c r="R315" s="354" t="n"/>
      <c r="S315" s="354" t="n"/>
      <c r="T315" s="354" t="n"/>
      <c r="U315" s="354" t="n"/>
      <c r="V315" s="354" t="n"/>
      <c r="W315" s="354" t="n"/>
      <c r="X315" s="354" t="n"/>
    </row>
    <row r="316" ht="15.5" customHeight="1" s="297">
      <c r="B316" s="369" t="n">
        <v>45428</v>
      </c>
      <c r="C316" s="353" t="n">
        <v>2</v>
      </c>
      <c r="D316" s="361" t="inlineStr">
        <is>
          <t>Laundry 4 days 1 Persons @ 50K IDR/day</t>
        </is>
      </c>
      <c r="E316" s="361" t="inlineStr">
        <is>
          <t>-</t>
        </is>
      </c>
      <c r="F316" s="355" t="n">
        <v>200000</v>
      </c>
      <c r="G316" s="353" t="inlineStr">
        <is>
          <t>IDR</t>
        </is>
      </c>
      <c r="H316" s="381" t="n">
        <v>1</v>
      </c>
      <c r="I316" s="358" t="n">
        <v>200000</v>
      </c>
      <c r="J316" s="360" t="n"/>
      <c r="K316" s="354" t="n"/>
      <c r="L316" s="354" t="n"/>
      <c r="M316" s="359" t="n"/>
      <c r="N316" s="354" t="n"/>
      <c r="O316" s="354" t="n"/>
      <c r="P316" s="354" t="n"/>
      <c r="Q316" s="354" t="n"/>
      <c r="R316" s="354" t="n"/>
      <c r="S316" s="354" t="n"/>
      <c r="T316" s="354" t="n"/>
      <c r="U316" s="354" t="n"/>
      <c r="V316" s="354" t="n"/>
      <c r="W316" s="354" t="n"/>
      <c r="X316" s="354" t="n"/>
    </row>
    <row r="317" ht="15.5" customHeight="1" s="297">
      <c r="B317" s="384" t="n"/>
      <c r="C317" s="431" t="n"/>
      <c r="D317" s="365" t="inlineStr">
        <is>
          <t>Allowance</t>
        </is>
      </c>
      <c r="E317" s="409" t="n"/>
      <c r="F317" s="346" t="n"/>
      <c r="G317" s="343" t="n"/>
      <c r="H317" s="343" t="n"/>
      <c r="I317" s="349" t="n"/>
      <c r="J317" s="349" t="n"/>
      <c r="K317" s="350" t="n"/>
      <c r="L317" s="350" t="n"/>
      <c r="M317" s="348" t="n"/>
      <c r="N317" s="350" t="n"/>
      <c r="O317" s="350" t="n"/>
      <c r="P317" s="350" t="n"/>
      <c r="Q317" s="350" t="n"/>
      <c r="R317" s="351" t="n"/>
      <c r="S317" s="351" t="n"/>
      <c r="T317" s="351" t="n"/>
      <c r="U317" s="351" t="n"/>
      <c r="V317" s="351" t="n"/>
      <c r="W317" s="351" t="n"/>
      <c r="X317" s="351" t="n"/>
    </row>
    <row r="318" ht="15.5" customHeight="1" s="297">
      <c r="B318" s="369" t="n">
        <v>45428</v>
      </c>
      <c r="C318" s="353" t="n">
        <v>3</v>
      </c>
      <c r="D318" s="361" t="inlineStr">
        <is>
          <t>Tunjangan Lapangan for 4 days</t>
        </is>
      </c>
      <c r="E318" s="361" t="inlineStr">
        <is>
          <t>-</t>
        </is>
      </c>
      <c r="F318" s="363" t="n">
        <v>6551200</v>
      </c>
      <c r="G318" s="353" t="inlineStr">
        <is>
          <t>USD</t>
        </is>
      </c>
      <c r="H318" s="381" t="n">
        <v>16378</v>
      </c>
      <c r="I318" s="363" t="n">
        <v>6551200</v>
      </c>
      <c r="J318" s="360" t="n"/>
      <c r="K318" s="354" t="n"/>
      <c r="L318" s="354" t="n"/>
      <c r="M318" s="359" t="n"/>
      <c r="N318" s="360" t="n"/>
      <c r="O318" s="354" t="n"/>
      <c r="P318" s="354" t="n"/>
      <c r="Q318" s="354" t="n"/>
      <c r="R318" s="354" t="n"/>
      <c r="S318" s="354" t="n"/>
      <c r="T318" s="354" t="n"/>
      <c r="U318" s="354" t="n"/>
      <c r="V318" s="354" t="n"/>
      <c r="W318" s="354" t="n"/>
      <c r="X318" s="354" t="n"/>
    </row>
    <row r="319" ht="15.5" customHeight="1" s="297">
      <c r="B319" s="384" t="n"/>
      <c r="C319" s="431" t="n"/>
      <c r="D319" s="365" t="inlineStr">
        <is>
          <t>Logistic</t>
        </is>
      </c>
      <c r="E319" s="409" t="n"/>
      <c r="F319" s="346" t="n"/>
      <c r="G319" s="343" t="n"/>
      <c r="H319" s="343" t="n"/>
      <c r="I319" s="349" t="n"/>
      <c r="J319" s="349" t="n"/>
      <c r="K319" s="350" t="n"/>
      <c r="L319" s="350" t="n"/>
      <c r="M319" s="348" t="n"/>
      <c r="N319" s="350" t="n"/>
      <c r="O319" s="350" t="n"/>
      <c r="P319" s="350" t="n"/>
      <c r="Q319" s="350" t="n"/>
      <c r="R319" s="351" t="n"/>
      <c r="S319" s="351" t="n"/>
      <c r="T319" s="351" t="n"/>
      <c r="U319" s="351" t="n"/>
      <c r="V319" s="351" t="n"/>
      <c r="W319" s="351" t="n"/>
      <c r="X319" s="351" t="n"/>
    </row>
    <row r="320" ht="15.5" customHeight="1" s="297">
      <c r="B320" s="369" t="n">
        <v>45428</v>
      </c>
      <c r="C320" s="353" t="n">
        <v>4</v>
      </c>
      <c r="D320" s="361" t="inlineStr">
        <is>
          <t>Uneed Power Station</t>
        </is>
      </c>
      <c r="E320" s="361" t="inlineStr">
        <is>
          <t>-</t>
        </is>
      </c>
      <c r="F320" s="355" t="n">
        <v>2371000</v>
      </c>
      <c r="G320" s="353" t="inlineStr">
        <is>
          <t>IDR</t>
        </is>
      </c>
      <c r="H320" s="381" t="n">
        <v>1</v>
      </c>
      <c r="I320" s="360" t="n"/>
      <c r="J320" s="360" t="n"/>
      <c r="K320" s="354" t="n"/>
      <c r="L320" s="354" t="n"/>
      <c r="M320" s="359" t="n"/>
      <c r="N320" s="363" t="n">
        <v>2371000</v>
      </c>
      <c r="O320" s="354" t="n"/>
      <c r="P320" s="354" t="n"/>
      <c r="Q320" s="354" t="n"/>
      <c r="R320" s="354" t="n"/>
      <c r="S320" s="354" t="n"/>
      <c r="T320" s="354" t="n"/>
      <c r="U320" s="354" t="n"/>
      <c r="V320" s="354" t="n"/>
      <c r="W320" s="354" t="n"/>
      <c r="X320" s="354" t="n"/>
    </row>
    <row r="321" ht="15.5" customHeight="1" s="297">
      <c r="B321" s="384" t="n"/>
      <c r="C321" s="431" t="n"/>
      <c r="D321" s="365" t="inlineStr">
        <is>
          <t>Meal</t>
        </is>
      </c>
      <c r="E321" s="409" t="n"/>
      <c r="F321" s="346" t="n"/>
      <c r="G321" s="343" t="n"/>
      <c r="H321" s="343" t="n"/>
      <c r="I321" s="349" t="n"/>
      <c r="J321" s="349" t="n"/>
      <c r="K321" s="350" t="n"/>
      <c r="L321" s="350" t="n"/>
      <c r="M321" s="349" t="n"/>
      <c r="N321" s="350" t="n"/>
      <c r="O321" s="350" t="n"/>
      <c r="P321" s="350" t="n"/>
      <c r="Q321" s="350" t="n"/>
      <c r="R321" s="351" t="n"/>
      <c r="S321" s="351" t="n"/>
      <c r="T321" s="351" t="n"/>
      <c r="U321" s="351" t="n"/>
      <c r="V321" s="351" t="n"/>
      <c r="W321" s="351" t="n"/>
      <c r="X321" s="351" t="n"/>
    </row>
    <row r="322" ht="15.5" customHeight="1" s="297">
      <c r="B322" s="369" t="n">
        <v>45428</v>
      </c>
      <c r="C322" s="428" t="n">
        <v>5</v>
      </c>
      <c r="D322" s="361" t="inlineStr">
        <is>
          <t>Meals 4 days 1 Persons @ 150K IDR/day</t>
        </is>
      </c>
      <c r="E322" s="361" t="inlineStr">
        <is>
          <t>-</t>
        </is>
      </c>
      <c r="F322" s="355" t="n">
        <v>600000</v>
      </c>
      <c r="G322" s="353" t="inlineStr">
        <is>
          <t>IDR</t>
        </is>
      </c>
      <c r="H322" s="381" t="n">
        <v>1</v>
      </c>
      <c r="I322" s="363" t="n">
        <v>600000</v>
      </c>
      <c r="J322" s="360" t="n"/>
      <c r="K322" s="354" t="n"/>
      <c r="L322" s="354" t="n"/>
      <c r="M322" s="359" t="n"/>
      <c r="N322" s="354" t="n"/>
      <c r="O322" s="354" t="n"/>
      <c r="P322" s="354" t="n"/>
      <c r="Q322" s="354" t="n"/>
      <c r="R322" s="354" t="n"/>
      <c r="S322" s="354" t="n"/>
      <c r="T322" s="354" t="n"/>
      <c r="U322" s="354" t="n"/>
      <c r="V322" s="354" t="n"/>
      <c r="W322" s="354" t="n"/>
      <c r="X322" s="354" t="n"/>
    </row>
    <row r="323" ht="15.5" customHeight="1" s="297">
      <c r="B323" s="350" t="n"/>
      <c r="C323" s="414" t="n"/>
      <c r="D323" s="415" t="inlineStr">
        <is>
          <t>Transportation</t>
        </is>
      </c>
      <c r="E323" s="416" t="n"/>
      <c r="F323" s="345" t="n"/>
      <c r="G323" s="343" t="n"/>
      <c r="H323" s="343" t="n"/>
      <c r="I323" s="350" t="n"/>
      <c r="J323" s="349" t="n"/>
      <c r="K323" s="350" t="n"/>
      <c r="L323" s="350" t="n"/>
      <c r="M323" s="349" t="n"/>
      <c r="N323" s="350" t="n"/>
      <c r="O323" s="350" t="n"/>
      <c r="P323" s="350" t="n"/>
      <c r="Q323" s="350" t="n"/>
      <c r="R323" s="351" t="n"/>
      <c r="S323" s="351" t="n"/>
      <c r="T323" s="351" t="n"/>
      <c r="U323" s="351" t="n"/>
      <c r="V323" s="351" t="n"/>
      <c r="W323" s="351" t="n"/>
      <c r="X323" s="351" t="n"/>
    </row>
    <row r="324" ht="15.5" customHeight="1" s="297">
      <c r="B324" s="369" t="n">
        <v>45428</v>
      </c>
      <c r="C324" s="353" t="n">
        <v>6</v>
      </c>
      <c r="D324" s="361" t="inlineStr">
        <is>
          <t>Airplane Ticket CGK-PLM</t>
        </is>
      </c>
      <c r="E324" s="361" t="inlineStr">
        <is>
          <t>-</t>
        </is>
      </c>
      <c r="F324" s="355" t="n">
        <v>995500</v>
      </c>
      <c r="G324" s="353" t="inlineStr">
        <is>
          <t>IDR</t>
        </is>
      </c>
      <c r="H324" s="381" t="n">
        <v>1</v>
      </c>
      <c r="I324" s="363" t="n">
        <v>995500</v>
      </c>
      <c r="J324" s="360" t="n"/>
      <c r="K324" s="354" t="n"/>
      <c r="L324" s="354" t="n"/>
      <c r="M324" s="359" t="n"/>
      <c r="N324" s="354" t="n"/>
      <c r="O324" s="354" t="n"/>
      <c r="P324" s="354" t="n"/>
      <c r="Q324" s="354" t="n"/>
      <c r="R324" s="354" t="n"/>
      <c r="S324" s="354" t="n"/>
      <c r="T324" s="354" t="n"/>
      <c r="U324" s="354" t="n"/>
      <c r="V324" s="354" t="n"/>
      <c r="W324" s="354" t="n"/>
      <c r="X324" s="354" t="n"/>
    </row>
    <row r="325" ht="15.5" customHeight="1" s="297">
      <c r="B325" s="369" t="n">
        <v>45428</v>
      </c>
      <c r="C325" s="353" t="n">
        <v>7</v>
      </c>
      <c r="D325" s="361" t="inlineStr">
        <is>
          <t>Taxi Pondok Cabe-CGK</t>
        </is>
      </c>
      <c r="E325" s="361" t="inlineStr">
        <is>
          <t>-</t>
        </is>
      </c>
      <c r="F325" s="355" t="n">
        <v>273500</v>
      </c>
      <c r="G325" s="353" t="inlineStr">
        <is>
          <t>IDR</t>
        </is>
      </c>
      <c r="H325" s="381" t="n">
        <v>1</v>
      </c>
      <c r="I325" s="358" t="n">
        <v>273500</v>
      </c>
      <c r="J325" s="360" t="n"/>
      <c r="K325" s="354" t="n"/>
      <c r="L325" s="354" t="n"/>
      <c r="M325" s="359" t="n"/>
      <c r="N325" s="354" t="n"/>
      <c r="O325" s="354" t="n"/>
      <c r="P325" s="354" t="n"/>
      <c r="Q325" s="354" t="n"/>
      <c r="R325" s="354" t="n"/>
      <c r="S325" s="354" t="n"/>
      <c r="T325" s="354" t="n"/>
      <c r="U325" s="354" t="n"/>
      <c r="V325" s="354" t="n"/>
      <c r="W325" s="354" t="n"/>
      <c r="X325" s="354" t="n"/>
    </row>
    <row r="326" ht="15.5" customHeight="1" s="297">
      <c r="B326" s="369" t="n">
        <v>45428</v>
      </c>
      <c r="C326" s="353" t="n">
        <v>8</v>
      </c>
      <c r="D326" s="361" t="inlineStr">
        <is>
          <t>Toll Prabumulih (PP)</t>
        </is>
      </c>
      <c r="E326" s="361" t="inlineStr">
        <is>
          <t>-</t>
        </is>
      </c>
      <c r="F326" s="355" t="n">
        <v>224000</v>
      </c>
      <c r="G326" s="353" t="inlineStr">
        <is>
          <t>IDR</t>
        </is>
      </c>
      <c r="H326" s="381" t="n">
        <v>1</v>
      </c>
      <c r="I326" s="363" t="n">
        <v>224000</v>
      </c>
      <c r="J326" s="360" t="n"/>
      <c r="K326" s="354" t="n"/>
      <c r="L326" s="354" t="n"/>
      <c r="M326" s="360" t="n"/>
      <c r="N326" s="354" t="n"/>
      <c r="O326" s="354" t="n"/>
      <c r="P326" s="354" t="n"/>
      <c r="Q326" s="354" t="n"/>
      <c r="R326" s="354" t="n"/>
      <c r="S326" s="354" t="n"/>
      <c r="T326" s="354" t="n"/>
      <c r="U326" s="354" t="n"/>
      <c r="V326" s="354" t="n"/>
      <c r="W326" s="354" t="n"/>
      <c r="X326" s="354" t="n"/>
    </row>
    <row r="327" ht="15.5" customHeight="1" s="297">
      <c r="B327" s="369" t="n">
        <v>45428</v>
      </c>
      <c r="C327" s="353" t="n">
        <v>9</v>
      </c>
      <c r="D327" s="361" t="inlineStr">
        <is>
          <t>Rent Car 4 Days</t>
        </is>
      </c>
      <c r="E327" s="361" t="inlineStr">
        <is>
          <t>-</t>
        </is>
      </c>
      <c r="F327" s="355" t="n">
        <v>2000000</v>
      </c>
      <c r="G327" s="353" t="inlineStr">
        <is>
          <t>IDR</t>
        </is>
      </c>
      <c r="H327" s="381" t="n">
        <v>1</v>
      </c>
      <c r="I327" s="363" t="n">
        <v>2000000</v>
      </c>
      <c r="J327" s="360" t="n"/>
      <c r="K327" s="354" t="n"/>
      <c r="L327" s="354" t="n"/>
      <c r="M327" s="359" t="n"/>
      <c r="N327" s="359" t="n"/>
      <c r="O327" s="354" t="n"/>
      <c r="P327" s="354" t="n"/>
      <c r="Q327" s="354" t="n"/>
      <c r="R327" s="354" t="n"/>
      <c r="S327" s="354" t="n"/>
      <c r="T327" s="354" t="n"/>
      <c r="U327" s="354" t="n"/>
      <c r="V327" s="354" t="n"/>
      <c r="W327" s="354" t="n"/>
      <c r="X327" s="354" t="n"/>
    </row>
    <row r="328" ht="15.5" customHeight="1" s="297">
      <c r="B328" s="369" t="n">
        <v>45428</v>
      </c>
      <c r="C328" s="353" t="n">
        <v>10</v>
      </c>
      <c r="D328" s="361" t="inlineStr">
        <is>
          <t>Gasoline</t>
        </is>
      </c>
      <c r="E328" s="361" t="inlineStr">
        <is>
          <t>-</t>
        </is>
      </c>
      <c r="F328" s="355" t="n">
        <v>330000</v>
      </c>
      <c r="G328" s="353" t="inlineStr">
        <is>
          <t>IDR</t>
        </is>
      </c>
      <c r="H328" s="381" t="n">
        <v>1</v>
      </c>
      <c r="I328" s="363" t="n">
        <v>330000</v>
      </c>
      <c r="J328" s="360" t="n"/>
      <c r="K328" s="354" t="n"/>
      <c r="L328" s="354" t="n"/>
      <c r="M328" s="359" t="n"/>
      <c r="N328" s="359" t="n"/>
      <c r="O328" s="354" t="n"/>
      <c r="P328" s="354" t="n"/>
      <c r="Q328" s="354" t="n"/>
      <c r="R328" s="354" t="n"/>
      <c r="S328" s="354" t="n"/>
      <c r="T328" s="354" t="n"/>
      <c r="U328" s="354" t="n"/>
      <c r="V328" s="354" t="n"/>
      <c r="W328" s="354" t="n"/>
      <c r="X328" s="354" t="n"/>
    </row>
    <row r="329" ht="15.5" customHeight="1" s="297">
      <c r="B329" s="382" t="n">
        <v>45428</v>
      </c>
      <c r="C329" s="353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3" t="n">
        <v>270000</v>
      </c>
      <c r="G329" s="353" t="inlineStr">
        <is>
          <t>IDR</t>
        </is>
      </c>
      <c r="H329" s="381" t="n">
        <v>1</v>
      </c>
      <c r="I329" s="363" t="n">
        <v>270000</v>
      </c>
      <c r="J329" s="360" t="n"/>
      <c r="K329" s="354" t="n"/>
      <c r="L329" s="354" t="n"/>
      <c r="M329" s="359" t="n"/>
      <c r="N329" s="354" t="n"/>
      <c r="O329" s="354" t="n"/>
      <c r="P329" s="354" t="n"/>
      <c r="Q329" s="354" t="n"/>
      <c r="R329" s="354" t="n"/>
      <c r="S329" s="354" t="n"/>
      <c r="T329" s="354" t="n"/>
      <c r="U329" s="354" t="n"/>
      <c r="V329" s="354" t="n"/>
      <c r="W329" s="354" t="n"/>
      <c r="X329" s="354" t="n"/>
    </row>
    <row r="330" ht="15.5" customHeight="1" s="297">
      <c r="B330" s="369" t="n">
        <v>45428</v>
      </c>
      <c r="C330" s="353" t="n">
        <v>12</v>
      </c>
      <c r="D330" s="361" t="inlineStr">
        <is>
          <t>Airplane Ticket PLM-HLP</t>
        </is>
      </c>
      <c r="E330" s="361" t="inlineStr">
        <is>
          <t>-</t>
        </is>
      </c>
      <c r="F330" s="370" t="n">
        <v>1004000</v>
      </c>
      <c r="G330" s="353" t="inlineStr">
        <is>
          <t>IDR</t>
        </is>
      </c>
      <c r="H330" s="381" t="n">
        <v>1</v>
      </c>
      <c r="I330" s="363" t="n">
        <v>1004000</v>
      </c>
      <c r="J330" s="354" t="n"/>
      <c r="K330" s="354" t="n"/>
      <c r="L330" s="354" t="n"/>
      <c r="M330" s="354" t="n"/>
      <c r="N330" s="354" t="n"/>
      <c r="O330" s="354" t="n"/>
      <c r="P330" s="354" t="n"/>
      <c r="Q330" s="354" t="n"/>
      <c r="R330" s="354" t="n"/>
      <c r="S330" s="354" t="n"/>
      <c r="T330" s="354" t="n"/>
      <c r="U330" s="354" t="n"/>
      <c r="V330" s="354" t="n"/>
      <c r="W330" s="354" t="n"/>
      <c r="X330" s="354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3" t="n"/>
      <c r="D332" s="344" t="inlineStr">
        <is>
          <t>Logistic</t>
        </is>
      </c>
      <c r="E332" s="345" t="n"/>
      <c r="F332" s="368" t="n"/>
      <c r="G332" s="343" t="n"/>
      <c r="H332" s="343" t="n"/>
      <c r="I332" s="348" t="n"/>
      <c r="J332" s="349" t="n"/>
      <c r="K332" s="350" t="n"/>
      <c r="L332" s="350" t="n"/>
      <c r="M332" s="350" t="n"/>
      <c r="N332" s="350" t="n"/>
      <c r="O332" s="350" t="n"/>
      <c r="P332" s="350" t="n"/>
      <c r="Q332" s="350" t="n"/>
      <c r="R332" s="351" t="n"/>
      <c r="S332" s="351" t="n"/>
      <c r="T332" s="351" t="n"/>
      <c r="U332" s="351" t="n"/>
      <c r="V332" s="351" t="n"/>
      <c r="W332" s="351" t="n"/>
      <c r="X332" s="351" t="n"/>
    </row>
    <row r="333" ht="15.5" customHeight="1" s="297">
      <c r="B333" s="369" t="n">
        <v>45483</v>
      </c>
      <c r="C333" s="353" t="n">
        <v>1</v>
      </c>
      <c r="D333" s="361" t="inlineStr">
        <is>
          <t>Pin Punch</t>
        </is>
      </c>
      <c r="E333" s="361" t="inlineStr">
        <is>
          <t>-</t>
        </is>
      </c>
      <c r="F333" s="370" t="n">
        <v>381960</v>
      </c>
      <c r="G333" s="353" t="inlineStr">
        <is>
          <t>IDR</t>
        </is>
      </c>
      <c r="H333" s="381" t="n">
        <v>1</v>
      </c>
      <c r="I333" s="360" t="n"/>
      <c r="J333" s="360" t="n"/>
      <c r="K333" s="354" t="n"/>
      <c r="L333" s="354" t="n"/>
      <c r="M333" s="354" t="n"/>
      <c r="N333" s="363" t="n">
        <v>381960</v>
      </c>
      <c r="O333" s="354" t="n"/>
      <c r="P333" s="354" t="n"/>
      <c r="Q333" s="354" t="n"/>
      <c r="R333" s="354" t="n"/>
      <c r="S333" s="354" t="n"/>
      <c r="T333" s="354" t="n"/>
      <c r="U333" s="354" t="n"/>
      <c r="V333" s="354" t="n"/>
      <c r="W333" s="354" t="n"/>
      <c r="X333" s="354" t="n"/>
    </row>
    <row r="334" ht="15.5" customHeight="1" s="297">
      <c r="B334" s="369" t="n">
        <v>45483</v>
      </c>
      <c r="C334" s="353" t="n">
        <v>2</v>
      </c>
      <c r="D334" s="361" t="inlineStr">
        <is>
          <t>Hardcase Custom</t>
        </is>
      </c>
      <c r="E334" s="361" t="inlineStr">
        <is>
          <t>-</t>
        </is>
      </c>
      <c r="F334" s="370" t="n">
        <v>3595000</v>
      </c>
      <c r="G334" s="353" t="inlineStr">
        <is>
          <t>IDR</t>
        </is>
      </c>
      <c r="H334" s="381" t="n">
        <v>1</v>
      </c>
      <c r="I334" s="359" t="n"/>
      <c r="J334" s="360" t="n"/>
      <c r="K334" s="354" t="n"/>
      <c r="L334" s="354" t="n"/>
      <c r="M334" s="354" t="n"/>
      <c r="N334" s="363" t="n">
        <v>3595000</v>
      </c>
      <c r="O334" s="354" t="n"/>
      <c r="P334" s="354" t="n"/>
      <c r="Q334" s="354" t="n"/>
      <c r="R334" s="354" t="n"/>
      <c r="S334" s="354" t="n"/>
      <c r="T334" s="354" t="n"/>
      <c r="U334" s="354" t="n"/>
      <c r="V334" s="354" t="n"/>
      <c r="W334" s="354" t="n"/>
      <c r="X334" s="354" t="n"/>
    </row>
    <row r="335" ht="15.5" customHeight="1" s="297">
      <c r="B335" s="384" t="n"/>
      <c r="C335" s="343" t="n"/>
      <c r="D335" s="344" t="inlineStr">
        <is>
          <t>Transportation</t>
        </is>
      </c>
      <c r="E335" s="345" t="n"/>
      <c r="F335" s="368" t="n"/>
      <c r="G335" s="343" t="n"/>
      <c r="H335" s="343" t="n"/>
      <c r="I335" s="348" t="n"/>
      <c r="J335" s="349" t="n"/>
      <c r="K335" s="350" t="n"/>
      <c r="L335" s="350" t="n"/>
      <c r="M335" s="350" t="n"/>
      <c r="N335" s="350" t="n"/>
      <c r="O335" s="350" t="n"/>
      <c r="P335" s="350" t="n"/>
      <c r="Q335" s="350" t="n"/>
      <c r="R335" s="351" t="n"/>
      <c r="S335" s="351" t="n"/>
      <c r="T335" s="351" t="n"/>
      <c r="U335" s="351" t="n"/>
      <c r="V335" s="351" t="n"/>
      <c r="W335" s="351" t="n"/>
      <c r="X335" s="351" t="n"/>
    </row>
    <row r="336" ht="15.5" customHeight="1" s="297">
      <c r="B336" s="369" t="n">
        <v>45478</v>
      </c>
      <c r="C336" s="353" t="n">
        <v>3</v>
      </c>
      <c r="D336" s="354" t="inlineStr">
        <is>
          <t>Lalamove Gowell-Bogor-Gowell</t>
        </is>
      </c>
      <c r="E336" s="354" t="inlineStr">
        <is>
          <t>-</t>
        </is>
      </c>
      <c r="F336" s="370" t="n">
        <v>594804</v>
      </c>
      <c r="G336" s="353" t="inlineStr">
        <is>
          <t>IDR</t>
        </is>
      </c>
      <c r="H336" s="381" t="n">
        <v>1</v>
      </c>
      <c r="I336" s="358" t="n">
        <v>594804</v>
      </c>
      <c r="J336" s="360" t="n"/>
      <c r="K336" s="354" t="n"/>
      <c r="L336" s="354" t="n"/>
      <c r="M336" s="354" t="n"/>
      <c r="N336" s="354" t="n"/>
      <c r="O336" s="354" t="n"/>
      <c r="P336" s="354" t="n"/>
      <c r="Q336" s="354" t="n"/>
      <c r="R336" s="354" t="n"/>
      <c r="S336" s="354" t="n"/>
      <c r="T336" s="354" t="n"/>
      <c r="U336" s="354" t="n"/>
      <c r="V336" s="354" t="n"/>
      <c r="W336" s="354" t="n"/>
      <c r="X336" s="354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3" t="n"/>
      <c r="D338" s="365" t="inlineStr">
        <is>
          <t>Accommodation</t>
        </is>
      </c>
      <c r="E338" s="366" t="n"/>
      <c r="F338" s="368" t="n"/>
      <c r="G338" s="343" t="n"/>
      <c r="H338" s="343" t="n"/>
      <c r="I338" s="348" t="n"/>
      <c r="J338" s="349" t="n"/>
      <c r="K338" s="350" t="n"/>
      <c r="L338" s="350" t="n"/>
      <c r="M338" s="348" t="n"/>
      <c r="N338" s="350" t="n"/>
      <c r="O338" s="350" t="n"/>
      <c r="P338" s="350" t="n"/>
      <c r="Q338" s="350" t="n"/>
      <c r="R338" s="351" t="n"/>
      <c r="S338" s="351" t="n"/>
      <c r="T338" s="351" t="n"/>
      <c r="U338" s="351" t="n"/>
      <c r="V338" s="351" t="n"/>
      <c r="W338" s="351" t="n"/>
      <c r="X338" s="351" t="n"/>
    </row>
    <row r="339" ht="15.5" customHeight="1" s="297">
      <c r="B339" s="369" t="n">
        <v>45481</v>
      </c>
      <c r="C339" s="353" t="n">
        <v>1</v>
      </c>
      <c r="D339" s="354" t="inlineStr">
        <is>
          <t>Hotel</t>
        </is>
      </c>
      <c r="E339" s="354" t="inlineStr">
        <is>
          <t>-</t>
        </is>
      </c>
      <c r="F339" s="370" t="n">
        <v>344305</v>
      </c>
      <c r="G339" s="353" t="inlineStr">
        <is>
          <t>IDR</t>
        </is>
      </c>
      <c r="H339" s="381" t="n">
        <v>1</v>
      </c>
      <c r="I339" s="358" t="n">
        <v>344305</v>
      </c>
      <c r="J339" s="360" t="n"/>
      <c r="K339" s="354" t="n"/>
      <c r="L339" s="354" t="n"/>
      <c r="M339" s="360" t="n"/>
      <c r="N339" s="354" t="n"/>
      <c r="O339" s="354" t="n"/>
      <c r="P339" s="354" t="n"/>
      <c r="Q339" s="354" t="n"/>
      <c r="R339" s="354" t="n"/>
      <c r="S339" s="354" t="n"/>
      <c r="T339" s="354" t="n"/>
      <c r="U339" s="354" t="n"/>
      <c r="V339" s="354" t="n"/>
      <c r="W339" s="354" t="n"/>
      <c r="X339" s="354" t="n"/>
    </row>
    <row r="340" ht="15.5" customHeight="1" s="297">
      <c r="B340" s="369" t="n">
        <v>45481</v>
      </c>
      <c r="C340" s="353" t="n">
        <v>2</v>
      </c>
      <c r="D340" s="361" t="inlineStr">
        <is>
          <t>Hotel Tax Foreigner</t>
        </is>
      </c>
      <c r="E340" s="361" t="inlineStr">
        <is>
          <t>-</t>
        </is>
      </c>
      <c r="F340" s="370" t="n">
        <v>34620</v>
      </c>
      <c r="G340" s="353" t="inlineStr">
        <is>
          <t>MYR</t>
        </is>
      </c>
      <c r="H340" s="381" t="n">
        <v>3462</v>
      </c>
      <c r="I340" s="363" t="n">
        <v>34620</v>
      </c>
      <c r="J340" s="360" t="n"/>
      <c r="K340" s="354" t="n"/>
      <c r="L340" s="354" t="n"/>
      <c r="M340" s="359" t="n"/>
      <c r="N340" s="354" t="n"/>
      <c r="O340" s="354" t="n"/>
      <c r="P340" s="354" t="n"/>
      <c r="Q340" s="354" t="n"/>
      <c r="R340" s="354" t="n"/>
      <c r="S340" s="354" t="n"/>
      <c r="T340" s="354" t="n"/>
      <c r="U340" s="354" t="n"/>
      <c r="V340" s="354" t="n"/>
      <c r="W340" s="354" t="n"/>
      <c r="X340" s="354" t="n"/>
    </row>
    <row r="341" ht="15.5" customHeight="1" s="297">
      <c r="B341" s="384" t="n"/>
      <c r="C341" s="343" t="n"/>
      <c r="D341" s="344" t="inlineStr">
        <is>
          <t>Logistic</t>
        </is>
      </c>
      <c r="E341" s="345" t="n"/>
      <c r="F341" s="368" t="n"/>
      <c r="G341" s="343" t="n"/>
      <c r="H341" s="343" t="n"/>
      <c r="I341" s="349" t="n"/>
      <c r="J341" s="349" t="n"/>
      <c r="K341" s="349" t="n"/>
      <c r="L341" s="349" t="n"/>
      <c r="M341" s="349" t="n"/>
      <c r="N341" s="349" t="n"/>
      <c r="O341" s="349" t="n"/>
      <c r="P341" s="349" t="n"/>
      <c r="Q341" s="349" t="n"/>
      <c r="R341" s="351" t="n"/>
      <c r="S341" s="351" t="n"/>
      <c r="T341" s="351" t="n"/>
      <c r="U341" s="351" t="n"/>
      <c r="V341" s="351" t="n"/>
      <c r="W341" s="351" t="n"/>
      <c r="X341" s="351" t="n"/>
    </row>
    <row r="342" ht="15.5" customHeight="1" s="297">
      <c r="B342" s="369" t="n">
        <v>45483</v>
      </c>
      <c r="C342" s="353" t="n">
        <v>3</v>
      </c>
      <c r="D342" s="354" t="inlineStr">
        <is>
          <t>Asus Slate 13 (tablet asus)</t>
        </is>
      </c>
      <c r="E342" s="354" t="inlineStr">
        <is>
          <t>-</t>
        </is>
      </c>
      <c r="F342" s="370" t="n">
        <v>9778400</v>
      </c>
      <c r="G342" s="353" t="inlineStr">
        <is>
          <t>IDR</t>
        </is>
      </c>
      <c r="H342" s="381" t="n">
        <v>1</v>
      </c>
      <c r="I342" s="360" t="n"/>
      <c r="J342" s="354" t="n"/>
      <c r="K342" s="354" t="n"/>
      <c r="L342" s="354" t="n"/>
      <c r="M342" s="354" t="n"/>
      <c r="N342" s="363" t="n">
        <v>9778400</v>
      </c>
      <c r="O342" s="354" t="n"/>
      <c r="P342" s="354" t="n"/>
      <c r="Q342" s="354" t="n"/>
      <c r="R342" s="354" t="n"/>
      <c r="S342" s="354" t="n"/>
      <c r="T342" s="354" t="n"/>
      <c r="U342" s="354" t="n"/>
      <c r="V342" s="354" t="n"/>
      <c r="W342" s="354" t="n"/>
      <c r="X342" s="354" t="n"/>
    </row>
    <row r="343" ht="15.5" customHeight="1" s="297">
      <c r="B343" s="382" t="n">
        <v>45483</v>
      </c>
      <c r="C343" s="353" t="n">
        <v>4</v>
      </c>
      <c r="D343" s="383" t="inlineStr">
        <is>
          <t>OTG Type C</t>
        </is>
      </c>
      <c r="E343" s="383" t="inlineStr">
        <is>
          <t>-</t>
        </is>
      </c>
      <c r="F343" s="363" t="n">
        <v>163100</v>
      </c>
      <c r="G343" s="353" t="inlineStr">
        <is>
          <t>IDR</t>
        </is>
      </c>
      <c r="H343" s="381" t="n">
        <v>1</v>
      </c>
      <c r="I343" s="354" t="n"/>
      <c r="J343" s="354" t="n"/>
      <c r="K343" s="354" t="n"/>
      <c r="L343" s="354" t="n"/>
      <c r="M343" s="359" t="n"/>
      <c r="N343" s="363" t="n">
        <v>163100</v>
      </c>
      <c r="O343" s="354" t="n"/>
      <c r="P343" s="354" t="n"/>
      <c r="Q343" s="354" t="n"/>
      <c r="R343" s="354" t="n"/>
      <c r="S343" s="354" t="n"/>
      <c r="T343" s="354" t="n"/>
      <c r="U343" s="354" t="n"/>
      <c r="V343" s="354" t="n"/>
      <c r="W343" s="354" t="n"/>
      <c r="X343" s="354" t="n"/>
    </row>
    <row r="344" ht="15.5" customHeight="1" s="297">
      <c r="B344" s="342" t="n"/>
      <c r="C344" s="343" t="n"/>
      <c r="D344" s="344" t="inlineStr">
        <is>
          <t>Transportation</t>
        </is>
      </c>
      <c r="E344" s="350" t="n"/>
      <c r="F344" s="346" t="n"/>
      <c r="G344" s="343" t="n"/>
      <c r="H344" s="343" t="n"/>
      <c r="I344" s="350" t="n"/>
      <c r="J344" s="350" t="n"/>
      <c r="K344" s="350" t="n"/>
      <c r="L344" s="350" t="n"/>
      <c r="M344" s="348" t="n"/>
      <c r="N344" s="350" t="n"/>
      <c r="O344" s="350" t="n"/>
      <c r="P344" s="350" t="n"/>
      <c r="Q344" s="350" t="n"/>
      <c r="R344" s="351" t="n"/>
      <c r="S344" s="351" t="n"/>
      <c r="T344" s="351" t="n"/>
      <c r="U344" s="351" t="n"/>
      <c r="V344" s="351" t="n"/>
      <c r="W344" s="351" t="n"/>
      <c r="X344" s="351" t="n"/>
    </row>
    <row r="345" ht="15.5" customHeight="1" s="297">
      <c r="B345" s="352" t="n">
        <v>45481</v>
      </c>
      <c r="C345" s="353" t="n">
        <v>5</v>
      </c>
      <c r="D345" s="354" t="inlineStr">
        <is>
          <t>Airplane Ticket CGK-KLIA</t>
        </is>
      </c>
      <c r="E345" s="354" t="inlineStr">
        <is>
          <t>-</t>
        </is>
      </c>
      <c r="F345" s="355" t="n">
        <v>4912100</v>
      </c>
      <c r="G345" s="353" t="inlineStr">
        <is>
          <t>IDR</t>
        </is>
      </c>
      <c r="H345" s="381" t="n">
        <v>1</v>
      </c>
      <c r="I345" s="363" t="n">
        <v>4912100</v>
      </c>
      <c r="J345" s="354" t="n"/>
      <c r="K345" s="354" t="n"/>
      <c r="L345" s="354" t="n"/>
      <c r="M345" s="360" t="n"/>
      <c r="N345" s="354" t="n"/>
      <c r="O345" s="354" t="n"/>
      <c r="P345" s="360" t="n"/>
      <c r="Q345" s="354" t="n"/>
      <c r="R345" s="354" t="n"/>
      <c r="S345" s="354" t="n"/>
      <c r="T345" s="354" t="n"/>
      <c r="U345" s="354" t="n"/>
      <c r="V345" s="354" t="n"/>
      <c r="W345" s="354" t="n"/>
      <c r="X345" s="354" t="n"/>
    </row>
    <row r="346" ht="15.5" customHeight="1" s="297">
      <c r="B346" s="352" t="n">
        <v>45481</v>
      </c>
      <c r="C346" s="353" t="n">
        <v>6</v>
      </c>
      <c r="D346" s="354" t="inlineStr">
        <is>
          <t>Taxi Home - CGK</t>
        </is>
      </c>
      <c r="E346" s="354" t="inlineStr">
        <is>
          <t>-</t>
        </is>
      </c>
      <c r="F346" s="355" t="n">
        <v>250000</v>
      </c>
      <c r="G346" s="353" t="inlineStr">
        <is>
          <t>IDR</t>
        </is>
      </c>
      <c r="H346" s="381" t="n">
        <v>1</v>
      </c>
      <c r="I346" s="363" t="n">
        <v>250000</v>
      </c>
      <c r="J346" s="354" t="n"/>
      <c r="K346" s="354" t="n"/>
      <c r="L346" s="354" t="n"/>
      <c r="M346" s="359" t="n"/>
      <c r="N346" s="354" t="n"/>
      <c r="O346" s="354" t="n"/>
      <c r="P346" s="360" t="n"/>
      <c r="Q346" s="354" t="n"/>
      <c r="R346" s="354" t="n"/>
      <c r="S346" s="354" t="n"/>
      <c r="T346" s="354" t="n"/>
      <c r="U346" s="354" t="n"/>
      <c r="V346" s="354" t="n"/>
      <c r="W346" s="354" t="n"/>
      <c r="X346" s="354" t="n"/>
    </row>
    <row r="347" ht="15.5" customHeight="1" s="297">
      <c r="B347" s="352" t="n">
        <v>45481</v>
      </c>
      <c r="C347" s="353" t="n">
        <v>7</v>
      </c>
      <c r="D347" s="354" t="inlineStr">
        <is>
          <t>Taxi KLIA - Hotel</t>
        </is>
      </c>
      <c r="E347" s="354" t="inlineStr">
        <is>
          <t>-</t>
        </is>
      </c>
      <c r="F347" s="355" t="n">
        <v>249264</v>
      </c>
      <c r="G347" s="353" t="inlineStr">
        <is>
          <t>MYR</t>
        </is>
      </c>
      <c r="H347" s="381" t="n">
        <v>3462</v>
      </c>
      <c r="I347" s="363" t="n">
        <v>249264</v>
      </c>
      <c r="J347" s="354" t="n"/>
      <c r="K347" s="354" t="n"/>
      <c r="L347" s="354" t="n"/>
      <c r="M347" s="359" t="n"/>
      <c r="N347" s="354" t="n"/>
      <c r="O347" s="354" t="n"/>
      <c r="P347" s="360" t="n"/>
      <c r="Q347" s="354" t="n"/>
      <c r="R347" s="354" t="n"/>
      <c r="S347" s="354" t="n"/>
      <c r="T347" s="354" t="n"/>
      <c r="U347" s="354" t="n"/>
      <c r="V347" s="354" t="n"/>
      <c r="W347" s="354" t="n"/>
      <c r="X347" s="354" t="n"/>
    </row>
    <row r="348" ht="15.5" customHeight="1" s="297">
      <c r="B348" s="352" t="n">
        <v>45482</v>
      </c>
      <c r="C348" s="353" t="n">
        <v>8</v>
      </c>
      <c r="D348" s="354" t="inlineStr">
        <is>
          <t>Taxi Hyperseal - Hotel</t>
        </is>
      </c>
      <c r="E348" s="354" t="inlineStr">
        <is>
          <t>-</t>
        </is>
      </c>
      <c r="F348" s="355" t="n">
        <v>27696</v>
      </c>
      <c r="G348" s="353" t="inlineStr">
        <is>
          <t>MYR</t>
        </is>
      </c>
      <c r="H348" s="381" t="n">
        <v>3462</v>
      </c>
      <c r="I348" s="363" t="n">
        <v>27696</v>
      </c>
      <c r="J348" s="354" t="n"/>
      <c r="K348" s="354" t="n"/>
      <c r="L348" s="354" t="n"/>
      <c r="M348" s="359" t="n"/>
      <c r="N348" s="354" t="n"/>
      <c r="O348" s="354" t="n"/>
      <c r="P348" s="360" t="n"/>
      <c r="Q348" s="354" t="n"/>
      <c r="R348" s="354" t="n"/>
      <c r="S348" s="354" t="n"/>
      <c r="T348" s="354" t="n"/>
      <c r="U348" s="354" t="n"/>
      <c r="V348" s="354" t="n"/>
      <c r="W348" s="354" t="n"/>
      <c r="X348" s="354" t="n"/>
    </row>
    <row r="349" ht="15.5" customHeight="1" s="297">
      <c r="B349" s="382" t="n">
        <v>45482</v>
      </c>
      <c r="C349" s="353" t="n">
        <v>9</v>
      </c>
      <c r="D349" s="383" t="inlineStr">
        <is>
          <t>Taxi Hotel - KLIA</t>
        </is>
      </c>
      <c r="E349" s="383" t="inlineStr">
        <is>
          <t>-</t>
        </is>
      </c>
      <c r="F349" s="363" t="n">
        <v>283987.86</v>
      </c>
      <c r="G349" s="353" t="inlineStr">
        <is>
          <t>MYR</t>
        </is>
      </c>
      <c r="H349" s="381" t="n">
        <v>3462</v>
      </c>
      <c r="I349" s="358" t="n">
        <v>283987.86</v>
      </c>
      <c r="J349" s="354" t="n"/>
      <c r="K349" s="354" t="n"/>
      <c r="L349" s="354" t="n"/>
      <c r="M349" s="359" t="n"/>
      <c r="N349" s="354" t="n"/>
      <c r="O349" s="354" t="n"/>
      <c r="P349" s="354" t="n"/>
      <c r="Q349" s="354" t="n"/>
      <c r="R349" s="354" t="n"/>
      <c r="S349" s="354" t="n"/>
      <c r="T349" s="354" t="n"/>
      <c r="U349" s="354" t="n"/>
      <c r="V349" s="354" t="n"/>
      <c r="W349" s="354" t="n"/>
      <c r="X349" s="354" t="n"/>
    </row>
    <row r="350" ht="15.5" customHeight="1" s="297">
      <c r="B350" s="352" t="n">
        <v>45482</v>
      </c>
      <c r="C350" s="353" t="n">
        <v>10</v>
      </c>
      <c r="D350" s="354" t="inlineStr">
        <is>
          <t>Taxi CGK - Home</t>
        </is>
      </c>
      <c r="E350" s="354" t="inlineStr">
        <is>
          <t>-</t>
        </is>
      </c>
      <c r="F350" s="355" t="n">
        <v>259120</v>
      </c>
      <c r="G350" s="353" t="inlineStr">
        <is>
          <t>IDR</t>
        </is>
      </c>
      <c r="H350" s="381" t="n">
        <v>1</v>
      </c>
      <c r="I350" s="358" t="n">
        <v>259120</v>
      </c>
      <c r="J350" s="354" t="n"/>
      <c r="K350" s="354" t="n"/>
      <c r="L350" s="354" t="n"/>
      <c r="M350" s="359" t="n"/>
      <c r="N350" s="354" t="n"/>
      <c r="O350" s="354" t="n"/>
      <c r="P350" s="354" t="n"/>
      <c r="Q350" s="354" t="n"/>
      <c r="R350" s="354" t="n"/>
      <c r="S350" s="354" t="n"/>
      <c r="T350" s="354" t="n"/>
      <c r="U350" s="354" t="n"/>
      <c r="V350" s="354" t="n"/>
      <c r="W350" s="354" t="n"/>
      <c r="X350" s="354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3" t="n"/>
      <c r="D352" s="344" t="inlineStr">
        <is>
          <t>Medical</t>
        </is>
      </c>
      <c r="E352" s="345" t="n"/>
      <c r="F352" s="346" t="n"/>
      <c r="G352" s="343" t="n"/>
      <c r="H352" s="343" t="n"/>
      <c r="I352" s="348" t="n"/>
      <c r="J352" s="350" t="n"/>
      <c r="K352" s="350" t="n"/>
      <c r="L352" s="350" t="n"/>
      <c r="M352" s="348" t="n"/>
      <c r="N352" s="350" t="n"/>
      <c r="O352" s="350" t="n"/>
      <c r="P352" s="350" t="n"/>
      <c r="Q352" s="350" t="n"/>
      <c r="R352" s="351" t="n"/>
      <c r="S352" s="351" t="n"/>
      <c r="T352" s="351" t="n"/>
      <c r="U352" s="351" t="n"/>
      <c r="V352" s="351" t="n"/>
      <c r="W352" s="351" t="n"/>
      <c r="X352" s="351" t="n"/>
    </row>
    <row r="353" ht="15.5" customHeight="1" s="297">
      <c r="B353" s="369" t="n">
        <v>45446</v>
      </c>
      <c r="C353" s="353" t="n">
        <v>1</v>
      </c>
      <c r="D353" s="354" t="inlineStr">
        <is>
          <t>Konsultasi Spesialis Penyakit Dalam</t>
        </is>
      </c>
      <c r="E353" s="354" t="inlineStr">
        <is>
          <t>-</t>
        </is>
      </c>
      <c r="F353" s="355" t="n">
        <v>206000</v>
      </c>
      <c r="G353" s="353" t="inlineStr">
        <is>
          <t>IDR</t>
        </is>
      </c>
      <c r="H353" s="381" t="n">
        <v>1</v>
      </c>
      <c r="I353" s="359" t="n"/>
      <c r="J353" s="354" t="n"/>
      <c r="K353" s="354" t="n"/>
      <c r="L353" s="354" t="n"/>
      <c r="M353" s="354" t="n"/>
      <c r="N353" s="354" t="n"/>
      <c r="O353" s="354" t="n"/>
      <c r="P353" s="363" t="n">
        <v>206000</v>
      </c>
      <c r="Q353" s="354" t="n"/>
      <c r="R353" s="354" t="n"/>
      <c r="S353" s="354" t="n"/>
      <c r="T353" s="354" t="n"/>
      <c r="U353" s="354" t="n"/>
      <c r="V353" s="354" t="n"/>
      <c r="W353" s="354" t="n"/>
      <c r="X353" s="354" t="n"/>
    </row>
    <row r="354" ht="15.5" customHeight="1" s="297">
      <c r="B354" s="413" t="n">
        <v>45446</v>
      </c>
      <c r="C354" s="353" t="n">
        <v>2</v>
      </c>
      <c r="D354" s="361" t="inlineStr">
        <is>
          <t>Unit Labolatorium</t>
        </is>
      </c>
      <c r="E354" s="361" t="inlineStr">
        <is>
          <t>-</t>
        </is>
      </c>
      <c r="F354" s="355" t="n">
        <v>1474000</v>
      </c>
      <c r="G354" s="353" t="inlineStr">
        <is>
          <t>IDR</t>
        </is>
      </c>
      <c r="H354" s="381" t="n">
        <v>1</v>
      </c>
      <c r="I354" s="359" t="n"/>
      <c r="J354" s="354" t="n"/>
      <c r="K354" s="354" t="n"/>
      <c r="L354" s="354" t="n"/>
      <c r="M354" s="354" t="n"/>
      <c r="N354" s="354" t="n"/>
      <c r="O354" s="354" t="n"/>
      <c r="P354" s="363" t="n">
        <v>1474000</v>
      </c>
      <c r="Q354" s="354" t="n"/>
      <c r="R354" s="354" t="n"/>
      <c r="S354" s="354" t="n"/>
      <c r="T354" s="354" t="n"/>
      <c r="U354" s="354" t="n"/>
      <c r="V354" s="354" t="n"/>
      <c r="W354" s="354" t="n"/>
      <c r="X354" s="354" t="n"/>
    </row>
    <row r="355" ht="15.5" customHeight="1" s="297">
      <c r="B355" s="369" t="n">
        <v>45453</v>
      </c>
      <c r="C355" s="353" t="n">
        <v>3</v>
      </c>
      <c r="D355" s="361" t="inlineStr">
        <is>
          <t>Konsultasi Spesialis Penyakit Dalam</t>
        </is>
      </c>
      <c r="E355" s="361" t="inlineStr">
        <is>
          <t>-</t>
        </is>
      </c>
      <c r="F355" s="355" t="n">
        <v>206000</v>
      </c>
      <c r="G355" s="353" t="inlineStr">
        <is>
          <t>IDR</t>
        </is>
      </c>
      <c r="H355" s="381" t="n">
        <v>1</v>
      </c>
      <c r="I355" s="359" t="n"/>
      <c r="J355" s="354" t="n"/>
      <c r="K355" s="354" t="n"/>
      <c r="L355" s="354" t="n"/>
      <c r="M355" s="354" t="n"/>
      <c r="N355" s="354" t="n"/>
      <c r="O355" s="354" t="n"/>
      <c r="P355" s="363" t="n">
        <v>206000</v>
      </c>
      <c r="Q355" s="354" t="n"/>
      <c r="R355" s="354" t="n"/>
      <c r="S355" s="354" t="n"/>
      <c r="T355" s="354" t="n"/>
      <c r="U355" s="354" t="n"/>
      <c r="V355" s="354" t="n"/>
      <c r="W355" s="354" t="n"/>
      <c r="X355" s="354" t="n"/>
    </row>
    <row r="356" ht="15.5" customHeight="1" s="297">
      <c r="B356" s="369" t="n">
        <v>45453</v>
      </c>
      <c r="C356" s="353" t="n">
        <v>4</v>
      </c>
      <c r="D356" s="361" t="inlineStr">
        <is>
          <t>Farmasi</t>
        </is>
      </c>
      <c r="E356" s="361" t="inlineStr">
        <is>
          <t>-</t>
        </is>
      </c>
      <c r="F356" s="355" t="n">
        <v>109000</v>
      </c>
      <c r="G356" s="353" t="inlineStr">
        <is>
          <t>IDR</t>
        </is>
      </c>
      <c r="H356" s="381" t="n">
        <v>1</v>
      </c>
      <c r="I356" s="359" t="n"/>
      <c r="J356" s="354" t="n"/>
      <c r="K356" s="354" t="n"/>
      <c r="L356" s="354" t="n"/>
      <c r="M356" s="354" t="n"/>
      <c r="N356" s="354" t="n"/>
      <c r="O356" s="354" t="n"/>
      <c r="P356" s="363" t="n">
        <v>109000</v>
      </c>
      <c r="Q356" s="354" t="n"/>
      <c r="R356" s="354" t="n"/>
      <c r="S356" s="354" t="n"/>
      <c r="T356" s="354" t="n"/>
      <c r="U356" s="354" t="n"/>
      <c r="V356" s="354" t="n"/>
      <c r="W356" s="354" t="n"/>
      <c r="X356" s="354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3" t="n"/>
      <c r="D358" s="365" t="inlineStr">
        <is>
          <t>Accommodation</t>
        </is>
      </c>
      <c r="E358" s="366" t="n"/>
      <c r="F358" s="346" t="n"/>
      <c r="G358" s="343" t="n"/>
      <c r="H358" s="343" t="n"/>
      <c r="I358" s="348" t="n"/>
      <c r="J358" s="350" t="n"/>
      <c r="K358" s="350" t="n"/>
      <c r="L358" s="350" t="n"/>
      <c r="M358" s="350" t="n"/>
      <c r="N358" s="348" t="n"/>
      <c r="O358" s="350" t="n"/>
      <c r="P358" s="350" t="n"/>
      <c r="Q358" s="350" t="n"/>
      <c r="R358" s="351" t="n"/>
      <c r="S358" s="351" t="n"/>
      <c r="T358" s="351" t="n"/>
      <c r="U358" s="351" t="n"/>
      <c r="V358" s="351" t="n"/>
      <c r="W358" s="351" t="n"/>
      <c r="X358" s="351" t="n"/>
    </row>
    <row r="359" ht="15.5" customHeight="1" s="297">
      <c r="B359" s="369" t="n">
        <v>45500</v>
      </c>
      <c r="C359" s="353" t="n">
        <v>1</v>
      </c>
      <c r="D359" s="361" t="inlineStr">
        <is>
          <t>Lodge 21-27 Jul 2024 (3 rooms)</t>
        </is>
      </c>
      <c r="E359" s="361" t="inlineStr">
        <is>
          <t>-</t>
        </is>
      </c>
      <c r="F359" s="355" t="n">
        <v>2160000</v>
      </c>
      <c r="G359" s="353" t="inlineStr">
        <is>
          <t>IDR</t>
        </is>
      </c>
      <c r="H359" s="381" t="n">
        <v>1</v>
      </c>
      <c r="I359" s="358" t="n">
        <v>2160000</v>
      </c>
      <c r="J359" s="354" t="n"/>
      <c r="K359" s="354" t="n"/>
      <c r="L359" s="354" t="n"/>
      <c r="M359" s="354" t="n"/>
      <c r="N359" s="359" t="n"/>
      <c r="O359" s="354" t="n"/>
      <c r="P359" s="354" t="n"/>
      <c r="Q359" s="354" t="n"/>
      <c r="R359" s="354" t="n"/>
      <c r="S359" s="354" t="n"/>
      <c r="T359" s="354" t="n"/>
      <c r="U359" s="354" t="n"/>
      <c r="V359" s="354" t="n"/>
      <c r="W359" s="354" t="n"/>
      <c r="X359" s="354" t="n"/>
    </row>
    <row r="360" ht="15.5" customHeight="1" s="297">
      <c r="B360" s="384" t="n"/>
      <c r="C360" s="343" t="n"/>
      <c r="D360" s="365" t="inlineStr">
        <is>
          <t>Allowance</t>
        </is>
      </c>
      <c r="E360" s="432" t="n"/>
      <c r="F360" s="346" t="n"/>
      <c r="G360" s="343" t="n"/>
      <c r="H360" s="343" t="n"/>
      <c r="I360" s="348" t="n"/>
      <c r="J360" s="350" t="n"/>
      <c r="K360" s="350" t="n"/>
      <c r="L360" s="350" t="n"/>
      <c r="M360" s="350" t="n"/>
      <c r="N360" s="348" t="n"/>
      <c r="O360" s="350" t="n"/>
      <c r="P360" s="350" t="n"/>
      <c r="Q360" s="350" t="n"/>
      <c r="R360" s="351" t="n"/>
      <c r="S360" s="351" t="n"/>
      <c r="T360" s="351" t="n"/>
      <c r="U360" s="351" t="n"/>
      <c r="V360" s="351" t="n"/>
      <c r="W360" s="351" t="n"/>
      <c r="X360" s="351" t="n"/>
    </row>
    <row r="361" ht="15.5" customHeight="1" s="297">
      <c r="B361" s="369" t="n">
        <v>45500</v>
      </c>
      <c r="C361" s="353" t="n">
        <v>2</v>
      </c>
      <c r="D361" s="354" t="inlineStr">
        <is>
          <t>Uang Makan (21 - 27 Juli 2024)</t>
        </is>
      </c>
      <c r="E361" s="354" t="inlineStr">
        <is>
          <t>-</t>
        </is>
      </c>
      <c r="F361" s="355" t="n">
        <v>1050000</v>
      </c>
      <c r="G361" s="353" t="inlineStr">
        <is>
          <t>IDR</t>
        </is>
      </c>
      <c r="H361" s="381" t="n">
        <v>1</v>
      </c>
      <c r="I361" s="358" t="n">
        <v>1050000</v>
      </c>
      <c r="J361" s="354" t="n"/>
      <c r="K361" s="354" t="n"/>
      <c r="L361" s="354" t="n"/>
      <c r="M361" s="354" t="n"/>
      <c r="N361" s="359" t="n"/>
      <c r="O361" s="354" t="n"/>
      <c r="P361" s="354" t="n"/>
      <c r="Q361" s="354" t="n"/>
      <c r="R361" s="354" t="n"/>
      <c r="S361" s="354" t="n"/>
      <c r="T361" s="354" t="n"/>
      <c r="U361" s="354" t="n"/>
      <c r="V361" s="354" t="n"/>
      <c r="W361" s="354" t="n"/>
      <c r="X361" s="354" t="n"/>
    </row>
    <row r="362" ht="15.5" customHeight="1" s="297">
      <c r="B362" s="369" t="n">
        <v>45500</v>
      </c>
      <c r="C362" s="353" t="n">
        <v>3</v>
      </c>
      <c r="D362" s="361" t="inlineStr">
        <is>
          <t>Tunajngan Lapangan JRK-163 (21-27 Juli 2024). 1US$=16.200</t>
        </is>
      </c>
      <c r="E362" s="361" t="inlineStr">
        <is>
          <t>-</t>
        </is>
      </c>
      <c r="F362" s="355" t="n">
        <v>700</v>
      </c>
      <c r="G362" s="353" t="inlineStr">
        <is>
          <t>IDR</t>
        </is>
      </c>
      <c r="H362" s="381" t="n">
        <v>16200</v>
      </c>
      <c r="I362" s="363" t="n">
        <v>700</v>
      </c>
      <c r="J362" s="354" t="n"/>
      <c r="K362" s="354" t="n"/>
      <c r="L362" s="354" t="n"/>
      <c r="M362" s="354" t="n"/>
      <c r="N362" s="354" t="n"/>
      <c r="O362" s="354" t="n"/>
      <c r="P362" s="354" t="n"/>
      <c r="Q362" s="354" t="n"/>
      <c r="R362" s="354" t="n"/>
      <c r="S362" s="354" t="n"/>
      <c r="T362" s="354" t="n"/>
      <c r="U362" s="354" t="n"/>
      <c r="V362" s="354" t="n"/>
      <c r="W362" s="354" t="n"/>
      <c r="X362" s="354" t="n"/>
    </row>
    <row r="363" ht="15.5" customHeight="1" s="297">
      <c r="B363" s="384" t="n"/>
      <c r="C363" s="343" t="n"/>
      <c r="D363" s="365" t="inlineStr">
        <is>
          <t>Laundry</t>
        </is>
      </c>
      <c r="E363" s="366" t="n"/>
      <c r="F363" s="346" t="n"/>
      <c r="G363" s="343" t="n"/>
      <c r="H363" s="343" t="n"/>
      <c r="I363" s="349" t="n"/>
      <c r="J363" s="350" t="n"/>
      <c r="K363" s="350" t="n"/>
      <c r="L363" s="350" t="n"/>
      <c r="M363" s="348" t="n"/>
      <c r="N363" s="350" t="n"/>
      <c r="O363" s="350" t="n"/>
      <c r="P363" s="350" t="n"/>
      <c r="Q363" s="350" t="n"/>
      <c r="R363" s="351" t="n"/>
      <c r="S363" s="351" t="n"/>
      <c r="T363" s="351" t="n"/>
      <c r="U363" s="351" t="n"/>
      <c r="V363" s="351" t="n"/>
      <c r="W363" s="351" t="n"/>
      <c r="X363" s="351" t="n"/>
    </row>
    <row r="364" ht="15.5" customHeight="1" s="297">
      <c r="B364" s="369" t="n">
        <v>45500</v>
      </c>
      <c r="C364" s="353" t="n">
        <v>4</v>
      </c>
      <c r="D364" s="361" t="inlineStr">
        <is>
          <t>Laundry (21 - 27 Juli 2024)</t>
        </is>
      </c>
      <c r="E364" s="361" t="inlineStr">
        <is>
          <t>-</t>
        </is>
      </c>
      <c r="F364" s="355" t="n">
        <v>350000</v>
      </c>
      <c r="G364" s="353" t="inlineStr">
        <is>
          <t>IDR</t>
        </is>
      </c>
      <c r="H364" s="381" t="n">
        <v>1</v>
      </c>
      <c r="I364" s="363" t="n">
        <v>350000</v>
      </c>
      <c r="J364" s="354" t="n"/>
      <c r="K364" s="354" t="n"/>
      <c r="L364" s="354" t="n"/>
      <c r="M364" s="354" t="n"/>
      <c r="N364" s="354" t="n"/>
      <c r="O364" s="354" t="n"/>
      <c r="P364" s="354" t="n"/>
      <c r="Q364" s="354" t="n"/>
      <c r="R364" s="354" t="n"/>
      <c r="S364" s="354" t="n"/>
      <c r="T364" s="354" t="n"/>
      <c r="U364" s="354" t="n"/>
      <c r="V364" s="354" t="n"/>
      <c r="W364" s="354" t="n"/>
      <c r="X364" s="354" t="n"/>
    </row>
    <row r="365" ht="15.5" customHeight="1" s="297">
      <c r="B365" s="384" t="n"/>
      <c r="C365" s="343" t="n"/>
      <c r="D365" s="365" t="inlineStr">
        <is>
          <t>Operation</t>
        </is>
      </c>
      <c r="E365" s="366" t="n"/>
      <c r="F365" s="346" t="n"/>
      <c r="G365" s="343" t="n"/>
      <c r="H365" s="343" t="n"/>
      <c r="I365" s="430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51" t="n"/>
      <c r="S365" s="351" t="n"/>
      <c r="T365" s="351" t="n"/>
      <c r="U365" s="351" t="n"/>
      <c r="V365" s="351" t="n"/>
      <c r="W365" s="351" t="n"/>
      <c r="X365" s="351" t="n"/>
    </row>
    <row r="366" ht="15.5" customHeight="1" s="297">
      <c r="B366" s="369" t="n">
        <v>45495</v>
      </c>
      <c r="C366" s="353" t="n">
        <v>5</v>
      </c>
      <c r="D366" s="361" t="inlineStr">
        <is>
          <t>Rags - Gloves</t>
        </is>
      </c>
      <c r="E366" s="361" t="inlineStr">
        <is>
          <t>-</t>
        </is>
      </c>
      <c r="F366" s="355" t="n">
        <v>70000</v>
      </c>
      <c r="G366" s="353" t="inlineStr">
        <is>
          <t>IDR</t>
        </is>
      </c>
      <c r="H366" s="381" t="n">
        <v>1</v>
      </c>
      <c r="I366" s="354" t="n"/>
      <c r="J366" s="354" t="n"/>
      <c r="K366" s="354" t="n"/>
      <c r="L366" s="354" t="n"/>
      <c r="M366" s="354" t="n"/>
      <c r="N366" s="363" t="n">
        <v>70000</v>
      </c>
      <c r="O366" s="354" t="n"/>
      <c r="P366" s="354" t="n"/>
      <c r="Q366" s="354" t="n"/>
      <c r="R366" s="354" t="n"/>
      <c r="S366" s="354" t="n"/>
      <c r="T366" s="354" t="n"/>
      <c r="U366" s="354" t="n"/>
      <c r="V366" s="354" t="n"/>
      <c r="W366" s="354" t="n"/>
      <c r="X366" s="354" t="n"/>
    </row>
    <row r="367" ht="15.5" customHeight="1" s="297">
      <c r="B367" s="369" t="n">
        <v>45498</v>
      </c>
      <c r="C367" s="353" t="n">
        <v>6</v>
      </c>
      <c r="D367" s="361" t="inlineStr">
        <is>
          <t>Snacks</t>
        </is>
      </c>
      <c r="E367" s="361" t="inlineStr">
        <is>
          <t>-</t>
        </is>
      </c>
      <c r="F367" s="355" t="n">
        <v>195000</v>
      </c>
      <c r="G367" s="353" t="inlineStr">
        <is>
          <t>IDR</t>
        </is>
      </c>
      <c r="H367" s="381" t="n">
        <v>1</v>
      </c>
      <c r="I367" s="360" t="n"/>
      <c r="J367" s="354" t="n"/>
      <c r="K367" s="354" t="n"/>
      <c r="L367" s="354" t="n"/>
      <c r="M367" s="354" t="n"/>
      <c r="N367" s="363" t="n">
        <v>195000</v>
      </c>
      <c r="O367" s="354" t="n"/>
      <c r="P367" s="354" t="n"/>
      <c r="Q367" s="354" t="n"/>
      <c r="R367" s="354" t="n"/>
      <c r="S367" s="354" t="n"/>
      <c r="T367" s="354" t="n"/>
      <c r="U367" s="354" t="n"/>
      <c r="V367" s="354" t="n"/>
      <c r="W367" s="354" t="n"/>
      <c r="X367" s="354" t="n"/>
    </row>
    <row r="368" ht="15.5" customHeight="1" s="297">
      <c r="B368" s="369" t="n">
        <v>45498</v>
      </c>
      <c r="C368" s="353" t="n">
        <v>7</v>
      </c>
      <c r="D368" s="361" t="inlineStr">
        <is>
          <t>Battery for DTR (Spare)</t>
        </is>
      </c>
      <c r="E368" s="361" t="inlineStr">
        <is>
          <t>-</t>
        </is>
      </c>
      <c r="F368" s="355" t="n">
        <v>38900</v>
      </c>
      <c r="G368" s="353" t="inlineStr">
        <is>
          <t>IDR</t>
        </is>
      </c>
      <c r="H368" s="381" t="n">
        <v>1</v>
      </c>
      <c r="I368" s="360" t="n"/>
      <c r="J368" s="354" t="n"/>
      <c r="K368" s="354" t="n"/>
      <c r="L368" s="354" t="n"/>
      <c r="M368" s="354" t="n"/>
      <c r="N368" s="363" t="n">
        <v>38900</v>
      </c>
      <c r="O368" s="354" t="n"/>
      <c r="P368" s="354" t="n"/>
      <c r="Q368" s="354" t="n"/>
      <c r="R368" s="354" t="n"/>
      <c r="S368" s="354" t="n"/>
      <c r="T368" s="354" t="n"/>
      <c r="U368" s="354" t="n"/>
      <c r="V368" s="354" t="n"/>
      <c r="W368" s="354" t="n"/>
      <c r="X368" s="354" t="n"/>
    </row>
    <row r="369" ht="15.5" customHeight="1" s="297">
      <c r="B369" s="384" t="n"/>
      <c r="C369" s="343" t="n"/>
      <c r="D369" s="422" t="inlineStr">
        <is>
          <t>Transportation</t>
        </is>
      </c>
      <c r="E369" s="423" t="n"/>
      <c r="F369" s="346" t="n"/>
      <c r="G369" s="343" t="n"/>
      <c r="H369" s="343" t="n"/>
      <c r="I369" s="349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51" t="n"/>
      <c r="S369" s="351" t="n"/>
      <c r="T369" s="351" t="n"/>
      <c r="U369" s="351" t="n"/>
      <c r="V369" s="351" t="n"/>
      <c r="W369" s="351" t="n"/>
      <c r="X369" s="351" t="n"/>
    </row>
    <row r="370" ht="15.5" customHeight="1" s="297">
      <c r="B370" s="369" t="n">
        <v>45494</v>
      </c>
      <c r="C370" s="353" t="n">
        <v>8</v>
      </c>
      <c r="D370" s="426" t="inlineStr">
        <is>
          <t>Jakarta - Palembang</t>
        </is>
      </c>
      <c r="E370" s="426" t="inlineStr">
        <is>
          <t>-</t>
        </is>
      </c>
      <c r="F370" s="355" t="n">
        <v>985367</v>
      </c>
      <c r="G370" s="353" t="inlineStr">
        <is>
          <t>IDR</t>
        </is>
      </c>
      <c r="H370" s="381" t="n">
        <v>1</v>
      </c>
      <c r="I370" s="363" t="n">
        <v>985367</v>
      </c>
      <c r="J370" s="354" t="n"/>
      <c r="K370" s="354" t="n"/>
      <c r="L370" s="354" t="n"/>
      <c r="M370" s="354" t="n"/>
      <c r="N370" s="354" t="n"/>
      <c r="O370" s="354" t="n"/>
      <c r="P370" s="354" t="n"/>
      <c r="Q370" s="354" t="n"/>
      <c r="R370" s="354" t="n"/>
      <c r="S370" s="354" t="n"/>
      <c r="T370" s="354" t="n"/>
      <c r="U370" s="354" t="n"/>
      <c r="V370" s="354" t="n"/>
      <c r="W370" s="354" t="n"/>
      <c r="X370" s="354" t="n"/>
    </row>
    <row r="371" ht="15.5" customHeight="1" s="297">
      <c r="B371" s="369" t="n">
        <v>45494</v>
      </c>
      <c r="C371" s="353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5" t="n">
        <v>225520</v>
      </c>
      <c r="G371" s="353" t="inlineStr">
        <is>
          <t>IDR</t>
        </is>
      </c>
      <c r="H371" s="381" t="n">
        <v>1</v>
      </c>
      <c r="I371" s="363" t="n">
        <v>225520</v>
      </c>
      <c r="J371" s="354" t="n"/>
      <c r="K371" s="354" t="n"/>
      <c r="L371" s="354" t="n"/>
      <c r="M371" s="354" t="n"/>
      <c r="N371" s="360" t="n"/>
      <c r="O371" s="354" t="n"/>
      <c r="P371" s="354" t="n"/>
      <c r="Q371" s="354" t="n"/>
      <c r="R371" s="354" t="n"/>
      <c r="S371" s="354" t="n"/>
      <c r="T371" s="354" t="n"/>
      <c r="U371" s="354" t="n"/>
      <c r="V371" s="354" t="n"/>
      <c r="W371" s="354" t="n"/>
      <c r="X371" s="354" t="n"/>
    </row>
    <row r="372" ht="15.5" customHeight="1" s="297">
      <c r="B372" s="369" t="n">
        <v>45494</v>
      </c>
      <c r="C372" s="353" t="n">
        <v>10</v>
      </c>
      <c r="D372" s="426" t="inlineStr">
        <is>
          <t>fuel + tol PLM-Prabu</t>
        </is>
      </c>
      <c r="E372" s="426" t="inlineStr">
        <is>
          <t>-</t>
        </is>
      </c>
      <c r="F372" s="355" t="n">
        <v>292060</v>
      </c>
      <c r="G372" s="353" t="inlineStr">
        <is>
          <t>IDR</t>
        </is>
      </c>
      <c r="H372" s="381" t="n">
        <v>1</v>
      </c>
      <c r="I372" s="363" t="n">
        <v>292060</v>
      </c>
      <c r="J372" s="354" t="n"/>
      <c r="K372" s="354" t="n"/>
      <c r="L372" s="354" t="n"/>
      <c r="M372" s="354" t="n"/>
      <c r="N372" s="360" t="n"/>
      <c r="O372" s="354" t="n"/>
      <c r="P372" s="354" t="n"/>
      <c r="Q372" s="354" t="n"/>
      <c r="R372" s="354" t="n"/>
      <c r="S372" s="354" t="n"/>
      <c r="T372" s="354" t="n"/>
      <c r="U372" s="354" t="n"/>
      <c r="V372" s="354" t="n"/>
      <c r="W372" s="354" t="n"/>
      <c r="X372" s="354" t="n"/>
    </row>
    <row r="373" ht="15.5" customHeight="1" s="297">
      <c r="B373" s="369" t="n">
        <v>45494</v>
      </c>
      <c r="C373" s="353" t="n">
        <v>11</v>
      </c>
      <c r="D373" s="426" t="inlineStr">
        <is>
          <t>Jakarta - Palembang</t>
        </is>
      </c>
      <c r="E373" s="426" t="inlineStr">
        <is>
          <t>-</t>
        </is>
      </c>
      <c r="F373" s="355" t="n">
        <v>400000</v>
      </c>
      <c r="G373" s="353" t="inlineStr">
        <is>
          <t>IDR</t>
        </is>
      </c>
      <c r="H373" s="381" t="n">
        <v>1</v>
      </c>
      <c r="I373" s="363" t="n">
        <v>400000</v>
      </c>
      <c r="J373" s="354" t="n"/>
      <c r="K373" s="354" t="n"/>
      <c r="L373" s="354" t="n"/>
      <c r="M373" s="359" t="n"/>
      <c r="N373" s="360" t="n"/>
      <c r="O373" s="354" t="n"/>
      <c r="P373" s="354" t="n"/>
      <c r="Q373" s="354" t="n"/>
      <c r="R373" s="354" t="n"/>
      <c r="S373" s="354" t="n"/>
      <c r="T373" s="354" t="n"/>
      <c r="U373" s="354" t="n"/>
      <c r="V373" s="354" t="n"/>
      <c r="W373" s="354" t="n"/>
      <c r="X373" s="354" t="n"/>
    </row>
    <row r="374" ht="15.5" customHeight="1" s="297">
      <c r="B374" s="382" t="n">
        <v>45497</v>
      </c>
      <c r="C374" s="353" t="n">
        <v>12</v>
      </c>
      <c r="D374" s="383" t="inlineStr">
        <is>
          <t>fuel</t>
        </is>
      </c>
      <c r="E374" s="383" t="inlineStr">
        <is>
          <t>-</t>
        </is>
      </c>
      <c r="F374" s="363" t="n">
        <v>190430</v>
      </c>
      <c r="G374" s="353" t="inlineStr">
        <is>
          <t>IDR</t>
        </is>
      </c>
      <c r="H374" s="381" t="n">
        <v>1</v>
      </c>
      <c r="I374" s="363" t="n">
        <v>190430</v>
      </c>
      <c r="J374" s="354" t="n"/>
      <c r="K374" s="354" t="n"/>
      <c r="L374" s="354" t="n"/>
      <c r="M374" s="360" t="n"/>
      <c r="N374" s="354" t="n"/>
      <c r="O374" s="354" t="n"/>
      <c r="P374" s="354" t="n"/>
      <c r="Q374" s="354" t="n"/>
      <c r="R374" s="354" t="n"/>
      <c r="S374" s="354" t="n"/>
      <c r="T374" s="354" t="n"/>
      <c r="U374" s="354" t="n"/>
      <c r="V374" s="354" t="n"/>
      <c r="W374" s="354" t="n"/>
      <c r="X374" s="354" t="n"/>
    </row>
    <row r="375" ht="15.5" customHeight="1" s="297">
      <c r="B375" s="369" t="n">
        <v>45500</v>
      </c>
      <c r="C375" s="353" t="n">
        <v>13</v>
      </c>
      <c r="D375" s="361" t="inlineStr">
        <is>
          <t>Palembang - Jakarta + Extra Bagage</t>
        </is>
      </c>
      <c r="E375" s="361" t="inlineStr">
        <is>
          <t>-</t>
        </is>
      </c>
      <c r="F375" s="355" t="n">
        <v>1175717</v>
      </c>
      <c r="G375" s="353" t="inlineStr">
        <is>
          <t>IDR</t>
        </is>
      </c>
      <c r="H375" s="381" t="n">
        <v>1</v>
      </c>
      <c r="I375" s="363" t="n">
        <v>1175717</v>
      </c>
      <c r="J375" s="354" t="n"/>
      <c r="K375" s="354" t="n"/>
      <c r="L375" s="354" t="n"/>
      <c r="M375" s="359" t="n"/>
      <c r="N375" s="354" t="n"/>
      <c r="O375" s="354" t="n"/>
      <c r="P375" s="354" t="n"/>
      <c r="Q375" s="354" t="n"/>
      <c r="R375" s="354" t="n"/>
      <c r="S375" s="354" t="n"/>
      <c r="T375" s="354" t="n"/>
      <c r="U375" s="354" t="n"/>
      <c r="V375" s="354" t="n"/>
      <c r="W375" s="354" t="n"/>
      <c r="X375" s="354" t="n"/>
    </row>
    <row r="376" ht="15.5" customHeight="1" s="297">
      <c r="B376" s="369" t="n">
        <v>45500</v>
      </c>
      <c r="C376" s="353" t="n">
        <v>14</v>
      </c>
      <c r="D376" s="361" t="inlineStr">
        <is>
          <t>Tol Prabu - PLM + Fuel</t>
        </is>
      </c>
      <c r="E376" s="361" t="inlineStr">
        <is>
          <t>-</t>
        </is>
      </c>
      <c r="F376" s="355" t="n">
        <v>262000</v>
      </c>
      <c r="G376" s="353" t="inlineStr">
        <is>
          <t>IDR</t>
        </is>
      </c>
      <c r="H376" s="381" t="n">
        <v>1</v>
      </c>
      <c r="I376" s="363" t="n">
        <v>262000</v>
      </c>
      <c r="J376" s="354" t="n"/>
      <c r="K376" s="354" t="n"/>
      <c r="L376" s="354" t="n"/>
      <c r="M376" s="359" t="n"/>
      <c r="N376" s="354" t="n"/>
      <c r="O376" s="354" t="n"/>
      <c r="P376" s="354" t="n"/>
      <c r="Q376" s="354" t="n"/>
      <c r="R376" s="354" t="n"/>
      <c r="S376" s="354" t="n"/>
      <c r="T376" s="354" t="n"/>
      <c r="U376" s="354" t="n"/>
      <c r="V376" s="354" t="n"/>
      <c r="W376" s="354" t="n"/>
      <c r="X376" s="354" t="n"/>
    </row>
    <row r="377" ht="15.5" customHeight="1" s="297">
      <c r="B377" s="369" t="n">
        <v>45500</v>
      </c>
      <c r="C377" s="353" t="n">
        <v>15</v>
      </c>
      <c r="D377" s="361" t="inlineStr">
        <is>
          <t>Tol + Taxi From Airport Jakarta</t>
        </is>
      </c>
      <c r="E377" s="361" t="inlineStr">
        <is>
          <t>-</t>
        </is>
      </c>
      <c r="F377" s="355" t="n">
        <v>235000</v>
      </c>
      <c r="G377" s="353" t="inlineStr">
        <is>
          <t>IDR</t>
        </is>
      </c>
      <c r="H377" s="381" t="n">
        <v>1</v>
      </c>
      <c r="I377" s="363" t="n">
        <v>235000</v>
      </c>
      <c r="J377" s="354" t="n"/>
      <c r="K377" s="354" t="n"/>
      <c r="L377" s="354" t="n"/>
      <c r="M377" s="359" t="n"/>
      <c r="N377" s="354" t="n"/>
      <c r="O377" s="354" t="n"/>
      <c r="P377" s="354" t="n"/>
      <c r="Q377" s="354" t="n"/>
      <c r="R377" s="354" t="n"/>
      <c r="S377" s="354" t="n"/>
      <c r="T377" s="354" t="n"/>
      <c r="U377" s="354" t="n"/>
      <c r="V377" s="354" t="n"/>
      <c r="W377" s="354" t="n"/>
      <c r="X377" s="354" t="n"/>
    </row>
    <row r="378" ht="15.5" customHeight="1" s="297">
      <c r="B378" s="369" t="n">
        <v>45500</v>
      </c>
      <c r="C378" s="353" t="n">
        <v>16</v>
      </c>
      <c r="D378" s="361" t="inlineStr">
        <is>
          <t>Car rental 21 - 27 Jul 2024</t>
        </is>
      </c>
      <c r="E378" s="361" t="inlineStr">
        <is>
          <t>-</t>
        </is>
      </c>
      <c r="F378" s="355" t="n">
        <v>3500000</v>
      </c>
      <c r="G378" s="353" t="inlineStr">
        <is>
          <t>IDR</t>
        </is>
      </c>
      <c r="H378" s="381" t="n">
        <v>1</v>
      </c>
      <c r="I378" s="363" t="n">
        <v>3500000</v>
      </c>
      <c r="J378" s="354" t="n"/>
      <c r="K378" s="354" t="n"/>
      <c r="L378" s="354" t="n"/>
      <c r="M378" s="359" t="n"/>
      <c r="N378" s="354" t="n"/>
      <c r="O378" s="354" t="n"/>
      <c r="P378" s="354" t="n"/>
      <c r="Q378" s="354" t="n"/>
      <c r="R378" s="354" t="n"/>
      <c r="S378" s="354" t="n"/>
      <c r="T378" s="354" t="n"/>
      <c r="U378" s="354" t="n"/>
      <c r="V378" s="354" t="n"/>
      <c r="W378" s="354" t="n"/>
      <c r="X378" s="354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3" t="n"/>
      <c r="D380" s="365" t="inlineStr">
        <is>
          <t>Allowance</t>
        </is>
      </c>
      <c r="E380" s="432" t="n"/>
      <c r="F380" s="346" t="n"/>
      <c r="G380" s="343" t="n"/>
      <c r="H380" s="343" t="n"/>
      <c r="I380" s="350" t="n"/>
      <c r="J380" s="350" t="n"/>
      <c r="K380" s="350" t="n"/>
      <c r="L380" s="350" t="n"/>
      <c r="M380" s="348" t="n"/>
      <c r="N380" s="350" t="n"/>
      <c r="O380" s="350" t="n"/>
      <c r="P380" s="350" t="n"/>
      <c r="Q380" s="350" t="n"/>
      <c r="R380" s="351" t="n"/>
      <c r="S380" s="351" t="n"/>
      <c r="T380" s="351" t="n"/>
      <c r="U380" s="351" t="n"/>
      <c r="V380" s="351" t="n"/>
      <c r="W380" s="351" t="n"/>
      <c r="X380" s="351" t="n"/>
    </row>
    <row r="381" ht="15.5" customFormat="1" customHeight="1" s="122">
      <c r="B381" s="369" t="n">
        <v>45463</v>
      </c>
      <c r="C381" s="356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6" t="inlineStr">
        <is>
          <t>IDR</t>
        </is>
      </c>
      <c r="H381" s="357" t="n">
        <v>1</v>
      </c>
      <c r="I381" s="433" t="n">
        <v>600000</v>
      </c>
      <c r="J381" s="372" t="n"/>
      <c r="K381" s="372" t="n"/>
      <c r="L381" s="372" t="n"/>
      <c r="M381" s="434" t="n"/>
      <c r="N381" s="372" t="n"/>
      <c r="O381" s="372" t="n"/>
      <c r="P381" s="372" t="n"/>
      <c r="Q381" s="372" t="n"/>
      <c r="R381" s="354" t="n"/>
      <c r="S381" s="354" t="n"/>
      <c r="T381" s="354" t="n"/>
      <c r="U381" s="354" t="n"/>
      <c r="V381" s="354" t="n"/>
      <c r="W381" s="354" t="n"/>
      <c r="X381" s="354" t="n"/>
    </row>
    <row r="382" ht="15.5" customHeight="1" s="297">
      <c r="B382" s="369" t="n">
        <v>45463</v>
      </c>
      <c r="C382" s="353" t="n">
        <v>2</v>
      </c>
      <c r="D382" s="361" t="inlineStr">
        <is>
          <t>Laundry (16 - 19 June 2024) pending job /Job Postponed</t>
        </is>
      </c>
      <c r="E382" s="361" t="inlineStr">
        <is>
          <t>-</t>
        </is>
      </c>
      <c r="F382" s="355" t="n">
        <v>200000</v>
      </c>
      <c r="G382" s="353" t="inlineStr">
        <is>
          <t>IDR</t>
        </is>
      </c>
      <c r="H382" s="381" t="n">
        <v>1</v>
      </c>
      <c r="I382" s="363" t="n">
        <v>200000</v>
      </c>
      <c r="J382" s="354" t="n"/>
      <c r="K382" s="354" t="n"/>
      <c r="L382" s="354" t="n"/>
      <c r="M382" s="359" t="n"/>
      <c r="N382" s="354" t="n"/>
      <c r="O382" s="354" t="n"/>
      <c r="P382" s="354" t="n"/>
      <c r="Q382" s="354" t="n"/>
      <c r="R382" s="354" t="n"/>
      <c r="S382" s="354" t="n"/>
      <c r="T382" s="354" t="n"/>
      <c r="U382" s="354" t="n"/>
      <c r="V382" s="354" t="n"/>
      <c r="W382" s="354" t="n"/>
      <c r="X382" s="354" t="n"/>
    </row>
    <row r="383" ht="15.5" customHeight="1" s="297">
      <c r="B383" s="352" t="n">
        <v>45463</v>
      </c>
      <c r="C383" s="353" t="n">
        <v>3</v>
      </c>
      <c r="D383" s="354" t="inlineStr">
        <is>
          <t>Tunjangan LapanganJRK-163 (16 - 19 Juni 2024) pending job</t>
        </is>
      </c>
      <c r="E383" s="354" t="inlineStr">
        <is>
          <t>-</t>
        </is>
      </c>
      <c r="F383" s="370" t="n">
        <v>1630000</v>
      </c>
      <c r="G383" s="353" t="inlineStr">
        <is>
          <t>$</t>
        </is>
      </c>
      <c r="H383" s="381" t="n">
        <v>16300</v>
      </c>
      <c r="I383" s="363" t="n">
        <v>1630000</v>
      </c>
      <c r="J383" s="354" t="n"/>
      <c r="K383" s="354" t="n"/>
      <c r="L383" s="354" t="n"/>
      <c r="M383" s="354" t="n"/>
      <c r="N383" s="354" t="n"/>
      <c r="O383" s="354" t="n"/>
      <c r="P383" s="354" t="n"/>
      <c r="Q383" s="354" t="n"/>
      <c r="R383" s="354" t="n"/>
      <c r="S383" s="354" t="n"/>
      <c r="T383" s="354" t="n"/>
      <c r="U383" s="354" t="n"/>
      <c r="V383" s="354" t="n"/>
      <c r="W383" s="354" t="n"/>
      <c r="X383" s="354" t="n"/>
    </row>
    <row r="384" ht="15.5" customHeight="1" s="297">
      <c r="B384" s="369" t="n">
        <v>45501</v>
      </c>
      <c r="C384" s="353" t="n">
        <v>4</v>
      </c>
      <c r="D384" s="361" t="inlineStr">
        <is>
          <t>Uang makan (21 - 27 Juli 2024)</t>
        </is>
      </c>
      <c r="E384" s="361" t="inlineStr">
        <is>
          <t>-</t>
        </is>
      </c>
      <c r="F384" s="370" t="n">
        <v>1050000</v>
      </c>
      <c r="G384" s="353" t="inlineStr">
        <is>
          <t>IDR</t>
        </is>
      </c>
      <c r="H384" s="381" t="n">
        <v>1</v>
      </c>
      <c r="I384" s="363" t="n">
        <v>1050000</v>
      </c>
      <c r="J384" s="354" t="n"/>
      <c r="K384" s="354" t="n"/>
      <c r="L384" s="354" t="n"/>
      <c r="M384" s="354" t="n"/>
      <c r="N384" s="354" t="n"/>
      <c r="O384" s="354" t="n"/>
      <c r="P384" s="354" t="n"/>
      <c r="Q384" s="354" t="n"/>
      <c r="R384" s="354" t="n"/>
      <c r="S384" s="354" t="n"/>
      <c r="T384" s="354" t="n"/>
      <c r="U384" s="354" t="n"/>
      <c r="V384" s="354" t="n"/>
      <c r="W384" s="354" t="n"/>
      <c r="X384" s="354" t="n"/>
    </row>
    <row r="385" ht="15.5" customHeight="1" s="297">
      <c r="B385" s="369" t="n">
        <v>45501</v>
      </c>
      <c r="C385" s="353" t="n">
        <v>5</v>
      </c>
      <c r="D385" s="361" t="inlineStr">
        <is>
          <t>Laundry (21 - 27 Juli 2024)</t>
        </is>
      </c>
      <c r="E385" s="361" t="inlineStr">
        <is>
          <t>-</t>
        </is>
      </c>
      <c r="F385" s="370" t="n">
        <v>350000</v>
      </c>
      <c r="G385" s="353" t="inlineStr">
        <is>
          <t>IDR</t>
        </is>
      </c>
      <c r="H385" s="381" t="n">
        <v>1</v>
      </c>
      <c r="I385" s="363" t="n">
        <v>350000</v>
      </c>
      <c r="J385" s="354" t="n"/>
      <c r="K385" s="354" t="n"/>
      <c r="L385" s="354" t="n"/>
      <c r="M385" s="354" t="n"/>
      <c r="N385" s="354" t="n"/>
      <c r="O385" s="354" t="n"/>
      <c r="P385" s="354" t="n"/>
      <c r="Q385" s="354" t="n"/>
      <c r="R385" s="354" t="n"/>
      <c r="S385" s="354" t="n"/>
      <c r="T385" s="354" t="n"/>
      <c r="U385" s="354" t="n"/>
      <c r="V385" s="354" t="n"/>
      <c r="W385" s="354" t="n"/>
      <c r="X385" s="354" t="n"/>
    </row>
    <row r="386" ht="15.5" customHeight="1" s="297">
      <c r="B386" s="369" t="n">
        <v>45501</v>
      </c>
      <c r="C386" s="353" t="n">
        <v>6</v>
      </c>
      <c r="D386" s="361" t="inlineStr">
        <is>
          <t>Tunjangan Lapangan JRK-163 (21 - 27 Juli 2024)</t>
        </is>
      </c>
      <c r="E386" s="361" t="inlineStr">
        <is>
          <t>-</t>
        </is>
      </c>
      <c r="F386" s="370" t="n">
        <v>2852500</v>
      </c>
      <c r="G386" s="353" t="inlineStr">
        <is>
          <t>$</t>
        </is>
      </c>
      <c r="H386" s="381" t="n">
        <v>16300</v>
      </c>
      <c r="I386" s="363" t="n">
        <v>2852500</v>
      </c>
      <c r="J386" s="354" t="n"/>
      <c r="K386" s="354" t="n"/>
      <c r="L386" s="354" t="n"/>
      <c r="M386" s="354" t="n"/>
      <c r="N386" s="354" t="n"/>
      <c r="O386" s="354" t="n"/>
      <c r="P386" s="354" t="n"/>
      <c r="Q386" s="354" t="n"/>
      <c r="R386" s="354" t="n"/>
      <c r="S386" s="354" t="n"/>
      <c r="T386" s="354" t="n"/>
      <c r="U386" s="354" t="n"/>
      <c r="V386" s="354" t="n"/>
      <c r="W386" s="354" t="n"/>
      <c r="X386" s="354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3" t="n"/>
      <c r="D388" s="365" t="inlineStr">
        <is>
          <t>Allowance</t>
        </is>
      </c>
      <c r="E388" s="409" t="n"/>
      <c r="F388" s="368" t="n"/>
      <c r="G388" s="343" t="n"/>
      <c r="H388" s="343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51" t="n"/>
      <c r="S388" s="351" t="n"/>
      <c r="T388" s="351" t="n"/>
      <c r="U388" s="351" t="n"/>
      <c r="V388" s="351" t="n"/>
      <c r="W388" s="351" t="n"/>
      <c r="X388" s="351" t="n"/>
    </row>
    <row r="389" ht="15.5" customHeight="1" s="297">
      <c r="B389" s="369" t="n">
        <v>45512</v>
      </c>
      <c r="C389" s="353" t="n">
        <v>1</v>
      </c>
      <c r="D389" s="361" t="inlineStr">
        <is>
          <t>Tunjangan Lapangan for 10 days</t>
        </is>
      </c>
      <c r="E389" s="361" t="inlineStr">
        <is>
          <t>-</t>
        </is>
      </c>
      <c r="F389" s="370" t="n">
        <v>16100000</v>
      </c>
      <c r="G389" s="353" t="inlineStr">
        <is>
          <t>USD</t>
        </is>
      </c>
      <c r="H389" s="381" t="n">
        <v>16100</v>
      </c>
      <c r="I389" s="363" t="n">
        <v>16100000</v>
      </c>
      <c r="J389" s="354" t="n"/>
      <c r="K389" s="354" t="n"/>
      <c r="L389" s="354" t="n"/>
      <c r="M389" s="354" t="n"/>
      <c r="N389" s="360" t="n"/>
      <c r="O389" s="354" t="n"/>
      <c r="P389" s="354" t="n"/>
      <c r="Q389" s="354" t="n"/>
      <c r="R389" s="354" t="n"/>
      <c r="S389" s="354" t="n"/>
      <c r="T389" s="354" t="n"/>
      <c r="U389" s="354" t="n"/>
      <c r="V389" s="354" t="n"/>
      <c r="W389" s="354" t="n"/>
      <c r="X389" s="354" t="n"/>
    </row>
    <row r="390" ht="15.5" customHeight="1" s="297">
      <c r="B390" s="384" t="n"/>
      <c r="C390" s="343" t="n"/>
      <c r="D390" s="365" t="inlineStr">
        <is>
          <t>Laundry</t>
        </is>
      </c>
      <c r="E390" s="409" t="n"/>
      <c r="F390" s="368" t="n"/>
      <c r="G390" s="343" t="n"/>
      <c r="H390" s="343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51" t="n"/>
      <c r="S390" s="351" t="n"/>
      <c r="T390" s="351" t="n"/>
      <c r="U390" s="351" t="n"/>
      <c r="V390" s="351" t="n"/>
      <c r="W390" s="351" t="n"/>
      <c r="X390" s="351" t="n"/>
    </row>
    <row r="391" ht="15.5" customHeight="1" s="297">
      <c r="B391" s="369" t="n">
        <v>45511</v>
      </c>
      <c r="C391" s="353" t="n">
        <v>2</v>
      </c>
      <c r="D391" s="361" t="inlineStr">
        <is>
          <t>Laundry 10 days 1 Persons @ 50K IDR/day</t>
        </is>
      </c>
      <c r="E391" s="361" t="inlineStr">
        <is>
          <t>-</t>
        </is>
      </c>
      <c r="F391" s="370" t="n">
        <v>500000</v>
      </c>
      <c r="G391" s="353" t="inlineStr">
        <is>
          <t>IDR</t>
        </is>
      </c>
      <c r="H391" s="381" t="n">
        <v>1</v>
      </c>
      <c r="I391" s="363" t="n">
        <v>500000</v>
      </c>
      <c r="J391" s="354" t="n"/>
      <c r="K391" s="354" t="n"/>
      <c r="L391" s="354" t="n"/>
      <c r="M391" s="354" t="n"/>
      <c r="N391" s="354" t="n"/>
      <c r="O391" s="354" t="n"/>
      <c r="P391" s="354" t="n"/>
      <c r="Q391" s="354" t="n"/>
      <c r="R391" s="354" t="n"/>
      <c r="S391" s="354" t="n"/>
      <c r="T391" s="354" t="n"/>
      <c r="U391" s="354" t="n"/>
      <c r="V391" s="354" t="n"/>
      <c r="W391" s="354" t="n"/>
      <c r="X391" s="354" t="n"/>
    </row>
    <row r="392" ht="15.5" customHeight="1" s="297">
      <c r="B392" s="350" t="n"/>
      <c r="C392" s="414" t="n"/>
      <c r="D392" s="415" t="inlineStr">
        <is>
          <t>Logistic</t>
        </is>
      </c>
      <c r="E392" s="416" t="n"/>
      <c r="F392" s="345" t="n"/>
      <c r="G392" s="343" t="n"/>
      <c r="H392" s="343" t="n"/>
      <c r="I392" s="350" t="n"/>
      <c r="J392" s="350" t="n"/>
      <c r="K392" s="350" t="n"/>
      <c r="L392" s="350" t="n"/>
      <c r="M392" s="348" t="n"/>
      <c r="N392" s="350" t="n"/>
      <c r="O392" s="350" t="n"/>
      <c r="P392" s="350" t="n"/>
      <c r="Q392" s="350" t="n"/>
      <c r="R392" s="351" t="n"/>
      <c r="S392" s="351" t="n"/>
      <c r="T392" s="351" t="n"/>
      <c r="U392" s="351" t="n"/>
      <c r="V392" s="351" t="n"/>
      <c r="W392" s="351" t="n"/>
      <c r="X392" s="351" t="n"/>
    </row>
    <row r="393" ht="15.5" customHeight="1" s="297">
      <c r="B393" s="352" t="n">
        <v>45516</v>
      </c>
      <c r="C393" s="353" t="n">
        <v>3</v>
      </c>
      <c r="D393" s="354" t="inlineStr">
        <is>
          <t>Pelican Long Case 1770</t>
        </is>
      </c>
      <c r="E393" s="354" t="inlineStr">
        <is>
          <t>-</t>
        </is>
      </c>
      <c r="F393" s="370" t="n">
        <v>15166600</v>
      </c>
      <c r="G393" s="353" t="inlineStr">
        <is>
          <t>IDR</t>
        </is>
      </c>
      <c r="H393" s="381" t="n">
        <v>1</v>
      </c>
      <c r="I393" s="354" t="n"/>
      <c r="J393" s="354" t="n"/>
      <c r="K393" s="354" t="n"/>
      <c r="L393" s="354" t="n"/>
      <c r="M393" s="360" t="n"/>
      <c r="N393" s="363" t="n">
        <v>15166600</v>
      </c>
      <c r="O393" s="354" t="n"/>
      <c r="P393" s="354" t="n"/>
      <c r="Q393" s="354" t="n"/>
      <c r="R393" s="354" t="n"/>
      <c r="S393" s="354" t="n"/>
      <c r="T393" s="354" t="n"/>
      <c r="U393" s="354" t="n"/>
      <c r="V393" s="354" t="n"/>
      <c r="W393" s="354" t="n"/>
      <c r="X393" s="354" t="n"/>
    </row>
    <row r="394" ht="15.5" customHeight="1" s="297">
      <c r="B394" s="384" t="n"/>
      <c r="C394" s="343" t="n"/>
      <c r="D394" s="344" t="inlineStr">
        <is>
          <t>Meal</t>
        </is>
      </c>
      <c r="E394" s="345" t="n"/>
      <c r="F394" s="368" t="n"/>
      <c r="G394" s="343" t="n"/>
      <c r="H394" s="343" t="n"/>
      <c r="I394" s="348" t="n"/>
      <c r="J394" s="350" t="n"/>
      <c r="K394" s="350" t="n"/>
      <c r="L394" s="350" t="n"/>
      <c r="M394" s="348" t="n"/>
      <c r="N394" s="348" t="n"/>
      <c r="O394" s="350" t="n"/>
      <c r="P394" s="350" t="n"/>
      <c r="Q394" s="350" t="n"/>
      <c r="R394" s="351" t="n"/>
      <c r="S394" s="351" t="n"/>
      <c r="T394" s="351" t="n"/>
      <c r="U394" s="351" t="n"/>
      <c r="V394" s="351" t="n"/>
      <c r="W394" s="351" t="n"/>
      <c r="X394" s="351" t="n"/>
    </row>
    <row r="395" ht="15.5" customHeight="1" s="297">
      <c r="B395" s="369" t="n">
        <v>45511</v>
      </c>
      <c r="C395" s="353" t="n">
        <v>4</v>
      </c>
      <c r="D395" s="354" t="inlineStr">
        <is>
          <t>Meals 10 days 1 Persons @ 150K IDR/day</t>
        </is>
      </c>
      <c r="E395" s="354" t="inlineStr">
        <is>
          <t>-</t>
        </is>
      </c>
      <c r="F395" s="370" t="n">
        <v>1500000</v>
      </c>
      <c r="G395" s="353" t="inlineStr">
        <is>
          <t>IDR</t>
        </is>
      </c>
      <c r="H395" s="381" t="n">
        <v>1</v>
      </c>
      <c r="I395" s="363" t="n">
        <v>1500000</v>
      </c>
      <c r="J395" s="354" t="n"/>
      <c r="K395" s="354" t="n"/>
      <c r="L395" s="354" t="n"/>
      <c r="M395" s="360" t="n"/>
      <c r="N395" s="354" t="n"/>
      <c r="O395" s="354" t="n"/>
      <c r="P395" s="354" t="n"/>
      <c r="Q395" s="354" t="n"/>
      <c r="R395" s="354" t="n"/>
      <c r="S395" s="354" t="n"/>
      <c r="T395" s="354" t="n"/>
      <c r="U395" s="354" t="n"/>
      <c r="V395" s="354" t="n"/>
      <c r="W395" s="354" t="n"/>
      <c r="X395" s="354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3" t="n"/>
      <c r="D397" s="365" t="inlineStr">
        <is>
          <t>Accommodation</t>
        </is>
      </c>
      <c r="E397" s="366" t="n"/>
      <c r="F397" s="368" t="n"/>
      <c r="G397" s="343" t="n"/>
      <c r="H397" s="343" t="n"/>
      <c r="I397" s="348" t="n"/>
      <c r="J397" s="350" t="n"/>
      <c r="K397" s="350" t="n"/>
      <c r="L397" s="350" t="n"/>
      <c r="M397" s="349" t="n"/>
      <c r="N397" s="350" t="n"/>
      <c r="O397" s="350" t="n"/>
      <c r="P397" s="350" t="n"/>
      <c r="Q397" s="350" t="n"/>
      <c r="R397" s="351" t="n"/>
      <c r="S397" s="351" t="n"/>
      <c r="T397" s="351" t="n"/>
      <c r="U397" s="351" t="n"/>
      <c r="V397" s="351" t="n"/>
      <c r="W397" s="351" t="n"/>
      <c r="X397" s="351" t="n"/>
    </row>
    <row r="398" ht="15.5" customHeight="1" s="297">
      <c r="B398" s="369" t="n">
        <v>45507</v>
      </c>
      <c r="C398" s="353" t="n">
        <v>1</v>
      </c>
      <c r="D398" s="361" t="inlineStr">
        <is>
          <t>Hotel 3 Aug - 6 Aug 2024 (2 rooms)</t>
        </is>
      </c>
      <c r="E398" s="361" t="inlineStr">
        <is>
          <t>-</t>
        </is>
      </c>
      <c r="F398" s="370" t="n">
        <v>1591200</v>
      </c>
      <c r="G398" s="353" t="inlineStr">
        <is>
          <t>IDR</t>
        </is>
      </c>
      <c r="H398" s="381" t="n">
        <v>1</v>
      </c>
      <c r="I398" s="358" t="n">
        <v>1591200</v>
      </c>
      <c r="J398" s="354" t="n"/>
      <c r="K398" s="354" t="n"/>
      <c r="L398" s="354" t="n"/>
      <c r="M398" s="359" t="n"/>
      <c r="N398" s="354" t="n"/>
      <c r="O398" s="354" t="n"/>
      <c r="P398" s="354" t="n"/>
      <c r="Q398" s="354" t="n"/>
      <c r="R398" s="354" t="n"/>
      <c r="S398" s="354" t="n"/>
      <c r="T398" s="354" t="n"/>
      <c r="U398" s="354" t="n"/>
      <c r="V398" s="354" t="n"/>
      <c r="W398" s="354" t="n"/>
      <c r="X398" s="354" t="n"/>
    </row>
    <row r="399" ht="15.5" customHeight="1" s="297">
      <c r="B399" s="369" t="n">
        <v>45509</v>
      </c>
      <c r="C399" s="353" t="n">
        <v>2</v>
      </c>
      <c r="D399" s="361" t="inlineStr">
        <is>
          <t>Hotel 6 Aug - 7 Aug 2024 (2 rooms)</t>
        </is>
      </c>
      <c r="E399" s="361" t="inlineStr">
        <is>
          <t>-</t>
        </is>
      </c>
      <c r="F399" s="370" t="n">
        <v>795600</v>
      </c>
      <c r="G399" s="353" t="inlineStr">
        <is>
          <t>IDR</t>
        </is>
      </c>
      <c r="H399" s="381" t="n">
        <v>1</v>
      </c>
      <c r="I399" s="363" t="n">
        <v>795600</v>
      </c>
      <c r="J399" s="354" t="n"/>
      <c r="K399" s="354" t="n"/>
      <c r="L399" s="354" t="n"/>
      <c r="M399" s="354" t="n"/>
      <c r="N399" s="354" t="n"/>
      <c r="O399" s="354" t="n"/>
      <c r="P399" s="354" t="n"/>
      <c r="Q399" s="354" t="n"/>
      <c r="R399" s="354" t="n"/>
      <c r="S399" s="354" t="n"/>
      <c r="T399" s="354" t="n"/>
      <c r="U399" s="354" t="n"/>
      <c r="V399" s="354" t="n"/>
      <c r="W399" s="354" t="n"/>
      <c r="X399" s="354" t="n"/>
    </row>
    <row r="400" ht="15.5" customHeight="1" s="297">
      <c r="B400" s="384" t="n"/>
      <c r="C400" s="343" t="n"/>
      <c r="D400" s="365" t="inlineStr">
        <is>
          <t>Allowance</t>
        </is>
      </c>
      <c r="E400" s="366" t="n"/>
      <c r="F400" s="368" t="n"/>
      <c r="G400" s="343" t="n"/>
      <c r="H400" s="343" t="n"/>
      <c r="I400" s="349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51" t="n"/>
      <c r="S400" s="351" t="n"/>
      <c r="T400" s="351" t="n"/>
      <c r="U400" s="351" t="n"/>
      <c r="V400" s="351" t="n"/>
      <c r="W400" s="351" t="n"/>
      <c r="X400" s="351" t="n"/>
    </row>
    <row r="401" ht="15.5" customHeight="1" s="297">
      <c r="B401" s="369" t="n">
        <v>45511</v>
      </c>
      <c r="C401" s="353" t="n">
        <v>3</v>
      </c>
      <c r="D401" s="361" t="inlineStr">
        <is>
          <t>Uang Makan (3 - 7 Aug 2024)</t>
        </is>
      </c>
      <c r="E401" s="361" t="inlineStr">
        <is>
          <t>-</t>
        </is>
      </c>
      <c r="F401" s="370" t="n">
        <v>750000</v>
      </c>
      <c r="G401" s="353" t="inlineStr">
        <is>
          <t>IDR</t>
        </is>
      </c>
      <c r="H401" s="381" t="n">
        <v>1</v>
      </c>
      <c r="I401" s="363" t="n">
        <v>750000</v>
      </c>
      <c r="J401" s="360" t="n"/>
      <c r="K401" s="354" t="n"/>
      <c r="L401" s="359" t="n"/>
      <c r="M401" s="354" t="n"/>
      <c r="N401" s="354" t="n"/>
      <c r="O401" s="354" t="n"/>
      <c r="P401" s="354" t="n"/>
      <c r="Q401" s="354" t="n"/>
      <c r="R401" s="354" t="n"/>
      <c r="S401" s="354" t="n"/>
      <c r="T401" s="354" t="n"/>
      <c r="U401" s="354" t="n"/>
      <c r="V401" s="354" t="n"/>
      <c r="W401" s="354" t="n"/>
      <c r="X401" s="354" t="n"/>
    </row>
    <row r="402" ht="15.5" customHeight="1" s="297">
      <c r="B402" s="369" t="n">
        <v>45511</v>
      </c>
      <c r="C402" s="353" t="n">
        <v>4</v>
      </c>
      <c r="D402" s="361" t="inlineStr">
        <is>
          <t>Tunjangan LapanganRBG-3B PT. TIS (3-7 Aug 2024)</t>
        </is>
      </c>
      <c r="E402" s="361" t="inlineStr">
        <is>
          <t>-</t>
        </is>
      </c>
      <c r="F402" s="370" t="n">
        <v>500</v>
      </c>
      <c r="G402" s="353" t="inlineStr">
        <is>
          <t>IDR</t>
        </is>
      </c>
      <c r="H402" s="381" t="n">
        <v>15900</v>
      </c>
      <c r="I402" s="363" t="n">
        <v>500</v>
      </c>
      <c r="J402" s="354" t="n"/>
      <c r="K402" s="354" t="n"/>
      <c r="L402" s="354" t="n"/>
      <c r="M402" s="354" t="n"/>
      <c r="N402" s="354" t="n"/>
      <c r="O402" s="354" t="n"/>
      <c r="P402" s="354" t="n"/>
      <c r="Q402" s="354" t="n"/>
      <c r="R402" s="354" t="n"/>
      <c r="S402" s="354" t="n"/>
      <c r="T402" s="354" t="n"/>
      <c r="U402" s="354" t="n"/>
      <c r="V402" s="354" t="n"/>
      <c r="W402" s="354" t="n"/>
      <c r="X402" s="354" t="n"/>
    </row>
    <row r="403" ht="15.5" customHeight="1" s="297">
      <c r="B403" s="384" t="n"/>
      <c r="C403" s="343" t="n"/>
      <c r="D403" s="365" t="inlineStr">
        <is>
          <t>Laundry</t>
        </is>
      </c>
      <c r="E403" s="366" t="n"/>
      <c r="F403" s="368" t="n"/>
      <c r="G403" s="343" t="n"/>
      <c r="H403" s="343" t="n"/>
      <c r="I403" s="349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51" t="n"/>
      <c r="S403" s="351" t="n"/>
      <c r="T403" s="351" t="n"/>
      <c r="U403" s="351" t="n"/>
      <c r="V403" s="351" t="n"/>
      <c r="W403" s="351" t="n"/>
      <c r="X403" s="351" t="n"/>
    </row>
    <row r="404" ht="15.5" customHeight="1" s="297">
      <c r="B404" s="369" t="n">
        <v>45511</v>
      </c>
      <c r="C404" s="353" t="n">
        <v>5</v>
      </c>
      <c r="D404" s="361" t="inlineStr">
        <is>
          <t>Laundry (3 - 7 Aug 2024)</t>
        </is>
      </c>
      <c r="E404" s="361" t="inlineStr">
        <is>
          <t>-</t>
        </is>
      </c>
      <c r="F404" s="370" t="n">
        <v>250000</v>
      </c>
      <c r="G404" s="353" t="inlineStr">
        <is>
          <t>IDR</t>
        </is>
      </c>
      <c r="H404" s="381" t="n">
        <v>1</v>
      </c>
      <c r="I404" s="363" t="n">
        <v>250000</v>
      </c>
      <c r="J404" s="354" t="n"/>
      <c r="K404" s="354" t="n"/>
      <c r="L404" s="354" t="n"/>
      <c r="M404" s="354" t="n"/>
      <c r="N404" s="354" t="n"/>
      <c r="O404" s="354" t="n"/>
      <c r="P404" s="354" t="n"/>
      <c r="Q404" s="354" t="n"/>
      <c r="R404" s="354" t="n"/>
      <c r="S404" s="354" t="n"/>
      <c r="T404" s="354" t="n"/>
      <c r="U404" s="354" t="n"/>
      <c r="V404" s="354" t="n"/>
      <c r="W404" s="354" t="n"/>
      <c r="X404" s="354" t="n"/>
    </row>
    <row r="405" ht="15.5" customHeight="1" s="297">
      <c r="B405" s="384" t="n"/>
      <c r="C405" s="343" t="n"/>
      <c r="D405" s="365" t="inlineStr">
        <is>
          <t>Transportation</t>
        </is>
      </c>
      <c r="E405" s="366" t="n"/>
      <c r="F405" s="368" t="n"/>
      <c r="G405" s="343" t="n"/>
      <c r="H405" s="343" t="n"/>
      <c r="I405" s="349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51" t="n"/>
      <c r="S405" s="351" t="n"/>
      <c r="T405" s="351" t="n"/>
      <c r="U405" s="351" t="n"/>
      <c r="V405" s="351" t="n"/>
      <c r="W405" s="351" t="n"/>
      <c r="X405" s="351" t="n"/>
    </row>
    <row r="406" ht="15.5" customHeight="1" s="297">
      <c r="B406" s="369" t="n">
        <v>45507</v>
      </c>
      <c r="C406" s="353" t="n">
        <v>6</v>
      </c>
      <c r="D406" s="361" t="inlineStr">
        <is>
          <t>Jakarta - Semarang</t>
        </is>
      </c>
      <c r="E406" s="361" t="inlineStr">
        <is>
          <t>-</t>
        </is>
      </c>
      <c r="F406" s="370" t="n">
        <v>673500</v>
      </c>
      <c r="G406" s="353" t="inlineStr">
        <is>
          <t>IDR</t>
        </is>
      </c>
      <c r="H406" s="381" t="n">
        <v>1</v>
      </c>
      <c r="I406" s="363" t="n">
        <v>673500</v>
      </c>
      <c r="J406" s="354" t="n"/>
      <c r="K406" s="354" t="n"/>
      <c r="L406" s="354" t="n"/>
      <c r="M406" s="354" t="n"/>
      <c r="N406" s="354" t="n"/>
      <c r="O406" s="354" t="n"/>
      <c r="P406" s="354" t="n"/>
      <c r="Q406" s="354" t="n"/>
      <c r="R406" s="354" t="n"/>
      <c r="S406" s="354" t="n"/>
      <c r="T406" s="354" t="n"/>
      <c r="U406" s="354" t="n"/>
      <c r="V406" s="354" t="n"/>
      <c r="W406" s="354" t="n"/>
      <c r="X406" s="354" t="n"/>
    </row>
    <row r="407" ht="15.5" customHeight="1" s="297">
      <c r="B407" s="369" t="n">
        <v>45507</v>
      </c>
      <c r="C407" s="353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0" t="n">
        <v>154000</v>
      </c>
      <c r="G407" s="353" t="inlineStr">
        <is>
          <t>IDR</t>
        </is>
      </c>
      <c r="H407" s="381" t="n">
        <v>1</v>
      </c>
      <c r="I407" s="363" t="n">
        <v>154000</v>
      </c>
      <c r="J407" s="354" t="n"/>
      <c r="K407" s="354" t="n"/>
      <c r="L407" s="354" t="n"/>
      <c r="M407" s="354" t="n"/>
      <c r="N407" s="354" t="n"/>
      <c r="O407" s="354" t="n"/>
      <c r="P407" s="354" t="n"/>
      <c r="Q407" s="354" t="n"/>
      <c r="R407" s="354" t="n"/>
      <c r="S407" s="354" t="n"/>
      <c r="T407" s="354" t="n"/>
      <c r="U407" s="354" t="n"/>
      <c r="V407" s="354" t="n"/>
      <c r="W407" s="354" t="n"/>
      <c r="X407" s="354" t="n"/>
    </row>
    <row r="408" ht="15.5" customHeight="1" s="297">
      <c r="B408" s="382" t="n">
        <v>45507</v>
      </c>
      <c r="C408" s="353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3" t="n">
        <v>129000</v>
      </c>
      <c r="G408" s="353" t="inlineStr">
        <is>
          <t>IDR</t>
        </is>
      </c>
      <c r="H408" s="381" t="n">
        <v>1</v>
      </c>
      <c r="I408" s="363" t="n">
        <v>129000</v>
      </c>
      <c r="J408" s="354" t="n"/>
      <c r="K408" s="354" t="n"/>
      <c r="L408" s="354" t="n"/>
      <c r="M408" s="359" t="n"/>
      <c r="N408" s="354" t="n"/>
      <c r="O408" s="354" t="n"/>
      <c r="P408" s="354" t="n"/>
      <c r="Q408" s="354" t="n"/>
      <c r="R408" s="354" t="n"/>
      <c r="S408" s="354" t="n"/>
      <c r="T408" s="354" t="n"/>
      <c r="U408" s="354" t="n"/>
      <c r="V408" s="354" t="n"/>
      <c r="W408" s="354" t="n"/>
      <c r="X408" s="354" t="n"/>
    </row>
    <row r="409" ht="15.5" customHeight="1" s="297">
      <c r="B409" s="352" t="n">
        <v>45511</v>
      </c>
      <c r="C409" s="353" t="n">
        <v>9</v>
      </c>
      <c r="D409" s="354" t="inlineStr">
        <is>
          <t>Gocar Hotel to Tawang</t>
        </is>
      </c>
      <c r="E409" s="354" t="inlineStr">
        <is>
          <t>-</t>
        </is>
      </c>
      <c r="F409" s="355" t="n">
        <v>45000</v>
      </c>
      <c r="G409" s="353" t="inlineStr">
        <is>
          <t>IDR</t>
        </is>
      </c>
      <c r="H409" s="381" t="n">
        <v>1</v>
      </c>
      <c r="I409" s="363" t="n">
        <v>45000</v>
      </c>
      <c r="J409" s="354" t="n"/>
      <c r="K409" s="354" t="n"/>
      <c r="L409" s="354" t="n"/>
      <c r="M409" s="359" t="n"/>
      <c r="N409" s="354" t="n"/>
      <c r="O409" s="354" t="n"/>
      <c r="P409" s="354" t="n"/>
      <c r="Q409" s="354" t="n"/>
      <c r="R409" s="354" t="n"/>
      <c r="S409" s="354" t="n"/>
      <c r="T409" s="354" t="n"/>
      <c r="U409" s="354" t="n"/>
      <c r="V409" s="354" t="n"/>
      <c r="W409" s="354" t="n"/>
      <c r="X409" s="354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2" t="n"/>
      <c r="C411" s="343" t="n"/>
      <c r="D411" s="344" t="inlineStr">
        <is>
          <t>Logistic</t>
        </is>
      </c>
      <c r="E411" s="345" t="n"/>
      <c r="F411" s="346" t="n"/>
      <c r="G411" s="343" t="n"/>
      <c r="H411" s="343" t="n"/>
      <c r="I411" s="350" t="n"/>
      <c r="J411" s="350" t="n"/>
      <c r="K411" s="350" t="n"/>
      <c r="L411" s="350" t="n"/>
      <c r="M411" s="349" t="n"/>
      <c r="N411" s="350" t="n"/>
      <c r="O411" s="350" t="n"/>
      <c r="P411" s="349" t="n"/>
      <c r="Q411" s="350" t="n"/>
      <c r="R411" s="351" t="n"/>
      <c r="S411" s="351" t="n"/>
      <c r="T411" s="351" t="n"/>
      <c r="U411" s="351" t="n"/>
      <c r="V411" s="351" t="n"/>
      <c r="W411" s="351" t="n"/>
      <c r="X411" s="351" t="n"/>
    </row>
    <row r="412" ht="15.5" customHeight="1" s="297">
      <c r="B412" s="352" t="n">
        <v>45497</v>
      </c>
      <c r="C412" s="353" t="n">
        <v>1</v>
      </c>
      <c r="D412" s="354" t="inlineStr">
        <is>
          <t>Buy Tang Bnegkok (Tekiro)</t>
        </is>
      </c>
      <c r="E412" s="354" t="inlineStr">
        <is>
          <t>-</t>
        </is>
      </c>
      <c r="F412" s="355" t="n">
        <v>75000</v>
      </c>
      <c r="G412" s="353" t="inlineStr">
        <is>
          <t>IDR</t>
        </is>
      </c>
      <c r="H412" s="381" t="n">
        <v>1</v>
      </c>
      <c r="I412" s="354" t="n"/>
      <c r="J412" s="354" t="n"/>
      <c r="K412" s="354" t="n"/>
      <c r="L412" s="354" t="n"/>
      <c r="M412" s="359" t="n"/>
      <c r="N412" s="363" t="n">
        <v>75000</v>
      </c>
      <c r="O412" s="354" t="n"/>
      <c r="P412" s="360" t="n"/>
      <c r="Q412" s="354" t="n"/>
      <c r="R412" s="354" t="n"/>
      <c r="S412" s="354" t="n"/>
      <c r="T412" s="354" t="n"/>
      <c r="U412" s="354" t="n"/>
      <c r="V412" s="354" t="n"/>
      <c r="W412" s="354" t="n"/>
      <c r="X412" s="354" t="n"/>
    </row>
    <row r="413" ht="15.5" customHeight="1" s="297">
      <c r="B413" s="352" t="n">
        <v>45498</v>
      </c>
      <c r="C413" s="353" t="n">
        <v>2</v>
      </c>
      <c r="D413" s="354" t="inlineStr">
        <is>
          <t>Buy Hose 1/4"</t>
        </is>
      </c>
      <c r="E413" s="354" t="inlineStr">
        <is>
          <t>-</t>
        </is>
      </c>
      <c r="F413" s="355" t="n">
        <v>133000</v>
      </c>
      <c r="G413" s="353" t="inlineStr">
        <is>
          <t>IDR</t>
        </is>
      </c>
      <c r="H413" s="381" t="n">
        <v>1</v>
      </c>
      <c r="I413" s="354" t="n"/>
      <c r="J413" s="354" t="n"/>
      <c r="K413" s="354" t="n"/>
      <c r="L413" s="354" t="n"/>
      <c r="M413" s="359" t="n"/>
      <c r="N413" s="363" t="n">
        <v>133000</v>
      </c>
      <c r="O413" s="354" t="n"/>
      <c r="P413" s="360" t="n"/>
      <c r="Q413" s="354" t="n"/>
      <c r="R413" s="354" t="n"/>
      <c r="S413" s="354" t="n"/>
      <c r="T413" s="354" t="n"/>
      <c r="U413" s="354" t="n"/>
      <c r="V413" s="354" t="n"/>
      <c r="W413" s="354" t="n"/>
      <c r="X413" s="354" t="n"/>
    </row>
    <row r="414" ht="15.5" customHeight="1" s="297">
      <c r="B414" s="352" t="n">
        <v>45498</v>
      </c>
      <c r="C414" s="353" t="n">
        <v>3</v>
      </c>
      <c r="D414" s="354" t="inlineStr">
        <is>
          <t>Buy Needle Neple</t>
        </is>
      </c>
      <c r="E414" s="354" t="inlineStr">
        <is>
          <t>-</t>
        </is>
      </c>
      <c r="F414" s="355" t="n">
        <v>700000</v>
      </c>
      <c r="G414" s="353" t="inlineStr">
        <is>
          <t>IDR</t>
        </is>
      </c>
      <c r="H414" s="381" t="n">
        <v>1</v>
      </c>
      <c r="I414" s="354" t="n"/>
      <c r="J414" s="354" t="n"/>
      <c r="K414" s="354" t="n"/>
      <c r="L414" s="354" t="n"/>
      <c r="M414" s="359" t="n"/>
      <c r="N414" s="363" t="n">
        <v>700000</v>
      </c>
      <c r="O414" s="354" t="n"/>
      <c r="P414" s="360" t="n"/>
      <c r="Q414" s="354" t="n"/>
      <c r="R414" s="354" t="n"/>
      <c r="S414" s="354" t="n"/>
      <c r="T414" s="354" t="n"/>
      <c r="U414" s="354" t="n"/>
      <c r="V414" s="354" t="n"/>
      <c r="W414" s="354" t="n"/>
      <c r="X414" s="354" t="n"/>
    </row>
    <row r="415" ht="15.5" customHeight="1" s="297">
      <c r="B415" s="352" t="n">
        <v>45499</v>
      </c>
      <c r="C415" s="353" t="n">
        <v>4</v>
      </c>
      <c r="D415" s="354" t="inlineStr">
        <is>
          <t>buy Adapter</t>
        </is>
      </c>
      <c r="E415" s="354" t="inlineStr">
        <is>
          <t>-</t>
        </is>
      </c>
      <c r="F415" s="355" t="n">
        <v>20000</v>
      </c>
      <c r="G415" s="353" t="inlineStr">
        <is>
          <t>IDR</t>
        </is>
      </c>
      <c r="H415" s="381" t="n">
        <v>1</v>
      </c>
      <c r="I415" s="354" t="n"/>
      <c r="J415" s="354" t="n"/>
      <c r="K415" s="354" t="n"/>
      <c r="L415" s="354" t="n"/>
      <c r="M415" s="360" t="n"/>
      <c r="N415" s="363" t="n">
        <v>20000</v>
      </c>
      <c r="O415" s="354" t="n"/>
      <c r="P415" s="360" t="n"/>
      <c r="Q415" s="354" t="n"/>
      <c r="R415" s="354" t="n"/>
      <c r="S415" s="354" t="n"/>
      <c r="T415" s="354" t="n"/>
      <c r="U415" s="354" t="n"/>
      <c r="V415" s="354" t="n"/>
      <c r="W415" s="354" t="n"/>
      <c r="X415" s="354" t="n"/>
    </row>
    <row r="416" ht="15.5" customHeight="1" s="297">
      <c r="B416" s="352" t="n">
        <v>45500</v>
      </c>
      <c r="C416" s="353" t="n">
        <v>5</v>
      </c>
      <c r="D416" s="354" t="inlineStr">
        <is>
          <t>Buy Hose 1/4"</t>
        </is>
      </c>
      <c r="E416" s="354" t="inlineStr">
        <is>
          <t>-</t>
        </is>
      </c>
      <c r="F416" s="355" t="n">
        <v>155000</v>
      </c>
      <c r="G416" s="353" t="inlineStr">
        <is>
          <t>IDR</t>
        </is>
      </c>
      <c r="H416" s="381" t="n">
        <v>1</v>
      </c>
      <c r="I416" s="354" t="n"/>
      <c r="J416" s="354" t="n"/>
      <c r="K416" s="354" t="n"/>
      <c r="L416" s="354" t="n"/>
      <c r="M416" s="359" t="n"/>
      <c r="N416" s="363" t="n">
        <v>155000</v>
      </c>
      <c r="O416" s="354" t="n"/>
      <c r="P416" s="360" t="n"/>
      <c r="Q416" s="354" t="n"/>
      <c r="R416" s="354" t="n"/>
      <c r="S416" s="354" t="n"/>
      <c r="T416" s="354" t="n"/>
      <c r="U416" s="354" t="n"/>
      <c r="V416" s="354" t="n"/>
      <c r="W416" s="354" t="n"/>
      <c r="X416" s="354" t="n"/>
    </row>
    <row r="417" ht="15.5" customHeight="1" s="297">
      <c r="B417" s="369" t="n">
        <v>45500</v>
      </c>
      <c r="C417" s="353" t="n">
        <v>6</v>
      </c>
      <c r="D417" s="354" t="inlineStr">
        <is>
          <t>Buy Needle Neple</t>
        </is>
      </c>
      <c r="E417" s="354" t="inlineStr">
        <is>
          <t>-</t>
        </is>
      </c>
      <c r="F417" s="355" t="n">
        <v>660000</v>
      </c>
      <c r="G417" s="353" t="inlineStr">
        <is>
          <t>IDR</t>
        </is>
      </c>
      <c r="H417" s="381" t="n">
        <v>1</v>
      </c>
      <c r="I417" s="354" t="n"/>
      <c r="J417" s="354" t="n"/>
      <c r="K417" s="354" t="n"/>
      <c r="L417" s="354" t="n"/>
      <c r="M417" s="354" t="n"/>
      <c r="N417" s="363" t="n">
        <v>660000</v>
      </c>
      <c r="O417" s="354" t="n"/>
      <c r="P417" s="354" t="n"/>
      <c r="Q417" s="354" t="n"/>
      <c r="R417" s="354" t="n"/>
      <c r="S417" s="354" t="n"/>
      <c r="T417" s="354" t="n"/>
      <c r="U417" s="354" t="n"/>
      <c r="V417" s="354" t="n"/>
      <c r="W417" s="354" t="n"/>
      <c r="X417" s="354" t="n"/>
    </row>
    <row r="418" ht="15.5" customHeight="1" s="297">
      <c r="B418" s="369" t="n">
        <v>45500</v>
      </c>
      <c r="C418" s="353" t="n">
        <v>7</v>
      </c>
      <c r="D418" s="361" t="inlineStr">
        <is>
          <t>Buy Connection 1/4"</t>
        </is>
      </c>
      <c r="E418" s="361" t="inlineStr">
        <is>
          <t>-</t>
        </is>
      </c>
      <c r="F418" s="355" t="n">
        <v>1760000</v>
      </c>
      <c r="G418" s="353" t="inlineStr">
        <is>
          <t>IDR</t>
        </is>
      </c>
      <c r="H418" s="381" t="n">
        <v>1</v>
      </c>
      <c r="I418" s="359" t="n"/>
      <c r="J418" s="354" t="n"/>
      <c r="K418" s="354" t="n"/>
      <c r="L418" s="354" t="n"/>
      <c r="M418" s="354" t="n"/>
      <c r="N418" s="363" t="n">
        <v>1760000</v>
      </c>
      <c r="O418" s="354" t="n"/>
      <c r="P418" s="354" t="n"/>
      <c r="Q418" s="354" t="n"/>
      <c r="R418" s="354" t="n"/>
      <c r="S418" s="354" t="n"/>
      <c r="T418" s="354" t="n"/>
      <c r="U418" s="354" t="n"/>
      <c r="V418" s="354" t="n"/>
      <c r="W418" s="354" t="n"/>
      <c r="X418" s="354" t="n"/>
    </row>
    <row r="419" ht="15.5" customHeight="1" s="297">
      <c r="B419" s="369" t="n">
        <v>45501</v>
      </c>
      <c r="C419" s="353" t="n">
        <v>8</v>
      </c>
      <c r="D419" s="361" t="inlineStr">
        <is>
          <t>Buy Case for tools box dan hydraulic pump</t>
        </is>
      </c>
      <c r="E419" s="361" t="inlineStr">
        <is>
          <t>-</t>
        </is>
      </c>
      <c r="F419" s="355" t="n">
        <v>2636800</v>
      </c>
      <c r="G419" s="353" t="inlineStr">
        <is>
          <t>IDR</t>
        </is>
      </c>
      <c r="H419" s="381" t="n">
        <v>1</v>
      </c>
      <c r="I419" s="354" t="n"/>
      <c r="J419" s="354" t="n"/>
      <c r="K419" s="354" t="n"/>
      <c r="L419" s="354" t="n"/>
      <c r="M419" s="354" t="n"/>
      <c r="N419" s="363" t="n">
        <v>2636800</v>
      </c>
      <c r="O419" s="354" t="n"/>
      <c r="P419" s="354" t="n"/>
      <c r="Q419" s="354" t="n"/>
      <c r="R419" s="354" t="n"/>
      <c r="S419" s="354" t="n"/>
      <c r="T419" s="354" t="n"/>
      <c r="U419" s="354" t="n"/>
      <c r="V419" s="354" t="n"/>
      <c r="W419" s="354" t="n"/>
      <c r="X419" s="354" t="n"/>
    </row>
    <row r="420" ht="15.5" customHeight="1" s="297">
      <c r="B420" s="342" t="n"/>
      <c r="C420" s="343" t="n"/>
      <c r="D420" s="365" t="inlineStr">
        <is>
          <t>Meal</t>
        </is>
      </c>
      <c r="E420" s="366" t="n"/>
      <c r="F420" s="346" t="n"/>
      <c r="G420" s="343" t="n"/>
      <c r="H420" s="343" t="n"/>
      <c r="I420" s="348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51" t="n"/>
      <c r="S420" s="351" t="n"/>
      <c r="T420" s="351" t="n"/>
      <c r="U420" s="351" t="n"/>
      <c r="V420" s="351" t="n"/>
      <c r="W420" s="351" t="n"/>
      <c r="X420" s="351" t="n"/>
    </row>
    <row r="421" ht="15.5" customHeight="1" s="297">
      <c r="B421" s="352" t="n">
        <v>45476</v>
      </c>
      <c r="C421" s="353" t="n">
        <v>9</v>
      </c>
      <c r="D421" s="361" t="inlineStr">
        <is>
          <t>Coffe drink visit to MEPI Jakarta ( Bondan)</t>
        </is>
      </c>
      <c r="E421" s="361" t="inlineStr">
        <is>
          <t>-</t>
        </is>
      </c>
      <c r="F421" s="355" t="n">
        <v>144100</v>
      </c>
      <c r="G421" s="353" t="inlineStr">
        <is>
          <t>IDR</t>
        </is>
      </c>
      <c r="H421" s="381" t="n">
        <v>1</v>
      </c>
      <c r="I421" s="358" t="n">
        <v>144100</v>
      </c>
      <c r="J421" s="354" t="n"/>
      <c r="K421" s="354" t="n"/>
      <c r="L421" s="354" t="n"/>
      <c r="M421" s="354" t="n"/>
      <c r="N421" s="354" t="n"/>
      <c r="O421" s="354" t="n"/>
      <c r="P421" s="354" t="n"/>
      <c r="Q421" s="354" t="n"/>
      <c r="R421" s="354" t="n"/>
      <c r="S421" s="354" t="n"/>
      <c r="T421" s="354" t="n"/>
      <c r="U421" s="354" t="n"/>
      <c r="V421" s="354" t="n"/>
      <c r="W421" s="354" t="n"/>
      <c r="X421" s="354" t="n"/>
    </row>
    <row r="422" ht="15.5" customHeight="1" s="297">
      <c r="B422" s="352" t="n">
        <v>45477</v>
      </c>
      <c r="C422" s="353" t="n">
        <v>10</v>
      </c>
      <c r="D422" s="361" t="inlineStr">
        <is>
          <t>Meal lunch when inspect Sample tool</t>
        </is>
      </c>
      <c r="E422" s="361" t="inlineStr">
        <is>
          <t>-</t>
        </is>
      </c>
      <c r="F422" s="355" t="n">
        <v>157000</v>
      </c>
      <c r="G422" s="353" t="inlineStr">
        <is>
          <t>IDR</t>
        </is>
      </c>
      <c r="H422" s="381" t="n">
        <v>1</v>
      </c>
      <c r="I422" s="358" t="n">
        <v>157000</v>
      </c>
      <c r="J422" s="354" t="n"/>
      <c r="K422" s="354" t="n"/>
      <c r="L422" s="354" t="n"/>
      <c r="M422" s="359" t="n"/>
      <c r="N422" s="354" t="n"/>
      <c r="O422" s="354" t="n"/>
      <c r="P422" s="354" t="n"/>
      <c r="Q422" s="354" t="n"/>
      <c r="R422" s="354" t="n"/>
      <c r="S422" s="354" t="n"/>
      <c r="T422" s="354" t="n"/>
      <c r="U422" s="354" t="n"/>
      <c r="V422" s="354" t="n"/>
      <c r="W422" s="354" t="n"/>
      <c r="X422" s="354" t="n"/>
    </row>
    <row r="423" ht="15.5" customHeight="1" s="297">
      <c r="B423" s="352" t="n">
        <v>45484</v>
      </c>
      <c r="C423" s="353" t="n">
        <v>11</v>
      </c>
      <c r="D423" s="361" t="inlineStr">
        <is>
          <t>Meal lunch when visit to Lemigas (Sample Botol)</t>
        </is>
      </c>
      <c r="E423" s="361" t="inlineStr">
        <is>
          <t>-</t>
        </is>
      </c>
      <c r="F423" s="355" t="n">
        <v>81000</v>
      </c>
      <c r="G423" s="353" t="inlineStr">
        <is>
          <t>IDR</t>
        </is>
      </c>
      <c r="H423" s="381" t="n">
        <v>1</v>
      </c>
      <c r="I423" s="358" t="n">
        <v>81000</v>
      </c>
      <c r="J423" s="354" t="n"/>
      <c r="K423" s="354" t="n"/>
      <c r="L423" s="354" t="n"/>
      <c r="M423" s="360" t="n"/>
      <c r="N423" s="354" t="n"/>
      <c r="O423" s="354" t="n"/>
      <c r="P423" s="354" t="n"/>
      <c r="Q423" s="354" t="n"/>
      <c r="R423" s="354" t="n"/>
      <c r="S423" s="354" t="n"/>
      <c r="T423" s="354" t="n"/>
      <c r="U423" s="354" t="n"/>
      <c r="V423" s="354" t="n"/>
      <c r="W423" s="354" t="n"/>
      <c r="X423" s="354" t="n"/>
    </row>
    <row r="424" ht="15.5" customHeight="1" s="297">
      <c r="B424" s="342" t="n"/>
      <c r="C424" s="343" t="n"/>
      <c r="D424" s="365" t="inlineStr">
        <is>
          <t>Medical</t>
        </is>
      </c>
      <c r="E424" s="366" t="n"/>
      <c r="F424" s="346" t="n"/>
      <c r="G424" s="343" t="n"/>
      <c r="H424" s="343" t="n"/>
      <c r="I424" s="348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51" t="n"/>
      <c r="S424" s="351" t="n"/>
      <c r="T424" s="351" t="n"/>
      <c r="U424" s="351" t="n"/>
      <c r="V424" s="351" t="n"/>
      <c r="W424" s="351" t="n"/>
      <c r="X424" s="351" t="n"/>
    </row>
    <row r="425" ht="15.5" customHeight="1" s="297">
      <c r="B425" s="352" t="n">
        <v>45474</v>
      </c>
      <c r="C425" s="353" t="n">
        <v>12</v>
      </c>
      <c r="D425" s="361" t="inlineStr">
        <is>
          <t>Biaya MCU di RSPP</t>
        </is>
      </c>
      <c r="E425" s="361" t="inlineStr">
        <is>
          <t>-</t>
        </is>
      </c>
      <c r="F425" s="355" t="n">
        <v>5630000</v>
      </c>
      <c r="G425" s="353" t="inlineStr">
        <is>
          <t>IDR</t>
        </is>
      </c>
      <c r="H425" s="381" t="n">
        <v>1</v>
      </c>
      <c r="I425" s="354" t="n"/>
      <c r="J425" s="354" t="n"/>
      <c r="K425" s="354" t="n"/>
      <c r="L425" s="354" t="n"/>
      <c r="M425" s="360" t="n"/>
      <c r="N425" s="354" t="n"/>
      <c r="O425" s="354" t="n"/>
      <c r="P425" s="363" t="n">
        <v>5630000</v>
      </c>
      <c r="Q425" s="354" t="n"/>
      <c r="R425" s="354" t="n"/>
      <c r="S425" s="354" t="n"/>
      <c r="T425" s="354" t="n"/>
      <c r="U425" s="354" t="n"/>
      <c r="V425" s="354" t="n"/>
      <c r="W425" s="354" t="n"/>
      <c r="X425" s="354" t="n"/>
    </row>
    <row r="426" ht="15.5" customHeight="1" s="297">
      <c r="B426" s="352" t="n">
        <v>45476</v>
      </c>
      <c r="C426" s="353" t="n">
        <v>13</v>
      </c>
      <c r="D426" s="361" t="inlineStr">
        <is>
          <t>Biaya Konsul Dokter Jantung</t>
        </is>
      </c>
      <c r="E426" s="361" t="inlineStr">
        <is>
          <t>-</t>
        </is>
      </c>
      <c r="F426" s="355" t="n">
        <v>460000</v>
      </c>
      <c r="G426" s="353" t="inlineStr">
        <is>
          <t>IDR</t>
        </is>
      </c>
      <c r="H426" s="381" t="n">
        <v>1</v>
      </c>
      <c r="I426" s="354" t="n"/>
      <c r="J426" s="354" t="n"/>
      <c r="K426" s="354" t="n"/>
      <c r="L426" s="354" t="n"/>
      <c r="M426" s="359" t="n"/>
      <c r="N426" s="360" t="n"/>
      <c r="O426" s="354" t="n"/>
      <c r="P426" s="363" t="n">
        <v>460000</v>
      </c>
      <c r="Q426" s="354" t="n"/>
      <c r="R426" s="354" t="n"/>
      <c r="S426" s="354" t="n"/>
      <c r="T426" s="354" t="n"/>
      <c r="U426" s="354" t="n"/>
      <c r="V426" s="354" t="n"/>
      <c r="W426" s="354" t="n"/>
      <c r="X426" s="354" t="n"/>
    </row>
    <row r="427" ht="15.5" customHeight="1" s="297">
      <c r="B427" s="352" t="n">
        <v>45476</v>
      </c>
      <c r="C427" s="353" t="n">
        <v>14</v>
      </c>
      <c r="D427" s="361" t="inlineStr">
        <is>
          <t>Biaya Echo_ kardio non Invasif</t>
        </is>
      </c>
      <c r="E427" s="361" t="inlineStr">
        <is>
          <t>-</t>
        </is>
      </c>
      <c r="F427" s="355" t="n">
        <v>2108000</v>
      </c>
      <c r="G427" s="353" t="inlineStr">
        <is>
          <t>IDR</t>
        </is>
      </c>
      <c r="H427" s="381" t="n">
        <v>1</v>
      </c>
      <c r="I427" s="354" t="n"/>
      <c r="J427" s="354" t="n"/>
      <c r="K427" s="354" t="n"/>
      <c r="L427" s="354" t="n"/>
      <c r="M427" s="360" t="n"/>
      <c r="N427" s="360" t="n"/>
      <c r="O427" s="354" t="n"/>
      <c r="P427" s="363" t="n">
        <v>2108000</v>
      </c>
      <c r="Q427" s="354" t="n"/>
      <c r="R427" s="354" t="n"/>
      <c r="S427" s="354" t="n"/>
      <c r="T427" s="354" t="n"/>
      <c r="U427" s="354" t="n"/>
      <c r="V427" s="354" t="n"/>
      <c r="W427" s="354" t="n"/>
      <c r="X427" s="354" t="n"/>
    </row>
    <row r="428" ht="15.5" customHeight="1" s="297">
      <c r="B428" s="352" t="n">
        <v>45482</v>
      </c>
      <c r="C428" s="353" t="n">
        <v>15</v>
      </c>
      <c r="D428" s="361" t="inlineStr">
        <is>
          <t>Fisioterapi 1st</t>
        </is>
      </c>
      <c r="E428" s="361" t="inlineStr">
        <is>
          <t>-</t>
        </is>
      </c>
      <c r="F428" s="355" t="n">
        <v>285000</v>
      </c>
      <c r="G428" s="353" t="inlineStr">
        <is>
          <t>IDR</t>
        </is>
      </c>
      <c r="H428" s="381" t="n">
        <v>1</v>
      </c>
      <c r="I428" s="354" t="n"/>
      <c r="J428" s="354" t="n"/>
      <c r="K428" s="354" t="n"/>
      <c r="L428" s="354" t="n"/>
      <c r="M428" s="359" t="n"/>
      <c r="N428" s="360" t="n"/>
      <c r="O428" s="354" t="n"/>
      <c r="P428" s="363" t="n">
        <v>285000</v>
      </c>
      <c r="Q428" s="354" t="n"/>
      <c r="R428" s="354" t="n"/>
      <c r="S428" s="354" t="n"/>
      <c r="T428" s="354" t="n"/>
      <c r="U428" s="354" t="n"/>
      <c r="V428" s="354" t="n"/>
      <c r="W428" s="354" t="n"/>
      <c r="X428" s="354" t="n"/>
    </row>
    <row r="429" ht="15.5" customHeight="1" s="297">
      <c r="B429" s="352" t="n">
        <v>45483</v>
      </c>
      <c r="C429" s="353" t="n">
        <v>16</v>
      </c>
      <c r="D429" s="361" t="inlineStr">
        <is>
          <t>Biaya Obat Candesartan</t>
        </is>
      </c>
      <c r="E429" s="361" t="inlineStr">
        <is>
          <t>-</t>
        </is>
      </c>
      <c r="F429" s="355" t="n">
        <v>149850</v>
      </c>
      <c r="G429" s="353" t="inlineStr">
        <is>
          <t>IDR</t>
        </is>
      </c>
      <c r="H429" s="381" t="n">
        <v>1</v>
      </c>
      <c r="I429" s="371" t="n"/>
      <c r="J429" s="371" t="n"/>
      <c r="K429" s="371" t="n"/>
      <c r="L429" s="371" t="n"/>
      <c r="M429" s="371" t="n"/>
      <c r="N429" s="360" t="n"/>
      <c r="O429" s="371" t="n"/>
      <c r="P429" s="355" t="n">
        <v>149850</v>
      </c>
      <c r="Q429" s="371" t="n"/>
      <c r="R429" s="354" t="n"/>
      <c r="S429" s="354" t="n"/>
      <c r="T429" s="354" t="n"/>
      <c r="U429" s="354" t="n"/>
      <c r="V429" s="354" t="n"/>
      <c r="W429" s="354" t="n"/>
      <c r="X429" s="354" t="n"/>
    </row>
    <row r="430" ht="15.5" customHeight="1" s="297">
      <c r="B430" s="352" t="n">
        <v>45483</v>
      </c>
      <c r="C430" s="353" t="n">
        <v>17</v>
      </c>
      <c r="D430" s="361" t="inlineStr">
        <is>
          <t>Fisioterapi 2nd</t>
        </is>
      </c>
      <c r="E430" s="361" t="inlineStr">
        <is>
          <t>-</t>
        </is>
      </c>
      <c r="F430" s="355" t="n">
        <v>285000</v>
      </c>
      <c r="G430" s="353" t="inlineStr">
        <is>
          <t>IDR</t>
        </is>
      </c>
      <c r="H430" s="381" t="n">
        <v>1</v>
      </c>
      <c r="I430" s="354" t="n"/>
      <c r="J430" s="354" t="n"/>
      <c r="K430" s="354" t="n"/>
      <c r="L430" s="354" t="n"/>
      <c r="M430" s="354" t="n"/>
      <c r="N430" s="360" t="n"/>
      <c r="O430" s="354" t="n"/>
      <c r="P430" s="363" t="n">
        <v>285000</v>
      </c>
      <c r="Q430" s="354" t="n"/>
      <c r="R430" s="354" t="n"/>
      <c r="S430" s="354" t="n"/>
      <c r="T430" s="354" t="n"/>
      <c r="U430" s="354" t="n"/>
      <c r="V430" s="354" t="n"/>
      <c r="W430" s="354" t="n"/>
      <c r="X430" s="354" t="n"/>
    </row>
    <row r="431" ht="15.5" customHeight="1" s="297">
      <c r="B431" s="352" t="n">
        <v>45484</v>
      </c>
      <c r="C431" s="353" t="n">
        <v>18</v>
      </c>
      <c r="D431" s="361" t="inlineStr">
        <is>
          <t>Fisioterapi 3rd</t>
        </is>
      </c>
      <c r="E431" s="361" t="inlineStr">
        <is>
          <t>-</t>
        </is>
      </c>
      <c r="F431" s="355" t="n">
        <v>285000</v>
      </c>
      <c r="G431" s="353" t="inlineStr">
        <is>
          <t>IDR</t>
        </is>
      </c>
      <c r="H431" s="381" t="n">
        <v>1</v>
      </c>
      <c r="I431" s="354" t="n"/>
      <c r="J431" s="354" t="n"/>
      <c r="K431" s="354" t="n"/>
      <c r="L431" s="354" t="n"/>
      <c r="M431" s="354" t="n"/>
      <c r="N431" s="360" t="n"/>
      <c r="O431" s="354" t="n"/>
      <c r="P431" s="363" t="n">
        <v>285000</v>
      </c>
      <c r="Q431" s="354" t="n"/>
      <c r="R431" s="354" t="n"/>
      <c r="S431" s="354" t="n"/>
      <c r="T431" s="354" t="n"/>
      <c r="U431" s="354" t="n"/>
      <c r="V431" s="354" t="n"/>
      <c r="W431" s="354" t="n"/>
      <c r="X431" s="354" t="n"/>
    </row>
    <row r="432" ht="15.5" customHeight="1" s="297">
      <c r="B432" s="342" t="n"/>
      <c r="C432" s="343" t="n"/>
      <c r="D432" s="365" t="inlineStr">
        <is>
          <t>Transportation</t>
        </is>
      </c>
      <c r="E432" s="366" t="n"/>
      <c r="F432" s="346" t="n"/>
      <c r="G432" s="343" t="n"/>
      <c r="H432" s="343" t="n"/>
      <c r="I432" s="350" t="n"/>
      <c r="J432" s="350" t="n"/>
      <c r="K432" s="350" t="n"/>
      <c r="L432" s="350" t="n"/>
      <c r="M432" s="350" t="n"/>
      <c r="N432" s="349" t="n"/>
      <c r="O432" s="350" t="n"/>
      <c r="P432" s="350" t="n"/>
      <c r="Q432" s="350" t="n"/>
      <c r="R432" s="351" t="n"/>
      <c r="S432" s="351" t="n"/>
      <c r="T432" s="351" t="n"/>
      <c r="U432" s="351" t="n"/>
      <c r="V432" s="351" t="n"/>
      <c r="W432" s="351" t="n"/>
      <c r="X432" s="351" t="n"/>
    </row>
    <row r="433" ht="15.5" customHeight="1" s="297">
      <c r="B433" s="352" t="n">
        <v>45484</v>
      </c>
      <c r="C433" s="353" t="n">
        <v>19</v>
      </c>
      <c r="D433" s="361" t="inlineStr">
        <is>
          <t>Fuel ( trip ambil tool Sampler and to Andara )</t>
        </is>
      </c>
      <c r="E433" s="361" t="inlineStr">
        <is>
          <t>-</t>
        </is>
      </c>
      <c r="F433" s="355" t="n">
        <v>164100</v>
      </c>
      <c r="G433" s="353" t="inlineStr">
        <is>
          <t>IDR</t>
        </is>
      </c>
      <c r="H433" s="381" t="n">
        <v>1</v>
      </c>
      <c r="I433" s="363" t="n">
        <v>164100</v>
      </c>
      <c r="J433" s="354" t="n"/>
      <c r="K433" s="354" t="n"/>
      <c r="L433" s="354" t="n"/>
      <c r="M433" s="354" t="n"/>
      <c r="N433" s="360" t="n"/>
      <c r="O433" s="354" t="n"/>
      <c r="P433" s="354" t="n"/>
      <c r="Q433" s="354" t="n"/>
      <c r="R433" s="354" t="n"/>
      <c r="S433" s="354" t="n"/>
      <c r="T433" s="354" t="n"/>
      <c r="U433" s="354" t="n"/>
      <c r="V433" s="354" t="n"/>
      <c r="W433" s="354" t="n"/>
      <c r="X433" s="354" t="n"/>
    </row>
    <row r="434" ht="15.5" customHeight="1" s="297">
      <c r="B434" s="369" t="n">
        <v>45484</v>
      </c>
      <c r="C434" s="353" t="n">
        <v>20</v>
      </c>
      <c r="D434" s="361" t="inlineStr">
        <is>
          <t>Fuel ( trip ke Lemigas and Workshop sampler)</t>
        </is>
      </c>
      <c r="E434" s="361" t="inlineStr">
        <is>
          <t>-</t>
        </is>
      </c>
      <c r="F434" s="355" t="n">
        <v>291000</v>
      </c>
      <c r="G434" s="353" t="inlineStr">
        <is>
          <t>IDR</t>
        </is>
      </c>
      <c r="H434" s="381" t="n">
        <v>1</v>
      </c>
      <c r="I434" s="363" t="n">
        <v>291000</v>
      </c>
      <c r="J434" s="354" t="n"/>
      <c r="K434" s="354" t="n"/>
      <c r="L434" s="354" t="n"/>
      <c r="M434" s="354" t="n"/>
      <c r="N434" s="354" t="n"/>
      <c r="O434" s="354" t="n"/>
      <c r="P434" s="354" t="n"/>
      <c r="Q434" s="354" t="n"/>
      <c r="R434" s="354" t="n"/>
      <c r="S434" s="354" t="n"/>
      <c r="T434" s="354" t="n"/>
      <c r="U434" s="354" t="n"/>
      <c r="V434" s="354" t="n"/>
      <c r="W434" s="354" t="n"/>
      <c r="X434" s="354" t="n"/>
    </row>
    <row r="435" ht="15.5" customHeight="1" s="297">
      <c r="B435" s="352" t="n">
        <v>45490</v>
      </c>
      <c r="C435" s="353" t="n">
        <v>21</v>
      </c>
      <c r="D435" s="361" t="inlineStr">
        <is>
          <t>Fuel ( trip ke Lemigas and Workshop sampler)</t>
        </is>
      </c>
      <c r="E435" s="361" t="inlineStr">
        <is>
          <t>-</t>
        </is>
      </c>
      <c r="F435" s="355" t="n">
        <v>177350</v>
      </c>
      <c r="G435" s="353" t="inlineStr">
        <is>
          <t>IDR</t>
        </is>
      </c>
      <c r="H435" s="381" t="n">
        <v>1</v>
      </c>
      <c r="I435" s="363" t="n">
        <v>177350</v>
      </c>
      <c r="J435" s="354" t="n"/>
      <c r="K435" s="354" t="n"/>
      <c r="L435" s="354" t="n"/>
      <c r="M435" s="354" t="n"/>
      <c r="N435" s="354" t="n"/>
      <c r="O435" s="354" t="n"/>
      <c r="P435" s="354" t="n"/>
      <c r="Q435" s="354" t="n"/>
      <c r="R435" s="354" t="n"/>
      <c r="S435" s="354" t="n"/>
      <c r="T435" s="354" t="n"/>
      <c r="U435" s="354" t="n"/>
      <c r="V435" s="354" t="n"/>
      <c r="W435" s="354" t="n"/>
      <c r="X435" s="354" t="n"/>
    </row>
    <row r="436" ht="15.5" customHeight="1" s="297">
      <c r="B436" s="352" t="n">
        <v>45498</v>
      </c>
      <c r="C436" s="353" t="n">
        <v>22</v>
      </c>
      <c r="D436" s="361" t="inlineStr">
        <is>
          <t>Fuel ( trip ke Barekin Bogor, inspeksi tool)</t>
        </is>
      </c>
      <c r="E436" s="361" t="inlineStr">
        <is>
          <t>-</t>
        </is>
      </c>
      <c r="F436" s="355" t="n">
        <v>319700</v>
      </c>
      <c r="G436" s="353" t="inlineStr">
        <is>
          <t>IDR</t>
        </is>
      </c>
      <c r="H436" s="381" t="n">
        <v>1</v>
      </c>
      <c r="I436" s="363" t="n">
        <v>319700</v>
      </c>
      <c r="J436" s="354" t="n"/>
      <c r="K436" s="354" t="n"/>
      <c r="L436" s="354" t="n"/>
      <c r="M436" s="354" t="n"/>
      <c r="N436" s="354" t="n"/>
      <c r="O436" s="354" t="n"/>
      <c r="P436" s="354" t="n"/>
      <c r="Q436" s="354" t="n"/>
      <c r="R436" s="354" t="n"/>
      <c r="S436" s="354" t="n"/>
      <c r="T436" s="354" t="n"/>
      <c r="U436" s="354" t="n"/>
      <c r="V436" s="354" t="n"/>
      <c r="W436" s="354" t="n"/>
      <c r="X436" s="354" t="n"/>
    </row>
    <row r="437" ht="15.5" customHeight="1" s="297">
      <c r="B437" s="352" t="n">
        <v>45501</v>
      </c>
      <c r="C437" s="353" t="n">
        <v>23</v>
      </c>
      <c r="D437" s="361" t="inlineStr">
        <is>
          <t>Fuel trip ke Glodok buy Hydralic pump assesories</t>
        </is>
      </c>
      <c r="E437" s="361" t="inlineStr">
        <is>
          <t>-</t>
        </is>
      </c>
      <c r="F437" s="355" t="n">
        <v>217350</v>
      </c>
      <c r="G437" s="353" t="inlineStr">
        <is>
          <t>IDR</t>
        </is>
      </c>
      <c r="H437" s="381" t="n">
        <v>1</v>
      </c>
      <c r="I437" s="363" t="n">
        <v>217350</v>
      </c>
      <c r="J437" s="354" t="n"/>
      <c r="K437" s="354" t="n"/>
      <c r="L437" s="354" t="n"/>
      <c r="M437" s="354" t="n"/>
      <c r="N437" s="354" t="n"/>
      <c r="O437" s="354" t="n"/>
      <c r="P437" s="354" t="n"/>
      <c r="Q437" s="354" t="n"/>
      <c r="R437" s="354" t="n"/>
      <c r="S437" s="354" t="n"/>
      <c r="T437" s="354" t="n"/>
      <c r="U437" s="354" t="n"/>
      <c r="V437" s="354" t="n"/>
      <c r="W437" s="354" t="n"/>
      <c r="X437" s="354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2" t="n"/>
      <c r="C439" s="343" t="n"/>
      <c r="D439" s="344" t="inlineStr">
        <is>
          <t>Accommodation</t>
        </is>
      </c>
      <c r="E439" s="437" t="n"/>
      <c r="F439" s="346" t="n"/>
      <c r="G439" s="343" t="n"/>
      <c r="H439" s="343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51" t="n"/>
      <c r="S439" s="351" t="n"/>
      <c r="T439" s="351" t="n"/>
      <c r="U439" s="351" t="n"/>
      <c r="V439" s="351" t="n"/>
      <c r="W439" s="351" t="n"/>
      <c r="X439" s="351" t="n"/>
    </row>
    <row r="440" ht="15.5" customHeight="1" s="297">
      <c r="B440" s="369" t="n">
        <v>45507</v>
      </c>
      <c r="C440" s="353" t="n">
        <v>1</v>
      </c>
      <c r="D440" s="361" t="inlineStr">
        <is>
          <t>Hotel for 6 days ( 29 Jul - 3 aug 24)</t>
        </is>
      </c>
      <c r="E440" s="361" t="inlineStr">
        <is>
          <t>-</t>
        </is>
      </c>
      <c r="F440" s="355" t="n">
        <v>2700000</v>
      </c>
      <c r="G440" s="353" t="inlineStr">
        <is>
          <t>IDR</t>
        </is>
      </c>
      <c r="H440" s="381" t="n">
        <v>1</v>
      </c>
      <c r="I440" s="358" t="n">
        <v>2700000</v>
      </c>
      <c r="J440" s="354" t="n"/>
      <c r="K440" s="354" t="n"/>
      <c r="L440" s="354" t="n"/>
      <c r="M440" s="354" t="n"/>
      <c r="N440" s="354" t="n"/>
      <c r="O440" s="354" t="n"/>
      <c r="P440" s="354" t="n"/>
      <c r="Q440" s="354" t="n"/>
      <c r="R440" s="354" t="n"/>
      <c r="S440" s="354" t="n"/>
      <c r="T440" s="354" t="n"/>
      <c r="U440" s="354" t="n"/>
      <c r="V440" s="354" t="n"/>
      <c r="W440" s="354" t="n"/>
      <c r="X440" s="354" t="n"/>
    </row>
    <row r="441" ht="15.5" customHeight="1" s="297">
      <c r="B441" s="369" t="n">
        <v>45511</v>
      </c>
      <c r="C441" s="353" t="n">
        <v>2</v>
      </c>
      <c r="D441" s="361" t="inlineStr">
        <is>
          <t>Laundry dor 10 days @Rp.50.000.</t>
        </is>
      </c>
      <c r="E441" s="361" t="inlineStr">
        <is>
          <t>-</t>
        </is>
      </c>
      <c r="F441" s="355" t="n">
        <v>500000</v>
      </c>
      <c r="G441" s="353" t="inlineStr">
        <is>
          <t>IDR</t>
        </is>
      </c>
      <c r="H441" s="381" t="n">
        <v>1</v>
      </c>
      <c r="I441" s="358" t="n">
        <v>500000</v>
      </c>
      <c r="J441" s="354" t="n"/>
      <c r="K441" s="354" t="n"/>
      <c r="L441" s="354" t="n"/>
      <c r="M441" s="359" t="n"/>
      <c r="N441" s="354" t="n"/>
      <c r="O441" s="354" t="n"/>
      <c r="P441" s="354" t="n"/>
      <c r="Q441" s="354" t="n"/>
      <c r="R441" s="354" t="n"/>
      <c r="S441" s="354" t="n"/>
      <c r="T441" s="354" t="n"/>
      <c r="U441" s="354" t="n"/>
      <c r="V441" s="354" t="n"/>
      <c r="W441" s="354" t="n"/>
      <c r="X441" s="354" t="n"/>
    </row>
    <row r="442" ht="15.5" customHeight="1" s="297">
      <c r="B442" s="384" t="n"/>
      <c r="C442" s="343" t="n"/>
      <c r="D442" s="365" t="inlineStr">
        <is>
          <t>Allowance</t>
        </is>
      </c>
      <c r="E442" s="366" t="n"/>
      <c r="F442" s="346" t="n"/>
      <c r="G442" s="343" t="n"/>
      <c r="H442" s="343" t="n"/>
      <c r="I442" s="348" t="n"/>
      <c r="J442" s="350" t="n"/>
      <c r="K442" s="350" t="n"/>
      <c r="L442" s="350" t="n"/>
      <c r="M442" s="349" t="n"/>
      <c r="N442" s="350" t="n"/>
      <c r="O442" s="350" t="n"/>
      <c r="P442" s="350" t="n"/>
      <c r="Q442" s="350" t="n"/>
      <c r="R442" s="351" t="n"/>
      <c r="S442" s="351" t="n"/>
      <c r="T442" s="351" t="n"/>
      <c r="U442" s="351" t="n"/>
      <c r="V442" s="351" t="n"/>
      <c r="W442" s="351" t="n"/>
      <c r="X442" s="351" t="n"/>
    </row>
    <row r="443" ht="15.5" customHeight="1" s="297">
      <c r="B443" s="369" t="n">
        <v>45511</v>
      </c>
      <c r="C443" s="353" t="n">
        <v>3</v>
      </c>
      <c r="D443" s="361" t="inlineStr">
        <is>
          <t>Meal utk 10 hari (29 Jul -7Aug-24) @Rp. 150.000</t>
        </is>
      </c>
      <c r="E443" s="361" t="inlineStr">
        <is>
          <t>-</t>
        </is>
      </c>
      <c r="F443" s="355" t="n">
        <v>1500000</v>
      </c>
      <c r="G443" s="353" t="inlineStr">
        <is>
          <t>IDR</t>
        </is>
      </c>
      <c r="H443" s="381" t="n">
        <v>1</v>
      </c>
      <c r="I443" s="363" t="n">
        <v>1500000</v>
      </c>
      <c r="J443" s="354" t="n"/>
      <c r="K443" s="354" t="n"/>
      <c r="L443" s="354" t="n"/>
      <c r="M443" s="359" t="n"/>
      <c r="N443" s="359" t="n"/>
      <c r="O443" s="354" t="n"/>
      <c r="P443" s="354" t="n"/>
      <c r="Q443" s="354" t="n"/>
      <c r="R443" s="354" t="n"/>
      <c r="S443" s="354" t="n"/>
      <c r="T443" s="354" t="n"/>
      <c r="U443" s="354" t="n"/>
      <c r="V443" s="354" t="n"/>
      <c r="W443" s="354" t="n"/>
      <c r="X443" s="354" t="n"/>
    </row>
    <row r="444" ht="15.5" customHeight="1" s="297">
      <c r="B444" s="369" t="n">
        <v>45511</v>
      </c>
      <c r="C444" s="353" t="n">
        <v>4</v>
      </c>
      <c r="D444" s="361" t="inlineStr">
        <is>
          <t>Tunjangan lapangan for 10 days (29Jul - 07Aug24) Anevril</t>
        </is>
      </c>
      <c r="E444" s="361" t="inlineStr">
        <is>
          <t>-</t>
        </is>
      </c>
      <c r="F444" s="355" t="n">
        <v>16100000</v>
      </c>
      <c r="G444" s="353" t="inlineStr">
        <is>
          <t>USD</t>
        </is>
      </c>
      <c r="H444" s="381" t="n">
        <v>16100</v>
      </c>
      <c r="I444" s="363" t="n">
        <v>16100000</v>
      </c>
      <c r="J444" s="354" t="n"/>
      <c r="K444" s="354" t="n"/>
      <c r="L444" s="354" t="n"/>
      <c r="M444" s="360" t="n"/>
      <c r="N444" s="354" t="n"/>
      <c r="O444" s="354" t="n"/>
      <c r="P444" s="354" t="n"/>
      <c r="Q444" s="354" t="n"/>
      <c r="R444" s="354" t="n"/>
      <c r="S444" s="354" t="n"/>
      <c r="T444" s="354" t="n"/>
      <c r="U444" s="354" t="n"/>
      <c r="V444" s="354" t="n"/>
      <c r="W444" s="354" t="n"/>
      <c r="X444" s="354" t="n"/>
    </row>
    <row r="445" ht="15.5" customHeight="1" s="297">
      <c r="B445" s="384" t="n"/>
      <c r="C445" s="343" t="n"/>
      <c r="D445" s="365" t="inlineStr">
        <is>
          <t>Logistic</t>
        </is>
      </c>
      <c r="E445" s="366" t="n"/>
      <c r="F445" s="346" t="n"/>
      <c r="G445" s="343" t="n"/>
      <c r="H445" s="343" t="n"/>
      <c r="I445" s="349" t="n"/>
      <c r="J445" s="350" t="n"/>
      <c r="K445" s="350" t="n"/>
      <c r="L445" s="350" t="n"/>
      <c r="M445" s="348" t="n"/>
      <c r="N445" s="350" t="n"/>
      <c r="O445" s="350" t="n"/>
      <c r="P445" s="350" t="n"/>
      <c r="Q445" s="350" t="n"/>
      <c r="R445" s="351" t="n"/>
      <c r="S445" s="351" t="n"/>
      <c r="T445" s="351" t="n"/>
      <c r="U445" s="351" t="n"/>
      <c r="V445" s="351" t="n"/>
      <c r="W445" s="351" t="n"/>
      <c r="X445" s="351" t="n"/>
    </row>
    <row r="446" ht="15.5" customHeight="1" s="297">
      <c r="B446" s="369" t="n">
        <v>45476</v>
      </c>
      <c r="C446" s="353" t="n">
        <v>5</v>
      </c>
      <c r="D446" s="361" t="inlineStr">
        <is>
          <t>buy Soft drink</t>
        </is>
      </c>
      <c r="E446" s="361" t="inlineStr">
        <is>
          <t>-</t>
        </is>
      </c>
      <c r="F446" s="355" t="n">
        <v>98000</v>
      </c>
      <c r="G446" s="353" t="inlineStr">
        <is>
          <t>IDR</t>
        </is>
      </c>
      <c r="H446" s="381" t="n">
        <v>1</v>
      </c>
      <c r="I446" s="363" t="n">
        <v>98000</v>
      </c>
      <c r="J446" s="354" t="n"/>
      <c r="K446" s="354" t="n"/>
      <c r="L446" s="354" t="n"/>
      <c r="M446" s="360" t="n"/>
      <c r="N446" s="354" t="n"/>
      <c r="O446" s="354" t="n"/>
      <c r="P446" s="354" t="n"/>
      <c r="Q446" s="354" t="n"/>
      <c r="R446" s="354" t="n"/>
      <c r="S446" s="354" t="n"/>
      <c r="T446" s="354" t="n"/>
      <c r="U446" s="354" t="n"/>
      <c r="V446" s="354" t="n"/>
      <c r="W446" s="354" t="n"/>
      <c r="X446" s="354" t="n"/>
    </row>
    <row r="447" ht="15.5" customHeight="1" s="297">
      <c r="B447" s="369" t="n">
        <v>45502</v>
      </c>
      <c r="C447" s="353" t="n">
        <v>6</v>
      </c>
      <c r="D447" s="361" t="inlineStr">
        <is>
          <t>buy Zirolic</t>
        </is>
      </c>
      <c r="E447" s="361" t="inlineStr">
        <is>
          <t>-</t>
        </is>
      </c>
      <c r="F447" s="355" t="n">
        <v>34200</v>
      </c>
      <c r="G447" s="353" t="inlineStr">
        <is>
          <t>IDR</t>
        </is>
      </c>
      <c r="H447" s="381" t="n">
        <v>1</v>
      </c>
      <c r="I447" s="354" t="n"/>
      <c r="J447" s="354" t="n"/>
      <c r="K447" s="354" t="n"/>
      <c r="L447" s="354" t="n"/>
      <c r="M447" s="359" t="n"/>
      <c r="N447" s="354" t="n"/>
      <c r="O447" s="354" t="n"/>
      <c r="P447" s="363" t="n">
        <v>34200</v>
      </c>
      <c r="Q447" s="354" t="n"/>
      <c r="R447" s="354" t="n"/>
      <c r="S447" s="354" t="n"/>
      <c r="T447" s="354" t="n"/>
      <c r="U447" s="354" t="n"/>
      <c r="V447" s="354" t="n"/>
      <c r="W447" s="354" t="n"/>
      <c r="X447" s="354" t="n"/>
    </row>
    <row r="448" ht="15.5" customHeight="1" s="297">
      <c r="B448" s="369" t="n">
        <v>45502</v>
      </c>
      <c r="C448" s="353" t="n">
        <v>7</v>
      </c>
      <c r="D448" s="361" t="inlineStr">
        <is>
          <t>buy Soft drink</t>
        </is>
      </c>
      <c r="E448" s="361" t="inlineStr">
        <is>
          <t>-</t>
        </is>
      </c>
      <c r="F448" s="355" t="n">
        <v>199900</v>
      </c>
      <c r="G448" s="353" t="inlineStr">
        <is>
          <t>IDR</t>
        </is>
      </c>
      <c r="H448" s="381" t="n">
        <v>1</v>
      </c>
      <c r="I448" s="363" t="n">
        <v>199900</v>
      </c>
      <c r="J448" s="354" t="n"/>
      <c r="K448" s="354" t="n"/>
      <c r="L448" s="354" t="n"/>
      <c r="M448" s="354" t="n"/>
      <c r="N448" s="354" t="n"/>
      <c r="O448" s="354" t="n"/>
      <c r="P448" s="354" t="n"/>
      <c r="Q448" s="354" t="n"/>
      <c r="R448" s="354" t="n"/>
      <c r="S448" s="354" t="n"/>
      <c r="T448" s="354" t="n"/>
      <c r="U448" s="354" t="n"/>
      <c r="V448" s="354" t="n"/>
      <c r="W448" s="354" t="n"/>
      <c r="X448" s="354" t="n"/>
    </row>
    <row r="449" ht="15.5" customHeight="1" s="297">
      <c r="B449" s="369" t="n">
        <v>45504</v>
      </c>
      <c r="C449" s="353" t="n">
        <v>8</v>
      </c>
      <c r="D449" s="361" t="inlineStr">
        <is>
          <t>buy Soft drink</t>
        </is>
      </c>
      <c r="E449" s="361" t="inlineStr">
        <is>
          <t>-</t>
        </is>
      </c>
      <c r="F449" s="355" t="n">
        <v>69000</v>
      </c>
      <c r="G449" s="353" t="inlineStr">
        <is>
          <t>IDR</t>
        </is>
      </c>
      <c r="H449" s="381" t="n">
        <v>1</v>
      </c>
      <c r="I449" s="363" t="n">
        <v>69000</v>
      </c>
      <c r="J449" s="354" t="n"/>
      <c r="K449" s="354" t="n"/>
      <c r="L449" s="354" t="n"/>
      <c r="M449" s="354" t="n"/>
      <c r="N449" s="354" t="n"/>
      <c r="O449" s="354" t="n"/>
      <c r="P449" s="354" t="n"/>
      <c r="Q449" s="354" t="n"/>
      <c r="R449" s="354" t="n"/>
      <c r="S449" s="354" t="n"/>
      <c r="T449" s="354" t="n"/>
      <c r="U449" s="354" t="n"/>
      <c r="V449" s="354" t="n"/>
      <c r="W449" s="354" t="n"/>
      <c r="X449" s="354" t="n"/>
    </row>
    <row r="450" ht="15.5" customHeight="1" s="297">
      <c r="B450" s="369" t="n">
        <v>45505</v>
      </c>
      <c r="C450" s="353" t="n">
        <v>9</v>
      </c>
      <c r="D450" s="361" t="inlineStr">
        <is>
          <t>Buy WD 40</t>
        </is>
      </c>
      <c r="E450" s="361" t="inlineStr">
        <is>
          <t>-</t>
        </is>
      </c>
      <c r="F450" s="355" t="n">
        <v>65000</v>
      </c>
      <c r="G450" s="353" t="inlineStr">
        <is>
          <t>IDR</t>
        </is>
      </c>
      <c r="H450" s="381" t="n">
        <v>1</v>
      </c>
      <c r="I450" s="360" t="n"/>
      <c r="J450" s="354" t="n"/>
      <c r="K450" s="354" t="n"/>
      <c r="L450" s="354" t="n"/>
      <c r="M450" s="354" t="n"/>
      <c r="N450" s="363" t="n">
        <v>65000</v>
      </c>
      <c r="O450" s="354" t="n"/>
      <c r="P450" s="354" t="n"/>
      <c r="Q450" s="354" t="n"/>
      <c r="R450" s="354" t="n"/>
      <c r="S450" s="354" t="n"/>
      <c r="T450" s="354" t="n"/>
      <c r="U450" s="354" t="n"/>
      <c r="V450" s="354" t="n"/>
      <c r="W450" s="354" t="n"/>
      <c r="X450" s="354" t="n"/>
    </row>
    <row r="451" ht="15.5" customHeight="1" s="297">
      <c r="B451" s="369" t="n">
        <v>45505</v>
      </c>
      <c r="C451" s="353" t="n">
        <v>10</v>
      </c>
      <c r="D451" s="361" t="inlineStr">
        <is>
          <t>buy Soft drink</t>
        </is>
      </c>
      <c r="E451" s="361" t="inlineStr">
        <is>
          <t>-</t>
        </is>
      </c>
      <c r="F451" s="355" t="n">
        <v>109800</v>
      </c>
      <c r="G451" s="353" t="inlineStr">
        <is>
          <t>IDR</t>
        </is>
      </c>
      <c r="H451" s="381" t="n">
        <v>1</v>
      </c>
      <c r="I451" s="363" t="n">
        <v>109800</v>
      </c>
      <c r="J451" s="354" t="n"/>
      <c r="K451" s="354" t="n"/>
      <c r="L451" s="354" t="n"/>
      <c r="M451" s="354" t="n"/>
      <c r="N451" s="360" t="n"/>
      <c r="O451" s="354" t="n"/>
      <c r="P451" s="354" t="n"/>
      <c r="Q451" s="354" t="n"/>
      <c r="R451" s="354" t="n"/>
      <c r="S451" s="354" t="n"/>
      <c r="T451" s="354" t="n"/>
      <c r="U451" s="354" t="n"/>
      <c r="V451" s="354" t="n"/>
      <c r="W451" s="354" t="n"/>
      <c r="X451" s="354" t="n"/>
    </row>
    <row r="452" ht="15.5" customHeight="1" s="297">
      <c r="B452" s="369" t="n">
        <v>45507</v>
      </c>
      <c r="C452" s="353" t="n">
        <v>11</v>
      </c>
      <c r="D452" s="361" t="inlineStr">
        <is>
          <t>buy Soft drink</t>
        </is>
      </c>
      <c r="E452" s="361" t="inlineStr">
        <is>
          <t>-</t>
        </is>
      </c>
      <c r="F452" s="355" t="n">
        <v>96600</v>
      </c>
      <c r="G452" s="353" t="inlineStr">
        <is>
          <t>IDR</t>
        </is>
      </c>
      <c r="H452" s="381" t="n">
        <v>1</v>
      </c>
      <c r="I452" s="363" t="n">
        <v>96600</v>
      </c>
      <c r="J452" s="354" t="n"/>
      <c r="K452" s="354" t="n"/>
      <c r="L452" s="354" t="n"/>
      <c r="M452" s="354" t="n"/>
      <c r="N452" s="354" t="n"/>
      <c r="O452" s="354" t="n"/>
      <c r="P452" s="354" t="n"/>
      <c r="Q452" s="354" t="n"/>
      <c r="R452" s="354" t="n"/>
      <c r="S452" s="354" t="n"/>
      <c r="T452" s="354" t="n"/>
      <c r="U452" s="354" t="n"/>
      <c r="V452" s="354" t="n"/>
      <c r="W452" s="354" t="n"/>
      <c r="X452" s="354" t="n"/>
    </row>
    <row r="453" ht="15.5" customHeight="1" s="297">
      <c r="B453" s="369" t="n">
        <v>45508</v>
      </c>
      <c r="C453" s="353" t="n">
        <v>12</v>
      </c>
      <c r="D453" s="361" t="inlineStr">
        <is>
          <t>buy Soft drink</t>
        </is>
      </c>
      <c r="E453" s="361" t="inlineStr">
        <is>
          <t>-</t>
        </is>
      </c>
      <c r="F453" s="355" t="n">
        <v>56600</v>
      </c>
      <c r="G453" s="353" t="inlineStr">
        <is>
          <t>IDR</t>
        </is>
      </c>
      <c r="H453" s="381" t="n">
        <v>1</v>
      </c>
      <c r="I453" s="363" t="n">
        <v>56600</v>
      </c>
      <c r="J453" s="354" t="n"/>
      <c r="K453" s="354" t="n"/>
      <c r="L453" s="354" t="n"/>
      <c r="M453" s="354" t="n"/>
      <c r="N453" s="354" t="n"/>
      <c r="O453" s="354" t="n"/>
      <c r="P453" s="354" t="n"/>
      <c r="Q453" s="354" t="n"/>
      <c r="R453" s="354" t="n"/>
      <c r="S453" s="354" t="n"/>
      <c r="T453" s="354" t="n"/>
      <c r="U453" s="354" t="n"/>
      <c r="V453" s="354" t="n"/>
      <c r="W453" s="354" t="n"/>
      <c r="X453" s="354" t="n"/>
    </row>
    <row r="454" ht="15.5" customHeight="1" s="297">
      <c r="B454" s="369" t="n">
        <v>45509</v>
      </c>
      <c r="C454" s="353" t="n">
        <v>13</v>
      </c>
      <c r="D454" s="361" t="inlineStr">
        <is>
          <t>Buy connection T dan nipple</t>
        </is>
      </c>
      <c r="E454" s="361" t="inlineStr">
        <is>
          <t>-</t>
        </is>
      </c>
      <c r="F454" s="355" t="n">
        <v>72500</v>
      </c>
      <c r="G454" s="353" t="inlineStr">
        <is>
          <t>IDR</t>
        </is>
      </c>
      <c r="H454" s="381" t="n">
        <v>1</v>
      </c>
      <c r="I454" s="360" t="n"/>
      <c r="J454" s="354" t="n"/>
      <c r="K454" s="354" t="n"/>
      <c r="L454" s="354" t="n"/>
      <c r="M454" s="354" t="n"/>
      <c r="N454" s="363" t="n">
        <v>72500</v>
      </c>
      <c r="O454" s="354" t="n"/>
      <c r="P454" s="354" t="n"/>
      <c r="Q454" s="354" t="n"/>
      <c r="R454" s="354" t="n"/>
      <c r="S454" s="354" t="n"/>
      <c r="T454" s="354" t="n"/>
      <c r="U454" s="354" t="n"/>
      <c r="V454" s="354" t="n"/>
      <c r="W454" s="354" t="n"/>
      <c r="X454" s="354" t="n"/>
    </row>
    <row r="455" ht="15.5" customHeight="1" s="297">
      <c r="B455" s="369" t="n">
        <v>45509</v>
      </c>
      <c r="C455" s="353" t="n">
        <v>14</v>
      </c>
      <c r="D455" s="361" t="inlineStr">
        <is>
          <t>Buy Quick connection</t>
        </is>
      </c>
      <c r="E455" s="361" t="inlineStr">
        <is>
          <t>-</t>
        </is>
      </c>
      <c r="F455" s="355" t="n">
        <v>400000</v>
      </c>
      <c r="G455" s="353" t="inlineStr">
        <is>
          <t>IDR</t>
        </is>
      </c>
      <c r="H455" s="381" t="n">
        <v>1</v>
      </c>
      <c r="I455" s="354" t="n"/>
      <c r="J455" s="354" t="n"/>
      <c r="K455" s="354" t="n"/>
      <c r="L455" s="354" t="n"/>
      <c r="M455" s="354" t="n"/>
      <c r="N455" s="363" t="n">
        <v>400000</v>
      </c>
      <c r="O455" s="354" t="n"/>
      <c r="P455" s="354" t="n"/>
      <c r="Q455" s="354" t="n"/>
      <c r="R455" s="354" t="n"/>
      <c r="S455" s="354" t="n"/>
      <c r="T455" s="354" t="n"/>
      <c r="U455" s="354" t="n"/>
      <c r="V455" s="354" t="n"/>
      <c r="W455" s="354" t="n"/>
      <c r="X455" s="354" t="n"/>
    </row>
    <row r="456" ht="15.5" customHeight="1" s="297">
      <c r="B456" s="369" t="n">
        <v>45510</v>
      </c>
      <c r="C456" s="353" t="n">
        <v>15</v>
      </c>
      <c r="D456" s="361" t="inlineStr">
        <is>
          <t>Buy Paint nippon</t>
        </is>
      </c>
      <c r="E456" s="361" t="inlineStr">
        <is>
          <t>-</t>
        </is>
      </c>
      <c r="F456" s="355" t="n">
        <v>60000</v>
      </c>
      <c r="G456" s="353" t="inlineStr">
        <is>
          <t>IDR</t>
        </is>
      </c>
      <c r="H456" s="381" t="n">
        <v>1</v>
      </c>
      <c r="I456" s="354" t="n"/>
      <c r="J456" s="354" t="n"/>
      <c r="K456" s="354" t="n"/>
      <c r="L456" s="354" t="n"/>
      <c r="M456" s="354" t="n"/>
      <c r="N456" s="363" t="n">
        <v>60000</v>
      </c>
      <c r="O456" s="354" t="n"/>
      <c r="P456" s="354" t="n"/>
      <c r="Q456" s="354" t="n"/>
      <c r="R456" s="354" t="n"/>
      <c r="S456" s="354" t="n"/>
      <c r="T456" s="354" t="n"/>
      <c r="U456" s="354" t="n"/>
      <c r="V456" s="354" t="n"/>
      <c r="W456" s="354" t="n"/>
      <c r="X456" s="354" t="n"/>
    </row>
    <row r="457" ht="15.5" customHeight="1" s="297">
      <c r="B457" s="369" t="n">
        <v>45510</v>
      </c>
      <c r="C457" s="353" t="n">
        <v>16</v>
      </c>
      <c r="D457" s="361" t="inlineStr">
        <is>
          <t>buy Soft drink</t>
        </is>
      </c>
      <c r="E457" s="361" t="inlineStr">
        <is>
          <t>-</t>
        </is>
      </c>
      <c r="F457" s="355" t="n">
        <v>118100</v>
      </c>
      <c r="G457" s="353" t="inlineStr">
        <is>
          <t>IDR</t>
        </is>
      </c>
      <c r="H457" s="381" t="n">
        <v>1</v>
      </c>
      <c r="I457" s="363" t="n">
        <v>118100</v>
      </c>
      <c r="J457" s="354" t="n"/>
      <c r="K457" s="354" t="n"/>
      <c r="L457" s="354" t="n"/>
      <c r="M457" s="359" t="n"/>
      <c r="N457" s="360" t="n"/>
      <c r="O457" s="354" t="n"/>
      <c r="P457" s="354" t="n"/>
      <c r="Q457" s="354" t="n"/>
      <c r="R457" s="354" t="n"/>
      <c r="S457" s="354" t="n"/>
      <c r="T457" s="354" t="n"/>
      <c r="U457" s="354" t="n"/>
      <c r="V457" s="354" t="n"/>
      <c r="W457" s="354" t="n"/>
      <c r="X457" s="354" t="n"/>
    </row>
    <row r="458" ht="15.5" customHeight="1" s="297">
      <c r="B458" s="384" t="n"/>
      <c r="C458" s="343" t="n"/>
      <c r="D458" s="365" t="inlineStr">
        <is>
          <t>Meal</t>
        </is>
      </c>
      <c r="E458" s="366" t="n"/>
      <c r="F458" s="346" t="n"/>
      <c r="G458" s="343" t="n"/>
      <c r="H458" s="343" t="n"/>
      <c r="I458" s="349" t="n"/>
      <c r="J458" s="350" t="n"/>
      <c r="K458" s="350" t="n"/>
      <c r="L458" s="350" t="n"/>
      <c r="M458" s="349" t="n"/>
      <c r="N458" s="350" t="n"/>
      <c r="O458" s="350" t="n"/>
      <c r="P458" s="350" t="n"/>
      <c r="Q458" s="350" t="n"/>
      <c r="R458" s="351" t="n"/>
      <c r="S458" s="351" t="n"/>
      <c r="T458" s="351" t="n"/>
      <c r="U458" s="351" t="n"/>
      <c r="V458" s="351" t="n"/>
      <c r="W458" s="351" t="n"/>
      <c r="X458" s="351" t="n"/>
    </row>
    <row r="459" ht="15.5" customHeight="1" s="297">
      <c r="B459" s="369" t="n">
        <v>45502</v>
      </c>
      <c r="C459" s="353" t="n">
        <v>17</v>
      </c>
      <c r="D459" s="361" t="inlineStr">
        <is>
          <t>w/ Crew Barekin</t>
        </is>
      </c>
      <c r="E459" s="361" t="inlineStr">
        <is>
          <t>-</t>
        </is>
      </c>
      <c r="F459" s="355" t="n">
        <v>275000</v>
      </c>
      <c r="G459" s="353" t="inlineStr">
        <is>
          <t>IDR</t>
        </is>
      </c>
      <c r="H459" s="381" t="n">
        <v>1</v>
      </c>
      <c r="I459" s="363" t="n">
        <v>275000</v>
      </c>
      <c r="J459" s="354" t="n"/>
      <c r="K459" s="354" t="n"/>
      <c r="L459" s="354" t="n"/>
      <c r="M459" s="359" t="n"/>
      <c r="N459" s="354" t="n"/>
      <c r="O459" s="354" t="n"/>
      <c r="P459" s="354" t="n"/>
      <c r="Q459" s="354" t="n"/>
      <c r="R459" s="354" t="n"/>
      <c r="S459" s="354" t="n"/>
      <c r="T459" s="354" t="n"/>
      <c r="U459" s="354" t="n"/>
      <c r="V459" s="354" t="n"/>
      <c r="W459" s="354" t="n"/>
      <c r="X459" s="354" t="n"/>
    </row>
    <row r="460" ht="15.5" customHeight="1" s="297">
      <c r="B460" s="369" t="n">
        <v>45505</v>
      </c>
      <c r="C460" s="353" t="n">
        <v>18</v>
      </c>
      <c r="D460" s="361" t="inlineStr">
        <is>
          <t>W/ TIS Petroleum personnel</t>
        </is>
      </c>
      <c r="E460" s="361" t="inlineStr">
        <is>
          <t>-</t>
        </is>
      </c>
      <c r="F460" s="355" t="n">
        <v>157000</v>
      </c>
      <c r="G460" s="353" t="inlineStr">
        <is>
          <t>IDR</t>
        </is>
      </c>
      <c r="H460" s="381" t="n">
        <v>1</v>
      </c>
      <c r="I460" s="363" t="n">
        <v>157000</v>
      </c>
      <c r="J460" s="354" t="n"/>
      <c r="K460" s="354" t="n"/>
      <c r="L460" s="354" t="n"/>
      <c r="M460" s="359" t="n"/>
      <c r="N460" s="354" t="n"/>
      <c r="O460" s="354" t="n"/>
      <c r="P460" s="354" t="n"/>
      <c r="Q460" s="354" t="n"/>
      <c r="R460" s="354" t="n"/>
      <c r="S460" s="354" t="n"/>
      <c r="T460" s="354" t="n"/>
      <c r="U460" s="354" t="n"/>
      <c r="V460" s="354" t="n"/>
      <c r="W460" s="354" t="n"/>
      <c r="X460" s="354" t="n"/>
    </row>
    <row r="461" ht="15.5" customHeight="1" s="297">
      <c r="B461" s="369" t="n">
        <v>45506</v>
      </c>
      <c r="C461" s="353" t="n">
        <v>19</v>
      </c>
      <c r="D461" s="361" t="inlineStr">
        <is>
          <t>w/ Crew Barekin (buy ice sirop) No reciept</t>
        </is>
      </c>
      <c r="E461" s="361" t="inlineStr">
        <is>
          <t>-</t>
        </is>
      </c>
      <c r="F461" s="355" t="n">
        <v>80000</v>
      </c>
      <c r="G461" s="353" t="inlineStr">
        <is>
          <t>IDR</t>
        </is>
      </c>
      <c r="H461" s="381" t="n">
        <v>1</v>
      </c>
      <c r="I461" s="363" t="n">
        <v>80000</v>
      </c>
      <c r="J461" s="354" t="n"/>
      <c r="K461" s="354" t="n"/>
      <c r="L461" s="354" t="n"/>
      <c r="M461" s="359" t="n"/>
      <c r="N461" s="354" t="n"/>
      <c r="O461" s="354" t="n"/>
      <c r="P461" s="354" t="n"/>
      <c r="Q461" s="354" t="n"/>
      <c r="R461" s="354" t="n"/>
      <c r="S461" s="354" t="n"/>
      <c r="T461" s="354" t="n"/>
      <c r="U461" s="354" t="n"/>
      <c r="V461" s="354" t="n"/>
      <c r="W461" s="354" t="n"/>
      <c r="X461" s="354" t="n"/>
    </row>
    <row r="462" ht="15.5" customHeight="1" s="297">
      <c r="B462" s="369" t="n">
        <v>45507</v>
      </c>
      <c r="C462" s="353" t="n">
        <v>20</v>
      </c>
      <c r="D462" s="361" t="inlineStr">
        <is>
          <t>w/ TIS Lemigas Personnel</t>
        </is>
      </c>
      <c r="E462" s="361" t="inlineStr">
        <is>
          <t>-</t>
        </is>
      </c>
      <c r="F462" s="355" t="n">
        <v>270350</v>
      </c>
      <c r="G462" s="353" t="inlineStr">
        <is>
          <t>IDR</t>
        </is>
      </c>
      <c r="H462" s="381" t="n">
        <v>1</v>
      </c>
      <c r="I462" s="363" t="n">
        <v>270350</v>
      </c>
      <c r="J462" s="354" t="n"/>
      <c r="K462" s="354" t="n"/>
      <c r="L462" s="354" t="n"/>
      <c r="M462" s="360" t="n"/>
      <c r="N462" s="354" t="n"/>
      <c r="O462" s="354" t="n"/>
      <c r="P462" s="354" t="n"/>
      <c r="Q462" s="354" t="n"/>
      <c r="R462" s="354" t="n"/>
      <c r="S462" s="354" t="n"/>
      <c r="T462" s="354" t="n"/>
      <c r="U462" s="354" t="n"/>
      <c r="V462" s="354" t="n"/>
      <c r="W462" s="354" t="n"/>
      <c r="X462" s="354" t="n"/>
    </row>
    <row r="463" ht="15.5" customHeight="1" s="297">
      <c r="B463" s="369" t="n">
        <v>45507</v>
      </c>
      <c r="C463" s="353" t="n">
        <v>21</v>
      </c>
      <c r="D463" s="361" t="inlineStr">
        <is>
          <t>w/ TIS Petroleum Personnel</t>
        </is>
      </c>
      <c r="E463" s="361" t="inlineStr">
        <is>
          <t>-</t>
        </is>
      </c>
      <c r="F463" s="355" t="n">
        <v>401000</v>
      </c>
      <c r="G463" s="353" t="inlineStr">
        <is>
          <t>IDR</t>
        </is>
      </c>
      <c r="H463" s="381" t="n">
        <v>1</v>
      </c>
      <c r="I463" s="363" t="n">
        <v>401000</v>
      </c>
      <c r="J463" s="354" t="n"/>
      <c r="K463" s="354" t="n"/>
      <c r="L463" s="354" t="n"/>
      <c r="M463" s="359" t="n"/>
      <c r="N463" s="354" t="n"/>
      <c r="O463" s="354" t="n"/>
      <c r="P463" s="354" t="n"/>
      <c r="Q463" s="354" t="n"/>
      <c r="R463" s="354" t="n"/>
      <c r="S463" s="354" t="n"/>
      <c r="T463" s="354" t="n"/>
      <c r="U463" s="354" t="n"/>
      <c r="V463" s="354" t="n"/>
      <c r="W463" s="354" t="n"/>
      <c r="X463" s="354" t="n"/>
    </row>
    <row r="464" ht="15.5" customHeight="1" s="297">
      <c r="B464" s="384" t="n"/>
      <c r="C464" s="343" t="n"/>
      <c r="D464" s="365" t="inlineStr">
        <is>
          <t>Transportation</t>
        </is>
      </c>
      <c r="E464" s="366" t="n"/>
      <c r="F464" s="346" t="n"/>
      <c r="G464" s="343" t="n"/>
      <c r="H464" s="343" t="n"/>
      <c r="I464" s="349" t="n"/>
      <c r="J464" s="350" t="n"/>
      <c r="K464" s="350" t="n"/>
      <c r="L464" s="350" t="n"/>
      <c r="M464" s="349" t="n"/>
      <c r="N464" s="350" t="n"/>
      <c r="O464" s="350" t="n"/>
      <c r="P464" s="350" t="n"/>
      <c r="Q464" s="350" t="n"/>
      <c r="R464" s="351" t="n"/>
      <c r="S464" s="351" t="n"/>
      <c r="T464" s="351" t="n"/>
      <c r="U464" s="351" t="n"/>
      <c r="V464" s="351" t="n"/>
      <c r="W464" s="351" t="n"/>
      <c r="X464" s="351" t="n"/>
    </row>
    <row r="465" ht="15.5" customHeight="1" s="297">
      <c r="B465" s="369" t="n">
        <v>45502</v>
      </c>
      <c r="C465" s="353" t="n">
        <v>22</v>
      </c>
      <c r="D465" s="361" t="inlineStr">
        <is>
          <t>Toll (Jkt Blora - PP)</t>
        </is>
      </c>
      <c r="E465" s="361" t="inlineStr">
        <is>
          <t>-</t>
        </is>
      </c>
      <c r="F465" s="355" t="n">
        <v>483000</v>
      </c>
      <c r="G465" s="353" t="inlineStr">
        <is>
          <t>IDR</t>
        </is>
      </c>
      <c r="H465" s="381" t="n">
        <v>1</v>
      </c>
      <c r="I465" s="363" t="n">
        <v>483000</v>
      </c>
      <c r="J465" s="354" t="n"/>
      <c r="K465" s="354" t="n"/>
      <c r="L465" s="354" t="n"/>
      <c r="M465" s="359" t="n"/>
      <c r="N465" s="354" t="n"/>
      <c r="O465" s="354" t="n"/>
      <c r="P465" s="354" t="n"/>
      <c r="Q465" s="354" t="n"/>
      <c r="R465" s="354" t="n"/>
      <c r="S465" s="354" t="n"/>
      <c r="T465" s="354" t="n"/>
      <c r="U465" s="354" t="n"/>
      <c r="V465" s="354" t="n"/>
      <c r="W465" s="354" t="n"/>
      <c r="X465" s="354" t="n"/>
    </row>
    <row r="466" ht="15.5" customHeight="1" s="297">
      <c r="B466" s="369" t="n">
        <v>45511</v>
      </c>
      <c r="C466" s="353" t="n">
        <v>23</v>
      </c>
      <c r="D466" s="361" t="inlineStr">
        <is>
          <t>Rental car (include Fuel ) 10 days, @Rp1.100.000</t>
        </is>
      </c>
      <c r="E466" s="361" t="inlineStr">
        <is>
          <t>-</t>
        </is>
      </c>
      <c r="F466" s="355" t="n">
        <v>11000000</v>
      </c>
      <c r="G466" s="353" t="inlineStr">
        <is>
          <t>IDR</t>
        </is>
      </c>
      <c r="H466" s="381" t="n">
        <v>1</v>
      </c>
      <c r="I466" s="363" t="n">
        <v>11000000</v>
      </c>
      <c r="J466" s="354" t="n"/>
      <c r="K466" s="354" t="n"/>
      <c r="L466" s="354" t="n"/>
      <c r="M466" s="354" t="n"/>
      <c r="N466" s="354" t="n"/>
      <c r="O466" s="354" t="n"/>
      <c r="P466" s="354" t="n"/>
      <c r="Q466" s="354" t="n"/>
      <c r="R466" s="354" t="n"/>
      <c r="S466" s="354" t="n"/>
      <c r="T466" s="354" t="n"/>
      <c r="U466" s="354" t="n"/>
      <c r="V466" s="354" t="n"/>
      <c r="W466" s="354" t="n"/>
      <c r="X466" s="354" t="n"/>
    </row>
    <row r="467" ht="15.5" customHeight="1" s="297">
      <c r="B467" s="369" t="n">
        <v>45511</v>
      </c>
      <c r="C467" s="353" t="n">
        <v>24</v>
      </c>
      <c r="D467" s="361" t="inlineStr">
        <is>
          <t>Toll (Gubug - Jakarta)</t>
        </is>
      </c>
      <c r="E467" s="361" t="inlineStr">
        <is>
          <t>-</t>
        </is>
      </c>
      <c r="F467" s="355" t="n">
        <v>496000</v>
      </c>
      <c r="G467" s="353" t="inlineStr">
        <is>
          <t>IDR</t>
        </is>
      </c>
      <c r="H467" s="381" t="n">
        <v>1</v>
      </c>
      <c r="I467" s="363" t="n">
        <v>496000</v>
      </c>
      <c r="J467" s="354" t="n"/>
      <c r="K467" s="354" t="n"/>
      <c r="L467" s="354" t="n"/>
      <c r="M467" s="354" t="n"/>
      <c r="N467" s="354" t="n"/>
      <c r="O467" s="354" t="n"/>
      <c r="P467" s="354" t="n"/>
      <c r="Q467" s="354" t="n"/>
      <c r="R467" s="354" t="n"/>
      <c r="S467" s="354" t="n"/>
      <c r="T467" s="354" t="n"/>
      <c r="U467" s="354" t="n"/>
      <c r="V467" s="354" t="n"/>
      <c r="W467" s="354" t="n"/>
      <c r="X467" s="354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0" t="n"/>
      <c r="C469" s="414" t="n"/>
      <c r="D469" s="415" t="inlineStr">
        <is>
          <t>Accommodation</t>
        </is>
      </c>
      <c r="E469" s="416" t="n"/>
      <c r="F469" s="345" t="n"/>
      <c r="G469" s="343" t="n"/>
      <c r="H469" s="343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51" t="n"/>
      <c r="S469" s="351" t="n"/>
      <c r="T469" s="351" t="n"/>
      <c r="U469" s="351" t="n"/>
      <c r="V469" s="351" t="n"/>
      <c r="W469" s="351" t="n"/>
      <c r="X469" s="351" t="n"/>
    </row>
    <row r="470" ht="15.5" customHeight="1" s="297">
      <c r="B470" s="369" t="n">
        <v>45502</v>
      </c>
      <c r="C470" s="353" t="n">
        <v>1</v>
      </c>
      <c r="D470" s="361" t="inlineStr">
        <is>
          <t>Electrical Bill</t>
        </is>
      </c>
      <c r="E470" s="361" t="inlineStr">
        <is>
          <t>-</t>
        </is>
      </c>
      <c r="F470" s="370" t="n">
        <v>159682</v>
      </c>
      <c r="G470" s="353" t="inlineStr">
        <is>
          <t>IDR</t>
        </is>
      </c>
      <c r="H470" s="381" t="n">
        <v>1</v>
      </c>
      <c r="I470" s="363" t="n">
        <v>159682</v>
      </c>
      <c r="J470" s="354" t="n"/>
      <c r="K470" s="354" t="n"/>
      <c r="L470" s="354" t="n"/>
      <c r="M470" s="354" t="n"/>
      <c r="N470" s="354" t="n"/>
      <c r="O470" s="354" t="n"/>
      <c r="P470" s="354" t="n"/>
      <c r="Q470" s="354" t="n"/>
      <c r="R470" s="354" t="n"/>
      <c r="S470" s="354" t="n"/>
      <c r="T470" s="354" t="n"/>
      <c r="U470" s="354" t="n"/>
      <c r="V470" s="354" t="n"/>
      <c r="W470" s="354" t="n"/>
      <c r="X470" s="354" t="n"/>
    </row>
    <row r="471" ht="15.5" customHeight="1" s="297">
      <c r="B471" s="369" t="n">
        <v>45502</v>
      </c>
      <c r="C471" s="353" t="n">
        <v>2</v>
      </c>
      <c r="D471" s="361" t="inlineStr">
        <is>
          <t>Laundry 10 days 1 Persons @ 50K IDR/day</t>
        </is>
      </c>
      <c r="E471" s="361" t="inlineStr">
        <is>
          <t>-</t>
        </is>
      </c>
      <c r="F471" s="370" t="n">
        <v>500000</v>
      </c>
      <c r="G471" s="353" t="inlineStr">
        <is>
          <t>IDR</t>
        </is>
      </c>
      <c r="H471" s="381" t="n">
        <v>1</v>
      </c>
      <c r="I471" s="363" t="n">
        <v>500000</v>
      </c>
      <c r="J471" s="354" t="n"/>
      <c r="K471" s="354" t="n"/>
      <c r="L471" s="354" t="n"/>
      <c r="M471" s="354" t="n"/>
      <c r="N471" s="354" t="n"/>
      <c r="O471" s="354" t="n"/>
      <c r="P471" s="354" t="n"/>
      <c r="Q471" s="354" t="n"/>
      <c r="R471" s="354" t="n"/>
      <c r="S471" s="354" t="n"/>
      <c r="T471" s="354" t="n"/>
      <c r="U471" s="354" t="n"/>
      <c r="V471" s="354" t="n"/>
      <c r="W471" s="354" t="n"/>
      <c r="X471" s="354" t="n"/>
    </row>
    <row r="472" ht="15.5" customHeight="1" s="297">
      <c r="B472" s="384" t="n"/>
      <c r="C472" s="343" t="n"/>
      <c r="D472" s="365" t="inlineStr">
        <is>
          <t>Allowance</t>
        </is>
      </c>
      <c r="E472" s="366" t="n"/>
      <c r="F472" s="368" t="n"/>
      <c r="G472" s="343" t="n"/>
      <c r="H472" s="343" t="n"/>
      <c r="I472" s="349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51" t="n"/>
      <c r="S472" s="351" t="n"/>
      <c r="T472" s="351" t="n"/>
      <c r="U472" s="351" t="n"/>
      <c r="V472" s="351" t="n"/>
      <c r="W472" s="351" t="n"/>
      <c r="X472" s="351" t="n"/>
    </row>
    <row r="473" ht="15.5" customHeight="1" s="297">
      <c r="B473" s="369" t="n">
        <v>45502</v>
      </c>
      <c r="C473" s="353" t="n">
        <v>3</v>
      </c>
      <c r="D473" s="361" t="inlineStr">
        <is>
          <t>Tunjangan Lapangan for 10 days</t>
        </is>
      </c>
      <c r="E473" s="361" t="inlineStr">
        <is>
          <t>-</t>
        </is>
      </c>
      <c r="F473" s="370" t="n">
        <v>15513000</v>
      </c>
      <c r="G473" s="353" t="inlineStr">
        <is>
          <t>USD</t>
        </is>
      </c>
      <c r="H473" s="381" t="n">
        <v>15513</v>
      </c>
      <c r="I473" s="363" t="n">
        <v>15513000</v>
      </c>
      <c r="J473" s="354" t="n"/>
      <c r="K473" s="354" t="n"/>
      <c r="L473" s="354" t="n"/>
      <c r="M473" s="359" t="n"/>
      <c r="N473" s="354" t="n"/>
      <c r="O473" s="354" t="n"/>
      <c r="P473" s="354" t="n"/>
      <c r="Q473" s="354" t="n"/>
      <c r="R473" s="354" t="n"/>
      <c r="S473" s="354" t="n"/>
      <c r="T473" s="354" t="n"/>
      <c r="U473" s="354" t="n"/>
      <c r="V473" s="354" t="n"/>
      <c r="W473" s="354" t="n"/>
      <c r="X473" s="354" t="n"/>
    </row>
    <row r="474" ht="15.5" customHeight="1" s="297">
      <c r="B474" s="384" t="n"/>
      <c r="C474" s="343" t="n"/>
      <c r="D474" s="365" t="inlineStr">
        <is>
          <t>Meal</t>
        </is>
      </c>
      <c r="E474" s="366" t="n"/>
      <c r="F474" s="368" t="n"/>
      <c r="G474" s="343" t="n"/>
      <c r="H474" s="343" t="n"/>
      <c r="I474" s="348" t="n"/>
      <c r="J474" s="350" t="n"/>
      <c r="K474" s="350" t="n"/>
      <c r="L474" s="350" t="n"/>
      <c r="M474" s="349" t="n"/>
      <c r="N474" s="350" t="n"/>
      <c r="O474" s="350" t="n"/>
      <c r="P474" s="350" t="n"/>
      <c r="Q474" s="350" t="n"/>
      <c r="R474" s="351" t="n"/>
      <c r="S474" s="351" t="n"/>
      <c r="T474" s="351" t="n"/>
      <c r="U474" s="351" t="n"/>
      <c r="V474" s="351" t="n"/>
      <c r="W474" s="351" t="n"/>
      <c r="X474" s="351" t="n"/>
    </row>
    <row r="475" ht="15.5" customHeight="1" s="297">
      <c r="B475" s="369" t="n">
        <v>45502</v>
      </c>
      <c r="C475" s="353" t="n">
        <v>4</v>
      </c>
      <c r="D475" s="361" t="inlineStr">
        <is>
          <t>Meal Crew's Operational</t>
        </is>
      </c>
      <c r="E475" s="361" t="inlineStr">
        <is>
          <t>-</t>
        </is>
      </c>
      <c r="F475" s="370" t="n">
        <v>263200</v>
      </c>
      <c r="G475" s="353" t="inlineStr">
        <is>
          <t>IDR</t>
        </is>
      </c>
      <c r="H475" s="381" t="n">
        <v>1</v>
      </c>
      <c r="I475" s="358" t="n">
        <v>263200</v>
      </c>
      <c r="J475" s="354" t="n"/>
      <c r="K475" s="354" t="n"/>
      <c r="L475" s="354" t="n"/>
      <c r="M475" s="359" t="n"/>
      <c r="N475" s="354" t="n"/>
      <c r="O475" s="354" t="n"/>
      <c r="P475" s="354" t="n"/>
      <c r="Q475" s="354" t="n"/>
      <c r="R475" s="354" t="n"/>
      <c r="S475" s="354" t="n"/>
      <c r="T475" s="354" t="n"/>
      <c r="U475" s="354" t="n"/>
      <c r="V475" s="354" t="n"/>
      <c r="W475" s="354" t="n"/>
      <c r="X475" s="354" t="n"/>
    </row>
    <row r="476" ht="15.5" customHeight="1" s="297">
      <c r="B476" s="369" t="n">
        <v>45502</v>
      </c>
      <c r="C476" s="353" t="n">
        <v>5</v>
      </c>
      <c r="D476" s="361" t="inlineStr">
        <is>
          <t>Meals 10 days 1 Persons @ 150K IDR/day</t>
        </is>
      </c>
      <c r="E476" s="361" t="inlineStr">
        <is>
          <t>-</t>
        </is>
      </c>
      <c r="F476" s="370" t="n">
        <v>1500000</v>
      </c>
      <c r="G476" s="353" t="inlineStr">
        <is>
          <t>IDR</t>
        </is>
      </c>
      <c r="H476" s="381" t="n">
        <v>1</v>
      </c>
      <c r="I476" s="358" t="n">
        <v>1500000</v>
      </c>
      <c r="J476" s="354" t="n"/>
      <c r="K476" s="354" t="n"/>
      <c r="L476" s="354" t="n"/>
      <c r="M476" s="360" t="n"/>
      <c r="N476" s="354" t="n"/>
      <c r="O476" s="354" t="n"/>
      <c r="P476" s="354" t="n"/>
      <c r="Q476" s="354" t="n"/>
      <c r="R476" s="354" t="n"/>
      <c r="S476" s="354" t="n"/>
      <c r="T476" s="354" t="n"/>
      <c r="U476" s="354" t="n"/>
      <c r="V476" s="354" t="n"/>
      <c r="W476" s="354" t="n"/>
      <c r="X476" s="354" t="n"/>
    </row>
    <row r="477" ht="15.5" customHeight="1" s="297">
      <c r="B477" s="384" t="n"/>
      <c r="C477" s="343" t="n"/>
      <c r="D477" s="365" t="inlineStr">
        <is>
          <t>Operation</t>
        </is>
      </c>
      <c r="E477" s="409" t="n"/>
      <c r="F477" s="368" t="n"/>
      <c r="G477" s="343" t="n"/>
      <c r="H477" s="343" t="n"/>
      <c r="I477" s="350" t="n"/>
      <c r="J477" s="350" t="n"/>
      <c r="K477" s="350" t="n"/>
      <c r="L477" s="350" t="n"/>
      <c r="M477" s="348" t="n"/>
      <c r="N477" s="350" t="n"/>
      <c r="O477" s="350" t="n"/>
      <c r="P477" s="350" t="n"/>
      <c r="Q477" s="350" t="n"/>
      <c r="R477" s="351" t="n"/>
      <c r="S477" s="351" t="n"/>
      <c r="T477" s="351" t="n"/>
      <c r="U477" s="351" t="n"/>
      <c r="V477" s="351" t="n"/>
      <c r="W477" s="351" t="n"/>
      <c r="X477" s="351" t="n"/>
    </row>
    <row r="478" ht="15.5" customHeight="1" s="297">
      <c r="B478" s="369" t="n">
        <v>45499</v>
      </c>
      <c r="C478" s="353" t="n">
        <v>6</v>
      </c>
      <c r="D478" s="361" t="inlineStr">
        <is>
          <t>TOP 1 High Temp Grease</t>
        </is>
      </c>
      <c r="E478" s="361" t="inlineStr">
        <is>
          <t>-</t>
        </is>
      </c>
      <c r="F478" s="370" t="n">
        <v>144900</v>
      </c>
      <c r="G478" s="353" t="inlineStr">
        <is>
          <t>IDR</t>
        </is>
      </c>
      <c r="H478" s="381" t="n">
        <v>1</v>
      </c>
      <c r="I478" s="354" t="n"/>
      <c r="J478" s="354" t="n"/>
      <c r="K478" s="354" t="n"/>
      <c r="L478" s="354" t="n"/>
      <c r="M478" s="360" t="n"/>
      <c r="N478" s="363" t="n">
        <v>144900</v>
      </c>
      <c r="O478" s="354" t="n"/>
      <c r="P478" s="354" t="n"/>
      <c r="Q478" s="354" t="n"/>
      <c r="R478" s="354" t="n"/>
      <c r="S478" s="354" t="n"/>
      <c r="T478" s="354" t="n"/>
      <c r="U478" s="354" t="n"/>
      <c r="V478" s="354" t="n"/>
      <c r="W478" s="354" t="n"/>
      <c r="X478" s="354" t="n"/>
    </row>
    <row r="479" ht="15.5" customHeight="1" s="297">
      <c r="B479" s="384" t="n"/>
      <c r="C479" s="431" t="n"/>
      <c r="D479" s="365" t="inlineStr">
        <is>
          <t>Transportation</t>
        </is>
      </c>
      <c r="E479" s="409" t="n"/>
      <c r="F479" s="368" t="n"/>
      <c r="G479" s="343" t="n"/>
      <c r="H479" s="343" t="n"/>
      <c r="I479" s="350" t="n"/>
      <c r="J479" s="350" t="n"/>
      <c r="K479" s="350" t="n"/>
      <c r="L479" s="350" t="n"/>
      <c r="M479" s="348" t="n"/>
      <c r="N479" s="350" t="n"/>
      <c r="O479" s="350" t="n"/>
      <c r="P479" s="350" t="n"/>
      <c r="Q479" s="350" t="n"/>
      <c r="R479" s="351" t="n"/>
      <c r="S479" s="351" t="n"/>
      <c r="T479" s="351" t="n"/>
      <c r="U479" s="351" t="n"/>
      <c r="V479" s="351" t="n"/>
      <c r="W479" s="351" t="n"/>
      <c r="X479" s="351" t="n"/>
    </row>
    <row r="480" ht="15.5" customHeight="1" s="297">
      <c r="B480" s="369" t="n">
        <v>45499</v>
      </c>
      <c r="C480" s="353" t="n">
        <v>7</v>
      </c>
      <c r="D480" s="361" t="inlineStr">
        <is>
          <t>Lalamove Base to Barikin</t>
        </is>
      </c>
      <c r="E480" s="361" t="inlineStr">
        <is>
          <t>-</t>
        </is>
      </c>
      <c r="F480" s="363" t="n">
        <v>276500</v>
      </c>
      <c r="G480" s="353" t="inlineStr">
        <is>
          <t>IDR</t>
        </is>
      </c>
      <c r="H480" s="381" t="n">
        <v>1</v>
      </c>
      <c r="I480" s="363" t="n">
        <v>276500</v>
      </c>
      <c r="J480" s="354" t="n"/>
      <c r="K480" s="354" t="n"/>
      <c r="L480" s="354" t="n"/>
      <c r="M480" s="354" t="n"/>
      <c r="N480" s="354" t="n"/>
      <c r="O480" s="354" t="n"/>
      <c r="P480" s="354" t="n"/>
      <c r="Q480" s="354" t="n"/>
      <c r="R480" s="354" t="n"/>
      <c r="S480" s="354" t="n"/>
      <c r="T480" s="354" t="n"/>
      <c r="U480" s="354" t="n"/>
      <c r="V480" s="354" t="n"/>
      <c r="W480" s="354" t="n"/>
      <c r="X480" s="354" t="n"/>
    </row>
    <row r="481" ht="15.5" customHeight="1" s="297">
      <c r="B481" s="369" t="n">
        <v>45499</v>
      </c>
      <c r="C481" s="428" t="n">
        <v>8</v>
      </c>
      <c r="D481" s="361" t="inlineStr">
        <is>
          <t>Lalamove Pak Subi to Base</t>
        </is>
      </c>
      <c r="E481" s="361" t="inlineStr">
        <is>
          <t>-</t>
        </is>
      </c>
      <c r="F481" s="370" t="n">
        <v>63568</v>
      </c>
      <c r="G481" s="353" t="inlineStr">
        <is>
          <t>IDR</t>
        </is>
      </c>
      <c r="H481" s="381" t="n">
        <v>1</v>
      </c>
      <c r="I481" s="363" t="n">
        <v>63568</v>
      </c>
      <c r="J481" s="354" t="n"/>
      <c r="K481" s="354" t="n"/>
      <c r="L481" s="354" t="n"/>
      <c r="M481" s="354" t="n"/>
      <c r="N481" s="354" t="n"/>
      <c r="O481" s="354" t="n"/>
      <c r="P481" s="354" t="n"/>
      <c r="Q481" s="354" t="n"/>
      <c r="R481" s="354" t="n"/>
      <c r="S481" s="354" t="n"/>
      <c r="T481" s="354" t="n"/>
      <c r="U481" s="354" t="n"/>
      <c r="V481" s="354" t="n"/>
      <c r="W481" s="354" t="n"/>
      <c r="X481" s="354" t="n"/>
    </row>
    <row r="482" ht="15.5" customHeight="1" s="297">
      <c r="B482" s="369" t="n">
        <v>45517</v>
      </c>
      <c r="C482" s="353" t="n">
        <v>9</v>
      </c>
      <c r="D482" s="361" t="inlineStr">
        <is>
          <t>Lalamove Barikin to Base</t>
        </is>
      </c>
      <c r="E482" s="361" t="inlineStr">
        <is>
          <t>-</t>
        </is>
      </c>
      <c r="F482" s="370" t="n">
        <v>161885</v>
      </c>
      <c r="G482" s="353" t="inlineStr">
        <is>
          <t>IDR</t>
        </is>
      </c>
      <c r="H482" s="381" t="n">
        <v>1</v>
      </c>
      <c r="I482" s="363" t="n">
        <v>161885</v>
      </c>
      <c r="J482" s="354" t="n"/>
      <c r="K482" s="354" t="n"/>
      <c r="L482" s="354" t="n"/>
      <c r="M482" s="354" t="n"/>
      <c r="N482" s="359" t="n"/>
      <c r="O482" s="354" t="n"/>
      <c r="P482" s="354" t="n"/>
      <c r="Q482" s="354" t="n"/>
      <c r="R482" s="354" t="n"/>
      <c r="S482" s="354" t="n"/>
      <c r="T482" s="354" t="n"/>
      <c r="U482" s="354" t="n"/>
      <c r="V482" s="354" t="n"/>
      <c r="W482" s="354" t="n"/>
      <c r="X482" s="354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3" t="n"/>
      <c r="D484" s="365" t="inlineStr">
        <is>
          <t>Allowance</t>
        </is>
      </c>
      <c r="E484" s="366" t="n"/>
      <c r="F484" s="368" t="n"/>
      <c r="G484" s="343" t="n"/>
      <c r="H484" s="406" t="n"/>
      <c r="I484" s="349" t="n"/>
      <c r="J484" s="350" t="n"/>
      <c r="K484" s="350" t="n"/>
      <c r="L484" s="350" t="n"/>
      <c r="M484" s="348" t="n"/>
      <c r="N484" s="350" t="n"/>
      <c r="O484" s="350" t="n"/>
      <c r="P484" s="350" t="n"/>
      <c r="Q484" s="350" t="n"/>
      <c r="R484" s="351" t="n"/>
      <c r="S484" s="351" t="n"/>
      <c r="T484" s="351" t="n"/>
      <c r="U484" s="351" t="n"/>
      <c r="V484" s="351" t="n"/>
      <c r="W484" s="351" t="n"/>
      <c r="X484" s="351" t="n"/>
    </row>
    <row r="485" ht="15.5" customHeight="1" s="297">
      <c r="B485" s="382" t="n">
        <v>45548</v>
      </c>
      <c r="C485" s="353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3" t="n">
        <v>900000</v>
      </c>
      <c r="G485" s="353" t="inlineStr">
        <is>
          <t>IDR</t>
        </is>
      </c>
      <c r="H485" s="381" t="n">
        <v>1</v>
      </c>
      <c r="I485" s="363" t="n">
        <v>900000</v>
      </c>
      <c r="J485" s="354" t="n"/>
      <c r="K485" s="354" t="n"/>
      <c r="L485" s="354" t="n"/>
      <c r="M485" s="354" t="n"/>
      <c r="N485" s="359" t="n"/>
      <c r="O485" s="354" t="n"/>
      <c r="P485" s="354" t="n"/>
      <c r="Q485" s="354" t="n"/>
      <c r="R485" s="354" t="n"/>
      <c r="S485" s="354" t="n"/>
      <c r="T485" s="354" t="n"/>
      <c r="U485" s="354" t="n"/>
      <c r="V485" s="354" t="n"/>
      <c r="W485" s="354" t="n"/>
      <c r="X485" s="354" t="n"/>
    </row>
    <row r="486" ht="15.5" customFormat="1" customHeight="1" s="126">
      <c r="B486" s="369" t="n">
        <v>45548</v>
      </c>
      <c r="C486" s="353" t="n">
        <v>2</v>
      </c>
      <c r="D486" s="361" t="inlineStr">
        <is>
          <t>Laundry (6 - 11 September 2024) 6 days</t>
        </is>
      </c>
      <c r="E486" s="361" t="inlineStr">
        <is>
          <t>-</t>
        </is>
      </c>
      <c r="F486" s="355" t="n">
        <v>300000</v>
      </c>
      <c r="G486" s="353" t="inlineStr">
        <is>
          <t>IDR</t>
        </is>
      </c>
      <c r="H486" s="381" t="n">
        <v>1</v>
      </c>
      <c r="I486" s="363" t="n">
        <v>300000</v>
      </c>
      <c r="J486" s="354" t="n"/>
      <c r="K486" s="354" t="n"/>
      <c r="L486" s="354" t="n"/>
      <c r="M486" s="354" t="n"/>
      <c r="N486" s="354" t="n"/>
      <c r="O486" s="354" t="n"/>
      <c r="P486" s="354" t="n"/>
      <c r="Q486" s="354" t="n"/>
      <c r="R486" s="354" t="n"/>
      <c r="S486" s="354" t="n"/>
      <c r="T486" s="354" t="n"/>
      <c r="U486" s="354" t="n"/>
      <c r="V486" s="354" t="n"/>
      <c r="W486" s="354" t="n"/>
      <c r="X486" s="354" t="n"/>
    </row>
    <row r="487" ht="15.5" customHeight="1" s="297">
      <c r="B487" s="369" t="n">
        <v>45548</v>
      </c>
      <c r="C487" s="353" t="n">
        <v>3</v>
      </c>
      <c r="D487" s="361" t="inlineStr">
        <is>
          <t>Tunjangan Lapangan PBM - 009 (6 - 11 September 2024)</t>
        </is>
      </c>
      <c r="E487" s="361" t="inlineStr">
        <is>
          <t>-</t>
        </is>
      </c>
      <c r="F487" s="355" t="n">
        <v>2317500</v>
      </c>
      <c r="G487" s="353" t="inlineStr">
        <is>
          <t>$</t>
        </is>
      </c>
      <c r="H487" s="381" t="n">
        <v>15450</v>
      </c>
      <c r="I487" s="363" t="n">
        <v>2317500</v>
      </c>
      <c r="J487" s="354" t="n"/>
      <c r="K487" s="354" t="n"/>
      <c r="L487" s="354" t="n"/>
      <c r="M487" s="354" t="n"/>
      <c r="N487" s="359" t="n"/>
      <c r="O487" s="354" t="n"/>
      <c r="P487" s="354" t="n"/>
      <c r="Q487" s="354" t="n"/>
      <c r="R487" s="354" t="n"/>
      <c r="S487" s="354" t="n"/>
      <c r="T487" s="354" t="n"/>
      <c r="U487" s="354" t="n"/>
      <c r="V487" s="354" t="n"/>
      <c r="W487" s="354" t="n"/>
      <c r="X487" s="354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3" t="n"/>
      <c r="D489" s="365" t="inlineStr">
        <is>
          <t>Accommodation</t>
        </is>
      </c>
      <c r="E489" s="425" t="n"/>
      <c r="F489" s="346" t="n"/>
      <c r="G489" s="343" t="n"/>
      <c r="H489" s="343" t="n"/>
      <c r="I489" s="350" t="n"/>
      <c r="J489" s="350" t="n"/>
      <c r="K489" s="350" t="n"/>
      <c r="L489" s="350" t="n"/>
      <c r="M489" s="350" t="n"/>
      <c r="N489" s="348" t="n"/>
      <c r="O489" s="350" t="n"/>
      <c r="P489" s="350" t="n"/>
      <c r="Q489" s="350" t="n"/>
      <c r="R489" s="351" t="n"/>
      <c r="S489" s="351" t="n"/>
      <c r="T489" s="351" t="n"/>
      <c r="U489" s="351" t="n"/>
      <c r="V489" s="351" t="n"/>
      <c r="W489" s="351" t="n"/>
      <c r="X489" s="351" t="n"/>
    </row>
    <row r="490" ht="15.5" customHeight="1" s="297">
      <c r="B490" s="369" t="n">
        <v>45541</v>
      </c>
      <c r="C490" s="353" t="n">
        <v>1</v>
      </c>
      <c r="D490" s="361" t="inlineStr">
        <is>
          <t>Hotel 6 Sept - 11 Sept (5 days)</t>
        </is>
      </c>
      <c r="E490" s="361" t="inlineStr">
        <is>
          <t>-</t>
        </is>
      </c>
      <c r="F490" s="355" t="n">
        <v>1800000</v>
      </c>
      <c r="G490" s="353" t="inlineStr">
        <is>
          <t>IDR</t>
        </is>
      </c>
      <c r="H490" s="381" t="n">
        <v>1</v>
      </c>
      <c r="I490" s="363" t="n">
        <v>1800000</v>
      </c>
      <c r="J490" s="354" t="n"/>
      <c r="K490" s="354" t="n"/>
      <c r="L490" s="354" t="n"/>
      <c r="M490" s="354" t="n"/>
      <c r="N490" s="359" t="n"/>
      <c r="O490" s="354" t="n"/>
      <c r="P490" s="354" t="n"/>
      <c r="Q490" s="354" t="n"/>
      <c r="R490" s="354" t="n"/>
      <c r="S490" s="354" t="n"/>
      <c r="T490" s="354" t="n"/>
      <c r="U490" s="354" t="n"/>
      <c r="V490" s="354" t="n"/>
      <c r="W490" s="354" t="n"/>
      <c r="X490" s="354" t="n"/>
    </row>
    <row r="491" ht="15.5" customHeight="1" s="297">
      <c r="B491" s="382" t="n">
        <v>45541</v>
      </c>
      <c r="C491" s="353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3" t="n">
        <v>300000</v>
      </c>
      <c r="G491" s="353" t="inlineStr">
        <is>
          <t>IDR</t>
        </is>
      </c>
      <c r="H491" s="381" t="n">
        <v>1</v>
      </c>
      <c r="I491" s="363" t="n">
        <v>300000</v>
      </c>
      <c r="J491" s="354" t="n"/>
      <c r="K491" s="354" t="n"/>
      <c r="L491" s="354" t="n"/>
      <c r="M491" s="354" t="n"/>
      <c r="N491" s="354" t="n"/>
      <c r="O491" s="354" t="n"/>
      <c r="P491" s="354" t="n"/>
      <c r="Q491" s="354" t="n"/>
      <c r="R491" s="354" t="n"/>
      <c r="S491" s="354" t="n"/>
      <c r="T491" s="354" t="n"/>
      <c r="U491" s="354" t="n"/>
      <c r="V491" s="354" t="n"/>
      <c r="W491" s="354" t="n"/>
      <c r="X491" s="354" t="n"/>
    </row>
    <row r="492" ht="15.5" customHeight="1" s="297">
      <c r="B492" s="384" t="n"/>
      <c r="C492" s="343" t="n"/>
      <c r="D492" s="365" t="inlineStr">
        <is>
          <t>Allowance</t>
        </is>
      </c>
      <c r="E492" s="432" t="n"/>
      <c r="F492" s="368" t="n"/>
      <c r="G492" s="343" t="n"/>
      <c r="H492" s="343" t="n"/>
      <c r="I492" s="348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51" t="n"/>
      <c r="S492" s="351" t="n"/>
      <c r="T492" s="351" t="n"/>
      <c r="U492" s="351" t="n"/>
      <c r="V492" s="351" t="n"/>
      <c r="W492" s="351" t="n"/>
      <c r="X492" s="351" t="n"/>
    </row>
    <row r="493" ht="15.5" customHeight="1" s="297">
      <c r="B493" s="369" t="n">
        <v>45541</v>
      </c>
      <c r="C493" s="353" t="n">
        <v>3</v>
      </c>
      <c r="D493" s="361" t="inlineStr">
        <is>
          <t>Field Allowance</t>
        </is>
      </c>
      <c r="E493" s="361" t="inlineStr">
        <is>
          <t>-</t>
        </is>
      </c>
      <c r="F493" s="370" t="n">
        <v>9262800</v>
      </c>
      <c r="G493" s="353" t="inlineStr">
        <is>
          <t>USD</t>
        </is>
      </c>
      <c r="H493" s="381" t="n">
        <v>15438</v>
      </c>
      <c r="I493" s="363" t="n">
        <v>9262800</v>
      </c>
      <c r="J493" s="354" t="n"/>
      <c r="K493" s="354" t="n"/>
      <c r="L493" s="354" t="n"/>
      <c r="M493" s="354" t="n"/>
      <c r="N493" s="354" t="n"/>
      <c r="O493" s="354" t="n"/>
      <c r="P493" s="354" t="n"/>
      <c r="Q493" s="354" t="n"/>
      <c r="R493" s="354" t="n"/>
      <c r="S493" s="354" t="n"/>
      <c r="T493" s="354" t="n"/>
      <c r="U493" s="354" t="n"/>
      <c r="V493" s="354" t="n"/>
      <c r="W493" s="354" t="n"/>
      <c r="X493" s="354" t="n"/>
    </row>
    <row r="494" ht="15.5" customHeight="1" s="297">
      <c r="B494" s="369" t="n">
        <v>45541</v>
      </c>
      <c r="C494" s="353" t="n">
        <v>4</v>
      </c>
      <c r="D494" s="361" t="inlineStr">
        <is>
          <t>Meals</t>
        </is>
      </c>
      <c r="E494" s="361" t="inlineStr">
        <is>
          <t>-</t>
        </is>
      </c>
      <c r="F494" s="370" t="n">
        <v>900000</v>
      </c>
      <c r="G494" s="353" t="inlineStr">
        <is>
          <t>IDR</t>
        </is>
      </c>
      <c r="H494" s="381" t="n">
        <v>1</v>
      </c>
      <c r="I494" s="363" t="n">
        <v>900000</v>
      </c>
      <c r="J494" s="354" t="n"/>
      <c r="K494" s="354" t="n"/>
      <c r="L494" s="354" t="n"/>
      <c r="M494" s="354" t="n"/>
      <c r="N494" s="354" t="n"/>
      <c r="O494" s="354" t="n"/>
      <c r="P494" s="354" t="n"/>
      <c r="Q494" s="354" t="n"/>
      <c r="R494" s="354" t="n"/>
      <c r="S494" s="354" t="n"/>
      <c r="T494" s="354" t="n"/>
      <c r="U494" s="354" t="n"/>
      <c r="V494" s="354" t="n"/>
      <c r="W494" s="354" t="n"/>
      <c r="X494" s="354" t="n"/>
    </row>
    <row r="495" ht="15.5" customHeight="1" s="297">
      <c r="B495" s="384" t="n"/>
      <c r="C495" s="343" t="n"/>
      <c r="D495" s="365" t="inlineStr">
        <is>
          <t>Transportation</t>
        </is>
      </c>
      <c r="E495" s="432" t="n"/>
      <c r="F495" s="368" t="n"/>
      <c r="G495" s="343" t="n"/>
      <c r="H495" s="343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51" t="n"/>
      <c r="S495" s="351" t="n"/>
      <c r="T495" s="351" t="n"/>
      <c r="U495" s="351" t="n"/>
      <c r="V495" s="351" t="n"/>
      <c r="W495" s="351" t="n"/>
      <c r="X495" s="351" t="n"/>
    </row>
    <row r="496" ht="15.5" customHeight="1" s="297">
      <c r="B496" s="369" t="n">
        <v>45541</v>
      </c>
      <c r="C496" s="353" t="n">
        <v>5</v>
      </c>
      <c r="D496" s="361" t="inlineStr">
        <is>
          <t>Airplane Ticket CGK-PLM</t>
        </is>
      </c>
      <c r="E496" s="361" t="inlineStr">
        <is>
          <t>-</t>
        </is>
      </c>
      <c r="F496" s="370" t="n">
        <v>904682</v>
      </c>
      <c r="G496" s="353" t="inlineStr">
        <is>
          <t>IDR</t>
        </is>
      </c>
      <c r="H496" s="381" t="n">
        <v>1</v>
      </c>
      <c r="I496" s="358" t="n">
        <v>904682</v>
      </c>
      <c r="J496" s="354" t="n"/>
      <c r="K496" s="354" t="n"/>
      <c r="L496" s="354" t="n"/>
      <c r="M496" s="354" t="n"/>
      <c r="N496" s="354" t="n"/>
      <c r="O496" s="354" t="n"/>
      <c r="P496" s="354" t="n"/>
      <c r="Q496" s="354" t="n"/>
      <c r="R496" s="354" t="n"/>
      <c r="S496" s="354" t="n"/>
      <c r="T496" s="354" t="n"/>
      <c r="U496" s="354" t="n"/>
      <c r="V496" s="354" t="n"/>
      <c r="W496" s="354" t="n"/>
      <c r="X496" s="354" t="n"/>
    </row>
    <row r="497" ht="15.5" customHeight="1" s="297">
      <c r="B497" s="369" t="n">
        <v>45541</v>
      </c>
      <c r="C497" s="353" t="n">
        <v>6</v>
      </c>
      <c r="D497" s="361" t="inlineStr">
        <is>
          <t>Taxi Pondok Cabe-Vania-CGK (inc Toll)</t>
        </is>
      </c>
      <c r="E497" s="361" t="inlineStr">
        <is>
          <t>-</t>
        </is>
      </c>
      <c r="F497" s="370" t="n">
        <v>256500</v>
      </c>
      <c r="G497" s="353" t="inlineStr">
        <is>
          <t>IDR</t>
        </is>
      </c>
      <c r="H497" s="381" t="n">
        <v>1</v>
      </c>
      <c r="I497" s="358" t="n">
        <v>256500</v>
      </c>
      <c r="J497" s="354" t="n"/>
      <c r="K497" s="354" t="n"/>
      <c r="L497" s="354" t="n"/>
      <c r="M497" s="354" t="n"/>
      <c r="N497" s="354" t="n"/>
      <c r="O497" s="354" t="n"/>
      <c r="P497" s="354" t="n"/>
      <c r="Q497" s="354" t="n"/>
      <c r="R497" s="354" t="n"/>
      <c r="S497" s="354" t="n"/>
      <c r="T497" s="354" t="n"/>
      <c r="U497" s="354" t="n"/>
      <c r="V497" s="354" t="n"/>
      <c r="W497" s="354" t="n"/>
      <c r="X497" s="354" t="n"/>
    </row>
    <row r="498" ht="15.5" customHeight="1" s="297">
      <c r="B498" s="369" t="n">
        <v>45541</v>
      </c>
      <c r="C498" s="353" t="n">
        <v>7</v>
      </c>
      <c r="D498" s="361" t="inlineStr">
        <is>
          <t>Toll (PLM-Prabumulih-PLM)</t>
        </is>
      </c>
      <c r="E498" s="361" t="inlineStr">
        <is>
          <t>-</t>
        </is>
      </c>
      <c r="F498" s="370" t="n">
        <v>224000</v>
      </c>
      <c r="G498" s="353" t="inlineStr">
        <is>
          <t>IDR</t>
        </is>
      </c>
      <c r="H498" s="381" t="n">
        <v>1</v>
      </c>
      <c r="I498" s="358" t="n">
        <v>224000</v>
      </c>
      <c r="J498" s="354" t="n"/>
      <c r="K498" s="354" t="n"/>
      <c r="L498" s="354" t="n"/>
      <c r="M498" s="354" t="n"/>
      <c r="N498" s="354" t="n"/>
      <c r="O498" s="354" t="n"/>
      <c r="P498" s="354" t="n"/>
      <c r="Q498" s="354" t="n"/>
      <c r="R498" s="354" t="n"/>
      <c r="S498" s="354" t="n"/>
      <c r="T498" s="354" t="n"/>
      <c r="U498" s="354" t="n"/>
      <c r="V498" s="354" t="n"/>
      <c r="W498" s="354" t="n"/>
      <c r="X498" s="354" t="n"/>
    </row>
    <row r="499" ht="15.5" customHeight="1" s="297">
      <c r="B499" s="369" t="n">
        <v>45541</v>
      </c>
      <c r="C499" s="353" t="n">
        <v>8</v>
      </c>
      <c r="D499" s="361" t="inlineStr">
        <is>
          <t>Rent Car 6 Days</t>
        </is>
      </c>
      <c r="E499" s="361" t="inlineStr">
        <is>
          <t>-</t>
        </is>
      </c>
      <c r="F499" s="370" t="n">
        <v>3000000</v>
      </c>
      <c r="G499" s="353" t="inlineStr">
        <is>
          <t>IDR</t>
        </is>
      </c>
      <c r="H499" s="381" t="n">
        <v>1</v>
      </c>
      <c r="I499" s="358" t="n">
        <v>3000000</v>
      </c>
      <c r="J499" s="354" t="n"/>
      <c r="K499" s="354" t="n"/>
      <c r="L499" s="354" t="n"/>
      <c r="M499" s="354" t="n"/>
      <c r="N499" s="354" t="n"/>
      <c r="O499" s="354" t="n"/>
      <c r="P499" s="354" t="n"/>
      <c r="Q499" s="354" t="n"/>
      <c r="R499" s="354" t="n"/>
      <c r="S499" s="354" t="n"/>
      <c r="T499" s="354" t="n"/>
      <c r="U499" s="354" t="n"/>
      <c r="V499" s="354" t="n"/>
      <c r="W499" s="354" t="n"/>
      <c r="X499" s="354" t="n"/>
    </row>
    <row r="500" ht="15.5" customHeight="1" s="297">
      <c r="B500" s="369" t="n">
        <v>45541</v>
      </c>
      <c r="C500" s="353" t="n">
        <v>9</v>
      </c>
      <c r="D500" s="354" t="inlineStr">
        <is>
          <t>Gasoline</t>
        </is>
      </c>
      <c r="E500" s="354" t="inlineStr">
        <is>
          <t>-</t>
        </is>
      </c>
      <c r="F500" s="370" t="n">
        <v>400000</v>
      </c>
      <c r="G500" s="353" t="inlineStr">
        <is>
          <t>IDR</t>
        </is>
      </c>
      <c r="H500" s="381" t="n">
        <v>1</v>
      </c>
      <c r="I500" s="358" t="n">
        <v>400000</v>
      </c>
      <c r="J500" s="354" t="n"/>
      <c r="K500" s="354" t="n"/>
      <c r="L500" s="354" t="n"/>
      <c r="M500" s="354" t="n"/>
      <c r="N500" s="354" t="n"/>
      <c r="O500" s="354" t="n"/>
      <c r="P500" s="354" t="n"/>
      <c r="Q500" s="354" t="n"/>
      <c r="R500" s="354" t="n"/>
      <c r="S500" s="354" t="n"/>
      <c r="T500" s="354" t="n"/>
      <c r="U500" s="354" t="n"/>
      <c r="V500" s="354" t="n"/>
      <c r="W500" s="354" t="n"/>
      <c r="X500" s="354" t="n"/>
    </row>
    <row r="501" ht="15.5" customHeight="1" s="297">
      <c r="B501" s="369" t="n">
        <v>45541</v>
      </c>
      <c r="C501" s="353" t="n">
        <v>10</v>
      </c>
      <c r="D501" s="354" t="inlineStr">
        <is>
          <t>Taxi CGK-Pondok Cabe (inc Toll+Parking)</t>
        </is>
      </c>
      <c r="E501" s="354" t="inlineStr">
        <is>
          <t>-</t>
        </is>
      </c>
      <c r="F501" s="370" t="n">
        <v>310660</v>
      </c>
      <c r="G501" s="353" t="inlineStr">
        <is>
          <t>IDR</t>
        </is>
      </c>
      <c r="H501" s="381" t="n">
        <v>1</v>
      </c>
      <c r="I501" s="358" t="n">
        <v>310660</v>
      </c>
      <c r="J501" s="354" t="n"/>
      <c r="K501" s="354" t="n"/>
      <c r="L501" s="354" t="n"/>
      <c r="M501" s="354" t="n"/>
      <c r="N501" s="354" t="n"/>
      <c r="O501" s="354" t="n"/>
      <c r="P501" s="354" t="n"/>
      <c r="Q501" s="354" t="n"/>
      <c r="R501" s="354" t="n"/>
      <c r="S501" s="354" t="n"/>
      <c r="T501" s="354" t="n"/>
      <c r="U501" s="354" t="n"/>
      <c r="V501" s="354" t="n"/>
      <c r="W501" s="354" t="n"/>
      <c r="X501" s="354" t="n"/>
    </row>
    <row r="502" ht="15.5" customHeight="1" s="297">
      <c r="B502" s="369" t="n">
        <v>45543</v>
      </c>
      <c r="C502" s="353" t="n">
        <v>11</v>
      </c>
      <c r="D502" s="361" t="inlineStr">
        <is>
          <t>Airplane Ticket PLM-CGK</t>
        </is>
      </c>
      <c r="E502" s="361" t="inlineStr">
        <is>
          <t>-</t>
        </is>
      </c>
      <c r="F502" s="370" t="n">
        <v>836100</v>
      </c>
      <c r="G502" s="353" t="inlineStr">
        <is>
          <t>IDR</t>
        </is>
      </c>
      <c r="H502" s="381" t="n">
        <v>1</v>
      </c>
      <c r="I502" s="358" t="n">
        <v>836100</v>
      </c>
      <c r="J502" s="354" t="n"/>
      <c r="K502" s="354" t="n"/>
      <c r="L502" s="354" t="n"/>
      <c r="M502" s="354" t="n"/>
      <c r="N502" s="354" t="n"/>
      <c r="O502" s="354" t="n"/>
      <c r="P502" s="354" t="n"/>
      <c r="Q502" s="354" t="n"/>
      <c r="R502" s="354" t="n"/>
      <c r="S502" s="354" t="n"/>
      <c r="T502" s="354" t="n"/>
      <c r="U502" s="354" t="n"/>
      <c r="V502" s="354" t="n"/>
      <c r="W502" s="354" t="n"/>
      <c r="X502" s="354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3" t="n"/>
      <c r="D504" s="365" t="inlineStr">
        <is>
          <t>Allowance</t>
        </is>
      </c>
      <c r="E504" s="366" t="n"/>
      <c r="F504" s="368" t="n"/>
      <c r="G504" s="343" t="n"/>
      <c r="H504" s="406" t="n"/>
      <c r="I504" s="349" t="n"/>
      <c r="J504" s="350" t="n"/>
      <c r="K504" s="350" t="n"/>
      <c r="L504" s="350" t="n"/>
      <c r="M504" s="348" t="n"/>
      <c r="N504" s="350" t="n"/>
      <c r="O504" s="350" t="n"/>
      <c r="P504" s="350" t="n"/>
      <c r="Q504" s="350" t="n"/>
      <c r="R504" s="351" t="n"/>
      <c r="S504" s="351" t="n"/>
      <c r="T504" s="351" t="n"/>
      <c r="U504" s="351" t="n"/>
      <c r="V504" s="351" t="n"/>
      <c r="W504" s="351" t="n"/>
      <c r="X504" s="351" t="n"/>
    </row>
    <row r="505" ht="15.5" customHeight="1" s="297">
      <c r="B505" s="369" t="n">
        <v>45561</v>
      </c>
      <c r="C505" s="353" t="n">
        <v>1</v>
      </c>
      <c r="D505" s="361" t="inlineStr">
        <is>
          <t>Uang Makan (22 - 26 Sept 2024)</t>
        </is>
      </c>
      <c r="E505" s="361" t="inlineStr">
        <is>
          <t>-</t>
        </is>
      </c>
      <c r="F505" s="370" t="n">
        <v>750000</v>
      </c>
      <c r="G505" s="353" t="inlineStr">
        <is>
          <t>IDR</t>
        </is>
      </c>
      <c r="H505" s="381" t="n">
        <v>1</v>
      </c>
      <c r="I505" s="363" t="n">
        <v>750000</v>
      </c>
      <c r="J505" s="354" t="n"/>
      <c r="K505" s="354" t="n"/>
      <c r="L505" s="354" t="n"/>
      <c r="M505" s="354" t="n"/>
      <c r="N505" s="354" t="n"/>
      <c r="O505" s="354" t="n"/>
      <c r="P505" s="354" t="n"/>
      <c r="Q505" s="354" t="n"/>
      <c r="R505" s="354" t="n"/>
      <c r="S505" s="354" t="n"/>
      <c r="T505" s="354" t="n"/>
      <c r="U505" s="354" t="n"/>
      <c r="V505" s="354" t="n"/>
      <c r="W505" s="354" t="n"/>
      <c r="X505" s="354" t="n"/>
    </row>
    <row r="506" ht="15.5" customHeight="1" s="297">
      <c r="B506" s="382" t="n">
        <v>45561</v>
      </c>
      <c r="C506" s="353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3" t="n">
        <v>500</v>
      </c>
      <c r="G506" s="353" t="inlineStr">
        <is>
          <t>IDR</t>
        </is>
      </c>
      <c r="H506" s="381" t="n">
        <v>15100</v>
      </c>
      <c r="I506" s="363" t="n">
        <v>500</v>
      </c>
      <c r="J506" s="354" t="n"/>
      <c r="K506" s="354" t="n"/>
      <c r="L506" s="354" t="n"/>
      <c r="M506" s="354" t="n"/>
      <c r="N506" s="354" t="n"/>
      <c r="O506" s="354" t="n"/>
      <c r="P506" s="354" t="n"/>
      <c r="Q506" s="354" t="n"/>
      <c r="R506" s="354" t="n"/>
      <c r="S506" s="354" t="n"/>
      <c r="T506" s="354" t="n"/>
      <c r="U506" s="354" t="n"/>
      <c r="V506" s="354" t="n"/>
      <c r="W506" s="354" t="n"/>
      <c r="X506" s="354" t="n"/>
    </row>
    <row r="507" ht="15.5" customHeight="1" s="297">
      <c r="B507" s="384" t="n"/>
      <c r="C507" s="343" t="n"/>
      <c r="D507" s="344" t="inlineStr">
        <is>
          <t>Laundry</t>
        </is>
      </c>
      <c r="E507" s="407" t="n"/>
      <c r="F507" s="346" t="n"/>
      <c r="G507" s="345" t="n"/>
      <c r="H507" s="440" t="n"/>
      <c r="I507" s="348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51" t="n"/>
      <c r="S507" s="351" t="n"/>
      <c r="T507" s="351" t="n"/>
      <c r="U507" s="351" t="n"/>
      <c r="V507" s="351" t="n"/>
      <c r="W507" s="351" t="n"/>
      <c r="X507" s="351" t="n"/>
    </row>
    <row r="508" ht="15.5" customHeight="1" s="297">
      <c r="B508" s="413" t="n">
        <v>45561</v>
      </c>
      <c r="C508" s="353" t="n">
        <v>3</v>
      </c>
      <c r="D508" s="361" t="inlineStr">
        <is>
          <t>Laundry (22 - 26 Sept 2024)</t>
        </is>
      </c>
      <c r="E508" s="361" t="inlineStr">
        <is>
          <t>-</t>
        </is>
      </c>
      <c r="F508" s="355" t="n">
        <v>250000</v>
      </c>
      <c r="G508" s="354" t="inlineStr">
        <is>
          <t>IDR</t>
        </is>
      </c>
      <c r="H508" s="441" t="n">
        <v>1</v>
      </c>
      <c r="I508" s="358" t="n">
        <v>250000</v>
      </c>
      <c r="J508" s="354" t="n"/>
      <c r="K508" s="354" t="n"/>
      <c r="L508" s="354" t="n"/>
      <c r="M508" s="354" t="n"/>
      <c r="N508" s="354" t="n"/>
      <c r="O508" s="354" t="n"/>
      <c r="P508" s="354" t="n"/>
      <c r="Q508" s="354" t="n"/>
      <c r="R508" s="354" t="n"/>
      <c r="S508" s="354" t="n"/>
      <c r="T508" s="354" t="n"/>
      <c r="U508" s="354" t="n"/>
      <c r="V508" s="354" t="n"/>
      <c r="W508" s="354" t="n"/>
      <c r="X508" s="354" t="n"/>
    </row>
    <row r="509" ht="15.5" customHeight="1" s="297">
      <c r="B509" s="436" t="n"/>
      <c r="C509" s="343" t="n"/>
      <c r="D509" s="365" t="inlineStr">
        <is>
          <t>Transportation</t>
        </is>
      </c>
      <c r="E509" s="366" t="n"/>
      <c r="F509" s="346" t="n"/>
      <c r="G509" s="345" t="n"/>
      <c r="H509" s="440" t="n"/>
      <c r="I509" s="348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51" t="n"/>
      <c r="S509" s="351" t="n"/>
      <c r="T509" s="351" t="n"/>
      <c r="U509" s="351" t="n"/>
      <c r="V509" s="351" t="n"/>
      <c r="W509" s="351" t="n"/>
      <c r="X509" s="351" t="n"/>
    </row>
    <row r="510" ht="15.5" customHeight="1" s="297">
      <c r="B510" s="369" t="n">
        <v>45557</v>
      </c>
      <c r="C510" s="353" t="n">
        <v>4</v>
      </c>
      <c r="D510" s="361" t="inlineStr">
        <is>
          <t>Taxi+Tol Serpong - Gambir</t>
        </is>
      </c>
      <c r="E510" s="361" t="inlineStr">
        <is>
          <t>-</t>
        </is>
      </c>
      <c r="F510" s="355" t="n">
        <v>241280</v>
      </c>
      <c r="G510" s="354" t="inlineStr">
        <is>
          <t>IDR</t>
        </is>
      </c>
      <c r="H510" s="441" t="n">
        <v>1</v>
      </c>
      <c r="I510" s="358" t="n">
        <v>241280</v>
      </c>
      <c r="J510" s="354" t="n"/>
      <c r="K510" s="354" t="n"/>
      <c r="L510" s="354" t="n"/>
      <c r="M510" s="354" t="n"/>
      <c r="N510" s="354" t="n"/>
      <c r="O510" s="354" t="n"/>
      <c r="P510" s="354" t="n"/>
      <c r="Q510" s="354" t="n"/>
      <c r="R510" s="354" t="n"/>
      <c r="S510" s="354" t="n"/>
      <c r="T510" s="354" t="n"/>
      <c r="U510" s="354" t="n"/>
      <c r="V510" s="354" t="n"/>
      <c r="W510" s="354" t="n"/>
      <c r="X510" s="354" t="n"/>
    </row>
    <row r="511" ht="15.5" customHeight="1" s="297">
      <c r="B511" s="369" t="n">
        <v>45558</v>
      </c>
      <c r="C511" s="353" t="n">
        <v>5</v>
      </c>
      <c r="D511" s="361" t="inlineStr">
        <is>
          <t>Gocar St. Cepu, Kalog - Bojonegoro</t>
        </is>
      </c>
      <c r="E511" s="361" t="inlineStr">
        <is>
          <t>-</t>
        </is>
      </c>
      <c r="F511" s="355" t="n">
        <v>250000</v>
      </c>
      <c r="G511" s="354" t="inlineStr">
        <is>
          <t>IDR</t>
        </is>
      </c>
      <c r="H511" s="441" t="n">
        <v>1</v>
      </c>
      <c r="I511" s="363" t="n">
        <v>250000</v>
      </c>
      <c r="J511" s="354" t="n"/>
      <c r="K511" s="354" t="n"/>
      <c r="L511" s="354" t="n"/>
      <c r="M511" s="354" t="n"/>
      <c r="N511" s="354" t="n"/>
      <c r="O511" s="354" t="n"/>
      <c r="P511" s="354" t="n"/>
      <c r="Q511" s="354" t="n"/>
      <c r="R511" s="354" t="n"/>
      <c r="S511" s="354" t="n"/>
      <c r="T511" s="354" t="n"/>
      <c r="U511" s="354" t="n"/>
      <c r="V511" s="354" t="n"/>
      <c r="W511" s="354" t="n"/>
      <c r="X511" s="354" t="n"/>
    </row>
    <row r="512" ht="15.5" customHeight="1" s="297">
      <c r="B512" s="369" t="n">
        <v>45561</v>
      </c>
      <c r="C512" s="353" t="n">
        <v>6</v>
      </c>
      <c r="D512" s="361" t="inlineStr">
        <is>
          <t>Taxi+Tol Gambir - Serpong</t>
        </is>
      </c>
      <c r="E512" s="361" t="inlineStr">
        <is>
          <t>-</t>
        </is>
      </c>
      <c r="F512" s="355" t="n">
        <v>240000</v>
      </c>
      <c r="G512" s="354" t="inlineStr">
        <is>
          <t>IDR</t>
        </is>
      </c>
      <c r="H512" s="441" t="n">
        <v>1</v>
      </c>
      <c r="I512" s="363" t="n">
        <v>240000</v>
      </c>
      <c r="J512" s="354" t="n"/>
      <c r="K512" s="354" t="n"/>
      <c r="L512" s="354" t="n"/>
      <c r="M512" s="354" t="n"/>
      <c r="N512" s="354" t="n"/>
      <c r="O512" s="354" t="n"/>
      <c r="P512" s="354" t="n"/>
      <c r="Q512" s="354" t="n"/>
      <c r="R512" s="354" t="n"/>
      <c r="S512" s="354" t="n"/>
      <c r="T512" s="354" t="n"/>
      <c r="U512" s="354" t="n"/>
      <c r="V512" s="354" t="n"/>
      <c r="W512" s="354" t="n"/>
      <c r="X512" s="354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3" t="n"/>
      <c r="D514" s="365" t="inlineStr">
        <is>
          <t>Accommodation</t>
        </is>
      </c>
      <c r="E514" s="366" t="n"/>
      <c r="F514" s="346" t="n"/>
      <c r="G514" s="345" t="n"/>
      <c r="H514" s="440" t="n"/>
      <c r="I514" s="430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51" t="n"/>
      <c r="S514" s="351" t="n"/>
      <c r="T514" s="351" t="n"/>
      <c r="U514" s="351" t="n"/>
      <c r="V514" s="351" t="n"/>
      <c r="W514" s="351" t="n"/>
      <c r="X514" s="351" t="n"/>
    </row>
    <row r="515" ht="15.5" customHeight="1" s="297">
      <c r="B515" s="369" t="n">
        <v>45563</v>
      </c>
      <c r="C515" s="353" t="n">
        <v>1</v>
      </c>
      <c r="D515" s="361" t="inlineStr">
        <is>
          <t>Hotel 21 Sept - 27 Sept 2024 (6 days)</t>
        </is>
      </c>
      <c r="E515" s="361" t="inlineStr">
        <is>
          <t>-</t>
        </is>
      </c>
      <c r="F515" s="355" t="n">
        <v>1680000</v>
      </c>
      <c r="G515" s="354" t="inlineStr">
        <is>
          <t>IDR</t>
        </is>
      </c>
      <c r="H515" s="441" t="n">
        <v>1</v>
      </c>
      <c r="I515" s="363" t="n">
        <v>1680000</v>
      </c>
      <c r="J515" s="354" t="n"/>
      <c r="K515" s="354" t="n"/>
      <c r="L515" s="354" t="n"/>
      <c r="M515" s="354" t="n"/>
      <c r="N515" s="354" t="n"/>
      <c r="O515" s="354" t="n"/>
      <c r="P515" s="354" t="n"/>
      <c r="Q515" s="354" t="n"/>
      <c r="R515" s="354" t="n"/>
      <c r="S515" s="354" t="n"/>
      <c r="T515" s="354" t="n"/>
      <c r="U515" s="354" t="n"/>
      <c r="V515" s="354" t="n"/>
      <c r="W515" s="354" t="n"/>
      <c r="X515" s="354" t="n"/>
    </row>
    <row r="516" ht="15.5" customHeight="1" s="297">
      <c r="B516" s="369" t="n">
        <v>45563</v>
      </c>
      <c r="C516" s="353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5" t="n">
        <v>350000</v>
      </c>
      <c r="G516" s="354" t="inlineStr">
        <is>
          <t>IDR</t>
        </is>
      </c>
      <c r="H516" s="441" t="n">
        <v>1</v>
      </c>
      <c r="I516" s="363" t="n">
        <v>350000</v>
      </c>
      <c r="J516" s="354" t="n"/>
      <c r="K516" s="354" t="n"/>
      <c r="L516" s="354" t="n"/>
      <c r="M516" s="354" t="n"/>
      <c r="N516" s="354" t="n"/>
      <c r="O516" s="354" t="n"/>
      <c r="P516" s="354" t="n"/>
      <c r="Q516" s="354" t="n"/>
      <c r="R516" s="354" t="n"/>
      <c r="S516" s="354" t="n"/>
      <c r="T516" s="354" t="n"/>
      <c r="U516" s="354" t="n"/>
      <c r="V516" s="354" t="n"/>
      <c r="W516" s="354" t="n"/>
      <c r="X516" s="354" t="n"/>
    </row>
    <row r="517" ht="15.5" customHeight="1" s="297">
      <c r="B517" s="350" t="n"/>
      <c r="C517" s="414" t="n"/>
      <c r="D517" s="415" t="inlineStr">
        <is>
          <t>Allowance</t>
        </is>
      </c>
      <c r="E517" s="416" t="n"/>
      <c r="F517" s="345" t="n"/>
      <c r="G517" s="343" t="n"/>
      <c r="H517" s="343" t="n"/>
      <c r="I517" s="348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51" t="n"/>
      <c r="S517" s="351" t="n"/>
      <c r="T517" s="351" t="n"/>
      <c r="U517" s="351" t="n"/>
      <c r="V517" s="351" t="n"/>
      <c r="W517" s="351" t="n"/>
      <c r="X517" s="351" t="n"/>
    </row>
    <row r="518" ht="15.5" customHeight="1" s="297">
      <c r="B518" s="369" t="n">
        <v>45563</v>
      </c>
      <c r="C518" s="353" t="n">
        <v>3</v>
      </c>
      <c r="D518" s="361" t="inlineStr">
        <is>
          <t>Field Allowance 20 Sept - 27 Sept 2024</t>
        </is>
      </c>
      <c r="E518" s="361" t="inlineStr">
        <is>
          <t>-</t>
        </is>
      </c>
      <c r="F518" s="370" t="n">
        <v>2668750</v>
      </c>
      <c r="G518" s="353" t="inlineStr">
        <is>
          <t>USD</t>
        </is>
      </c>
      <c r="H518" s="381" t="n">
        <v>15250</v>
      </c>
      <c r="I518" s="358" t="n">
        <v>2668750</v>
      </c>
      <c r="J518" s="354" t="n"/>
      <c r="K518" s="354" t="n"/>
      <c r="L518" s="354" t="n"/>
      <c r="M518" s="354" t="n"/>
      <c r="N518" s="354" t="n"/>
      <c r="O518" s="354" t="n"/>
      <c r="P518" s="354" t="n"/>
      <c r="Q518" s="354" t="n"/>
      <c r="R518" s="354" t="n"/>
      <c r="S518" s="354" t="n"/>
      <c r="T518" s="354" t="n"/>
      <c r="U518" s="354" t="n"/>
      <c r="V518" s="354" t="n"/>
      <c r="W518" s="354" t="n"/>
      <c r="X518" s="354" t="n"/>
    </row>
    <row r="519" ht="15.5" customHeight="1" s="297">
      <c r="B519" s="369" t="n">
        <v>45563</v>
      </c>
      <c r="C519" s="353" t="n">
        <v>4</v>
      </c>
      <c r="D519" s="361" t="inlineStr">
        <is>
          <t>Meals 20 Sept - 27 Sept 2024 7 days</t>
        </is>
      </c>
      <c r="E519" s="361" t="inlineStr">
        <is>
          <t>-</t>
        </is>
      </c>
      <c r="F519" s="370" t="n">
        <v>1050000</v>
      </c>
      <c r="G519" s="353" t="inlineStr">
        <is>
          <t>IDR</t>
        </is>
      </c>
      <c r="H519" s="381" t="n">
        <v>1</v>
      </c>
      <c r="I519" s="358" t="n">
        <v>1050000</v>
      </c>
      <c r="J519" s="354" t="n"/>
      <c r="K519" s="354" t="n"/>
      <c r="L519" s="354" t="n"/>
      <c r="M519" s="354" t="n"/>
      <c r="N519" s="354" t="n"/>
      <c r="O519" s="354" t="n"/>
      <c r="P519" s="354" t="n"/>
      <c r="Q519" s="354" t="n"/>
      <c r="R519" s="354" t="n"/>
      <c r="S519" s="354" t="n"/>
      <c r="T519" s="354" t="n"/>
      <c r="U519" s="354" t="n"/>
      <c r="V519" s="354" t="n"/>
      <c r="W519" s="354" t="n"/>
      <c r="X519" s="354" t="n"/>
    </row>
    <row r="520" ht="15.5" customHeight="1" s="297">
      <c r="B520" s="384" t="n"/>
      <c r="C520" s="343" t="n"/>
      <c r="D520" s="365" t="inlineStr">
        <is>
          <t>Operation</t>
        </is>
      </c>
      <c r="E520" s="366" t="n"/>
      <c r="F520" s="368" t="n"/>
      <c r="G520" s="343" t="n"/>
      <c r="H520" s="343" t="n"/>
      <c r="I520" s="349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51" t="n"/>
      <c r="S520" s="351" t="n"/>
      <c r="T520" s="351" t="n"/>
      <c r="U520" s="351" t="n"/>
      <c r="V520" s="351" t="n"/>
      <c r="W520" s="351" t="n"/>
      <c r="X520" s="351" t="n"/>
    </row>
    <row r="521" ht="15.5" customHeight="1" s="297">
      <c r="B521" s="369" t="n">
        <v>45563</v>
      </c>
      <c r="C521" s="353" t="n">
        <v>5</v>
      </c>
      <c r="D521" s="361" t="inlineStr">
        <is>
          <t>Aqua 600 ML + Sunlight</t>
        </is>
      </c>
      <c r="E521" s="361" t="inlineStr">
        <is>
          <t>-</t>
        </is>
      </c>
      <c r="F521" s="370" t="n">
        <v>65000</v>
      </c>
      <c r="G521" s="353" t="inlineStr">
        <is>
          <t>IDR</t>
        </is>
      </c>
      <c r="H521" s="381" t="n">
        <v>1</v>
      </c>
      <c r="I521" s="358" t="n">
        <v>65000</v>
      </c>
      <c r="J521" s="354" t="n"/>
      <c r="K521" s="354" t="n"/>
      <c r="L521" s="354" t="n"/>
      <c r="M521" s="359" t="n"/>
      <c r="N521" s="354" t="n"/>
      <c r="O521" s="354" t="n"/>
      <c r="P521" s="354" t="n"/>
      <c r="Q521" s="354" t="n"/>
      <c r="R521" s="354" t="n"/>
      <c r="S521" s="354" t="n"/>
      <c r="T521" s="354" t="n"/>
      <c r="U521" s="354" t="n"/>
      <c r="V521" s="354" t="n"/>
      <c r="W521" s="354" t="n"/>
      <c r="X521" s="354" t="n"/>
    </row>
    <row r="522" ht="15.5" customHeight="1" s="297">
      <c r="B522" s="369" t="n">
        <v>45563</v>
      </c>
      <c r="C522" s="353" t="n">
        <v>6</v>
      </c>
      <c r="D522" s="361" t="inlineStr">
        <is>
          <t>Fried Food + Soft Drink</t>
        </is>
      </c>
      <c r="E522" s="361" t="inlineStr">
        <is>
          <t>-</t>
        </is>
      </c>
      <c r="F522" s="370" t="n">
        <v>150000</v>
      </c>
      <c r="G522" s="353" t="inlineStr">
        <is>
          <t>IDR</t>
        </is>
      </c>
      <c r="H522" s="381" t="n">
        <v>1</v>
      </c>
      <c r="I522" s="358" t="n">
        <v>150000</v>
      </c>
      <c r="J522" s="354" t="n"/>
      <c r="K522" s="354" t="n"/>
      <c r="L522" s="354" t="n"/>
      <c r="M522" s="359" t="n"/>
      <c r="N522" s="354" t="n"/>
      <c r="O522" s="354" t="n"/>
      <c r="P522" s="354" t="n"/>
      <c r="Q522" s="354" t="n"/>
      <c r="R522" s="354" t="n"/>
      <c r="S522" s="354" t="n"/>
      <c r="T522" s="354" t="n"/>
      <c r="U522" s="354" t="n"/>
      <c r="V522" s="354" t="n"/>
      <c r="W522" s="354" t="n"/>
      <c r="X522" s="354" t="n"/>
    </row>
    <row r="523" ht="15.5" customHeight="1" s="297">
      <c r="B523" s="369" t="n">
        <v>45563</v>
      </c>
      <c r="C523" s="353" t="n">
        <v>7</v>
      </c>
      <c r="D523" s="361" t="inlineStr">
        <is>
          <t>Meal's Crew</t>
        </is>
      </c>
      <c r="E523" s="361" t="inlineStr">
        <is>
          <t>-</t>
        </is>
      </c>
      <c r="F523" s="370" t="n">
        <v>120000</v>
      </c>
      <c r="G523" s="353" t="inlineStr">
        <is>
          <t>IDR</t>
        </is>
      </c>
      <c r="H523" s="381" t="n">
        <v>1</v>
      </c>
      <c r="I523" s="358" t="n">
        <v>120000</v>
      </c>
      <c r="J523" s="354" t="n"/>
      <c r="K523" s="354" t="n"/>
      <c r="L523" s="354" t="n"/>
      <c r="M523" s="359" t="n"/>
      <c r="N523" s="354" t="n"/>
      <c r="O523" s="354" t="n"/>
      <c r="P523" s="354" t="n"/>
      <c r="Q523" s="354" t="n"/>
      <c r="R523" s="354" t="n"/>
      <c r="S523" s="354" t="n"/>
      <c r="T523" s="354" t="n"/>
      <c r="U523" s="354" t="n"/>
      <c r="V523" s="354" t="n"/>
      <c r="W523" s="354" t="n"/>
      <c r="X523" s="354" t="n"/>
    </row>
    <row r="524" ht="15.5" customHeight="1" s="297">
      <c r="B524" s="369" t="n">
        <v>45563</v>
      </c>
      <c r="C524" s="353" t="n">
        <v>8</v>
      </c>
      <c r="D524" s="361" t="inlineStr">
        <is>
          <t>Snack's Crew</t>
        </is>
      </c>
      <c r="E524" s="361" t="inlineStr">
        <is>
          <t>-</t>
        </is>
      </c>
      <c r="F524" s="370" t="n">
        <v>172000</v>
      </c>
      <c r="G524" s="353" t="inlineStr">
        <is>
          <t>IDR</t>
        </is>
      </c>
      <c r="H524" s="381" t="n">
        <v>1</v>
      </c>
      <c r="I524" s="358" t="n">
        <v>172000</v>
      </c>
      <c r="J524" s="354" t="n"/>
      <c r="K524" s="354" t="n"/>
      <c r="L524" s="354" t="n"/>
      <c r="M524" s="354" t="n"/>
      <c r="N524" s="359" t="n"/>
      <c r="O524" s="354" t="n"/>
      <c r="P524" s="354" t="n"/>
      <c r="Q524" s="354" t="n"/>
      <c r="R524" s="354" t="n"/>
      <c r="S524" s="354" t="n"/>
      <c r="T524" s="354" t="n"/>
      <c r="U524" s="354" t="n"/>
      <c r="V524" s="354" t="n"/>
      <c r="W524" s="354" t="n"/>
      <c r="X524" s="354" t="n"/>
    </row>
    <row r="525" ht="15.5" customHeight="1" s="297">
      <c r="B525" s="369" t="n">
        <v>45563</v>
      </c>
      <c r="C525" s="353" t="n">
        <v>9</v>
      </c>
      <c r="D525" s="361" t="inlineStr">
        <is>
          <t>Meal's + Soft Drink Crew</t>
        </is>
      </c>
      <c r="E525" s="361" t="inlineStr">
        <is>
          <t>-</t>
        </is>
      </c>
      <c r="F525" s="370" t="n">
        <v>300000</v>
      </c>
      <c r="G525" s="353" t="inlineStr">
        <is>
          <t>IDR</t>
        </is>
      </c>
      <c r="H525" s="381" t="n">
        <v>1</v>
      </c>
      <c r="I525" s="358" t="n">
        <v>300000</v>
      </c>
      <c r="J525" s="354" t="n"/>
      <c r="K525" s="354" t="n"/>
      <c r="L525" s="354" t="n"/>
      <c r="M525" s="354" t="n"/>
      <c r="N525" s="359" t="n"/>
      <c r="O525" s="354" t="n"/>
      <c r="P525" s="354" t="n"/>
      <c r="Q525" s="354" t="n"/>
      <c r="R525" s="354" t="n"/>
      <c r="S525" s="354" t="n"/>
      <c r="T525" s="354" t="n"/>
      <c r="U525" s="354" t="n"/>
      <c r="V525" s="354" t="n"/>
      <c r="W525" s="354" t="n"/>
      <c r="X525" s="354" t="n"/>
    </row>
    <row r="526" ht="15.5" customHeight="1" s="297">
      <c r="B526" s="369" t="n">
        <v>45563</v>
      </c>
      <c r="C526" s="353" t="n">
        <v>10</v>
      </c>
      <c r="D526" s="361" t="inlineStr">
        <is>
          <t>Aqua 600 ML</t>
        </is>
      </c>
      <c r="E526" s="361" t="inlineStr">
        <is>
          <t>-</t>
        </is>
      </c>
      <c r="F526" s="370" t="n">
        <v>65000</v>
      </c>
      <c r="G526" s="353" t="inlineStr">
        <is>
          <t>IDR</t>
        </is>
      </c>
      <c r="H526" s="381" t="n">
        <v>1</v>
      </c>
      <c r="I526" s="358" t="n">
        <v>65000</v>
      </c>
      <c r="J526" s="354" t="n"/>
      <c r="K526" s="354" t="n"/>
      <c r="L526" s="354" t="n"/>
      <c r="M526" s="354" t="n"/>
      <c r="N526" s="354" t="n"/>
      <c r="O526" s="354" t="n"/>
      <c r="P526" s="354" t="n"/>
      <c r="Q526" s="354" t="n"/>
      <c r="R526" s="354" t="n"/>
      <c r="S526" s="354" t="n"/>
      <c r="T526" s="354" t="n"/>
      <c r="U526" s="354" t="n"/>
      <c r="V526" s="354" t="n"/>
      <c r="W526" s="354" t="n"/>
      <c r="X526" s="354" t="n"/>
    </row>
    <row r="527" ht="15.5" customHeight="1" s="297">
      <c r="B527" s="369" t="n">
        <v>45563</v>
      </c>
      <c r="C527" s="353" t="n">
        <v>11</v>
      </c>
      <c r="D527" s="361" t="inlineStr">
        <is>
          <t>Meal's Crws + Ice Tea</t>
        </is>
      </c>
      <c r="E527" s="361" t="inlineStr">
        <is>
          <t>-</t>
        </is>
      </c>
      <c r="F527" s="370" t="n">
        <v>200000</v>
      </c>
      <c r="G527" s="353" t="inlineStr">
        <is>
          <t>IDR</t>
        </is>
      </c>
      <c r="H527" s="381" t="n">
        <v>1</v>
      </c>
      <c r="I527" s="358" t="n">
        <v>200000</v>
      </c>
      <c r="J527" s="354" t="n"/>
      <c r="K527" s="354" t="n"/>
      <c r="L527" s="354" t="n"/>
      <c r="M527" s="354" t="n"/>
      <c r="N527" s="354" t="n"/>
      <c r="O527" s="354" t="n"/>
      <c r="P527" s="354" t="n"/>
      <c r="Q527" s="354" t="n"/>
      <c r="R527" s="354" t="n"/>
      <c r="S527" s="354" t="n"/>
      <c r="T527" s="354" t="n"/>
      <c r="U527" s="354" t="n"/>
      <c r="V527" s="354" t="n"/>
      <c r="W527" s="354" t="n"/>
      <c r="X527" s="354" t="n"/>
    </row>
    <row r="528" ht="15.5" customHeight="1" s="297">
      <c r="B528" s="369" t="n">
        <v>45563</v>
      </c>
      <c r="C528" s="353" t="n">
        <v>12</v>
      </c>
      <c r="D528" s="361" t="inlineStr">
        <is>
          <t>Snack's Crew</t>
        </is>
      </c>
      <c r="E528" s="361" t="inlineStr">
        <is>
          <t>-</t>
        </is>
      </c>
      <c r="F528" s="370" t="n">
        <v>240000</v>
      </c>
      <c r="G528" s="353" t="inlineStr">
        <is>
          <t>IDR</t>
        </is>
      </c>
      <c r="H528" s="381" t="n">
        <v>1</v>
      </c>
      <c r="I528" s="358" t="n">
        <v>240000</v>
      </c>
      <c r="J528" s="354" t="n"/>
      <c r="K528" s="354" t="n"/>
      <c r="L528" s="354" t="n"/>
      <c r="M528" s="354" t="n"/>
      <c r="N528" s="354" t="n"/>
      <c r="O528" s="354" t="n"/>
      <c r="P528" s="354" t="n"/>
      <c r="Q528" s="354" t="n"/>
      <c r="R528" s="354" t="n"/>
      <c r="S528" s="354" t="n"/>
      <c r="T528" s="354" t="n"/>
      <c r="U528" s="354" t="n"/>
      <c r="V528" s="354" t="n"/>
      <c r="W528" s="354" t="n"/>
      <c r="X528" s="354" t="n"/>
    </row>
    <row r="529" ht="15.5" customHeight="1" s="297">
      <c r="B529" s="369" t="n">
        <v>45563</v>
      </c>
      <c r="C529" s="353" t="n">
        <v>13</v>
      </c>
      <c r="D529" s="361" t="inlineStr">
        <is>
          <t>Meal's + Soft Drink Crew</t>
        </is>
      </c>
      <c r="E529" s="361" t="inlineStr">
        <is>
          <t>-</t>
        </is>
      </c>
      <c r="F529" s="370" t="n">
        <v>230000</v>
      </c>
      <c r="G529" s="353" t="inlineStr">
        <is>
          <t>IDR</t>
        </is>
      </c>
      <c r="H529" s="381" t="n">
        <v>1</v>
      </c>
      <c r="I529" s="358" t="n">
        <v>230000</v>
      </c>
      <c r="J529" s="354" t="n"/>
      <c r="K529" s="354" t="n"/>
      <c r="L529" s="354" t="n"/>
      <c r="M529" s="354" t="n"/>
      <c r="N529" s="354" t="n"/>
      <c r="O529" s="354" t="n"/>
      <c r="P529" s="354" t="n"/>
      <c r="Q529" s="354" t="n"/>
      <c r="R529" s="354" t="n"/>
      <c r="S529" s="354" t="n"/>
      <c r="T529" s="354" t="n"/>
      <c r="U529" s="354" t="n"/>
      <c r="V529" s="354" t="n"/>
      <c r="W529" s="354" t="n"/>
      <c r="X529" s="354" t="n"/>
    </row>
    <row r="530" ht="15.5" customHeight="1" s="297">
      <c r="B530" s="369" t="n">
        <v>45563</v>
      </c>
      <c r="C530" s="353" t="n">
        <v>14</v>
      </c>
      <c r="D530" s="361" t="inlineStr">
        <is>
          <t>Soft Drink</t>
        </is>
      </c>
      <c r="E530" s="361" t="inlineStr">
        <is>
          <t>-</t>
        </is>
      </c>
      <c r="F530" s="370" t="n">
        <v>110000</v>
      </c>
      <c r="G530" s="353" t="inlineStr">
        <is>
          <t>IDR</t>
        </is>
      </c>
      <c r="H530" s="381" t="n">
        <v>1</v>
      </c>
      <c r="I530" s="363" t="n">
        <v>110000</v>
      </c>
      <c r="J530" s="354" t="n"/>
      <c r="K530" s="354" t="n"/>
      <c r="L530" s="354" t="n"/>
      <c r="M530" s="354" t="n"/>
      <c r="N530" s="354" t="n"/>
      <c r="O530" s="354" t="n"/>
      <c r="P530" s="354" t="n"/>
      <c r="Q530" s="354" t="n"/>
      <c r="R530" s="354" t="n"/>
      <c r="S530" s="354" t="n"/>
      <c r="T530" s="354" t="n"/>
      <c r="U530" s="354" t="n"/>
      <c r="V530" s="354" t="n"/>
      <c r="W530" s="354" t="n"/>
      <c r="X530" s="354" t="n"/>
    </row>
    <row r="531" ht="15.5" customHeight="1" s="297">
      <c r="B531" s="369" t="n">
        <v>45563</v>
      </c>
      <c r="C531" s="353" t="n">
        <v>15</v>
      </c>
      <c r="D531" s="354" t="inlineStr">
        <is>
          <t>Black Coffe</t>
        </is>
      </c>
      <c r="E531" s="354" t="inlineStr">
        <is>
          <t>-</t>
        </is>
      </c>
      <c r="F531" s="370" t="n">
        <v>47000</v>
      </c>
      <c r="G531" s="353" t="inlineStr">
        <is>
          <t>IDR</t>
        </is>
      </c>
      <c r="H531" s="381" t="n">
        <v>1</v>
      </c>
      <c r="I531" s="363" t="n">
        <v>47000</v>
      </c>
      <c r="J531" s="354" t="n"/>
      <c r="K531" s="354" t="n"/>
      <c r="L531" s="354" t="n"/>
      <c r="M531" s="354" t="n"/>
      <c r="N531" s="354" t="n"/>
      <c r="O531" s="354" t="n"/>
      <c r="P531" s="354" t="n"/>
      <c r="Q531" s="354" t="n"/>
      <c r="R531" s="354" t="n"/>
      <c r="S531" s="354" t="n"/>
      <c r="T531" s="354" t="n"/>
      <c r="U531" s="354" t="n"/>
      <c r="V531" s="354" t="n"/>
      <c r="W531" s="354" t="n"/>
      <c r="X531" s="354" t="n"/>
    </row>
    <row r="532" ht="15.5" customHeight="1" s="297">
      <c r="B532" s="384" t="n"/>
      <c r="C532" s="343" t="n"/>
      <c r="D532" s="344" t="inlineStr">
        <is>
          <t>Transportation</t>
        </is>
      </c>
      <c r="E532" s="345" t="n"/>
      <c r="F532" s="368" t="n"/>
      <c r="G532" s="343" t="n"/>
      <c r="H532" s="343" t="n"/>
      <c r="I532" s="349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51" t="n"/>
      <c r="S532" s="351" t="n"/>
      <c r="T532" s="351" t="n"/>
      <c r="U532" s="351" t="n"/>
      <c r="V532" s="351" t="n"/>
      <c r="W532" s="351" t="n"/>
      <c r="X532" s="351" t="n"/>
    </row>
    <row r="533" ht="15.5" customHeight="1" s="297">
      <c r="B533" s="369" t="n">
        <v>45563</v>
      </c>
      <c r="C533" s="353" t="n">
        <v>16</v>
      </c>
      <c r="D533" s="354" t="inlineStr">
        <is>
          <t>Gasoline</t>
        </is>
      </c>
      <c r="E533" s="354" t="inlineStr">
        <is>
          <t>-</t>
        </is>
      </c>
      <c r="F533" s="370" t="n">
        <v>200000</v>
      </c>
      <c r="G533" s="353" t="inlineStr">
        <is>
          <t>IDR</t>
        </is>
      </c>
      <c r="H533" s="381" t="n">
        <v>1</v>
      </c>
      <c r="I533" s="363" t="n">
        <v>200000</v>
      </c>
      <c r="J533" s="354" t="n"/>
      <c r="K533" s="354" t="n"/>
      <c r="L533" s="354" t="n"/>
      <c r="M533" s="354" t="n"/>
      <c r="N533" s="354" t="n"/>
      <c r="O533" s="354" t="n"/>
      <c r="P533" s="354" t="n"/>
      <c r="Q533" s="354" t="n"/>
      <c r="R533" s="354" t="n"/>
      <c r="S533" s="354" t="n"/>
      <c r="T533" s="354" t="n"/>
      <c r="U533" s="354" t="n"/>
      <c r="V533" s="354" t="n"/>
      <c r="W533" s="354" t="n"/>
      <c r="X533" s="354" t="n"/>
    </row>
    <row r="534" ht="15.5" customHeight="1" s="297">
      <c r="B534" s="369" t="n">
        <v>45563</v>
      </c>
      <c r="C534" s="353" t="n">
        <v>17</v>
      </c>
      <c r="D534" s="354" t="inlineStr">
        <is>
          <t>Gasoline</t>
        </is>
      </c>
      <c r="E534" s="354" t="inlineStr">
        <is>
          <t>-</t>
        </is>
      </c>
      <c r="F534" s="370" t="n">
        <v>215000</v>
      </c>
      <c r="G534" s="353" t="inlineStr">
        <is>
          <t>IDR</t>
        </is>
      </c>
      <c r="H534" s="381" t="n">
        <v>1</v>
      </c>
      <c r="I534" s="363" t="n">
        <v>215000</v>
      </c>
      <c r="J534" s="354" t="n"/>
      <c r="K534" s="354" t="n"/>
      <c r="L534" s="354" t="n"/>
      <c r="M534" s="359" t="n"/>
      <c r="N534" s="354" t="n"/>
      <c r="O534" s="354" t="n"/>
      <c r="P534" s="354" t="n"/>
      <c r="Q534" s="354" t="n"/>
      <c r="R534" s="354" t="n"/>
      <c r="S534" s="354" t="n"/>
      <c r="T534" s="354" t="n"/>
      <c r="U534" s="354" t="n"/>
      <c r="V534" s="354" t="n"/>
      <c r="W534" s="354" t="n"/>
      <c r="X534" s="354" t="n"/>
    </row>
    <row r="535" ht="15.5" customHeight="1" s="297">
      <c r="B535" s="369" t="n">
        <v>45563</v>
      </c>
      <c r="C535" s="353" t="n">
        <v>18</v>
      </c>
      <c r="D535" s="354" t="inlineStr">
        <is>
          <t>Gasoline</t>
        </is>
      </c>
      <c r="E535" s="354" t="inlineStr">
        <is>
          <t>-</t>
        </is>
      </c>
      <c r="F535" s="370" t="n">
        <v>197000</v>
      </c>
      <c r="G535" s="353" t="inlineStr">
        <is>
          <t>IDR</t>
        </is>
      </c>
      <c r="H535" s="381" t="n">
        <v>1</v>
      </c>
      <c r="I535" s="363" t="n">
        <v>197000</v>
      </c>
      <c r="J535" s="354" t="n"/>
      <c r="K535" s="354" t="n"/>
      <c r="L535" s="354" t="n"/>
      <c r="M535" s="360" t="n"/>
      <c r="N535" s="354" t="n"/>
      <c r="O535" s="354" t="n"/>
      <c r="P535" s="354" t="n"/>
      <c r="Q535" s="354" t="n"/>
      <c r="R535" s="354" t="n"/>
      <c r="S535" s="354" t="n"/>
      <c r="T535" s="354" t="n"/>
      <c r="U535" s="354" t="n"/>
      <c r="V535" s="354" t="n"/>
      <c r="W535" s="354" t="n"/>
      <c r="X535" s="354" t="n"/>
    </row>
    <row r="536" ht="15.5" customHeight="1" s="297">
      <c r="B536" s="369" t="n">
        <v>45563</v>
      </c>
      <c r="C536" s="353" t="n">
        <v>19</v>
      </c>
      <c r="D536" s="354" t="inlineStr">
        <is>
          <t>Gasoline</t>
        </is>
      </c>
      <c r="E536" s="354" t="inlineStr">
        <is>
          <t>-</t>
        </is>
      </c>
      <c r="F536" s="370" t="n">
        <v>200000</v>
      </c>
      <c r="G536" s="353" t="inlineStr">
        <is>
          <t>IDR</t>
        </is>
      </c>
      <c r="H536" s="381" t="n">
        <v>1</v>
      </c>
      <c r="I536" s="363" t="n">
        <v>200000</v>
      </c>
      <c r="J536" s="354" t="n"/>
      <c r="K536" s="354" t="n"/>
      <c r="L536" s="354" t="n"/>
      <c r="M536" s="359" t="n"/>
      <c r="N536" s="354" t="n"/>
      <c r="O536" s="354" t="n"/>
      <c r="P536" s="354" t="n"/>
      <c r="Q536" s="354" t="n"/>
      <c r="R536" s="354" t="n"/>
      <c r="S536" s="354" t="n"/>
      <c r="T536" s="354" t="n"/>
      <c r="U536" s="354" t="n"/>
      <c r="V536" s="354" t="n"/>
      <c r="W536" s="354" t="n"/>
      <c r="X536" s="354" t="n"/>
    </row>
    <row r="537" ht="15.5" customHeight="1" s="297">
      <c r="B537" s="369" t="n">
        <v>45563</v>
      </c>
      <c r="C537" s="353" t="n">
        <v>20</v>
      </c>
      <c r="D537" s="354" t="inlineStr">
        <is>
          <t>Gasoline</t>
        </is>
      </c>
      <c r="E537" s="354" t="inlineStr">
        <is>
          <t>-</t>
        </is>
      </c>
      <c r="F537" s="370" t="n">
        <v>220000</v>
      </c>
      <c r="G537" s="353" t="inlineStr">
        <is>
          <t>IDR</t>
        </is>
      </c>
      <c r="H537" s="381" t="n">
        <v>1</v>
      </c>
      <c r="I537" s="363" t="n">
        <v>220000</v>
      </c>
      <c r="J537" s="354" t="n"/>
      <c r="K537" s="354" t="n"/>
      <c r="L537" s="354" t="n"/>
      <c r="M537" s="359" t="n"/>
      <c r="N537" s="354" t="n"/>
      <c r="O537" s="354" t="n"/>
      <c r="P537" s="354" t="n"/>
      <c r="Q537" s="354" t="n"/>
      <c r="R537" s="354" t="n"/>
      <c r="S537" s="354" t="n"/>
      <c r="T537" s="354" t="n"/>
      <c r="U537" s="354" t="n"/>
      <c r="V537" s="354" t="n"/>
      <c r="W537" s="354" t="n"/>
      <c r="X537" s="354" t="n"/>
    </row>
    <row r="538" ht="15.5" customHeight="1" s="297">
      <c r="B538" s="369" t="n">
        <v>45563</v>
      </c>
      <c r="C538" s="353" t="n">
        <v>21</v>
      </c>
      <c r="D538" s="354" t="inlineStr">
        <is>
          <t>Toll (PLM-Prabumulih)</t>
        </is>
      </c>
      <c r="E538" s="354" t="inlineStr">
        <is>
          <t>-</t>
        </is>
      </c>
      <c r="F538" s="370" t="n">
        <v>112000</v>
      </c>
      <c r="G538" s="353" t="inlineStr">
        <is>
          <t>IDR</t>
        </is>
      </c>
      <c r="H538" s="381" t="n">
        <v>1</v>
      </c>
      <c r="I538" s="363" t="n">
        <v>112000</v>
      </c>
      <c r="J538" s="354" t="n"/>
      <c r="K538" s="354" t="n"/>
      <c r="L538" s="354" t="n"/>
      <c r="M538" s="360" t="n"/>
      <c r="N538" s="354" t="n"/>
      <c r="O538" s="354" t="n"/>
      <c r="P538" s="354" t="n"/>
      <c r="Q538" s="354" t="n"/>
      <c r="R538" s="354" t="n"/>
      <c r="S538" s="354" t="n"/>
      <c r="T538" s="354" t="n"/>
      <c r="U538" s="354" t="n"/>
      <c r="V538" s="354" t="n"/>
      <c r="W538" s="354" t="n"/>
      <c r="X538" s="354" t="n"/>
    </row>
    <row r="539" ht="15.5" customHeight="1" s="297">
      <c r="B539" s="369" t="n">
        <v>45563</v>
      </c>
      <c r="C539" s="353" t="n">
        <v>22</v>
      </c>
      <c r="D539" s="354" t="inlineStr">
        <is>
          <t>Toll (Prabumulih-PLM)</t>
        </is>
      </c>
      <c r="E539" s="354" t="inlineStr">
        <is>
          <t>-</t>
        </is>
      </c>
      <c r="F539" s="370" t="n">
        <v>117000</v>
      </c>
      <c r="G539" s="353" t="inlineStr">
        <is>
          <t>IDR</t>
        </is>
      </c>
      <c r="H539" s="381" t="n">
        <v>1</v>
      </c>
      <c r="I539" s="363" t="n">
        <v>117000</v>
      </c>
      <c r="J539" s="354" t="n"/>
      <c r="K539" s="354" t="n"/>
      <c r="L539" s="354" t="n"/>
      <c r="M539" s="359" t="n"/>
      <c r="N539" s="354" t="n"/>
      <c r="O539" s="354" t="n"/>
      <c r="P539" s="354" t="n"/>
      <c r="Q539" s="354" t="n"/>
      <c r="R539" s="354" t="n"/>
      <c r="S539" s="354" t="n"/>
      <c r="T539" s="354" t="n"/>
      <c r="U539" s="354" t="n"/>
      <c r="V539" s="354" t="n"/>
      <c r="W539" s="354" t="n"/>
      <c r="X539" s="354" t="n"/>
    </row>
    <row r="540" ht="15.5" customHeight="1" s="297">
      <c r="B540" s="369" t="n">
        <v>45563</v>
      </c>
      <c r="C540" s="353" t="n">
        <v>23</v>
      </c>
      <c r="D540" s="354" t="inlineStr">
        <is>
          <t>Car Wash</t>
        </is>
      </c>
      <c r="E540" s="354" t="inlineStr">
        <is>
          <t>-</t>
        </is>
      </c>
      <c r="F540" s="370" t="n">
        <v>40000</v>
      </c>
      <c r="G540" s="353" t="inlineStr">
        <is>
          <t>IDR</t>
        </is>
      </c>
      <c r="H540" s="381" t="n">
        <v>1</v>
      </c>
      <c r="I540" s="363" t="n">
        <v>40000</v>
      </c>
      <c r="J540" s="354" t="n"/>
      <c r="K540" s="354" t="n"/>
      <c r="L540" s="354" t="n"/>
      <c r="M540" s="359" t="n"/>
      <c r="N540" s="354" t="n"/>
      <c r="O540" s="354" t="n"/>
      <c r="P540" s="354" t="n"/>
      <c r="Q540" s="354" t="n"/>
      <c r="R540" s="354" t="n"/>
      <c r="S540" s="354" t="n"/>
      <c r="T540" s="354" t="n"/>
      <c r="U540" s="354" t="n"/>
      <c r="V540" s="354" t="n"/>
      <c r="W540" s="354" t="n"/>
      <c r="X540" s="354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5" t="inlineStr">
        <is>
          <t>Accommodation</t>
        </is>
      </c>
      <c r="E542" s="409" t="n"/>
      <c r="F542" s="368" t="n"/>
      <c r="G542" s="343" t="n"/>
      <c r="H542" s="343" t="n"/>
      <c r="I542" s="350" t="n"/>
      <c r="J542" s="350" t="n"/>
      <c r="K542" s="350" t="n"/>
      <c r="L542" s="350" t="n"/>
      <c r="M542" s="348" t="n"/>
      <c r="N542" s="350" t="n"/>
      <c r="O542" s="350" t="n"/>
      <c r="P542" s="350" t="n"/>
      <c r="Q542" s="350" t="n"/>
      <c r="R542" s="351" t="n"/>
      <c r="S542" s="351" t="n"/>
      <c r="T542" s="351" t="n"/>
      <c r="U542" s="351" t="n"/>
      <c r="V542" s="351" t="n"/>
      <c r="W542" s="351" t="n"/>
      <c r="X542" s="351" t="n"/>
    </row>
    <row r="543" ht="15.5" customHeight="1" s="297">
      <c r="B543" s="369" t="n">
        <v>45564</v>
      </c>
      <c r="C543" s="428" t="n">
        <v>1</v>
      </c>
      <c r="D543" s="361" t="inlineStr">
        <is>
          <t>Laundry 8 days @ 50K IDR/day</t>
        </is>
      </c>
      <c r="E543" s="361" t="inlineStr">
        <is>
          <t>-</t>
        </is>
      </c>
      <c r="F543" s="370" t="n">
        <v>400000</v>
      </c>
      <c r="G543" s="353" t="inlineStr">
        <is>
          <t>IDR</t>
        </is>
      </c>
      <c r="H543" s="381" t="n">
        <v>1</v>
      </c>
      <c r="I543" s="363" t="n">
        <v>400000</v>
      </c>
      <c r="J543" s="354" t="n"/>
      <c r="K543" s="354" t="n"/>
      <c r="L543" s="354" t="n"/>
      <c r="M543" s="360" t="n"/>
      <c r="N543" s="354" t="n"/>
      <c r="O543" s="354" t="n"/>
      <c r="P543" s="354" t="n"/>
      <c r="Q543" s="354" t="n"/>
      <c r="R543" s="354" t="n"/>
      <c r="S543" s="354" t="n"/>
      <c r="T543" s="354" t="n"/>
      <c r="U543" s="354" t="n"/>
      <c r="V543" s="354" t="n"/>
      <c r="W543" s="354" t="n"/>
      <c r="X543" s="354" t="n"/>
    </row>
    <row r="544" ht="15.5" customHeight="1" s="297">
      <c r="B544" s="384" t="n"/>
      <c r="C544" s="343" t="n"/>
      <c r="D544" s="365" t="inlineStr">
        <is>
          <t>Allowance</t>
        </is>
      </c>
      <c r="E544" s="366" t="n"/>
      <c r="F544" s="368" t="n"/>
      <c r="G544" s="343" t="n"/>
      <c r="H544" s="343" t="n"/>
      <c r="I544" s="349" t="n"/>
      <c r="J544" s="350" t="n"/>
      <c r="K544" s="350" t="n"/>
      <c r="L544" s="350" t="n"/>
      <c r="M544" s="348" t="n"/>
      <c r="N544" s="350" t="n"/>
      <c r="O544" s="350" t="n"/>
      <c r="P544" s="350" t="n"/>
      <c r="Q544" s="350" t="n"/>
      <c r="R544" s="351" t="n"/>
      <c r="S544" s="351" t="n"/>
      <c r="T544" s="351" t="n"/>
      <c r="U544" s="351" t="n"/>
      <c r="V544" s="351" t="n"/>
      <c r="W544" s="351" t="n"/>
      <c r="X544" s="351" t="n"/>
    </row>
    <row r="545" ht="15.5" customHeight="1" s="297">
      <c r="B545" s="382" t="n">
        <v>45564</v>
      </c>
      <c r="C545" s="353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3" t="n">
        <v>900000</v>
      </c>
      <c r="G545" s="353" t="inlineStr">
        <is>
          <t>IDR</t>
        </is>
      </c>
      <c r="H545" s="381" t="n">
        <v>1</v>
      </c>
      <c r="I545" s="363" t="n">
        <v>900000</v>
      </c>
      <c r="J545" s="354" t="n"/>
      <c r="K545" s="354" t="n"/>
      <c r="L545" s="354" t="n"/>
      <c r="M545" s="354" t="n"/>
      <c r="N545" s="354" t="n"/>
      <c r="O545" s="354" t="n"/>
      <c r="P545" s="354" t="n"/>
      <c r="Q545" s="354" t="n"/>
      <c r="R545" s="354" t="n"/>
      <c r="S545" s="354" t="n"/>
      <c r="T545" s="354" t="n"/>
      <c r="U545" s="354" t="n"/>
      <c r="V545" s="354" t="n"/>
      <c r="W545" s="354" t="n"/>
      <c r="X545" s="354" t="n"/>
    </row>
    <row r="546" ht="15.5" customHeight="1" s="297">
      <c r="B546" s="352" t="n">
        <v>45565</v>
      </c>
      <c r="C546" s="353" t="n">
        <v>3</v>
      </c>
      <c r="D546" s="354" t="inlineStr">
        <is>
          <t>Tunjangan lapaangan for 8 days- (job at JRK-095)</t>
        </is>
      </c>
      <c r="E546" s="354" t="inlineStr">
        <is>
          <t>-</t>
        </is>
      </c>
      <c r="F546" s="355" t="n">
        <v>12160000</v>
      </c>
      <c r="G546" s="353" t="inlineStr">
        <is>
          <t>USD</t>
        </is>
      </c>
      <c r="H546" s="381" t="n">
        <v>15200</v>
      </c>
      <c r="I546" s="363" t="n">
        <v>12160000</v>
      </c>
      <c r="J546" s="354" t="n"/>
      <c r="K546" s="354" t="n"/>
      <c r="L546" s="354" t="n"/>
      <c r="M546" s="354" t="n"/>
      <c r="N546" s="354" t="n"/>
      <c r="O546" s="354" t="n"/>
      <c r="P546" s="354" t="n"/>
      <c r="Q546" s="354" t="n"/>
      <c r="R546" s="354" t="n"/>
      <c r="S546" s="354" t="n"/>
      <c r="T546" s="354" t="n"/>
      <c r="U546" s="354" t="n"/>
      <c r="V546" s="354" t="n"/>
      <c r="W546" s="354" t="n"/>
      <c r="X546" s="354" t="n"/>
    </row>
    <row r="547" ht="15.5" customHeight="1" s="297">
      <c r="B547" s="384" t="n"/>
      <c r="C547" s="343" t="n"/>
      <c r="D547" s="344" t="inlineStr">
        <is>
          <t>Transportation</t>
        </is>
      </c>
      <c r="E547" s="345" t="n"/>
      <c r="F547" s="346" t="n"/>
      <c r="G547" s="343" t="n"/>
      <c r="H547" s="343" t="n"/>
      <c r="I547" s="348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51" t="n"/>
      <c r="S547" s="351" t="n"/>
      <c r="T547" s="351" t="n"/>
      <c r="U547" s="351" t="n"/>
      <c r="V547" s="351" t="n"/>
      <c r="W547" s="351" t="n"/>
      <c r="X547" s="351" t="n"/>
    </row>
    <row r="548" ht="15.5" customHeight="1" s="297">
      <c r="B548" s="369" t="n">
        <v>45556</v>
      </c>
      <c r="C548" s="353" t="n">
        <v>4</v>
      </c>
      <c r="D548" s="354" t="inlineStr">
        <is>
          <t>Air ticket Anevril JKT-Palembang</t>
        </is>
      </c>
      <c r="E548" s="354" t="inlineStr">
        <is>
          <t>-</t>
        </is>
      </c>
      <c r="F548" s="355" t="n">
        <v>796800</v>
      </c>
      <c r="G548" s="353" t="inlineStr">
        <is>
          <t>IDR</t>
        </is>
      </c>
      <c r="H548" s="381" t="n">
        <v>1</v>
      </c>
      <c r="I548" s="358" t="n">
        <v>796800</v>
      </c>
      <c r="J548" s="354" t="n"/>
      <c r="K548" s="354" t="n"/>
      <c r="L548" s="354" t="n"/>
      <c r="M548" s="354" t="n"/>
      <c r="N548" s="354" t="n"/>
      <c r="O548" s="354" t="n"/>
      <c r="P548" s="354" t="n"/>
      <c r="Q548" s="354" t="n"/>
      <c r="R548" s="354" t="n"/>
      <c r="S548" s="354" t="n"/>
      <c r="T548" s="354" t="n"/>
      <c r="U548" s="354" t="n"/>
      <c r="V548" s="354" t="n"/>
      <c r="W548" s="354" t="n"/>
      <c r="X548" s="354" t="n"/>
    </row>
    <row r="549" ht="15.5" customHeight="1" s="297">
      <c r="B549" s="369" t="n">
        <v>45556</v>
      </c>
      <c r="C549" s="353" t="n">
        <v>5</v>
      </c>
      <c r="D549" s="354" t="inlineStr">
        <is>
          <t>Taxi Anevril Home - CGK Airport</t>
        </is>
      </c>
      <c r="E549" s="354" t="inlineStr">
        <is>
          <t>-</t>
        </is>
      </c>
      <c r="F549" s="355" t="n">
        <v>250000</v>
      </c>
      <c r="G549" s="353" t="inlineStr">
        <is>
          <t>IDR</t>
        </is>
      </c>
      <c r="H549" s="381" t="n">
        <v>1</v>
      </c>
      <c r="I549" s="358" t="n">
        <v>250000</v>
      </c>
      <c r="J549" s="354" t="n"/>
      <c r="K549" s="354" t="n"/>
      <c r="L549" s="354" t="n"/>
      <c r="M549" s="354" t="n"/>
      <c r="N549" s="354" t="n"/>
      <c r="O549" s="354" t="n"/>
      <c r="P549" s="354" t="n"/>
      <c r="Q549" s="354" t="n"/>
      <c r="R549" s="354" t="n"/>
      <c r="S549" s="354" t="n"/>
      <c r="T549" s="354" t="n"/>
      <c r="U549" s="354" t="n"/>
      <c r="V549" s="354" t="n"/>
      <c r="W549" s="354" t="n"/>
      <c r="X549" s="354" t="n"/>
    </row>
    <row r="550" ht="15.5" customHeight="1" s="297">
      <c r="B550" s="369" t="n">
        <v>45564</v>
      </c>
      <c r="C550" s="353" t="n">
        <v>6</v>
      </c>
      <c r="D550" s="361" t="inlineStr">
        <is>
          <t>Air ticket Anevril Palembang-JKT</t>
        </is>
      </c>
      <c r="E550" s="361" t="inlineStr">
        <is>
          <t>-</t>
        </is>
      </c>
      <c r="F550" s="355" t="n">
        <v>804500</v>
      </c>
      <c r="G550" s="353" t="inlineStr">
        <is>
          <t>IDR</t>
        </is>
      </c>
      <c r="H550" s="381" t="n">
        <v>1</v>
      </c>
      <c r="I550" s="358" t="n">
        <v>804500</v>
      </c>
      <c r="J550" s="354" t="n"/>
      <c r="K550" s="354" t="n"/>
      <c r="L550" s="354" t="n"/>
      <c r="M550" s="354" t="n"/>
      <c r="N550" s="359" t="n"/>
      <c r="O550" s="354" t="n"/>
      <c r="P550" s="354" t="n"/>
      <c r="Q550" s="354" t="n"/>
      <c r="R550" s="354" t="n"/>
      <c r="S550" s="354" t="n"/>
      <c r="T550" s="354" t="n"/>
      <c r="U550" s="354" t="n"/>
      <c r="V550" s="354" t="n"/>
      <c r="W550" s="354" t="n"/>
      <c r="X550" s="354" t="n"/>
    </row>
    <row r="551" ht="15.5" customHeight="1" s="297">
      <c r="B551" s="369" t="n">
        <v>45564</v>
      </c>
      <c r="C551" s="353" t="n">
        <v>7</v>
      </c>
      <c r="D551" s="361" t="inlineStr">
        <is>
          <t>Taxi Anevril CGK Airport - Home</t>
        </is>
      </c>
      <c r="E551" s="361" t="inlineStr">
        <is>
          <t>-</t>
        </is>
      </c>
      <c r="F551" s="355" t="n">
        <v>250000</v>
      </c>
      <c r="G551" s="353" t="inlineStr">
        <is>
          <t>IDR</t>
        </is>
      </c>
      <c r="H551" s="381" t="n">
        <v>1</v>
      </c>
      <c r="I551" s="358" t="n">
        <v>250000</v>
      </c>
      <c r="J551" s="354" t="n"/>
      <c r="K551" s="354" t="n"/>
      <c r="L551" s="354" t="n"/>
      <c r="M551" s="354" t="n"/>
      <c r="N551" s="354" t="n"/>
      <c r="O551" s="354" t="n"/>
      <c r="P551" s="354" t="n"/>
      <c r="Q551" s="354" t="n"/>
      <c r="R551" s="354" t="n"/>
      <c r="S551" s="354" t="n"/>
      <c r="T551" s="354" t="n"/>
      <c r="U551" s="354" t="n"/>
      <c r="V551" s="354" t="n"/>
      <c r="W551" s="354" t="n"/>
      <c r="X551" s="354" t="n"/>
    </row>
    <row r="552" ht="15.5" customHeight="1" s="297">
      <c r="B552" s="369" t="n">
        <v>45564</v>
      </c>
      <c r="C552" s="353" t="n">
        <v>8</v>
      </c>
      <c r="D552" s="361" t="inlineStr">
        <is>
          <t>Sewa mobil 8 hari (21/09/24 - 29/09/24)</t>
        </is>
      </c>
      <c r="E552" s="361" t="inlineStr">
        <is>
          <t>-</t>
        </is>
      </c>
      <c r="F552" s="355" t="n">
        <v>4000000</v>
      </c>
      <c r="G552" s="353" t="inlineStr">
        <is>
          <t>IDR</t>
        </is>
      </c>
      <c r="H552" s="381" t="n">
        <v>1</v>
      </c>
      <c r="I552" s="358" t="n">
        <v>4000000</v>
      </c>
      <c r="J552" s="354" t="n"/>
      <c r="K552" s="354" t="n"/>
      <c r="L552" s="354" t="n"/>
      <c r="M552" s="354" t="n"/>
      <c r="N552" s="359" t="n"/>
      <c r="O552" s="354" t="n"/>
      <c r="P552" s="354" t="n"/>
      <c r="Q552" s="354" t="n"/>
      <c r="R552" s="354" t="n"/>
      <c r="S552" s="354" t="n"/>
      <c r="T552" s="354" t="n"/>
      <c r="U552" s="354" t="n"/>
      <c r="V552" s="354" t="n"/>
      <c r="W552" s="354" t="n"/>
      <c r="X552" s="354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3" t="n"/>
      <c r="D554" s="365" t="inlineStr">
        <is>
          <t>Accommodation</t>
        </is>
      </c>
      <c r="E554" s="409" t="n"/>
      <c r="F554" s="346" t="n"/>
      <c r="G554" s="343" t="n"/>
      <c r="H554" s="343" t="n"/>
      <c r="I554" s="348" t="n"/>
      <c r="J554" s="350" t="n"/>
      <c r="K554" s="350" t="n"/>
      <c r="L554" s="350" t="n"/>
      <c r="M554" s="350" t="n"/>
      <c r="N554" s="348" t="n"/>
      <c r="O554" s="350" t="n"/>
      <c r="P554" s="350" t="n"/>
      <c r="Q554" s="350" t="n"/>
      <c r="R554" s="351" t="n"/>
      <c r="S554" s="351" t="n"/>
      <c r="T554" s="351" t="n"/>
      <c r="U554" s="351" t="n"/>
      <c r="V554" s="351" t="n"/>
      <c r="W554" s="351" t="n"/>
      <c r="X554" s="351" t="n"/>
    </row>
    <row r="555" ht="15.5" customHeight="1" s="297">
      <c r="B555" s="369" t="n">
        <v>45552</v>
      </c>
      <c r="C555" s="353" t="n">
        <v>1</v>
      </c>
      <c r="D555" s="361" t="inlineStr">
        <is>
          <t>Hotel</t>
        </is>
      </c>
      <c r="E555" s="361" t="inlineStr">
        <is>
          <t>-</t>
        </is>
      </c>
      <c r="F555" s="355" t="n">
        <v>700000</v>
      </c>
      <c r="G555" s="353" t="inlineStr">
        <is>
          <t>IDR</t>
        </is>
      </c>
      <c r="H555" s="381" t="n">
        <v>1</v>
      </c>
      <c r="I555" s="358" t="n">
        <v>700000</v>
      </c>
      <c r="J555" s="354" t="n"/>
      <c r="K555" s="354" t="n"/>
      <c r="L555" s="354" t="n"/>
      <c r="M555" s="354" t="n"/>
      <c r="N555" s="359" t="n"/>
      <c r="O555" s="354" t="n"/>
      <c r="P555" s="354" t="n"/>
      <c r="Q555" s="354" t="n"/>
      <c r="R555" s="354" t="n"/>
      <c r="S555" s="354" t="n"/>
      <c r="T555" s="354" t="n"/>
      <c r="U555" s="354" t="n"/>
      <c r="V555" s="354" t="n"/>
      <c r="W555" s="354" t="n"/>
      <c r="X555" s="354" t="n"/>
    </row>
    <row r="556" ht="15.5" customHeight="1" s="297">
      <c r="B556" s="369" t="n">
        <v>45553</v>
      </c>
      <c r="C556" s="353" t="n">
        <v>2</v>
      </c>
      <c r="D556" s="361" t="inlineStr">
        <is>
          <t>Loundry 2 days @Rp. 50.000</t>
        </is>
      </c>
      <c r="E556" s="361" t="inlineStr">
        <is>
          <t>-</t>
        </is>
      </c>
      <c r="F556" s="355" t="n">
        <v>100000</v>
      </c>
      <c r="G556" s="353" t="inlineStr">
        <is>
          <t>IDR</t>
        </is>
      </c>
      <c r="H556" s="381" t="n">
        <v>1</v>
      </c>
      <c r="I556" s="363" t="n">
        <v>100000</v>
      </c>
      <c r="J556" s="354" t="n"/>
      <c r="K556" s="354" t="n"/>
      <c r="L556" s="354" t="n"/>
      <c r="M556" s="354" t="n"/>
      <c r="N556" s="354" t="n"/>
      <c r="O556" s="354" t="n"/>
      <c r="P556" s="354" t="n"/>
      <c r="Q556" s="354" t="n"/>
      <c r="R556" s="354" t="n"/>
      <c r="S556" s="354" t="n"/>
      <c r="T556" s="354" t="n"/>
      <c r="U556" s="354" t="n"/>
      <c r="V556" s="354" t="n"/>
      <c r="W556" s="354" t="n"/>
      <c r="X556" s="354" t="n"/>
    </row>
    <row r="557" ht="15.5" customHeight="1" s="297">
      <c r="B557" s="384" t="n"/>
      <c r="C557" s="343" t="n"/>
      <c r="D557" s="365" t="inlineStr">
        <is>
          <t>Meal</t>
        </is>
      </c>
      <c r="E557" s="366" t="n"/>
      <c r="F557" s="346" t="n"/>
      <c r="G557" s="343" t="n"/>
      <c r="H557" s="343" t="n"/>
      <c r="I557" s="349" t="n"/>
      <c r="J557" s="350" t="n"/>
      <c r="K557" s="350" t="n"/>
      <c r="L557" s="350" t="n"/>
      <c r="M557" s="348" t="n"/>
      <c r="N557" s="350" t="n"/>
      <c r="O557" s="350" t="n"/>
      <c r="P557" s="350" t="n"/>
      <c r="Q557" s="350" t="n"/>
      <c r="R557" s="351" t="n"/>
      <c r="S557" s="351" t="n"/>
      <c r="T557" s="351" t="n"/>
      <c r="U557" s="351" t="n"/>
      <c r="V557" s="351" t="n"/>
      <c r="W557" s="351" t="n"/>
      <c r="X557" s="351" t="n"/>
    </row>
    <row r="558" ht="15.5" customHeight="1" s="297">
      <c r="B558" s="369" t="n">
        <v>45546</v>
      </c>
      <c r="C558" s="353" t="n">
        <v>3</v>
      </c>
      <c r="D558" s="361" t="inlineStr">
        <is>
          <t>lunch when check MTD tool at workshop Gowell</t>
        </is>
      </c>
      <c r="E558" s="361" t="inlineStr">
        <is>
          <t>-</t>
        </is>
      </c>
      <c r="F558" s="355" t="n">
        <v>171000</v>
      </c>
      <c r="G558" s="353" t="inlineStr">
        <is>
          <t>IDR</t>
        </is>
      </c>
      <c r="H558" s="381" t="n">
        <v>1</v>
      </c>
      <c r="I558" s="363" t="n">
        <v>171000</v>
      </c>
      <c r="J558" s="354" t="n"/>
      <c r="K558" s="354" t="n"/>
      <c r="L558" s="354" t="n"/>
      <c r="M558" s="354" t="n"/>
      <c r="N558" s="354" t="n"/>
      <c r="O558" s="354" t="n"/>
      <c r="P558" s="354" t="n"/>
      <c r="Q558" s="354" t="n"/>
      <c r="R558" s="354" t="n"/>
      <c r="S558" s="354" t="n"/>
      <c r="T558" s="354" t="n"/>
      <c r="U558" s="354" t="n"/>
      <c r="V558" s="354" t="n"/>
      <c r="W558" s="354" t="n"/>
      <c r="X558" s="354" t="n"/>
    </row>
    <row r="559" ht="15.5" customHeight="1" s="297">
      <c r="B559" s="369" t="n">
        <v>45553</v>
      </c>
      <c r="C559" s="353" t="n">
        <v>4</v>
      </c>
      <c r="D559" s="361" t="inlineStr">
        <is>
          <t>Uang makan utk 3 hari (17-18 Sept-24) @150.000</t>
        </is>
      </c>
      <c r="E559" s="361" t="inlineStr">
        <is>
          <t>-</t>
        </is>
      </c>
      <c r="F559" s="355" t="n">
        <v>300000</v>
      </c>
      <c r="G559" s="353" t="inlineStr">
        <is>
          <t>IDR</t>
        </is>
      </c>
      <c r="H559" s="381" t="n">
        <v>1</v>
      </c>
      <c r="I559" s="363" t="n">
        <v>300000</v>
      </c>
      <c r="J559" s="354" t="n"/>
      <c r="K559" s="354" t="n"/>
      <c r="L559" s="354" t="n"/>
      <c r="M559" s="354" t="n"/>
      <c r="N559" s="354" t="n"/>
      <c r="O559" s="354" t="n"/>
      <c r="P559" s="354" t="n"/>
      <c r="Q559" s="354" t="n"/>
      <c r="R559" s="354" t="n"/>
      <c r="S559" s="354" t="n"/>
      <c r="T559" s="354" t="n"/>
      <c r="U559" s="354" t="n"/>
      <c r="V559" s="354" t="n"/>
      <c r="W559" s="354" t="n"/>
      <c r="X559" s="354" t="n"/>
    </row>
    <row r="560" ht="15.5" customHeight="1" s="297">
      <c r="B560" s="350" t="n"/>
      <c r="C560" s="414" t="n"/>
      <c r="D560" s="415" t="inlineStr">
        <is>
          <t>Transportation</t>
        </is>
      </c>
      <c r="E560" s="416" t="n"/>
      <c r="F560" s="345" t="n"/>
      <c r="G560" s="343" t="n"/>
      <c r="H560" s="343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51" t="n"/>
      <c r="S560" s="351" t="n"/>
      <c r="T560" s="351" t="n"/>
      <c r="U560" s="351" t="n"/>
      <c r="V560" s="351" t="n"/>
      <c r="W560" s="351" t="n"/>
      <c r="X560" s="351" t="n"/>
    </row>
    <row r="561" ht="15.5" customHeight="1" s="297">
      <c r="B561" s="369" t="n">
        <v>45526</v>
      </c>
      <c r="C561" s="353" t="n">
        <v>5</v>
      </c>
      <c r="D561" s="361" t="inlineStr">
        <is>
          <t>Fuel ( trip modified tool Sampler to Mr suby)</t>
        </is>
      </c>
      <c r="E561" s="361" t="inlineStr">
        <is>
          <t>-</t>
        </is>
      </c>
      <c r="F561" s="355" t="n">
        <v>274000</v>
      </c>
      <c r="G561" s="354" t="inlineStr">
        <is>
          <t>IDR</t>
        </is>
      </c>
      <c r="H561" s="420" t="n">
        <v>1</v>
      </c>
      <c r="I561" s="363" t="n">
        <v>274000</v>
      </c>
      <c r="J561" s="354" t="n"/>
      <c r="K561" s="354" t="n"/>
      <c r="L561" s="354" t="n"/>
      <c r="M561" s="354" t="n"/>
      <c r="N561" s="354" t="n"/>
      <c r="O561" s="354" t="n"/>
      <c r="P561" s="354" t="n"/>
      <c r="Q561" s="354" t="n"/>
      <c r="R561" s="354" t="n"/>
      <c r="S561" s="354" t="n"/>
      <c r="T561" s="354" t="n"/>
      <c r="U561" s="354" t="n"/>
      <c r="V561" s="354" t="n"/>
      <c r="W561" s="354" t="n"/>
      <c r="X561" s="354" t="n"/>
    </row>
    <row r="562" ht="15.5" customHeight="1" s="297">
      <c r="B562" s="352" t="n">
        <v>45544</v>
      </c>
      <c r="C562" s="353" t="n">
        <v>6</v>
      </c>
      <c r="D562" s="361" t="inlineStr">
        <is>
          <t>Gocar ( trip Bintaro - Instrutek solusindo)</t>
        </is>
      </c>
      <c r="E562" s="361" t="inlineStr">
        <is>
          <t>-</t>
        </is>
      </c>
      <c r="F562" s="355" t="n">
        <v>144500</v>
      </c>
      <c r="G562" s="354" t="inlineStr">
        <is>
          <t>IDR</t>
        </is>
      </c>
      <c r="H562" s="420" t="n">
        <v>1</v>
      </c>
      <c r="I562" s="358" t="n">
        <v>144500</v>
      </c>
      <c r="J562" s="354" t="n"/>
      <c r="K562" s="354" t="n"/>
      <c r="L562" s="354" t="n"/>
      <c r="M562" s="354" t="n"/>
      <c r="N562" s="354" t="n"/>
      <c r="O562" s="354" t="n"/>
      <c r="P562" s="360" t="n"/>
      <c r="Q562" s="354" t="n"/>
      <c r="R562" s="354" t="n"/>
      <c r="S562" s="354" t="n"/>
      <c r="T562" s="354" t="n"/>
      <c r="U562" s="354" t="n"/>
      <c r="V562" s="354" t="n"/>
      <c r="W562" s="354" t="n"/>
      <c r="X562" s="354" t="n"/>
    </row>
    <row r="563" ht="15.5" customHeight="1" s="297">
      <c r="B563" s="352" t="n">
        <v>45544</v>
      </c>
      <c r="C563" s="353" t="n">
        <v>7</v>
      </c>
      <c r="D563" s="361" t="inlineStr">
        <is>
          <t>Gocar ( trip Instrutek solusindo - Bintaro)</t>
        </is>
      </c>
      <c r="E563" s="361" t="inlineStr">
        <is>
          <t>-</t>
        </is>
      </c>
      <c r="F563" s="355" t="n">
        <v>160000</v>
      </c>
      <c r="G563" s="354" t="inlineStr">
        <is>
          <t>IDR</t>
        </is>
      </c>
      <c r="H563" s="420" t="n">
        <v>1</v>
      </c>
      <c r="I563" s="358" t="n">
        <v>160000</v>
      </c>
      <c r="J563" s="354" t="n"/>
      <c r="K563" s="354" t="n"/>
      <c r="L563" s="354" t="n"/>
      <c r="M563" s="354" t="n"/>
      <c r="N563" s="354" t="n"/>
      <c r="O563" s="354" t="n"/>
      <c r="P563" s="360" t="n"/>
      <c r="Q563" s="354" t="n"/>
      <c r="R563" s="354" t="n"/>
      <c r="S563" s="354" t="n"/>
      <c r="T563" s="354" t="n"/>
      <c r="U563" s="354" t="n"/>
      <c r="V563" s="354" t="n"/>
      <c r="W563" s="354" t="n"/>
      <c r="X563" s="354" t="n"/>
    </row>
    <row r="564" ht="15.5" customHeight="1" s="297">
      <c r="B564" s="352" t="n">
        <v>45544</v>
      </c>
      <c r="C564" s="353" t="n">
        <v>8</v>
      </c>
      <c r="D564" s="361" t="inlineStr">
        <is>
          <t>Tol ( trip Bintaro - Instrutek solusindo) No reciept</t>
        </is>
      </c>
      <c r="E564" s="361" t="inlineStr">
        <is>
          <t>-</t>
        </is>
      </c>
      <c r="F564" s="355" t="n">
        <v>64500</v>
      </c>
      <c r="G564" s="354" t="inlineStr">
        <is>
          <t>IDR</t>
        </is>
      </c>
      <c r="H564" s="420" t="n">
        <v>1</v>
      </c>
      <c r="I564" s="358" t="n">
        <v>64500</v>
      </c>
      <c r="J564" s="354" t="n"/>
      <c r="K564" s="354" t="n"/>
      <c r="L564" s="354" t="n"/>
      <c r="M564" s="354" t="n"/>
      <c r="N564" s="354" t="n"/>
      <c r="O564" s="354" t="n"/>
      <c r="P564" s="360" t="n"/>
      <c r="Q564" s="354" t="n"/>
      <c r="R564" s="354" t="n"/>
      <c r="S564" s="354" t="n"/>
      <c r="T564" s="354" t="n"/>
      <c r="U564" s="354" t="n"/>
      <c r="V564" s="354" t="n"/>
      <c r="W564" s="354" t="n"/>
      <c r="X564" s="354" t="n"/>
    </row>
    <row r="565" ht="15.5" customHeight="1" s="297">
      <c r="B565" s="352" t="n">
        <v>45544</v>
      </c>
      <c r="C565" s="353" t="n">
        <v>9</v>
      </c>
      <c r="D565" s="361" t="inlineStr">
        <is>
          <t>Tol ( trip Instrutek solusindo - Bintaro) No Reciept</t>
        </is>
      </c>
      <c r="E565" s="361" t="inlineStr">
        <is>
          <t>-</t>
        </is>
      </c>
      <c r="F565" s="355" t="n">
        <v>64500</v>
      </c>
      <c r="G565" s="354" t="inlineStr">
        <is>
          <t>IDR</t>
        </is>
      </c>
      <c r="H565" s="420" t="n">
        <v>1</v>
      </c>
      <c r="I565" s="358" t="n">
        <v>64500</v>
      </c>
      <c r="J565" s="354" t="n"/>
      <c r="K565" s="354" t="n"/>
      <c r="L565" s="354" t="n"/>
      <c r="M565" s="354" t="n"/>
      <c r="N565" s="354" t="n"/>
      <c r="O565" s="354" t="n"/>
      <c r="P565" s="360" t="n"/>
      <c r="Q565" s="354" t="n"/>
      <c r="R565" s="354" t="n"/>
      <c r="S565" s="354" t="n"/>
      <c r="T565" s="354" t="n"/>
      <c r="U565" s="354" t="n"/>
      <c r="V565" s="354" t="n"/>
      <c r="W565" s="354" t="n"/>
      <c r="X565" s="354" t="n"/>
    </row>
    <row r="566" ht="15.5" customHeight="1" s="297">
      <c r="B566" s="352" t="n">
        <v>45545</v>
      </c>
      <c r="C566" s="353" t="n">
        <v>10</v>
      </c>
      <c r="D566" s="361" t="inlineStr">
        <is>
          <t>Fuel ( trip to Sclumberger Cikaranga,SIT seeting tool )</t>
        </is>
      </c>
      <c r="E566" s="361" t="inlineStr">
        <is>
          <t>-</t>
        </is>
      </c>
      <c r="F566" s="355" t="n">
        <v>232500</v>
      </c>
      <c r="G566" s="354" t="inlineStr">
        <is>
          <t>IDR</t>
        </is>
      </c>
      <c r="H566" s="420" t="n">
        <v>1</v>
      </c>
      <c r="I566" s="358" t="n">
        <v>232500</v>
      </c>
      <c r="J566" s="354" t="n"/>
      <c r="K566" s="354" t="n"/>
      <c r="L566" s="354" t="n"/>
      <c r="M566" s="354" t="n"/>
      <c r="N566" s="354" t="n"/>
      <c r="O566" s="354" t="n"/>
      <c r="P566" s="360" t="n"/>
      <c r="Q566" s="354" t="n"/>
      <c r="R566" s="354" t="n"/>
      <c r="S566" s="354" t="n"/>
      <c r="T566" s="354" t="n"/>
      <c r="U566" s="354" t="n"/>
      <c r="V566" s="354" t="n"/>
      <c r="W566" s="354" t="n"/>
      <c r="X566" s="354" t="n"/>
    </row>
    <row r="567" ht="15.5" customHeight="1" s="297">
      <c r="B567" s="352" t="n">
        <v>45545</v>
      </c>
      <c r="C567" s="353" t="n">
        <v>11</v>
      </c>
      <c r="D567" s="361" t="inlineStr">
        <is>
          <t>tol (Bintaro - Cikarang)</t>
        </is>
      </c>
      <c r="E567" s="361" t="inlineStr">
        <is>
          <t>-</t>
        </is>
      </c>
      <c r="F567" s="355" t="n">
        <v>112500</v>
      </c>
      <c r="G567" s="354" t="inlineStr">
        <is>
          <t>IDR</t>
        </is>
      </c>
      <c r="H567" s="420" t="n">
        <v>1</v>
      </c>
      <c r="I567" s="358" t="n">
        <v>112500</v>
      </c>
      <c r="J567" s="354" t="n"/>
      <c r="K567" s="354" t="n"/>
      <c r="L567" s="354" t="n"/>
      <c r="M567" s="354" t="n"/>
      <c r="N567" s="354" t="n"/>
      <c r="O567" s="354" t="n"/>
      <c r="P567" s="360" t="n"/>
      <c r="Q567" s="354" t="n"/>
      <c r="R567" s="354" t="n"/>
      <c r="S567" s="354" t="n"/>
      <c r="T567" s="354" t="n"/>
      <c r="U567" s="354" t="n"/>
      <c r="V567" s="354" t="n"/>
      <c r="W567" s="354" t="n"/>
      <c r="X567" s="354" t="n"/>
    </row>
    <row r="568" ht="15.5" customHeight="1" s="297">
      <c r="B568" s="352" t="n">
        <v>45545</v>
      </c>
      <c r="C568" s="353" t="n">
        <v>12</v>
      </c>
      <c r="D568" s="361" t="inlineStr">
        <is>
          <t>tol (Cikarang - Bekasi -Bintaro)</t>
        </is>
      </c>
      <c r="E568" s="361" t="inlineStr">
        <is>
          <t>-</t>
        </is>
      </c>
      <c r="F568" s="355" t="n">
        <v>50500</v>
      </c>
      <c r="G568" s="354" t="inlineStr">
        <is>
          <t>IDR</t>
        </is>
      </c>
      <c r="H568" s="420" t="n">
        <v>1</v>
      </c>
      <c r="I568" s="358" t="n">
        <v>50500</v>
      </c>
      <c r="J568" s="354" t="n"/>
      <c r="K568" s="354" t="n"/>
      <c r="L568" s="354" t="n"/>
      <c r="M568" s="354" t="n"/>
      <c r="N568" s="354" t="n"/>
      <c r="O568" s="354" t="n"/>
      <c r="P568" s="360" t="n"/>
      <c r="Q568" s="354" t="n"/>
      <c r="R568" s="354" t="n"/>
      <c r="S568" s="354" t="n"/>
      <c r="T568" s="354" t="n"/>
      <c r="U568" s="354" t="n"/>
      <c r="V568" s="354" t="n"/>
      <c r="W568" s="354" t="n"/>
      <c r="X568" s="354" t="n"/>
    </row>
    <row r="569" ht="15.5" customHeight="1" s="297">
      <c r="B569" s="352" t="n">
        <v>45546</v>
      </c>
      <c r="C569" s="353" t="n">
        <v>13</v>
      </c>
      <c r="D569" s="361" t="inlineStr">
        <is>
          <t>tol (Bintaro - Cinere)</t>
        </is>
      </c>
      <c r="E569" s="361" t="inlineStr">
        <is>
          <t>-</t>
        </is>
      </c>
      <c r="F569" s="355" t="n">
        <v>59000</v>
      </c>
      <c r="G569" s="354" t="inlineStr">
        <is>
          <t>IDR</t>
        </is>
      </c>
      <c r="H569" s="420" t="n">
        <v>1</v>
      </c>
      <c r="I569" s="358" t="n">
        <v>59000</v>
      </c>
      <c r="J569" s="354" t="n"/>
      <c r="K569" s="354" t="n"/>
      <c r="L569" s="354" t="n"/>
      <c r="M569" s="354" t="n"/>
      <c r="N569" s="354" t="n"/>
      <c r="O569" s="354" t="n"/>
      <c r="P569" s="360" t="n"/>
      <c r="Q569" s="354" t="n"/>
      <c r="R569" s="354" t="n"/>
      <c r="S569" s="354" t="n"/>
      <c r="T569" s="354" t="n"/>
      <c r="U569" s="354" t="n"/>
      <c r="V569" s="354" t="n"/>
      <c r="W569" s="354" t="n"/>
      <c r="X569" s="354" t="n"/>
    </row>
    <row r="570" ht="15.5" customHeight="1" s="297">
      <c r="B570" s="352" t="n">
        <v>45548</v>
      </c>
      <c r="C570" s="353" t="n">
        <v>14</v>
      </c>
      <c r="D570" s="361" t="inlineStr">
        <is>
          <t>Fuel ( trip to workshop Gowell &amp; ktr Pajak)</t>
        </is>
      </c>
      <c r="E570" s="361" t="inlineStr">
        <is>
          <t>-</t>
        </is>
      </c>
      <c r="F570" s="355" t="n">
        <v>256800</v>
      </c>
      <c r="G570" s="354" t="inlineStr">
        <is>
          <t>IDR</t>
        </is>
      </c>
      <c r="H570" s="420" t="n">
        <v>1</v>
      </c>
      <c r="I570" s="358" t="n">
        <v>256800</v>
      </c>
      <c r="J570" s="354" t="n"/>
      <c r="K570" s="354" t="n"/>
      <c r="L570" s="354" t="n"/>
      <c r="M570" s="354" t="n"/>
      <c r="N570" s="354" t="n"/>
      <c r="O570" s="354" t="n"/>
      <c r="P570" s="360" t="n"/>
      <c r="Q570" s="354" t="n"/>
      <c r="R570" s="354" t="n"/>
      <c r="S570" s="354" t="n"/>
      <c r="T570" s="354" t="n"/>
      <c r="U570" s="354" t="n"/>
      <c r="V570" s="354" t="n"/>
      <c r="W570" s="354" t="n"/>
      <c r="X570" s="354" t="n"/>
    </row>
    <row r="571" ht="15.5" customHeight="1" s="297">
      <c r="B571" s="342" t="n"/>
      <c r="C571" s="343" t="n"/>
      <c r="D571" s="365" t="inlineStr">
        <is>
          <t>Trip</t>
        </is>
      </c>
      <c r="E571" s="366" t="n"/>
      <c r="F571" s="346" t="n"/>
      <c r="G571" s="345" t="n"/>
      <c r="H571" s="345" t="n"/>
      <c r="I571" s="348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51" t="n"/>
      <c r="S571" s="351" t="n"/>
      <c r="T571" s="351" t="n"/>
      <c r="U571" s="351" t="n"/>
      <c r="V571" s="351" t="n"/>
      <c r="W571" s="351" t="n"/>
      <c r="X571" s="351" t="n"/>
    </row>
    <row r="572" ht="15.5" customHeight="1" s="297">
      <c r="B572" s="443" t="n">
        <v>45552</v>
      </c>
      <c r="C572" s="443" t="n">
        <v>15</v>
      </c>
      <c r="D572" s="443" t="inlineStr">
        <is>
          <t>Tol  Jakarta - Cirebon</t>
        </is>
      </c>
      <c r="E572" s="443" t="inlineStr">
        <is>
          <t>-</t>
        </is>
      </c>
      <c r="F572" s="355" t="n">
        <v>245000</v>
      </c>
      <c r="G572" s="354" t="inlineStr">
        <is>
          <t>IDR</t>
        </is>
      </c>
      <c r="H572" s="420" t="n">
        <v>1</v>
      </c>
      <c r="I572" s="363" t="n">
        <v>245000</v>
      </c>
      <c r="J572" s="354" t="n"/>
      <c r="K572" s="354" t="n"/>
      <c r="L572" s="354" t="n"/>
      <c r="M572" s="354" t="n"/>
      <c r="N572" s="354" t="n"/>
      <c r="O572" s="354" t="n"/>
      <c r="P572" s="354" t="n"/>
      <c r="Q572" s="354" t="n"/>
      <c r="R572" s="354" t="n"/>
      <c r="S572" s="354" t="n"/>
      <c r="T572" s="354" t="n"/>
      <c r="U572" s="354" t="n"/>
      <c r="V572" s="354" t="n"/>
      <c r="W572" s="354" t="n"/>
      <c r="X572" s="354" t="n"/>
    </row>
    <row r="573" ht="15.5" customHeight="1" s="297">
      <c r="B573" s="369" t="n">
        <v>45552</v>
      </c>
      <c r="C573" s="353" t="n">
        <v>16</v>
      </c>
      <c r="D573" s="361" t="inlineStr">
        <is>
          <t>Fuel</t>
        </is>
      </c>
      <c r="E573" s="361" t="inlineStr">
        <is>
          <t>-</t>
        </is>
      </c>
      <c r="F573" s="355" t="n">
        <v>180000</v>
      </c>
      <c r="G573" s="354" t="inlineStr">
        <is>
          <t>IDR</t>
        </is>
      </c>
      <c r="H573" s="420" t="n">
        <v>1</v>
      </c>
      <c r="I573" s="358" t="n">
        <v>180000</v>
      </c>
      <c r="J573" s="354" t="n"/>
      <c r="K573" s="354" t="n"/>
      <c r="L573" s="354" t="n"/>
      <c r="M573" s="354" t="n"/>
      <c r="N573" s="354" t="n"/>
      <c r="O573" s="354" t="n"/>
      <c r="P573" s="354" t="n"/>
      <c r="Q573" s="354" t="n"/>
      <c r="R573" s="354" t="n"/>
      <c r="S573" s="354" t="n"/>
      <c r="T573" s="354" t="n"/>
      <c r="U573" s="354" t="n"/>
      <c r="V573" s="354" t="n"/>
      <c r="W573" s="354" t="n"/>
      <c r="X573" s="354" t="n"/>
    </row>
    <row r="574" ht="15.5" customHeight="1" s="297">
      <c r="B574" s="369" t="n">
        <v>45553</v>
      </c>
      <c r="C574" s="353" t="n">
        <v>17</v>
      </c>
      <c r="D574" s="361" t="inlineStr">
        <is>
          <t>Tol  Cirebon - Jakarta</t>
        </is>
      </c>
      <c r="E574" s="361" t="inlineStr">
        <is>
          <t>-</t>
        </is>
      </c>
      <c r="F574" s="355" t="n">
        <v>166000</v>
      </c>
      <c r="G574" s="354" t="inlineStr">
        <is>
          <t>IDR</t>
        </is>
      </c>
      <c r="H574" s="420" t="n">
        <v>1</v>
      </c>
      <c r="I574" s="358" t="n">
        <v>166000</v>
      </c>
      <c r="J574" s="354" t="n"/>
      <c r="K574" s="354" t="n"/>
      <c r="L574" s="354" t="n"/>
      <c r="M574" s="354" t="n"/>
      <c r="N574" s="354" t="n"/>
      <c r="O574" s="354" t="n"/>
      <c r="P574" s="354" t="n"/>
      <c r="Q574" s="354" t="n"/>
      <c r="R574" s="354" t="n"/>
      <c r="S574" s="354" t="n"/>
      <c r="T574" s="354" t="n"/>
      <c r="U574" s="354" t="n"/>
      <c r="V574" s="354" t="n"/>
      <c r="W574" s="354" t="n"/>
      <c r="X574" s="354" t="n"/>
    </row>
    <row r="575" ht="15.5" customHeight="1" s="297">
      <c r="B575" s="369" t="n">
        <v>45553</v>
      </c>
      <c r="C575" s="353" t="n">
        <v>18</v>
      </c>
      <c r="D575" s="361" t="inlineStr">
        <is>
          <t>Fuel</t>
        </is>
      </c>
      <c r="E575" s="361" t="inlineStr">
        <is>
          <t>-</t>
        </is>
      </c>
      <c r="F575" s="355" t="n">
        <v>222650</v>
      </c>
      <c r="G575" s="354" t="inlineStr">
        <is>
          <t>IDR</t>
        </is>
      </c>
      <c r="H575" s="420" t="n">
        <v>1</v>
      </c>
      <c r="I575" s="358" t="n">
        <v>222650</v>
      </c>
      <c r="J575" s="354" t="n"/>
      <c r="K575" s="354" t="n"/>
      <c r="L575" s="354" t="n"/>
      <c r="M575" s="354" t="n"/>
      <c r="N575" s="354" t="n"/>
      <c r="O575" s="354" t="n"/>
      <c r="P575" s="354" t="n"/>
      <c r="Q575" s="354" t="n"/>
      <c r="R575" s="354" t="n"/>
      <c r="S575" s="354" t="n"/>
      <c r="T575" s="354" t="n"/>
      <c r="U575" s="354" t="n"/>
      <c r="V575" s="354" t="n"/>
      <c r="W575" s="354" t="n"/>
      <c r="X575" s="354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3" t="n"/>
      <c r="D577" s="365" t="inlineStr">
        <is>
          <t>Medical</t>
        </is>
      </c>
      <c r="E577" s="409" t="n"/>
      <c r="F577" s="346" t="n"/>
      <c r="G577" s="345" t="n"/>
      <c r="H577" s="345" t="n"/>
      <c r="I577" s="350" t="n"/>
      <c r="J577" s="350" t="n"/>
      <c r="K577" s="350" t="n"/>
      <c r="L577" s="350" t="n"/>
      <c r="M577" s="350" t="n"/>
      <c r="N577" s="350" t="n"/>
      <c r="O577" s="350" t="n"/>
      <c r="P577" s="349" t="n"/>
      <c r="Q577" s="350" t="n"/>
      <c r="R577" s="351" t="n"/>
      <c r="S577" s="351" t="n"/>
      <c r="T577" s="351" t="n"/>
      <c r="U577" s="351" t="n"/>
      <c r="V577" s="351" t="n"/>
      <c r="W577" s="351" t="n"/>
      <c r="X577" s="351" t="n"/>
    </row>
    <row r="578" ht="15.5" customHeight="1" s="297">
      <c r="B578" s="369" t="n">
        <v>45528</v>
      </c>
      <c r="C578" s="353" t="n">
        <v>1</v>
      </c>
      <c r="D578" s="361" t="inlineStr">
        <is>
          <t>Medicine</t>
        </is>
      </c>
      <c r="E578" s="361" t="inlineStr">
        <is>
          <t>-</t>
        </is>
      </c>
      <c r="F578" s="355" t="n">
        <v>36000</v>
      </c>
      <c r="G578" s="354" t="inlineStr">
        <is>
          <t>IDR</t>
        </is>
      </c>
      <c r="H578" s="420" t="n">
        <v>1</v>
      </c>
      <c r="I578" s="360" t="n"/>
      <c r="J578" s="354" t="n"/>
      <c r="K578" s="354" t="n"/>
      <c r="L578" s="354" t="n"/>
      <c r="M578" s="354" t="n"/>
      <c r="N578" s="354" t="n"/>
      <c r="O578" s="354" t="n"/>
      <c r="P578" s="363" t="n">
        <v>36000</v>
      </c>
      <c r="Q578" s="354" t="n"/>
      <c r="R578" s="354" t="n"/>
      <c r="S578" s="354" t="n"/>
      <c r="T578" s="354" t="n"/>
      <c r="U578" s="354" t="n"/>
      <c r="V578" s="354" t="n"/>
      <c r="W578" s="354" t="n"/>
      <c r="X578" s="354" t="n"/>
    </row>
    <row r="579" ht="15.5" customHeight="1" s="297">
      <c r="B579" s="369" t="n">
        <v>45530</v>
      </c>
      <c r="C579" s="353" t="n">
        <v>2</v>
      </c>
      <c r="D579" s="361" t="inlineStr">
        <is>
          <t>Biaya Konsul Dokter Penyakit dalam</t>
        </is>
      </c>
      <c r="E579" s="361" t="inlineStr">
        <is>
          <t>-</t>
        </is>
      </c>
      <c r="F579" s="355" t="n">
        <v>854100</v>
      </c>
      <c r="G579" s="354" t="inlineStr">
        <is>
          <t>IDR</t>
        </is>
      </c>
      <c r="H579" s="420" t="n">
        <v>1</v>
      </c>
      <c r="I579" s="360" t="n"/>
      <c r="J579" s="354" t="n"/>
      <c r="K579" s="354" t="n"/>
      <c r="L579" s="354" t="n"/>
      <c r="M579" s="354" t="n"/>
      <c r="N579" s="354" t="n"/>
      <c r="O579" s="354" t="n"/>
      <c r="P579" s="363" t="n">
        <v>854100</v>
      </c>
      <c r="Q579" s="354" t="n"/>
      <c r="R579" s="354" t="n"/>
      <c r="S579" s="354" t="n"/>
      <c r="T579" s="354" t="n"/>
      <c r="U579" s="354" t="n"/>
      <c r="V579" s="354" t="n"/>
      <c r="W579" s="354" t="n"/>
      <c r="X579" s="354" t="n"/>
    </row>
    <row r="580" ht="15.5" customHeight="1" s="297">
      <c r="B580" s="369" t="n">
        <v>45532</v>
      </c>
      <c r="C580" s="353" t="n">
        <v>3</v>
      </c>
      <c r="D580" s="361" t="inlineStr">
        <is>
          <t>Fisioterapi 1st</t>
        </is>
      </c>
      <c r="E580" s="361" t="inlineStr">
        <is>
          <t>-</t>
        </is>
      </c>
      <c r="F580" s="355" t="n">
        <v>285000</v>
      </c>
      <c r="G580" s="354" t="inlineStr">
        <is>
          <t>IDR</t>
        </is>
      </c>
      <c r="H580" s="420" t="n">
        <v>1</v>
      </c>
      <c r="I580" s="354" t="n"/>
      <c r="J580" s="354" t="n"/>
      <c r="K580" s="354" t="n"/>
      <c r="L580" s="354" t="n"/>
      <c r="M580" s="354" t="n"/>
      <c r="N580" s="354" t="n"/>
      <c r="O580" s="354" t="n"/>
      <c r="P580" s="363" t="n">
        <v>285000</v>
      </c>
      <c r="Q580" s="354" t="n"/>
      <c r="R580" s="354" t="n"/>
      <c r="S580" s="354" t="n"/>
      <c r="T580" s="354" t="n"/>
      <c r="U580" s="354" t="n"/>
      <c r="V580" s="354" t="n"/>
      <c r="W580" s="354" t="n"/>
      <c r="X580" s="354" t="n"/>
    </row>
    <row r="581" ht="15.5" customHeight="1" s="297">
      <c r="B581" s="352" t="n">
        <v>45533</v>
      </c>
      <c r="C581" s="353" t="n">
        <v>4</v>
      </c>
      <c r="D581" s="361" t="inlineStr">
        <is>
          <t>Fisioterapi 2nd</t>
        </is>
      </c>
      <c r="E581" s="361" t="inlineStr">
        <is>
          <t>-</t>
        </is>
      </c>
      <c r="F581" s="355" t="n">
        <v>285000</v>
      </c>
      <c r="G581" s="354" t="inlineStr">
        <is>
          <t>IDR</t>
        </is>
      </c>
      <c r="H581" s="420" t="n">
        <v>1</v>
      </c>
      <c r="I581" s="360" t="n"/>
      <c r="J581" s="354" t="n"/>
      <c r="K581" s="354" t="n"/>
      <c r="L581" s="354" t="n"/>
      <c r="M581" s="354" t="n"/>
      <c r="N581" s="354" t="n"/>
      <c r="O581" s="354" t="n"/>
      <c r="P581" s="363" t="n">
        <v>285000</v>
      </c>
      <c r="Q581" s="354" t="n"/>
      <c r="R581" s="354" t="n"/>
      <c r="S581" s="354" t="n"/>
      <c r="T581" s="354" t="n"/>
      <c r="U581" s="354" t="n"/>
      <c r="V581" s="354" t="n"/>
      <c r="W581" s="354" t="n"/>
      <c r="X581" s="354" t="n"/>
    </row>
    <row r="582" ht="15.5" customHeight="1" s="297">
      <c r="B582" s="369" t="n">
        <v>45534</v>
      </c>
      <c r="C582" s="353" t="n">
        <v>5</v>
      </c>
      <c r="D582" s="361" t="inlineStr">
        <is>
          <t>Fisioterapi 3rd</t>
        </is>
      </c>
      <c r="E582" s="361" t="inlineStr">
        <is>
          <t>-</t>
        </is>
      </c>
      <c r="F582" s="355" t="n">
        <v>285000</v>
      </c>
      <c r="G582" s="354" t="inlineStr">
        <is>
          <t>IDR</t>
        </is>
      </c>
      <c r="H582" s="420" t="n">
        <v>1</v>
      </c>
      <c r="I582" s="360" t="n"/>
      <c r="J582" s="354" t="n"/>
      <c r="K582" s="354" t="n"/>
      <c r="L582" s="354" t="n"/>
      <c r="M582" s="354" t="n"/>
      <c r="N582" s="354" t="n"/>
      <c r="O582" s="354" t="n"/>
      <c r="P582" s="363" t="n">
        <v>285000</v>
      </c>
      <c r="Q582" s="354" t="n"/>
      <c r="R582" s="354" t="n"/>
      <c r="S582" s="354" t="n"/>
      <c r="T582" s="354" t="n"/>
      <c r="U582" s="354" t="n"/>
      <c r="V582" s="354" t="n"/>
      <c r="W582" s="354" t="n"/>
      <c r="X582" s="354" t="n"/>
    </row>
    <row r="583" ht="15.5" customHeight="1" s="297">
      <c r="B583" s="382" t="n">
        <v>45536</v>
      </c>
      <c r="C583" s="353" t="n">
        <v>6</v>
      </c>
      <c r="D583" s="383" t="inlineStr">
        <is>
          <t>medicine</t>
        </is>
      </c>
      <c r="E583" s="383" t="inlineStr">
        <is>
          <t>-</t>
        </is>
      </c>
      <c r="F583" s="363" t="n">
        <v>45000</v>
      </c>
      <c r="G583" s="353" t="inlineStr">
        <is>
          <t>IDR</t>
        </is>
      </c>
      <c r="H583" s="381" t="n">
        <v>1</v>
      </c>
      <c r="I583" s="354" t="n"/>
      <c r="J583" s="354" t="n"/>
      <c r="K583" s="354" t="n"/>
      <c r="L583" s="354" t="n"/>
      <c r="M583" s="354" t="n"/>
      <c r="N583" s="354" t="n"/>
      <c r="O583" s="354" t="n"/>
      <c r="P583" s="363" t="n">
        <v>45000</v>
      </c>
      <c r="Q583" s="354" t="n"/>
      <c r="R583" s="354" t="n"/>
      <c r="S583" s="354" t="n"/>
      <c r="T583" s="354" t="n"/>
      <c r="U583" s="354" t="n"/>
      <c r="V583" s="354" t="n"/>
      <c r="W583" s="354" t="n"/>
      <c r="X583" s="354" t="n"/>
    </row>
    <row r="584" ht="15.5" customHeight="1" s="297">
      <c r="B584" s="352" t="n">
        <v>45537</v>
      </c>
      <c r="C584" s="353" t="n">
        <v>7</v>
      </c>
      <c r="D584" s="354" t="inlineStr">
        <is>
          <t>Biaya Konsul Dokter Syaraf</t>
        </is>
      </c>
      <c r="E584" s="354" t="inlineStr">
        <is>
          <t>-</t>
        </is>
      </c>
      <c r="F584" s="355" t="n">
        <v>2906650</v>
      </c>
      <c r="G584" s="353" t="inlineStr">
        <is>
          <t>IDR</t>
        </is>
      </c>
      <c r="H584" s="381" t="n">
        <v>1</v>
      </c>
      <c r="I584" s="354" t="n"/>
      <c r="J584" s="354" t="n"/>
      <c r="K584" s="354" t="n"/>
      <c r="L584" s="354" t="n"/>
      <c r="M584" s="354" t="n"/>
      <c r="N584" s="354" t="n"/>
      <c r="O584" s="354" t="n"/>
      <c r="P584" s="363" t="n">
        <v>2906650</v>
      </c>
      <c r="Q584" s="354" t="n"/>
      <c r="R584" s="354" t="n"/>
      <c r="S584" s="354" t="n"/>
      <c r="T584" s="354" t="n"/>
      <c r="U584" s="354" t="n"/>
      <c r="V584" s="354" t="n"/>
      <c r="W584" s="354" t="n"/>
      <c r="X584" s="354" t="n"/>
    </row>
    <row r="585" ht="15.5" customHeight="1" s="297">
      <c r="B585" s="352" t="n">
        <v>45547</v>
      </c>
      <c r="C585" s="353" t="n">
        <v>8</v>
      </c>
      <c r="D585" s="354" t="inlineStr">
        <is>
          <t>Medicine</t>
        </is>
      </c>
      <c r="E585" s="354" t="inlineStr">
        <is>
          <t>-</t>
        </is>
      </c>
      <c r="F585" s="355" t="n">
        <v>241100</v>
      </c>
      <c r="G585" s="353" t="inlineStr">
        <is>
          <t>IDR</t>
        </is>
      </c>
      <c r="H585" s="381" t="n">
        <v>1</v>
      </c>
      <c r="I585" s="354" t="n"/>
      <c r="J585" s="354" t="n"/>
      <c r="K585" s="354" t="n"/>
      <c r="L585" s="354" t="n"/>
      <c r="M585" s="354" t="n"/>
      <c r="N585" s="354" t="n"/>
      <c r="O585" s="354" t="n"/>
      <c r="P585" s="363" t="n">
        <v>241100</v>
      </c>
      <c r="Q585" s="354" t="n"/>
      <c r="R585" s="354" t="n"/>
      <c r="S585" s="354" t="n"/>
      <c r="T585" s="354" t="n"/>
      <c r="U585" s="354" t="n"/>
      <c r="V585" s="354" t="n"/>
      <c r="W585" s="354" t="n"/>
      <c r="X585" s="354" t="n"/>
    </row>
    <row r="586" ht="15.5" customHeight="1" s="297">
      <c r="B586" s="352" t="n">
        <v>45566</v>
      </c>
      <c r="C586" s="353" t="n">
        <v>9</v>
      </c>
      <c r="D586" s="354" t="inlineStr">
        <is>
          <t>Biaya Konsul ke 2, Dokter Jantung</t>
        </is>
      </c>
      <c r="E586" s="354" t="inlineStr">
        <is>
          <t>-</t>
        </is>
      </c>
      <c r="F586" s="355" t="n">
        <v>1370000</v>
      </c>
      <c r="G586" s="353" t="inlineStr">
        <is>
          <t>IDR</t>
        </is>
      </c>
      <c r="H586" s="381" t="n">
        <v>1</v>
      </c>
      <c r="I586" s="354" t="n"/>
      <c r="J586" s="354" t="n"/>
      <c r="K586" s="354" t="n"/>
      <c r="L586" s="354" t="n"/>
      <c r="M586" s="354" t="n"/>
      <c r="N586" s="354" t="n"/>
      <c r="O586" s="354" t="n"/>
      <c r="P586" s="363" t="n">
        <v>1370000</v>
      </c>
      <c r="Q586" s="354" t="n"/>
      <c r="R586" s="354" t="n"/>
      <c r="S586" s="354" t="n"/>
      <c r="T586" s="354" t="n"/>
      <c r="U586" s="354" t="n"/>
      <c r="V586" s="354" t="n"/>
      <c r="W586" s="354" t="n"/>
      <c r="X586" s="354" t="n"/>
    </row>
    <row r="587" ht="15.5" customHeight="1" s="297">
      <c r="B587" s="342" t="n"/>
      <c r="C587" s="343" t="n"/>
      <c r="D587" s="344" t="inlineStr">
        <is>
          <t>Shipping</t>
        </is>
      </c>
      <c r="E587" s="345" t="n"/>
      <c r="F587" s="346" t="n"/>
      <c r="G587" s="343" t="n"/>
      <c r="H587" s="343" t="n"/>
      <c r="I587" s="350" t="n"/>
      <c r="J587" s="350" t="n"/>
      <c r="K587" s="350" t="n"/>
      <c r="L587" s="350" t="n"/>
      <c r="M587" s="350" t="n"/>
      <c r="N587" s="350" t="n"/>
      <c r="O587" s="350" t="n"/>
      <c r="P587" s="349" t="n"/>
      <c r="Q587" s="350" t="n"/>
      <c r="R587" s="351" t="n"/>
      <c r="S587" s="351" t="n"/>
      <c r="T587" s="351" t="n"/>
      <c r="U587" s="351" t="n"/>
      <c r="V587" s="351" t="n"/>
      <c r="W587" s="351" t="n"/>
      <c r="X587" s="351" t="n"/>
    </row>
    <row r="588" ht="15.5" customHeight="1" s="297">
      <c r="B588" s="352" t="n">
        <v>45436</v>
      </c>
      <c r="C588" s="353" t="n">
        <v>10</v>
      </c>
      <c r="D588" s="354" t="inlineStr">
        <is>
          <t>Buy lag ban 2 ea</t>
        </is>
      </c>
      <c r="E588" s="354" t="inlineStr">
        <is>
          <t>-</t>
        </is>
      </c>
      <c r="F588" s="355" t="n">
        <v>25000</v>
      </c>
      <c r="G588" s="353" t="inlineStr">
        <is>
          <t>IDR</t>
        </is>
      </c>
      <c r="H588" s="381" t="n">
        <v>1</v>
      </c>
      <c r="I588" s="363" t="n">
        <v>25000</v>
      </c>
      <c r="J588" s="354" t="n"/>
      <c r="K588" s="354" t="n"/>
      <c r="L588" s="354" t="n"/>
      <c r="M588" s="354" t="n"/>
      <c r="N588" s="354" t="n"/>
      <c r="O588" s="354" t="n"/>
      <c r="P588" s="360" t="n"/>
      <c r="Q588" s="354" t="n"/>
      <c r="R588" s="354" t="n"/>
      <c r="S588" s="354" t="n"/>
      <c r="T588" s="354" t="n"/>
      <c r="U588" s="354" t="n"/>
      <c r="V588" s="354" t="n"/>
      <c r="W588" s="354" t="n"/>
      <c r="X588" s="354" t="n"/>
    </row>
    <row r="589" ht="15.5" customHeight="1" s="297">
      <c r="B589" s="352" t="n">
        <v>45520</v>
      </c>
      <c r="C589" s="353" t="n">
        <v>11</v>
      </c>
      <c r="D589" s="354" t="inlineStr">
        <is>
          <t>Pengiriman dokumen ke Yulia - LBU</t>
        </is>
      </c>
      <c r="E589" s="354" t="inlineStr">
        <is>
          <t>-</t>
        </is>
      </c>
      <c r="F589" s="355" t="n">
        <v>18000</v>
      </c>
      <c r="G589" s="353" t="inlineStr">
        <is>
          <t>IDR</t>
        </is>
      </c>
      <c r="H589" s="381" t="n">
        <v>1</v>
      </c>
      <c r="I589" s="363" t="n">
        <v>18000</v>
      </c>
      <c r="J589" s="354" t="n"/>
      <c r="K589" s="354" t="n"/>
      <c r="L589" s="354" t="n"/>
      <c r="M589" s="354" t="n"/>
      <c r="N589" s="354" t="n"/>
      <c r="O589" s="354" t="n"/>
      <c r="P589" s="360" t="n"/>
      <c r="Q589" s="354" t="n"/>
      <c r="R589" s="354" t="n"/>
      <c r="S589" s="354" t="n"/>
      <c r="T589" s="354" t="n"/>
      <c r="U589" s="354" t="n"/>
      <c r="V589" s="354" t="n"/>
      <c r="W589" s="354" t="n"/>
      <c r="X589" s="354" t="n"/>
    </row>
    <row r="590" ht="15.5" customHeight="1" s="297">
      <c r="B590" s="352" t="n">
        <v>45530</v>
      </c>
      <c r="C590" s="353" t="n">
        <v>12</v>
      </c>
      <c r="D590" s="354" t="inlineStr">
        <is>
          <t>printing di snappy</t>
        </is>
      </c>
      <c r="E590" s="354" t="inlineStr">
        <is>
          <t>-</t>
        </is>
      </c>
      <c r="F590" s="355" t="n">
        <v>31000</v>
      </c>
      <c r="G590" s="353" t="inlineStr">
        <is>
          <t>IDR</t>
        </is>
      </c>
      <c r="H590" s="381" t="n">
        <v>1</v>
      </c>
      <c r="I590" s="363" t="n">
        <v>31000</v>
      </c>
      <c r="J590" s="354" t="n"/>
      <c r="K590" s="354" t="n"/>
      <c r="L590" s="354" t="n"/>
      <c r="M590" s="354" t="n"/>
      <c r="N590" s="354" t="n"/>
      <c r="O590" s="354" t="n"/>
      <c r="P590" s="360" t="n"/>
      <c r="Q590" s="354" t="n"/>
      <c r="R590" s="354" t="n"/>
      <c r="S590" s="354" t="n"/>
      <c r="T590" s="354" t="n"/>
      <c r="U590" s="354" t="n"/>
      <c r="V590" s="354" t="n"/>
      <c r="W590" s="354" t="n"/>
      <c r="X590" s="354" t="n"/>
    </row>
    <row r="591" ht="15.5" customHeight="1" s="297">
      <c r="B591" s="352" t="n">
        <v>45537</v>
      </c>
      <c r="C591" s="353" t="n">
        <v>13</v>
      </c>
      <c r="D591" s="354" t="inlineStr">
        <is>
          <t>Pengiriman dokumen ke Yufitri</t>
        </is>
      </c>
      <c r="E591" s="354" t="inlineStr">
        <is>
          <t>-</t>
        </is>
      </c>
      <c r="F591" s="355" t="n">
        <v>10000</v>
      </c>
      <c r="G591" s="353" t="inlineStr">
        <is>
          <t>IDR</t>
        </is>
      </c>
      <c r="H591" s="381" t="n">
        <v>1</v>
      </c>
      <c r="I591" s="363" t="n">
        <v>10000</v>
      </c>
      <c r="J591" s="354" t="n"/>
      <c r="K591" s="354" t="n"/>
      <c r="L591" s="354" t="n"/>
      <c r="M591" s="354" t="n"/>
      <c r="N591" s="354" t="n"/>
      <c r="O591" s="354" t="n"/>
      <c r="P591" s="360" t="n"/>
      <c r="Q591" s="354" t="n"/>
      <c r="R591" s="354" t="n"/>
      <c r="S591" s="354" t="n"/>
      <c r="T591" s="354" t="n"/>
      <c r="U591" s="354" t="n"/>
      <c r="V591" s="354" t="n"/>
      <c r="W591" s="354" t="n"/>
      <c r="X591" s="354" t="n"/>
    </row>
    <row r="592" ht="15.5" customHeight="1" s="297">
      <c r="B592" s="352" t="n">
        <v>45537</v>
      </c>
      <c r="C592" s="353" t="n">
        <v>14</v>
      </c>
      <c r="D592" s="354" t="inlineStr">
        <is>
          <t>Pengiriman dokumen ke Rachmansyah-Sijak</t>
        </is>
      </c>
      <c r="E592" s="354" t="inlineStr">
        <is>
          <t>-</t>
        </is>
      </c>
      <c r="F592" s="355" t="n">
        <v>18000</v>
      </c>
      <c r="G592" s="353" t="inlineStr">
        <is>
          <t>IDR</t>
        </is>
      </c>
      <c r="H592" s="381" t="n">
        <v>1</v>
      </c>
      <c r="I592" s="363" t="n">
        <v>18000</v>
      </c>
      <c r="J592" s="354" t="n"/>
      <c r="K592" s="354" t="n"/>
      <c r="L592" s="354" t="n"/>
      <c r="M592" s="354" t="n"/>
      <c r="N592" s="354" t="n"/>
      <c r="O592" s="354" t="n"/>
      <c r="P592" s="360" t="n"/>
      <c r="Q592" s="354" t="n"/>
      <c r="R592" s="354" t="n"/>
      <c r="S592" s="354" t="n"/>
      <c r="T592" s="354" t="n"/>
      <c r="U592" s="354" t="n"/>
      <c r="V592" s="354" t="n"/>
      <c r="W592" s="354" t="n"/>
      <c r="X592" s="354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3" t="n"/>
      <c r="D594" s="344" t="inlineStr">
        <is>
          <t>Accommodation</t>
        </is>
      </c>
      <c r="E594" s="407" t="n"/>
      <c r="F594" s="346" t="n"/>
      <c r="G594" s="343" t="n"/>
      <c r="H594" s="343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51" t="n"/>
      <c r="S594" s="351" t="n"/>
      <c r="T594" s="351" t="n"/>
      <c r="U594" s="351" t="n"/>
      <c r="V594" s="351" t="n"/>
      <c r="W594" s="351" t="n"/>
      <c r="X594" s="351" t="n"/>
    </row>
    <row r="595" ht="15.5" customHeight="1" s="297">
      <c r="B595" s="369" t="n">
        <v>45558</v>
      </c>
      <c r="C595" s="353" t="n">
        <v>1</v>
      </c>
      <c r="D595" s="361" t="inlineStr">
        <is>
          <t>Hotel 23 Sept - 26 Sept (3 days)</t>
        </is>
      </c>
      <c r="E595" s="361" t="inlineStr">
        <is>
          <t>-</t>
        </is>
      </c>
      <c r="F595" s="355" t="n">
        <v>1584184</v>
      </c>
      <c r="G595" s="353" t="inlineStr">
        <is>
          <t>IDR</t>
        </is>
      </c>
      <c r="H595" s="381" t="n">
        <v>1</v>
      </c>
      <c r="I595" s="358" t="n">
        <v>1584184</v>
      </c>
      <c r="J595" s="354" t="n"/>
      <c r="K595" s="354" t="n"/>
      <c r="L595" s="354" t="n"/>
      <c r="M595" s="354" t="n"/>
      <c r="N595" s="354" t="n"/>
      <c r="O595" s="354" t="n"/>
      <c r="P595" s="354" t="n"/>
      <c r="Q595" s="354" t="n"/>
      <c r="R595" s="354" t="n"/>
      <c r="S595" s="354" t="n"/>
      <c r="T595" s="354" t="n"/>
      <c r="U595" s="354" t="n"/>
      <c r="V595" s="354" t="n"/>
      <c r="W595" s="354" t="n"/>
      <c r="X595" s="354" t="n"/>
    </row>
    <row r="596" ht="15.5" customHeight="1" s="297">
      <c r="B596" s="369" t="n">
        <v>45558</v>
      </c>
      <c r="C596" s="353" t="n">
        <v>2</v>
      </c>
      <c r="D596" s="361" t="inlineStr">
        <is>
          <t>Laundry 6 days 1 Persons @ 50K IDR/day</t>
        </is>
      </c>
      <c r="E596" s="361" t="inlineStr">
        <is>
          <t>-</t>
        </is>
      </c>
      <c r="F596" s="355" t="n">
        <v>250000</v>
      </c>
      <c r="G596" s="353" t="inlineStr">
        <is>
          <t>IDR</t>
        </is>
      </c>
      <c r="H596" s="381" t="n">
        <v>1</v>
      </c>
      <c r="I596" s="358" t="n">
        <v>250000</v>
      </c>
      <c r="J596" s="354" t="n"/>
      <c r="K596" s="354" t="n"/>
      <c r="L596" s="354" t="n"/>
      <c r="M596" s="354" t="n"/>
      <c r="N596" s="354" t="n"/>
      <c r="O596" s="354" t="n"/>
      <c r="P596" s="354" t="n"/>
      <c r="Q596" s="354" t="n"/>
      <c r="R596" s="354" t="n"/>
      <c r="S596" s="354" t="n"/>
      <c r="T596" s="354" t="n"/>
      <c r="U596" s="354" t="n"/>
      <c r="V596" s="354" t="n"/>
      <c r="W596" s="354" t="n"/>
      <c r="X596" s="354" t="n"/>
    </row>
    <row r="597" ht="15.5" customHeight="1" s="297">
      <c r="B597" s="384" t="n"/>
      <c r="C597" s="343" t="n"/>
      <c r="D597" s="365" t="inlineStr">
        <is>
          <t>Allowance</t>
        </is>
      </c>
      <c r="E597" s="366" t="n"/>
      <c r="F597" s="346" t="n"/>
      <c r="G597" s="343" t="n"/>
      <c r="H597" s="343" t="n"/>
      <c r="I597" s="348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51" t="n"/>
      <c r="S597" s="351" t="n"/>
      <c r="T597" s="351" t="n"/>
      <c r="U597" s="351" t="n"/>
      <c r="V597" s="351" t="n"/>
      <c r="W597" s="351" t="n"/>
      <c r="X597" s="351" t="n"/>
    </row>
    <row r="598" ht="15.5" customHeight="1" s="297">
      <c r="B598" s="369" t="n">
        <v>45558</v>
      </c>
      <c r="C598" s="353" t="n">
        <v>3</v>
      </c>
      <c r="D598" s="361" t="inlineStr">
        <is>
          <t>Field Allowance</t>
        </is>
      </c>
      <c r="E598" s="361" t="inlineStr">
        <is>
          <t>-</t>
        </is>
      </c>
      <c r="F598" s="355" t="n">
        <v>7615500</v>
      </c>
      <c r="G598" s="353" t="inlineStr">
        <is>
          <t>USD</t>
        </is>
      </c>
      <c r="H598" s="381" t="n">
        <v>15231</v>
      </c>
      <c r="I598" s="358" t="n">
        <v>7615500</v>
      </c>
      <c r="J598" s="354" t="n"/>
      <c r="K598" s="354" t="n"/>
      <c r="L598" s="354" t="n"/>
      <c r="M598" s="354" t="n"/>
      <c r="N598" s="354" t="n"/>
      <c r="O598" s="354" t="n"/>
      <c r="P598" s="354" t="n"/>
      <c r="Q598" s="354" t="n"/>
      <c r="R598" s="354" t="n"/>
      <c r="S598" s="354" t="n"/>
      <c r="T598" s="354" t="n"/>
      <c r="U598" s="354" t="n"/>
      <c r="V598" s="354" t="n"/>
      <c r="W598" s="354" t="n"/>
      <c r="X598" s="354" t="n"/>
    </row>
    <row r="599" ht="15.5" customHeight="1" s="297">
      <c r="B599" s="369" t="n">
        <v>45558</v>
      </c>
      <c r="C599" s="353" t="n">
        <v>4</v>
      </c>
      <c r="D599" s="361" t="inlineStr">
        <is>
          <t>Meals</t>
        </is>
      </c>
      <c r="E599" s="361" t="inlineStr">
        <is>
          <t>-</t>
        </is>
      </c>
      <c r="F599" s="355" t="n">
        <v>750000</v>
      </c>
      <c r="G599" s="353" t="inlineStr">
        <is>
          <t>IDR</t>
        </is>
      </c>
      <c r="H599" s="381" t="n">
        <v>1</v>
      </c>
      <c r="I599" s="358" t="n">
        <v>750000</v>
      </c>
      <c r="J599" s="354" t="n"/>
      <c r="K599" s="354" t="n"/>
      <c r="L599" s="354" t="n"/>
      <c r="M599" s="354" t="n"/>
      <c r="N599" s="354" t="n"/>
      <c r="O599" s="354" t="n"/>
      <c r="P599" s="354" t="n"/>
      <c r="Q599" s="354" t="n"/>
      <c r="R599" s="354" t="n"/>
      <c r="S599" s="354" t="n"/>
      <c r="T599" s="354" t="n"/>
      <c r="U599" s="354" t="n"/>
      <c r="V599" s="354" t="n"/>
      <c r="W599" s="354" t="n"/>
      <c r="X599" s="354" t="n"/>
    </row>
    <row r="600" ht="15.5" customHeight="1" s="297">
      <c r="B600" s="350" t="n"/>
      <c r="C600" s="414" t="n"/>
      <c r="D600" s="415" t="inlineStr">
        <is>
          <t>Transportation</t>
        </is>
      </c>
      <c r="E600" s="416" t="n"/>
      <c r="F600" s="345" t="n"/>
      <c r="G600" s="343" t="n"/>
      <c r="H600" s="343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51" t="n"/>
      <c r="S600" s="351" t="n"/>
      <c r="T600" s="351" t="n"/>
      <c r="U600" s="351" t="n"/>
      <c r="V600" s="351" t="n"/>
      <c r="W600" s="351" t="n"/>
      <c r="X600" s="351" t="n"/>
    </row>
    <row r="601" ht="15.5" customHeight="1" s="297">
      <c r="B601" s="369" t="n">
        <v>45558</v>
      </c>
      <c r="C601" s="353" t="n">
        <v>5</v>
      </c>
      <c r="D601" s="361" t="inlineStr">
        <is>
          <t>Train Ticket Gambir-Cepu (2 pax)</t>
        </is>
      </c>
      <c r="E601" s="361" t="inlineStr">
        <is>
          <t>-</t>
        </is>
      </c>
      <c r="F601" s="355" t="n">
        <v>1213500</v>
      </c>
      <c r="G601" s="353" t="inlineStr">
        <is>
          <t>IDR</t>
        </is>
      </c>
      <c r="H601" s="381" t="n">
        <v>1</v>
      </c>
      <c r="I601" s="363" t="n">
        <v>1213500</v>
      </c>
      <c r="J601" s="354" t="n"/>
      <c r="K601" s="354" t="n"/>
      <c r="L601" s="354" t="n"/>
      <c r="M601" s="354" t="n"/>
      <c r="N601" s="354" t="n"/>
      <c r="O601" s="354" t="n"/>
      <c r="P601" s="354" t="n"/>
      <c r="Q601" s="354" t="n"/>
      <c r="R601" s="354" t="n"/>
      <c r="S601" s="354" t="n"/>
      <c r="T601" s="354" t="n"/>
      <c r="U601" s="354" t="n"/>
      <c r="V601" s="354" t="n"/>
      <c r="W601" s="354" t="n"/>
      <c r="X601" s="354" t="n"/>
    </row>
    <row r="602" ht="15.5" customHeight="1" s="297">
      <c r="B602" s="369" t="n">
        <v>45558</v>
      </c>
      <c r="C602" s="353" t="n">
        <v>6</v>
      </c>
      <c r="D602" s="361" t="inlineStr">
        <is>
          <t>Taxi Pondok Cabe-Gambir</t>
        </is>
      </c>
      <c r="E602" s="361" t="inlineStr">
        <is>
          <t>-</t>
        </is>
      </c>
      <c r="F602" s="355" t="n">
        <v>132500</v>
      </c>
      <c r="G602" s="353" t="inlineStr">
        <is>
          <t>IDR</t>
        </is>
      </c>
      <c r="H602" s="381" t="n">
        <v>1</v>
      </c>
      <c r="I602" s="363" t="n">
        <v>132500</v>
      </c>
      <c r="J602" s="354" t="n"/>
      <c r="K602" s="354" t="n"/>
      <c r="L602" s="354" t="n"/>
      <c r="M602" s="354" t="n"/>
      <c r="N602" s="354" t="n"/>
      <c r="O602" s="354" t="n"/>
      <c r="P602" s="354" t="n"/>
      <c r="Q602" s="354" t="n"/>
      <c r="R602" s="354" t="n"/>
      <c r="S602" s="354" t="n"/>
      <c r="T602" s="354" t="n"/>
      <c r="U602" s="354" t="n"/>
      <c r="V602" s="354" t="n"/>
      <c r="W602" s="354" t="n"/>
      <c r="X602" s="354" t="n"/>
    </row>
    <row r="603" ht="15.5" customHeight="1" s="297">
      <c r="B603" s="369" t="n">
        <v>45558</v>
      </c>
      <c r="C603" s="353" t="n">
        <v>7</v>
      </c>
      <c r="D603" s="361" t="inlineStr">
        <is>
          <t>Demob Tools (Kalog)</t>
        </is>
      </c>
      <c r="E603" s="361" t="inlineStr">
        <is>
          <t>-</t>
        </is>
      </c>
      <c r="F603" s="355" t="n">
        <v>280400</v>
      </c>
      <c r="G603" s="353" t="inlineStr">
        <is>
          <t>IDR</t>
        </is>
      </c>
      <c r="H603" s="381" t="n">
        <v>1</v>
      </c>
      <c r="I603" s="363" t="n">
        <v>280400</v>
      </c>
      <c r="J603" s="354" t="n"/>
      <c r="K603" s="354" t="n"/>
      <c r="L603" s="354" t="n"/>
      <c r="M603" s="354" t="n"/>
      <c r="N603" s="354" t="n"/>
      <c r="O603" s="354" t="n"/>
      <c r="P603" s="354" t="n"/>
      <c r="Q603" s="354" t="n"/>
      <c r="R603" s="354" t="n"/>
      <c r="S603" s="354" t="n"/>
      <c r="T603" s="354" t="n"/>
      <c r="U603" s="354" t="n"/>
      <c r="V603" s="354" t="n"/>
      <c r="W603" s="354" t="n"/>
      <c r="X603" s="354" t="n"/>
    </row>
    <row r="604" ht="15.5" customHeight="1" s="297">
      <c r="B604" s="369" t="n">
        <v>45558</v>
      </c>
      <c r="C604" s="353" t="n">
        <v>8</v>
      </c>
      <c r="D604" s="361" t="inlineStr">
        <is>
          <t>Taxi Gambir-Pondok Cabe (inc Toll+Parking)</t>
        </is>
      </c>
      <c r="E604" s="361" t="inlineStr">
        <is>
          <t>-</t>
        </is>
      </c>
      <c r="F604" s="355" t="n">
        <v>326600</v>
      </c>
      <c r="G604" s="353" t="inlineStr">
        <is>
          <t>IDR</t>
        </is>
      </c>
      <c r="H604" s="381" t="n">
        <v>1</v>
      </c>
      <c r="I604" s="363" t="n">
        <v>326600</v>
      </c>
      <c r="J604" s="354" t="n"/>
      <c r="K604" s="354" t="n"/>
      <c r="L604" s="354" t="n"/>
      <c r="M604" s="354" t="n"/>
      <c r="N604" s="354" t="n"/>
      <c r="O604" s="354" t="n"/>
      <c r="P604" s="354" t="n"/>
      <c r="Q604" s="354" t="n"/>
      <c r="R604" s="354" t="n"/>
      <c r="S604" s="354" t="n"/>
      <c r="T604" s="354" t="n"/>
      <c r="U604" s="354" t="n"/>
      <c r="V604" s="354" t="n"/>
      <c r="W604" s="354" t="n"/>
      <c r="X604" s="354" t="n"/>
    </row>
    <row r="605" ht="15.5" customHeight="1" s="297">
      <c r="B605" s="369" t="n">
        <v>45558</v>
      </c>
      <c r="C605" s="353" t="n">
        <v>9</v>
      </c>
      <c r="D605" s="361" t="inlineStr">
        <is>
          <t>Train Ticket Bojonegoro-Gambir (2 pax)</t>
        </is>
      </c>
      <c r="E605" s="361" t="inlineStr">
        <is>
          <t>-</t>
        </is>
      </c>
      <c r="F605" s="355" t="n">
        <v>1653500</v>
      </c>
      <c r="G605" s="353" t="inlineStr">
        <is>
          <t>IDR</t>
        </is>
      </c>
      <c r="H605" s="381" t="n">
        <v>1</v>
      </c>
      <c r="I605" s="358" t="n">
        <v>1653500</v>
      </c>
      <c r="J605" s="354" t="n"/>
      <c r="K605" s="354" t="n"/>
      <c r="L605" s="354" t="n"/>
      <c r="M605" s="354" t="n"/>
      <c r="N605" s="354" t="n"/>
      <c r="O605" s="354" t="n"/>
      <c r="P605" s="354" t="n"/>
      <c r="Q605" s="354" t="n"/>
      <c r="R605" s="354" t="n"/>
      <c r="S605" s="354" t="n"/>
      <c r="T605" s="354" t="n"/>
      <c r="U605" s="354" t="n"/>
      <c r="V605" s="354" t="n"/>
      <c r="W605" s="354" t="n"/>
      <c r="X605" s="354" t="n"/>
    </row>
    <row r="606" ht="15.5" customHeight="1" s="297">
      <c r="B606" s="369" t="n">
        <v>45558</v>
      </c>
      <c r="C606" s="353" t="n">
        <v>10</v>
      </c>
      <c r="D606" s="361" t="inlineStr">
        <is>
          <t>Lalamove Kalog-Gowell</t>
        </is>
      </c>
      <c r="E606" s="361" t="inlineStr">
        <is>
          <t>-</t>
        </is>
      </c>
      <c r="F606" s="355" t="n">
        <v>73584</v>
      </c>
      <c r="G606" s="353" t="inlineStr">
        <is>
          <t>IDR</t>
        </is>
      </c>
      <c r="H606" s="381" t="n">
        <v>1</v>
      </c>
      <c r="I606" s="358" t="n">
        <v>73584</v>
      </c>
      <c r="J606" s="354" t="n"/>
      <c r="K606" s="354" t="n"/>
      <c r="L606" s="354" t="n"/>
      <c r="M606" s="354" t="n"/>
      <c r="N606" s="354" t="n"/>
      <c r="O606" s="354" t="n"/>
      <c r="P606" s="354" t="n"/>
      <c r="Q606" s="354" t="n"/>
      <c r="R606" s="354" t="n"/>
      <c r="S606" s="354" t="n"/>
      <c r="T606" s="354" t="n"/>
      <c r="U606" s="354" t="n"/>
      <c r="V606" s="354" t="n"/>
      <c r="W606" s="354" t="n"/>
      <c r="X606" s="354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3" t="n"/>
      <c r="D608" s="344" t="inlineStr">
        <is>
          <t>Accommodation</t>
        </is>
      </c>
      <c r="E608" s="345" t="n"/>
      <c r="F608" s="346" t="n"/>
      <c r="G608" s="343" t="n"/>
      <c r="H608" s="343" t="n"/>
      <c r="I608" s="348" t="n"/>
      <c r="J608" s="350" t="n"/>
      <c r="K608" s="350" t="n"/>
      <c r="L608" s="350" t="n"/>
      <c r="M608" s="348" t="n"/>
      <c r="N608" s="350" t="n"/>
      <c r="O608" s="350" t="n"/>
      <c r="P608" s="350" t="n"/>
      <c r="Q608" s="350" t="n"/>
      <c r="R608" s="351" t="n"/>
      <c r="S608" s="351" t="n"/>
      <c r="T608" s="351" t="n"/>
      <c r="U608" s="351" t="n"/>
      <c r="V608" s="351" t="n"/>
      <c r="W608" s="351" t="n"/>
      <c r="X608" s="351" t="n"/>
    </row>
    <row r="609" ht="15.5" customHeight="1" s="297">
      <c r="B609" s="369" t="n">
        <v>45585</v>
      </c>
      <c r="C609" s="353" t="n">
        <v>1</v>
      </c>
      <c r="D609" s="361" t="inlineStr">
        <is>
          <t>Laundry 18 days @ 50K IDR/day</t>
        </is>
      </c>
      <c r="E609" s="361" t="inlineStr">
        <is>
          <t>-</t>
        </is>
      </c>
      <c r="F609" s="355" t="n">
        <v>900000</v>
      </c>
      <c r="G609" s="353" t="inlineStr">
        <is>
          <t>IDR</t>
        </is>
      </c>
      <c r="H609" s="381" t="n">
        <v>1</v>
      </c>
      <c r="I609" s="358" t="n">
        <v>900000</v>
      </c>
      <c r="J609" s="354" t="n"/>
      <c r="K609" s="354" t="n"/>
      <c r="L609" s="354" t="n"/>
      <c r="M609" s="360" t="n"/>
      <c r="N609" s="354" t="n"/>
      <c r="O609" s="354" t="n"/>
      <c r="P609" s="354" t="n"/>
      <c r="Q609" s="354" t="n"/>
      <c r="R609" s="354" t="n"/>
      <c r="S609" s="354" t="n"/>
      <c r="T609" s="354" t="n"/>
      <c r="U609" s="354" t="n"/>
      <c r="V609" s="354" t="n"/>
      <c r="W609" s="354" t="n"/>
      <c r="X609" s="354" t="n"/>
    </row>
    <row r="610" ht="15.5" customHeight="1" s="297">
      <c r="B610" s="384" t="n"/>
      <c r="C610" s="343" t="n"/>
      <c r="D610" s="365" t="inlineStr">
        <is>
          <t>Allowance</t>
        </is>
      </c>
      <c r="E610" s="366" t="n"/>
      <c r="F610" s="346" t="n"/>
      <c r="G610" s="343" t="n"/>
      <c r="H610" s="343" t="n"/>
      <c r="I610" s="348" t="n"/>
      <c r="J610" s="350" t="n"/>
      <c r="K610" s="350" t="n"/>
      <c r="L610" s="350" t="n"/>
      <c r="M610" s="348" t="n"/>
      <c r="N610" s="350" t="n"/>
      <c r="O610" s="350" t="n"/>
      <c r="P610" s="350" t="n"/>
      <c r="Q610" s="350" t="n"/>
      <c r="R610" s="351" t="n"/>
      <c r="S610" s="351" t="n"/>
      <c r="T610" s="351" t="n"/>
      <c r="U610" s="351" t="n"/>
      <c r="V610" s="351" t="n"/>
      <c r="W610" s="351" t="n"/>
      <c r="X610" s="351" t="n"/>
    </row>
    <row r="611" ht="15.5" customHeight="1" s="297">
      <c r="B611" s="369" t="n">
        <v>45585</v>
      </c>
      <c r="C611" s="428" t="n">
        <v>2</v>
      </c>
      <c r="D611" s="361" t="inlineStr">
        <is>
          <t>Meal 18 days @ 150K IDR/day</t>
        </is>
      </c>
      <c r="E611" s="361" t="inlineStr">
        <is>
          <t>-</t>
        </is>
      </c>
      <c r="F611" s="355" t="n">
        <v>2700000</v>
      </c>
      <c r="G611" s="353" t="inlineStr">
        <is>
          <t>IDR</t>
        </is>
      </c>
      <c r="H611" s="381" t="n">
        <v>1</v>
      </c>
      <c r="I611" s="363" t="n">
        <v>2700000</v>
      </c>
      <c r="J611" s="354" t="n"/>
      <c r="K611" s="354" t="n"/>
      <c r="L611" s="354" t="n"/>
      <c r="M611" s="359" t="n"/>
      <c r="N611" s="354" t="n"/>
      <c r="O611" s="354" t="n"/>
      <c r="P611" s="354" t="n"/>
      <c r="Q611" s="354" t="n"/>
      <c r="R611" s="354" t="n"/>
      <c r="S611" s="354" t="n"/>
      <c r="T611" s="354" t="n"/>
      <c r="U611" s="354" t="n"/>
      <c r="V611" s="354" t="n"/>
      <c r="W611" s="354" t="n"/>
      <c r="X611" s="354" t="n"/>
    </row>
    <row r="612" ht="15.5" customHeight="1" s="297">
      <c r="B612" s="369" t="n">
        <v>45585</v>
      </c>
      <c r="C612" s="353" t="n">
        <v>3</v>
      </c>
      <c r="D612" s="361" t="inlineStr">
        <is>
          <t>Field Allowance for 18 days</t>
        </is>
      </c>
      <c r="E612" s="361" t="inlineStr">
        <is>
          <t>-</t>
        </is>
      </c>
      <c r="F612" s="355" t="n">
        <v>28528200</v>
      </c>
      <c r="G612" s="353" t="inlineStr">
        <is>
          <t>USD</t>
        </is>
      </c>
      <c r="H612" s="381" t="n">
        <v>15849</v>
      </c>
      <c r="I612" s="363" t="n">
        <v>28528200</v>
      </c>
      <c r="J612" s="354" t="n"/>
      <c r="K612" s="354" t="n"/>
      <c r="L612" s="354" t="n"/>
      <c r="M612" s="359" t="n"/>
      <c r="N612" s="354" t="n"/>
      <c r="O612" s="354" t="n"/>
      <c r="P612" s="354" t="n"/>
      <c r="Q612" s="354" t="n"/>
      <c r="R612" s="354" t="n"/>
      <c r="S612" s="354" t="n"/>
      <c r="T612" s="354" t="n"/>
      <c r="U612" s="354" t="n"/>
      <c r="V612" s="354" t="n"/>
      <c r="W612" s="354" t="n"/>
      <c r="X612" s="354" t="n"/>
    </row>
    <row r="613" ht="15.5" customHeight="1" s="297">
      <c r="B613" s="384" t="n"/>
      <c r="C613" s="343" t="n"/>
      <c r="D613" s="365" t="inlineStr">
        <is>
          <t>Meal</t>
        </is>
      </c>
      <c r="E613" s="366" t="n"/>
      <c r="F613" s="346" t="n"/>
      <c r="G613" s="343" t="n"/>
      <c r="H613" s="343" t="n"/>
      <c r="I613" s="349" t="n"/>
      <c r="J613" s="350" t="n"/>
      <c r="K613" s="350" t="n"/>
      <c r="L613" s="350" t="n"/>
      <c r="M613" s="348" t="n"/>
      <c r="N613" s="350" t="n"/>
      <c r="O613" s="350" t="n"/>
      <c r="P613" s="350" t="n"/>
      <c r="Q613" s="350" t="n"/>
      <c r="R613" s="351" t="n"/>
      <c r="S613" s="351" t="n"/>
      <c r="T613" s="351" t="n"/>
      <c r="U613" s="351" t="n"/>
      <c r="V613" s="351" t="n"/>
      <c r="W613" s="351" t="n"/>
      <c r="X613" s="351" t="n"/>
    </row>
    <row r="614" ht="15.5" customHeight="1" s="297">
      <c r="B614" s="382" t="n">
        <v>45585</v>
      </c>
      <c r="C614" s="353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3" t="n">
        <v>1102050</v>
      </c>
      <c r="G614" s="353" t="inlineStr">
        <is>
          <t>IDR</t>
        </is>
      </c>
      <c r="H614" s="381" t="n">
        <v>1</v>
      </c>
      <c r="I614" s="363" t="n">
        <v>1102050</v>
      </c>
      <c r="J614" s="354" t="n"/>
      <c r="K614" s="354" t="n"/>
      <c r="L614" s="354" t="n"/>
      <c r="M614" s="359" t="n"/>
      <c r="N614" s="354" t="n"/>
      <c r="O614" s="354" t="n"/>
      <c r="P614" s="354" t="n"/>
      <c r="Q614" s="354" t="n"/>
      <c r="R614" s="354" t="n"/>
      <c r="S614" s="354" t="n"/>
      <c r="T614" s="354" t="n"/>
      <c r="U614" s="354" t="n"/>
      <c r="V614" s="354" t="n"/>
      <c r="W614" s="354" t="n"/>
      <c r="X614" s="354" t="n"/>
    </row>
    <row r="615" ht="15.5" customHeight="1" s="297">
      <c r="B615" s="384" t="n"/>
      <c r="C615" s="343" t="n"/>
      <c r="D615" s="344" t="inlineStr">
        <is>
          <t>Transportation</t>
        </is>
      </c>
      <c r="E615" s="407" t="n"/>
      <c r="F615" s="346" t="n"/>
      <c r="G615" s="343" t="n"/>
      <c r="H615" s="343" t="n"/>
      <c r="I615" s="350" t="n"/>
      <c r="J615" s="350" t="n"/>
      <c r="K615" s="350" t="n"/>
      <c r="L615" s="350" t="n"/>
      <c r="M615" s="348" t="n"/>
      <c r="N615" s="350" t="n"/>
      <c r="O615" s="350" t="n"/>
      <c r="P615" s="350" t="n"/>
      <c r="Q615" s="350" t="n"/>
      <c r="R615" s="351" t="n"/>
      <c r="S615" s="351" t="n"/>
      <c r="T615" s="351" t="n"/>
      <c r="U615" s="351" t="n"/>
      <c r="V615" s="351" t="n"/>
      <c r="W615" s="351" t="n"/>
      <c r="X615" s="351" t="n"/>
    </row>
    <row r="616" ht="15.5" customHeight="1" s="297">
      <c r="B616" s="369" t="n">
        <v>45568</v>
      </c>
      <c r="C616" s="353" t="n">
        <v>5</v>
      </c>
      <c r="D616" s="361" t="inlineStr">
        <is>
          <t>Taxi Anevril Home - CGK Airport</t>
        </is>
      </c>
      <c r="E616" s="361" t="inlineStr">
        <is>
          <t>-</t>
        </is>
      </c>
      <c r="F616" s="355" t="n">
        <v>250000</v>
      </c>
      <c r="G616" s="353" t="inlineStr">
        <is>
          <t>IDR</t>
        </is>
      </c>
      <c r="H616" s="381" t="n">
        <v>1</v>
      </c>
      <c r="I616" s="358" t="n">
        <v>250000</v>
      </c>
      <c r="J616" s="354" t="n"/>
      <c r="K616" s="354" t="n"/>
      <c r="L616" s="354" t="n"/>
      <c r="M616" s="354" t="n"/>
      <c r="N616" s="359" t="n"/>
      <c r="O616" s="354" t="n"/>
      <c r="P616" s="354" t="n"/>
      <c r="Q616" s="354" t="n"/>
      <c r="R616" s="354" t="n"/>
      <c r="S616" s="354" t="n"/>
      <c r="T616" s="354" t="n"/>
      <c r="U616" s="354" t="n"/>
      <c r="V616" s="354" t="n"/>
      <c r="W616" s="354" t="n"/>
      <c r="X616" s="354" t="n"/>
    </row>
    <row r="617" ht="15.5" customHeight="1" s="297">
      <c r="B617" s="369" t="n">
        <v>45585</v>
      </c>
      <c r="C617" s="353" t="n">
        <v>6</v>
      </c>
      <c r="D617" s="361" t="inlineStr">
        <is>
          <t>Taxi Anevril CGK Airport - Home</t>
        </is>
      </c>
      <c r="E617" s="361" t="inlineStr">
        <is>
          <t>-</t>
        </is>
      </c>
      <c r="F617" s="355" t="n">
        <v>250000</v>
      </c>
      <c r="G617" s="353" t="inlineStr">
        <is>
          <t>IDR</t>
        </is>
      </c>
      <c r="H617" s="381" t="n">
        <v>1</v>
      </c>
      <c r="I617" s="358" t="n">
        <v>250000</v>
      </c>
      <c r="J617" s="354" t="n"/>
      <c r="K617" s="354" t="n"/>
      <c r="L617" s="354" t="n"/>
      <c r="M617" s="354" t="n"/>
      <c r="N617" s="354" t="n"/>
      <c r="O617" s="354" t="n"/>
      <c r="P617" s="354" t="n"/>
      <c r="Q617" s="354" t="n"/>
      <c r="R617" s="354" t="n"/>
      <c r="S617" s="354" t="n"/>
      <c r="T617" s="354" t="n"/>
      <c r="U617" s="354" t="n"/>
      <c r="V617" s="354" t="n"/>
      <c r="W617" s="354" t="n"/>
      <c r="X617" s="354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3" t="n"/>
      <c r="D619" s="365" t="inlineStr">
        <is>
          <t>Training</t>
        </is>
      </c>
      <c r="E619" s="366" t="n"/>
      <c r="F619" s="346" t="n"/>
      <c r="G619" s="343" t="n"/>
      <c r="H619" s="343" t="n"/>
      <c r="I619" s="349" t="n"/>
      <c r="J619" s="350" t="n"/>
      <c r="K619" s="350" t="n"/>
      <c r="L619" s="350" t="n"/>
      <c r="M619" s="348" t="n"/>
      <c r="N619" s="350" t="n"/>
      <c r="O619" s="350" t="n"/>
      <c r="P619" s="350" t="n"/>
      <c r="Q619" s="350" t="n"/>
      <c r="R619" s="351" t="n"/>
      <c r="S619" s="351" t="n"/>
      <c r="T619" s="351" t="n"/>
      <c r="U619" s="351" t="n"/>
      <c r="V619" s="351" t="n"/>
      <c r="W619" s="351" t="n"/>
      <c r="X619" s="351" t="n"/>
    </row>
    <row r="620" ht="15.5" customHeight="1" s="297">
      <c r="B620" s="369" t="n">
        <v>45622</v>
      </c>
      <c r="C620" s="353" t="n">
        <v>1</v>
      </c>
      <c r="D620" s="361" t="inlineStr">
        <is>
          <t>Basic Sea Survival</t>
        </is>
      </c>
      <c r="E620" s="361" t="inlineStr">
        <is>
          <t>-</t>
        </is>
      </c>
      <c r="F620" s="355" t="n">
        <v>2700000</v>
      </c>
      <c r="G620" s="353" t="inlineStr">
        <is>
          <t>IDR</t>
        </is>
      </c>
      <c r="H620" s="381" t="n">
        <v>1</v>
      </c>
      <c r="I620" s="363" t="n">
        <v>2700000</v>
      </c>
      <c r="J620" s="354" t="n"/>
      <c r="K620" s="354" t="n"/>
      <c r="L620" s="354" t="n"/>
      <c r="M620" s="359" t="n"/>
      <c r="N620" s="354" t="n"/>
      <c r="O620" s="354" t="n"/>
      <c r="P620" s="354" t="n"/>
      <c r="Q620" s="354" t="n"/>
      <c r="R620" s="354" t="n"/>
      <c r="S620" s="354" t="n"/>
      <c r="T620" s="354" t="n"/>
      <c r="U620" s="354" t="n"/>
      <c r="V620" s="354" t="n"/>
      <c r="W620" s="354" t="n"/>
      <c r="X620" s="354" t="n"/>
    </row>
    <row r="621" ht="15.5" customHeight="1" s="297">
      <c r="B621" s="384" t="n"/>
      <c r="C621" s="343" t="n"/>
      <c r="D621" s="365" t="inlineStr">
        <is>
          <t>Transportation</t>
        </is>
      </c>
      <c r="E621" s="432" t="n"/>
      <c r="F621" s="346" t="n"/>
      <c r="G621" s="343" t="n"/>
      <c r="H621" s="343" t="n"/>
      <c r="I621" s="350" t="n"/>
      <c r="J621" s="350" t="n"/>
      <c r="K621" s="350" t="n"/>
      <c r="L621" s="350" t="n"/>
      <c r="M621" s="349" t="n"/>
      <c r="N621" s="350" t="n"/>
      <c r="O621" s="350" t="n"/>
      <c r="P621" s="350" t="n"/>
      <c r="Q621" s="350" t="n"/>
      <c r="R621" s="351" t="n"/>
      <c r="S621" s="351" t="n"/>
      <c r="T621" s="351" t="n"/>
      <c r="U621" s="351" t="n"/>
      <c r="V621" s="351" t="n"/>
      <c r="W621" s="351" t="n"/>
      <c r="X621" s="351" t="n"/>
    </row>
    <row r="622" ht="15.5" customHeight="1" s="297">
      <c r="B622" s="369" t="n">
        <v>45622</v>
      </c>
      <c r="C622" s="353" t="n">
        <v>2</v>
      </c>
      <c r="D622" s="361" t="inlineStr">
        <is>
          <t>Gojek ( Damn Coffe - PT Lautan Tenang Jaya )</t>
        </is>
      </c>
      <c r="E622" s="361" t="inlineStr">
        <is>
          <t>-</t>
        </is>
      </c>
      <c r="F622" s="355" t="n">
        <v>15000</v>
      </c>
      <c r="G622" s="353" t="inlineStr">
        <is>
          <t>IDR</t>
        </is>
      </c>
      <c r="H622" s="381" t="n">
        <v>1</v>
      </c>
      <c r="I622" s="363" t="n">
        <v>15000</v>
      </c>
      <c r="J622" s="354" t="n"/>
      <c r="K622" s="354" t="n"/>
      <c r="L622" s="354" t="n"/>
      <c r="M622" s="359" t="n"/>
      <c r="N622" s="354" t="n"/>
      <c r="O622" s="354" t="n"/>
      <c r="P622" s="354" t="n"/>
      <c r="Q622" s="354" t="n"/>
      <c r="R622" s="354" t="n"/>
      <c r="S622" s="354" t="n"/>
      <c r="T622" s="354" t="n"/>
      <c r="U622" s="354" t="n"/>
      <c r="V622" s="354" t="n"/>
      <c r="W622" s="354" t="n"/>
      <c r="X622" s="354" t="n"/>
    </row>
    <row r="623" ht="15.5" customHeight="1" s="297">
      <c r="B623" s="369" t="n">
        <v>45622</v>
      </c>
      <c r="C623" s="353" t="n">
        <v>3</v>
      </c>
      <c r="D623" s="361" t="inlineStr">
        <is>
          <t>Gojek ( PT Lautan Tenang Jaya - Stasiun MRT )</t>
        </is>
      </c>
      <c r="E623" s="361" t="inlineStr">
        <is>
          <t>-</t>
        </is>
      </c>
      <c r="F623" s="355" t="n">
        <v>15000</v>
      </c>
      <c r="G623" s="353" t="inlineStr">
        <is>
          <t>IDR</t>
        </is>
      </c>
      <c r="H623" s="381" t="n">
        <v>1</v>
      </c>
      <c r="I623" s="363" t="n">
        <v>15000</v>
      </c>
      <c r="J623" s="354" t="n"/>
      <c r="K623" s="354" t="n"/>
      <c r="L623" s="354" t="n"/>
      <c r="M623" s="360" t="n"/>
      <c r="N623" s="354" t="n"/>
      <c r="O623" s="354" t="n"/>
      <c r="P623" s="354" t="n"/>
      <c r="Q623" s="354" t="n"/>
      <c r="R623" s="354" t="n"/>
      <c r="S623" s="354" t="n"/>
      <c r="T623" s="354" t="n"/>
      <c r="U623" s="354" t="n"/>
      <c r="V623" s="354" t="n"/>
      <c r="W623" s="354" t="n"/>
      <c r="X623" s="354" t="n"/>
    </row>
    <row r="624" ht="15.5" customHeight="1" s="297">
      <c r="B624" s="369" t="n">
        <v>45622</v>
      </c>
      <c r="C624" s="353" t="n">
        <v>4</v>
      </c>
      <c r="D624" s="361" t="inlineStr">
        <is>
          <t>Gojek ( Stasiun Sudimara - Home )</t>
        </is>
      </c>
      <c r="E624" s="361" t="inlineStr">
        <is>
          <t>-</t>
        </is>
      </c>
      <c r="F624" s="355" t="n">
        <v>15000</v>
      </c>
      <c r="G624" s="353" t="inlineStr">
        <is>
          <t>IDR</t>
        </is>
      </c>
      <c r="H624" s="381" t="n">
        <v>1</v>
      </c>
      <c r="I624" s="363" t="n">
        <v>15000</v>
      </c>
      <c r="J624" s="354" t="n"/>
      <c r="K624" s="354" t="n"/>
      <c r="L624" s="354" t="n"/>
      <c r="M624" s="359" t="n"/>
      <c r="N624" s="354" t="n"/>
      <c r="O624" s="354" t="n"/>
      <c r="P624" s="354" t="n"/>
      <c r="Q624" s="354" t="n"/>
      <c r="R624" s="354" t="n"/>
      <c r="S624" s="354" t="n"/>
      <c r="T624" s="354" t="n"/>
      <c r="U624" s="354" t="n"/>
      <c r="V624" s="354" t="n"/>
      <c r="W624" s="354" t="n"/>
      <c r="X624" s="354" t="n"/>
    </row>
    <row r="625" ht="15.5" customHeight="1" s="297">
      <c r="B625" s="369" t="n">
        <v>45622</v>
      </c>
      <c r="C625" s="353" t="n">
        <v>5</v>
      </c>
      <c r="D625" s="361" t="inlineStr">
        <is>
          <t>MRT ( Lebak Bulus - Duku Atas )</t>
        </is>
      </c>
      <c r="E625" s="361" t="inlineStr">
        <is>
          <t>-</t>
        </is>
      </c>
      <c r="F625" s="355" t="n">
        <v>14000</v>
      </c>
      <c r="G625" s="353" t="inlineStr">
        <is>
          <t>IDR</t>
        </is>
      </c>
      <c r="H625" s="381" t="n">
        <v>1</v>
      </c>
      <c r="I625" s="363" t="n">
        <v>14000</v>
      </c>
      <c r="J625" s="354" t="n"/>
      <c r="K625" s="354" t="n"/>
      <c r="L625" s="354" t="n"/>
      <c r="M625" s="354" t="n"/>
      <c r="N625" s="354" t="n"/>
      <c r="O625" s="354" t="n"/>
      <c r="P625" s="354" t="n"/>
      <c r="Q625" s="354" t="n"/>
      <c r="R625" s="354" t="n"/>
      <c r="S625" s="354" t="n"/>
      <c r="T625" s="354" t="n"/>
      <c r="U625" s="354" t="n"/>
      <c r="V625" s="354" t="n"/>
      <c r="W625" s="354" t="n"/>
      <c r="X625" s="354" t="n"/>
    </row>
    <row r="626" ht="15.5" customHeight="1" s="297">
      <c r="B626" s="369" t="n">
        <v>45622</v>
      </c>
      <c r="C626" s="353" t="n">
        <v>6</v>
      </c>
      <c r="D626" s="361" t="inlineStr">
        <is>
          <t>KRL ( Duku Atas - Sudimara )</t>
        </is>
      </c>
      <c r="E626" s="361" t="inlineStr">
        <is>
          <t>-</t>
        </is>
      </c>
      <c r="F626" s="355" t="n">
        <v>3000</v>
      </c>
      <c r="G626" s="353" t="inlineStr">
        <is>
          <t>IDR</t>
        </is>
      </c>
      <c r="H626" s="381" t="n">
        <v>1</v>
      </c>
      <c r="I626" s="363" t="n">
        <v>3000</v>
      </c>
      <c r="J626" s="354" t="n"/>
      <c r="K626" s="354" t="n"/>
      <c r="L626" s="354" t="n"/>
      <c r="M626" s="354" t="n"/>
      <c r="N626" s="354" t="n"/>
      <c r="O626" s="354" t="n"/>
      <c r="P626" s="354" t="n"/>
      <c r="Q626" s="354" t="n"/>
      <c r="R626" s="354" t="n"/>
      <c r="S626" s="354" t="n"/>
      <c r="T626" s="354" t="n"/>
      <c r="U626" s="354" t="n"/>
      <c r="V626" s="354" t="n"/>
      <c r="W626" s="354" t="n"/>
      <c r="X626" s="354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3" t="n"/>
      <c r="D628" s="365" t="inlineStr">
        <is>
          <t>Shipping</t>
        </is>
      </c>
      <c r="E628" s="409" t="n"/>
      <c r="F628" s="346" t="n"/>
      <c r="G628" s="343" t="n"/>
      <c r="H628" s="343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51" t="n"/>
      <c r="S628" s="351" t="n"/>
      <c r="T628" s="351" t="n"/>
      <c r="U628" s="351" t="n"/>
      <c r="V628" s="351" t="n"/>
      <c r="W628" s="351" t="n"/>
      <c r="X628" s="351" t="n"/>
    </row>
    <row r="629" ht="15.5" customHeight="1" s="297">
      <c r="B629" s="369" t="n">
        <v>45555</v>
      </c>
      <c r="C629" s="353" t="n">
        <v>1</v>
      </c>
      <c r="D629" s="361" t="inlineStr">
        <is>
          <t>JNE courier</t>
        </is>
      </c>
      <c r="E629" s="361" t="inlineStr">
        <is>
          <t>-</t>
        </is>
      </c>
      <c r="F629" s="355" t="n">
        <v>18000</v>
      </c>
      <c r="G629" s="353" t="inlineStr">
        <is>
          <t>IDR</t>
        </is>
      </c>
      <c r="H629" s="381" t="n">
        <v>1</v>
      </c>
      <c r="I629" s="358" t="n">
        <v>18000</v>
      </c>
      <c r="J629" s="354" t="n"/>
      <c r="K629" s="354" t="n"/>
      <c r="L629" s="354" t="n"/>
      <c r="M629" s="354" t="n"/>
      <c r="N629" s="354" t="n"/>
      <c r="O629" s="354" t="n"/>
      <c r="P629" s="354" t="n"/>
      <c r="Q629" s="354" t="n"/>
      <c r="R629" s="354" t="n"/>
      <c r="S629" s="354" t="n"/>
      <c r="T629" s="354" t="n"/>
      <c r="U629" s="354" t="n"/>
      <c r="V629" s="354" t="n"/>
      <c r="W629" s="354" t="n"/>
      <c r="X629" s="354" t="n"/>
    </row>
    <row r="630" ht="15.5" customHeight="1" s="297">
      <c r="B630" s="369" t="n">
        <v>45560</v>
      </c>
      <c r="C630" s="353" t="n">
        <v>2</v>
      </c>
      <c r="D630" s="361" t="inlineStr">
        <is>
          <t>POS courier</t>
        </is>
      </c>
      <c r="E630" s="361" t="inlineStr">
        <is>
          <t>-</t>
        </is>
      </c>
      <c r="F630" s="355" t="n">
        <v>8000</v>
      </c>
      <c r="G630" s="353" t="inlineStr">
        <is>
          <t>IDR</t>
        </is>
      </c>
      <c r="H630" s="381" t="n">
        <v>1</v>
      </c>
      <c r="I630" s="363" t="n">
        <v>8000</v>
      </c>
      <c r="J630" s="354" t="n"/>
      <c r="K630" s="354" t="n"/>
      <c r="L630" s="354" t="n"/>
      <c r="M630" s="354" t="n"/>
      <c r="N630" s="354" t="n"/>
      <c r="O630" s="354" t="n"/>
      <c r="P630" s="354" t="n"/>
      <c r="Q630" s="354" t="n"/>
      <c r="R630" s="354" t="n"/>
      <c r="S630" s="354" t="n"/>
      <c r="T630" s="354" t="n"/>
      <c r="U630" s="354" t="n"/>
      <c r="V630" s="354" t="n"/>
      <c r="W630" s="354" t="n"/>
      <c r="X630" s="354" t="n"/>
    </row>
    <row r="631" ht="15.5" customHeight="1" s="297">
      <c r="B631" s="369" t="n">
        <v>45572</v>
      </c>
      <c r="C631" s="353" t="n">
        <v>3</v>
      </c>
      <c r="D631" s="361" t="inlineStr">
        <is>
          <t>Materai 6 pcs</t>
        </is>
      </c>
      <c r="E631" s="361" t="inlineStr">
        <is>
          <t>-</t>
        </is>
      </c>
      <c r="F631" s="355" t="n">
        <v>62000</v>
      </c>
      <c r="G631" s="353" t="inlineStr">
        <is>
          <t>IDR</t>
        </is>
      </c>
      <c r="H631" s="381" t="n">
        <v>1</v>
      </c>
      <c r="I631" s="359" t="n"/>
      <c r="J631" s="354" t="n"/>
      <c r="K631" s="354" t="n"/>
      <c r="L631" s="354" t="n"/>
      <c r="M631" s="363" t="n">
        <v>62000</v>
      </c>
      <c r="N631" s="354" t="n"/>
      <c r="O631" s="354" t="n"/>
      <c r="P631" s="354" t="n"/>
      <c r="Q631" s="354" t="n"/>
      <c r="R631" s="354" t="n"/>
      <c r="S631" s="354" t="n"/>
      <c r="T631" s="354" t="n"/>
      <c r="U631" s="354" t="n"/>
      <c r="V631" s="354" t="n"/>
      <c r="W631" s="354" t="n"/>
      <c r="X631" s="354" t="n"/>
    </row>
    <row r="632" ht="15.5" customHeight="1" s="297">
      <c r="B632" s="369" t="n">
        <v>45574</v>
      </c>
      <c r="C632" s="353" t="n">
        <v>4</v>
      </c>
      <c r="D632" s="361" t="inlineStr">
        <is>
          <t>POS courier</t>
        </is>
      </c>
      <c r="E632" s="361" t="inlineStr">
        <is>
          <t>-</t>
        </is>
      </c>
      <c r="F632" s="355" t="n">
        <v>15000</v>
      </c>
      <c r="G632" s="353" t="inlineStr">
        <is>
          <t>IDR</t>
        </is>
      </c>
      <c r="H632" s="381" t="n">
        <v>1</v>
      </c>
      <c r="I632" s="358" t="n">
        <v>15000</v>
      </c>
      <c r="J632" s="354" t="n"/>
      <c r="K632" s="354" t="n"/>
      <c r="L632" s="354" t="n"/>
      <c r="M632" s="354" t="n"/>
      <c r="N632" s="354" t="n"/>
      <c r="O632" s="354" t="n"/>
      <c r="P632" s="354" t="n"/>
      <c r="Q632" s="354" t="n"/>
      <c r="R632" s="354" t="n"/>
      <c r="S632" s="354" t="n"/>
      <c r="T632" s="354" t="n"/>
      <c r="U632" s="354" t="n"/>
      <c r="V632" s="354" t="n"/>
      <c r="W632" s="354" t="n"/>
      <c r="X632" s="354" t="n"/>
    </row>
    <row r="633" ht="15.5" customHeight="1" s="297">
      <c r="B633" s="369" t="n">
        <v>45579</v>
      </c>
      <c r="C633" s="353" t="n">
        <v>5</v>
      </c>
      <c r="D633" s="361" t="inlineStr">
        <is>
          <t>JNE courier</t>
        </is>
      </c>
      <c r="E633" s="361" t="inlineStr">
        <is>
          <t>-</t>
        </is>
      </c>
      <c r="F633" s="355" t="n">
        <v>10000</v>
      </c>
      <c r="G633" s="353" t="inlineStr">
        <is>
          <t>IDR</t>
        </is>
      </c>
      <c r="H633" s="381" t="n">
        <v>1</v>
      </c>
      <c r="I633" s="358" t="n">
        <v>10000</v>
      </c>
      <c r="J633" s="354" t="n"/>
      <c r="K633" s="354" t="n"/>
      <c r="L633" s="354" t="n"/>
      <c r="M633" s="354" t="n"/>
      <c r="N633" s="354" t="n"/>
      <c r="O633" s="354" t="n"/>
      <c r="P633" s="354" t="n"/>
      <c r="Q633" s="354" t="n"/>
      <c r="R633" s="354" t="n"/>
      <c r="S633" s="354" t="n"/>
      <c r="T633" s="354" t="n"/>
      <c r="U633" s="354" t="n"/>
      <c r="V633" s="354" t="n"/>
      <c r="W633" s="354" t="n"/>
      <c r="X633" s="354" t="n"/>
    </row>
    <row r="634" ht="15.5" customHeight="1" s="297">
      <c r="B634" s="369" t="n">
        <v>45579</v>
      </c>
      <c r="C634" s="353" t="n">
        <v>6</v>
      </c>
      <c r="D634" s="361" t="inlineStr">
        <is>
          <t>Materai 10 pcs</t>
        </is>
      </c>
      <c r="E634" s="361" t="inlineStr">
        <is>
          <t>-</t>
        </is>
      </c>
      <c r="F634" s="355" t="n">
        <v>103000</v>
      </c>
      <c r="G634" s="353" t="inlineStr">
        <is>
          <t>IDR</t>
        </is>
      </c>
      <c r="H634" s="381" t="n">
        <v>1</v>
      </c>
      <c r="I634" s="359" t="n"/>
      <c r="J634" s="354" t="n"/>
      <c r="K634" s="354" t="n"/>
      <c r="L634" s="354" t="n"/>
      <c r="M634" s="358" t="n">
        <v>103000</v>
      </c>
      <c r="N634" s="354" t="n"/>
      <c r="O634" s="354" t="n"/>
      <c r="P634" s="354" t="n"/>
      <c r="Q634" s="354" t="n"/>
      <c r="R634" s="354" t="n"/>
      <c r="S634" s="354" t="n"/>
      <c r="T634" s="354" t="n"/>
      <c r="U634" s="354" t="n"/>
      <c r="V634" s="354" t="n"/>
      <c r="W634" s="354" t="n"/>
      <c r="X634" s="354" t="n"/>
    </row>
    <row r="635" ht="15.5" customHeight="1" s="297">
      <c r="B635" s="369" t="n">
        <v>45582</v>
      </c>
      <c r="C635" s="353" t="n">
        <v>7</v>
      </c>
      <c r="D635" s="361" t="inlineStr">
        <is>
          <t>Materai 5 pcs</t>
        </is>
      </c>
      <c r="E635" s="361" t="inlineStr">
        <is>
          <t>-</t>
        </is>
      </c>
      <c r="F635" s="355" t="n">
        <v>55000</v>
      </c>
      <c r="G635" s="353" t="inlineStr">
        <is>
          <t>IDR</t>
        </is>
      </c>
      <c r="H635" s="381" t="n">
        <v>1</v>
      </c>
      <c r="I635" s="359" t="n"/>
      <c r="J635" s="354" t="n"/>
      <c r="K635" s="354" t="n"/>
      <c r="L635" s="354" t="n"/>
      <c r="M635" s="358" t="n">
        <v>55000</v>
      </c>
      <c r="N635" s="354" t="n"/>
      <c r="O635" s="354" t="n"/>
      <c r="P635" s="354" t="n"/>
      <c r="Q635" s="354" t="n"/>
      <c r="R635" s="354" t="n"/>
      <c r="S635" s="354" t="n"/>
      <c r="T635" s="354" t="n"/>
      <c r="U635" s="354" t="n"/>
      <c r="V635" s="354" t="n"/>
      <c r="W635" s="354" t="n"/>
      <c r="X635" s="354" t="n"/>
    </row>
    <row r="636" ht="15.5" customHeight="1" s="297">
      <c r="B636" s="382" t="n">
        <v>45617</v>
      </c>
      <c r="C636" s="353" t="n">
        <v>8</v>
      </c>
      <c r="D636" s="383" t="inlineStr">
        <is>
          <t>Materai 10 pcs</t>
        </is>
      </c>
      <c r="E636" s="383" t="inlineStr">
        <is>
          <t>-</t>
        </is>
      </c>
      <c r="F636" s="363" t="n">
        <v>103000</v>
      </c>
      <c r="G636" s="353" t="inlineStr">
        <is>
          <t>IDR</t>
        </is>
      </c>
      <c r="H636" s="381" t="n">
        <v>1</v>
      </c>
      <c r="I636" s="354" t="n"/>
      <c r="J636" s="354" t="n"/>
      <c r="K636" s="354" t="n"/>
      <c r="L636" s="354" t="n"/>
      <c r="M636" s="358" t="n">
        <v>103000</v>
      </c>
      <c r="N636" s="354" t="n"/>
      <c r="O636" s="354" t="n"/>
      <c r="P636" s="354" t="n"/>
      <c r="Q636" s="354" t="n"/>
      <c r="R636" s="354" t="n"/>
      <c r="S636" s="354" t="n"/>
      <c r="T636" s="354" t="n"/>
      <c r="U636" s="354" t="n"/>
      <c r="V636" s="354" t="n"/>
      <c r="W636" s="354" t="n"/>
      <c r="X636" s="354" t="n"/>
    </row>
    <row r="637" ht="15.5" customHeight="1" s="297">
      <c r="B637" s="444" t="n"/>
      <c r="C637" s="445" t="n"/>
      <c r="D637" s="344" t="inlineStr">
        <is>
          <t>Transportation</t>
        </is>
      </c>
      <c r="E637" s="446" t="n"/>
      <c r="F637" s="447" t="n"/>
      <c r="G637" s="343" t="n"/>
      <c r="H637" s="343" t="n"/>
      <c r="I637" s="350" t="n"/>
      <c r="J637" s="350" t="n"/>
      <c r="K637" s="350" t="n"/>
      <c r="L637" s="350" t="n"/>
      <c r="M637" s="350" t="n"/>
      <c r="N637" s="348" t="n"/>
      <c r="O637" s="350" t="n"/>
      <c r="P637" s="350" t="n"/>
      <c r="Q637" s="350" t="n"/>
      <c r="R637" s="351" t="n"/>
      <c r="S637" s="351" t="n"/>
      <c r="T637" s="351" t="n"/>
      <c r="U637" s="351" t="n"/>
      <c r="V637" s="351" t="n"/>
      <c r="W637" s="351" t="n"/>
      <c r="X637" s="351" t="n"/>
    </row>
    <row r="638" ht="15.5" customHeight="1" s="297">
      <c r="B638" s="448" t="n">
        <v>45579</v>
      </c>
      <c r="C638" s="353" t="n">
        <v>9</v>
      </c>
      <c r="D638" s="449" t="inlineStr">
        <is>
          <t>GoCar to Elnusa PP</t>
        </is>
      </c>
      <c r="E638" s="449" t="inlineStr">
        <is>
          <t>-</t>
        </is>
      </c>
      <c r="F638" s="450" t="n">
        <v>275000</v>
      </c>
      <c r="G638" s="353" t="inlineStr">
        <is>
          <t>IDR</t>
        </is>
      </c>
      <c r="H638" s="381" t="n">
        <v>1</v>
      </c>
      <c r="I638" s="363" t="n">
        <v>275000</v>
      </c>
      <c r="J638" s="354" t="n"/>
      <c r="K638" s="354" t="n"/>
      <c r="L638" s="354" t="n"/>
      <c r="M638" s="359" t="n"/>
      <c r="N638" s="354" t="n"/>
      <c r="O638" s="354" t="n"/>
      <c r="P638" s="354" t="n"/>
      <c r="Q638" s="354" t="n"/>
      <c r="R638" s="354" t="n"/>
      <c r="S638" s="354" t="n"/>
      <c r="T638" s="354" t="n"/>
      <c r="U638" s="354" t="n"/>
      <c r="V638" s="354" t="n"/>
      <c r="W638" s="354" t="n"/>
      <c r="X638" s="354" t="n"/>
    </row>
    <row r="639" ht="15.5" customHeight="1" s="297">
      <c r="B639" s="448" t="n">
        <v>45579</v>
      </c>
      <c r="C639" s="353" t="n">
        <v>10</v>
      </c>
      <c r="D639" s="449" t="inlineStr">
        <is>
          <t>Tol &amp; parking fee</t>
        </is>
      </c>
      <c r="E639" s="449" t="inlineStr">
        <is>
          <t>-</t>
        </is>
      </c>
      <c r="F639" s="451" t="n">
        <v>31500</v>
      </c>
      <c r="G639" s="353" t="inlineStr">
        <is>
          <t>IDR</t>
        </is>
      </c>
      <c r="H639" s="381" t="n">
        <v>1</v>
      </c>
      <c r="I639" s="363" t="n">
        <v>31500</v>
      </c>
      <c r="J639" s="354" t="n"/>
      <c r="K639" s="354" t="n"/>
      <c r="L639" s="354" t="n"/>
      <c r="M639" s="359" t="n"/>
      <c r="N639" s="354" t="n"/>
      <c r="O639" s="354" t="n"/>
      <c r="P639" s="354" t="n"/>
      <c r="Q639" s="354" t="n"/>
      <c r="R639" s="354" t="n"/>
      <c r="S639" s="354" t="n"/>
      <c r="T639" s="354" t="n"/>
      <c r="U639" s="354" t="n"/>
      <c r="V639" s="354" t="n"/>
      <c r="W639" s="354" t="n"/>
      <c r="X639" s="354" t="n"/>
    </row>
    <row r="640" ht="15.5" customHeight="1" s="297">
      <c r="B640" s="448" t="n">
        <v>45582</v>
      </c>
      <c r="C640" s="353" t="n">
        <v>11</v>
      </c>
      <c r="D640" s="449" t="inlineStr">
        <is>
          <t>GoCar to Elnusa PP</t>
        </is>
      </c>
      <c r="E640" s="449" t="inlineStr">
        <is>
          <t>-</t>
        </is>
      </c>
      <c r="F640" s="355" t="n">
        <v>266000</v>
      </c>
      <c r="G640" s="353" t="inlineStr">
        <is>
          <t>IDR</t>
        </is>
      </c>
      <c r="H640" s="381" t="n">
        <v>1</v>
      </c>
      <c r="I640" s="358" t="n">
        <v>266000</v>
      </c>
      <c r="J640" s="354" t="n"/>
      <c r="K640" s="354" t="n"/>
      <c r="L640" s="354" t="n"/>
      <c r="M640" s="359" t="n"/>
      <c r="N640" s="354" t="n"/>
      <c r="O640" s="354" t="n"/>
      <c r="P640" s="354" t="n"/>
      <c r="Q640" s="354" t="n"/>
      <c r="R640" s="354" t="n"/>
      <c r="S640" s="354" t="n"/>
      <c r="T640" s="354" t="n"/>
      <c r="U640" s="354" t="n"/>
      <c r="V640" s="354" t="n"/>
      <c r="W640" s="354" t="n"/>
      <c r="X640" s="354" t="n"/>
    </row>
    <row r="641" ht="15.5" customHeight="1" s="297">
      <c r="B641" s="448" t="n">
        <v>45582</v>
      </c>
      <c r="C641" s="353" t="n">
        <v>12</v>
      </c>
      <c r="D641" s="449" t="inlineStr">
        <is>
          <t>Tol &amp; parking fee</t>
        </is>
      </c>
      <c r="E641" s="449" t="inlineStr">
        <is>
          <t>-</t>
        </is>
      </c>
      <c r="F641" s="355" t="n">
        <v>53500</v>
      </c>
      <c r="G641" s="353" t="inlineStr">
        <is>
          <t>IDR</t>
        </is>
      </c>
      <c r="H641" s="381" t="n">
        <v>1</v>
      </c>
      <c r="I641" s="358" t="n">
        <v>53500</v>
      </c>
      <c r="J641" s="354" t="n"/>
      <c r="K641" s="354" t="n"/>
      <c r="L641" s="354" t="n"/>
      <c r="M641" s="359" t="n"/>
      <c r="N641" s="354" t="n"/>
      <c r="O641" s="354" t="n"/>
      <c r="P641" s="354" t="n"/>
      <c r="Q641" s="354" t="n"/>
      <c r="R641" s="354" t="n"/>
      <c r="S641" s="354" t="n"/>
      <c r="T641" s="354" t="n"/>
      <c r="U641" s="354" t="n"/>
      <c r="V641" s="354" t="n"/>
      <c r="W641" s="354" t="n"/>
      <c r="X641" s="354" t="n"/>
    </row>
    <row r="642" ht="15.5" customHeight="1" s="297">
      <c r="B642" s="448" t="n">
        <v>45617</v>
      </c>
      <c r="C642" s="353" t="n">
        <v>13</v>
      </c>
      <c r="D642" s="449" t="inlineStr">
        <is>
          <t>GoCar to Elnusa PP</t>
        </is>
      </c>
      <c r="E642" s="449" t="inlineStr">
        <is>
          <t>-</t>
        </is>
      </c>
      <c r="F642" s="355" t="n">
        <v>269000</v>
      </c>
      <c r="G642" s="353" t="inlineStr">
        <is>
          <t>IDR</t>
        </is>
      </c>
      <c r="H642" s="381" t="n">
        <v>1</v>
      </c>
      <c r="I642" s="363" t="n">
        <v>269000</v>
      </c>
      <c r="J642" s="354" t="n"/>
      <c r="K642" s="354" t="n"/>
      <c r="L642" s="354" t="n"/>
      <c r="M642" s="359" t="n"/>
      <c r="N642" s="354" t="n"/>
      <c r="O642" s="354" t="n"/>
      <c r="P642" s="354" t="n"/>
      <c r="Q642" s="354" t="n"/>
      <c r="R642" s="354" t="n"/>
      <c r="S642" s="354" t="n"/>
      <c r="T642" s="354" t="n"/>
      <c r="U642" s="354" t="n"/>
      <c r="V642" s="354" t="n"/>
      <c r="W642" s="354" t="n"/>
      <c r="X642" s="354" t="n"/>
    </row>
    <row r="643" ht="15.5" customHeight="1" s="297">
      <c r="B643" s="448" t="n">
        <v>45617</v>
      </c>
      <c r="C643" s="353" t="n">
        <v>14</v>
      </c>
      <c r="D643" s="449" t="inlineStr">
        <is>
          <t>Tol &amp; parking fee</t>
        </is>
      </c>
      <c r="E643" s="449" t="inlineStr">
        <is>
          <t>-</t>
        </is>
      </c>
      <c r="F643" s="355" t="n">
        <v>43450</v>
      </c>
      <c r="G643" s="353" t="inlineStr">
        <is>
          <t>IDR</t>
        </is>
      </c>
      <c r="H643" s="381" t="n">
        <v>1</v>
      </c>
      <c r="I643" s="358" t="n">
        <v>43450</v>
      </c>
      <c r="J643" s="354" t="n"/>
      <c r="K643" s="354" t="n"/>
      <c r="L643" s="354" t="n"/>
      <c r="M643" s="359" t="n"/>
      <c r="N643" s="354" t="n"/>
      <c r="O643" s="354" t="n"/>
      <c r="P643" s="354" t="n"/>
      <c r="Q643" s="354" t="n"/>
      <c r="R643" s="354" t="n"/>
      <c r="S643" s="354" t="n"/>
      <c r="T643" s="354" t="n"/>
      <c r="U643" s="354" t="n"/>
      <c r="V643" s="354" t="n"/>
      <c r="W643" s="354" t="n"/>
      <c r="X643" s="354" t="n"/>
    </row>
    <row r="644" ht="15.5" customHeight="1" s="297">
      <c r="B644" s="448" t="n">
        <v>45636</v>
      </c>
      <c r="C644" s="353" t="n">
        <v>15</v>
      </c>
      <c r="D644" s="449" t="inlineStr">
        <is>
          <t>GoCar to Elnusa PP</t>
        </is>
      </c>
      <c r="E644" s="449" t="inlineStr">
        <is>
          <t>-</t>
        </is>
      </c>
      <c r="F644" s="355" t="n">
        <v>290000</v>
      </c>
      <c r="G644" s="353" t="inlineStr">
        <is>
          <t>IDR</t>
        </is>
      </c>
      <c r="H644" s="381" t="n">
        <v>1</v>
      </c>
      <c r="I644" s="363" t="n">
        <v>290000</v>
      </c>
      <c r="J644" s="354" t="n"/>
      <c r="K644" s="354" t="n"/>
      <c r="L644" s="354" t="n"/>
      <c r="M644" s="359" t="n"/>
      <c r="N644" s="354" t="n"/>
      <c r="O644" s="354" t="n"/>
      <c r="P644" s="354" t="n"/>
      <c r="Q644" s="354" t="n"/>
      <c r="R644" s="354" t="n"/>
      <c r="S644" s="354" t="n"/>
      <c r="T644" s="354" t="n"/>
      <c r="U644" s="354" t="n"/>
      <c r="V644" s="354" t="n"/>
      <c r="W644" s="354" t="n"/>
      <c r="X644" s="354" t="n"/>
    </row>
    <row r="645" ht="15.5" customHeight="1" s="297">
      <c r="B645" s="448" t="n">
        <v>45636</v>
      </c>
      <c r="C645" s="353" t="n">
        <v>16</v>
      </c>
      <c r="D645" s="449" t="inlineStr">
        <is>
          <t>Tol &amp; parking fee</t>
        </is>
      </c>
      <c r="E645" s="449" t="inlineStr">
        <is>
          <t>-</t>
        </is>
      </c>
      <c r="F645" s="355" t="n">
        <v>48500</v>
      </c>
      <c r="G645" s="353" t="inlineStr">
        <is>
          <t>IDR</t>
        </is>
      </c>
      <c r="H645" s="381" t="n">
        <v>1</v>
      </c>
      <c r="I645" s="358" t="n">
        <v>48500</v>
      </c>
      <c r="J645" s="354" t="n"/>
      <c r="K645" s="354" t="n"/>
      <c r="L645" s="354" t="n"/>
      <c r="M645" s="359" t="n"/>
      <c r="N645" s="354" t="n"/>
      <c r="O645" s="354" t="n"/>
      <c r="P645" s="354" t="n"/>
      <c r="Q645" s="354" t="n"/>
      <c r="R645" s="354" t="n"/>
      <c r="S645" s="354" t="n"/>
      <c r="T645" s="354" t="n"/>
      <c r="U645" s="354" t="n"/>
      <c r="V645" s="354" t="n"/>
      <c r="W645" s="354" t="n"/>
      <c r="X645" s="354" t="n"/>
    </row>
    <row r="646" ht="15.5" customHeight="1" s="297">
      <c r="B646" s="452" t="inlineStr">
        <is>
          <t>Expense#41</t>
        </is>
      </c>
      <c r="C646" s="453" t="inlineStr">
        <is>
          <t>:</t>
        </is>
      </c>
      <c r="D646" s="454" t="inlineStr">
        <is>
          <t>Starlink Kit_DS</t>
        </is>
      </c>
      <c r="E646" s="455" t="n"/>
      <c r="F646" s="456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7" t="n"/>
      <c r="C647" s="445" t="n"/>
      <c r="D647" s="458" t="inlineStr">
        <is>
          <t>Pembelian Barang</t>
        </is>
      </c>
      <c r="E647" s="459" t="n"/>
      <c r="F647" s="460" t="n"/>
      <c r="G647" s="343" t="n"/>
      <c r="H647" s="343" t="n"/>
      <c r="I647" s="348" t="n"/>
      <c r="J647" s="350" t="n"/>
      <c r="K647" s="350" t="n"/>
      <c r="L647" s="350" t="n"/>
      <c r="M647" s="348" t="n"/>
      <c r="N647" s="350" t="n"/>
      <c r="O647" s="350" t="n"/>
      <c r="P647" s="350" t="n"/>
      <c r="Q647" s="350" t="n"/>
      <c r="R647" s="351" t="n"/>
      <c r="S647" s="351" t="n"/>
      <c r="T647" s="351" t="n"/>
      <c r="U647" s="351" t="n"/>
      <c r="V647" s="351" t="n"/>
      <c r="W647" s="351" t="n"/>
      <c r="X647" s="351" t="n"/>
    </row>
    <row r="648" ht="15.5" customHeight="1" s="297">
      <c r="B648" s="448" t="n">
        <v>45607</v>
      </c>
      <c r="C648" s="353" t="n">
        <v>1</v>
      </c>
      <c r="D648" s="449" t="inlineStr">
        <is>
          <t>Starlink Kit</t>
        </is>
      </c>
      <c r="E648" s="449" t="inlineStr">
        <is>
          <t>-</t>
        </is>
      </c>
      <c r="F648" s="355" t="n">
        <v>5583200</v>
      </c>
      <c r="G648" s="353" t="inlineStr">
        <is>
          <t>IDR</t>
        </is>
      </c>
      <c r="H648" s="381" t="n">
        <v>1</v>
      </c>
      <c r="I648" s="359" t="n"/>
      <c r="J648" s="354" t="n"/>
      <c r="K648" s="354" t="n"/>
      <c r="L648" s="354" t="n"/>
      <c r="M648" s="354" t="n"/>
      <c r="N648" s="363" t="n">
        <v>5583200</v>
      </c>
      <c r="O648" s="354" t="n"/>
      <c r="P648" s="354" t="n"/>
      <c r="Q648" s="354" t="n"/>
      <c r="R648" s="354" t="n"/>
      <c r="S648" s="354" t="n"/>
      <c r="T648" s="354" t="n"/>
      <c r="U648" s="354" t="n"/>
      <c r="V648" s="354" t="n"/>
      <c r="W648" s="354" t="n"/>
      <c r="X648" s="354" t="n"/>
    </row>
    <row r="649" ht="15.5" customHeight="1" s="297">
      <c r="B649" s="452" t="inlineStr">
        <is>
          <t>Expense#42</t>
        </is>
      </c>
      <c r="C649" s="453" t="inlineStr">
        <is>
          <t>:</t>
        </is>
      </c>
      <c r="D649" s="454" t="inlineStr">
        <is>
          <t>Pelican Case 1650 TMA</t>
        </is>
      </c>
      <c r="E649" s="455" t="n"/>
      <c r="F649" s="456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7" t="n"/>
      <c r="C650" s="445" t="n"/>
      <c r="D650" s="458" t="inlineStr">
        <is>
          <t>Pembelian Barang</t>
        </is>
      </c>
      <c r="E650" s="459" t="n"/>
      <c r="F650" s="460" t="n"/>
      <c r="G650" s="343" t="n"/>
      <c r="H650" s="343" t="n"/>
      <c r="I650" s="349" t="n"/>
      <c r="J650" s="350" t="n"/>
      <c r="K650" s="350" t="n"/>
      <c r="L650" s="350" t="n"/>
      <c r="M650" s="348" t="n"/>
      <c r="N650" s="350" t="n"/>
      <c r="O650" s="350" t="n"/>
      <c r="P650" s="350" t="n"/>
      <c r="Q650" s="350" t="n"/>
      <c r="R650" s="351" t="n"/>
      <c r="S650" s="351" t="n"/>
      <c r="T650" s="351" t="n"/>
      <c r="U650" s="351" t="n"/>
      <c r="V650" s="351" t="n"/>
      <c r="W650" s="351" t="n"/>
      <c r="X650" s="351" t="n"/>
    </row>
    <row r="651" ht="15.5" customHeight="1" s="297">
      <c r="B651" s="448" t="n">
        <v>45640</v>
      </c>
      <c r="C651" s="353" t="n">
        <v>1</v>
      </c>
      <c r="D651" s="449" t="inlineStr">
        <is>
          <t>Pelican Case 1650</t>
        </is>
      </c>
      <c r="E651" s="449" t="inlineStr">
        <is>
          <t>-</t>
        </is>
      </c>
      <c r="F651" s="355" t="n">
        <v>8156000</v>
      </c>
      <c r="G651" s="353" t="inlineStr">
        <is>
          <t>IDR</t>
        </is>
      </c>
      <c r="H651" s="381" t="n">
        <v>1</v>
      </c>
      <c r="I651" s="354" t="n"/>
      <c r="J651" s="354" t="n"/>
      <c r="K651" s="354" t="n"/>
      <c r="L651" s="354" t="n"/>
      <c r="M651" s="359" t="n"/>
      <c r="N651" s="363" t="n">
        <v>8156000</v>
      </c>
      <c r="O651" s="354" t="n"/>
      <c r="P651" s="354" t="n"/>
      <c r="Q651" s="354" t="n"/>
      <c r="R651" s="354" t="n"/>
      <c r="S651" s="354" t="n"/>
      <c r="T651" s="354" t="n"/>
      <c r="U651" s="354" t="n"/>
      <c r="V651" s="354" t="n"/>
      <c r="W651" s="354" t="n"/>
      <c r="X651" s="354" t="n"/>
    </row>
    <row r="652" ht="15.5" customHeight="1" s="297">
      <c r="B652" s="394" t="inlineStr">
        <is>
          <t>Expense#43</t>
        </is>
      </c>
      <c r="C652" s="453" t="inlineStr">
        <is>
          <t>:</t>
        </is>
      </c>
      <c r="D652" s="404" t="inlineStr">
        <is>
          <t>Non trip 3rd (follow up MCU concul &amp; visit KPP and Graha Elnusa)_AC</t>
        </is>
      </c>
      <c r="E652" s="461" t="n"/>
      <c r="F652" s="456" t="n"/>
      <c r="G652" s="395" t="n"/>
      <c r="H652" s="395" t="n"/>
      <c r="I652" s="462" t="n"/>
      <c r="J652" s="462" t="n"/>
      <c r="K652" s="462" t="n"/>
      <c r="L652" s="462" t="n"/>
      <c r="M652" s="462" t="n"/>
      <c r="N652" s="462" t="n"/>
      <c r="O652" s="462" t="n"/>
      <c r="P652" s="462" t="n"/>
      <c r="Q652" s="462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7" t="n"/>
      <c r="C653" s="445" t="n"/>
      <c r="D653" s="458" t="inlineStr">
        <is>
          <t>Medical</t>
        </is>
      </c>
      <c r="E653" s="459" t="n"/>
      <c r="F653" s="460" t="n"/>
      <c r="G653" s="343" t="n"/>
      <c r="H653" s="343" t="n"/>
      <c r="I653" s="348" t="n"/>
      <c r="J653" s="463" t="n"/>
      <c r="K653" s="463" t="n"/>
      <c r="L653" s="463" t="n"/>
      <c r="M653" s="463" t="n"/>
      <c r="N653" s="463" t="n"/>
      <c r="O653" s="463" t="n"/>
      <c r="P653" s="463" t="n"/>
      <c r="Q653" s="463" t="n"/>
      <c r="R653" s="351" t="n"/>
      <c r="S653" s="351" t="n"/>
      <c r="T653" s="351" t="n"/>
      <c r="U653" s="351" t="n"/>
      <c r="V653" s="351" t="n"/>
      <c r="W653" s="351" t="n"/>
      <c r="X653" s="351" t="n"/>
    </row>
    <row r="654" ht="15.5" customHeight="1" s="297">
      <c r="B654" s="448" t="n">
        <v>45596</v>
      </c>
      <c r="C654" s="353" t="n">
        <v>1</v>
      </c>
      <c r="D654" s="449" t="inlineStr">
        <is>
          <t>Medicine lanjutan</t>
        </is>
      </c>
      <c r="E654" s="449" t="inlineStr">
        <is>
          <t>-</t>
        </is>
      </c>
      <c r="F654" s="355" t="n">
        <v>604000</v>
      </c>
      <c r="G654" s="353" t="inlineStr">
        <is>
          <t>IDR</t>
        </is>
      </c>
      <c r="H654" s="381" t="n">
        <v>1</v>
      </c>
      <c r="I654" s="359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4" t="n"/>
      <c r="S654" s="354" t="n"/>
      <c r="T654" s="354" t="n"/>
      <c r="U654" s="354" t="n"/>
      <c r="V654" s="354" t="n"/>
      <c r="W654" s="354" t="n"/>
      <c r="X654" s="354" t="n"/>
    </row>
    <row r="655" ht="15.5" customHeight="1" s="297">
      <c r="B655" s="448" t="n">
        <v>45627</v>
      </c>
      <c r="C655" s="353" t="n">
        <v>2</v>
      </c>
      <c r="D655" s="449" t="inlineStr">
        <is>
          <t>Biaya Konsul dokter Kulit a/n Diofavian</t>
        </is>
      </c>
      <c r="E655" s="449" t="inlineStr">
        <is>
          <t>-</t>
        </is>
      </c>
      <c r="F655" s="355" t="n">
        <v>1582141</v>
      </c>
      <c r="G655" s="353" t="inlineStr">
        <is>
          <t>IDR</t>
        </is>
      </c>
      <c r="H655" s="381" t="n">
        <v>1</v>
      </c>
      <c r="I655" s="359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4" t="n"/>
      <c r="S655" s="354" t="n"/>
      <c r="T655" s="354" t="n"/>
      <c r="U655" s="354" t="n"/>
      <c r="V655" s="354" t="n"/>
      <c r="W655" s="354" t="n"/>
      <c r="X655" s="354" t="n"/>
    </row>
    <row r="656" ht="15.5" customHeight="1" s="297">
      <c r="B656" s="448" t="n">
        <v>45627</v>
      </c>
      <c r="C656" s="353" t="n">
        <v>3</v>
      </c>
      <c r="D656" s="449" t="inlineStr">
        <is>
          <t>Biaya Konsul Dokter mata a/n Eva linda</t>
        </is>
      </c>
      <c r="E656" s="449" t="inlineStr">
        <is>
          <t>-</t>
        </is>
      </c>
      <c r="F656" s="355" t="n">
        <v>970767</v>
      </c>
      <c r="G656" s="353" t="inlineStr">
        <is>
          <t>IDR</t>
        </is>
      </c>
      <c r="H656" s="381" t="n">
        <v>1</v>
      </c>
      <c r="I656" s="359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4" t="n"/>
      <c r="S656" s="354" t="n"/>
      <c r="T656" s="354" t="n"/>
      <c r="U656" s="354" t="n"/>
      <c r="V656" s="354" t="n"/>
      <c r="W656" s="354" t="n"/>
      <c r="X656" s="354" t="n"/>
    </row>
    <row r="657" ht="15.5" customHeight="1" s="297">
      <c r="B657" s="448" t="n">
        <v>45627</v>
      </c>
      <c r="C657" s="353" t="n">
        <v>4</v>
      </c>
      <c r="D657" s="449" t="inlineStr">
        <is>
          <t>Medicine lanjutan</t>
        </is>
      </c>
      <c r="E657" s="449" t="inlineStr">
        <is>
          <t>-</t>
        </is>
      </c>
      <c r="F657" s="355" t="n">
        <v>157000</v>
      </c>
      <c r="G657" s="353" t="inlineStr">
        <is>
          <t>IDR</t>
        </is>
      </c>
      <c r="H657" s="381" t="n">
        <v>1</v>
      </c>
      <c r="I657" s="359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4" t="n"/>
      <c r="S657" s="354" t="n"/>
      <c r="T657" s="354" t="n"/>
      <c r="U657" s="354" t="n"/>
      <c r="V657" s="354" t="n"/>
      <c r="W657" s="354" t="n"/>
      <c r="X657" s="354" t="n"/>
    </row>
    <row r="658" ht="15.5" customHeight="1" s="297">
      <c r="B658" s="448" t="n">
        <v>45627</v>
      </c>
      <c r="C658" s="353" t="n">
        <v>5</v>
      </c>
      <c r="D658" s="449" t="inlineStr">
        <is>
          <t>Medicine lanjutan</t>
        </is>
      </c>
      <c r="E658" s="449" t="inlineStr">
        <is>
          <t>-</t>
        </is>
      </c>
      <c r="F658" s="355" t="n">
        <v>152000</v>
      </c>
      <c r="G658" s="353" t="inlineStr">
        <is>
          <t>IDR</t>
        </is>
      </c>
      <c r="H658" s="381" t="n">
        <v>1</v>
      </c>
      <c r="I658" s="359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4" t="n"/>
      <c r="S658" s="354" t="n"/>
      <c r="T658" s="354" t="n"/>
      <c r="U658" s="354" t="n"/>
      <c r="V658" s="354" t="n"/>
      <c r="W658" s="354" t="n"/>
      <c r="X658" s="354" t="n"/>
    </row>
    <row r="659" ht="15.5" customHeight="1" s="297">
      <c r="B659" s="448" t="n">
        <v>45628</v>
      </c>
      <c r="C659" s="353" t="n">
        <v>6</v>
      </c>
      <c r="D659" s="449" t="inlineStr">
        <is>
          <t>Biaya Konsul Dokter Jantung 3rdPenyakit dalam</t>
        </is>
      </c>
      <c r="E659" s="449" t="inlineStr">
        <is>
          <t>-</t>
        </is>
      </c>
      <c r="F659" s="355" t="n">
        <v>799000</v>
      </c>
      <c r="G659" s="353" t="inlineStr">
        <is>
          <t>IDR</t>
        </is>
      </c>
      <c r="H659" s="381" t="n">
        <v>1</v>
      </c>
      <c r="I659" s="359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4" t="n"/>
      <c r="S659" s="354" t="n"/>
      <c r="T659" s="354" t="n"/>
      <c r="U659" s="354" t="n"/>
      <c r="V659" s="354" t="n"/>
      <c r="W659" s="354" t="n"/>
      <c r="X659" s="354" t="n"/>
    </row>
    <row r="660" ht="15.5" customHeight="1" s="297">
      <c r="B660" s="448" t="n">
        <v>45628</v>
      </c>
      <c r="C660" s="353" t="n">
        <v>7</v>
      </c>
      <c r="D660" s="449" t="inlineStr">
        <is>
          <t>Medicine after konsul jantung 3rd</t>
        </is>
      </c>
      <c r="E660" s="449" t="inlineStr">
        <is>
          <t>-</t>
        </is>
      </c>
      <c r="F660" s="355" t="n">
        <v>190309.5</v>
      </c>
      <c r="G660" s="353" t="inlineStr">
        <is>
          <t>IDR</t>
        </is>
      </c>
      <c r="H660" s="381" t="n">
        <v>1</v>
      </c>
      <c r="I660" s="359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4" t="n"/>
      <c r="S660" s="354" t="n"/>
      <c r="T660" s="354" t="n"/>
      <c r="U660" s="354" t="n"/>
      <c r="V660" s="354" t="n"/>
      <c r="W660" s="354" t="n"/>
      <c r="X660" s="354" t="n"/>
    </row>
    <row r="661" ht="15.5" customHeight="1" s="297">
      <c r="B661" s="464" t="n">
        <v>45637</v>
      </c>
      <c r="C661" s="353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5" t="n">
        <v>417600</v>
      </c>
      <c r="G661" s="353" t="inlineStr">
        <is>
          <t>IDR</t>
        </is>
      </c>
      <c r="H661" s="381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4" t="n"/>
      <c r="S661" s="354" t="n"/>
      <c r="T661" s="354" t="n"/>
      <c r="U661" s="354" t="n"/>
      <c r="V661" s="354" t="n"/>
      <c r="W661" s="354" t="n"/>
      <c r="X661" s="354" t="n"/>
    </row>
    <row r="662" ht="15.5" customHeight="1" s="297">
      <c r="B662" s="342" t="n"/>
      <c r="C662" s="343" t="n"/>
      <c r="D662" s="344" t="inlineStr">
        <is>
          <t>Transportation</t>
        </is>
      </c>
      <c r="E662" s="345" t="n"/>
      <c r="F662" s="346" t="n"/>
      <c r="G662" s="345" t="n"/>
      <c r="H662" s="343" t="n"/>
      <c r="I662" s="463" t="n"/>
      <c r="J662" s="463" t="n"/>
      <c r="K662" s="463" t="n"/>
      <c r="L662" s="463" t="n"/>
      <c r="M662" s="463" t="n"/>
      <c r="N662" s="463" t="n"/>
      <c r="O662" s="463" t="n"/>
      <c r="P662" s="463" t="n"/>
      <c r="Q662" s="463" t="n"/>
      <c r="R662" s="351" t="n"/>
      <c r="S662" s="351" t="n"/>
      <c r="T662" s="351" t="n"/>
      <c r="U662" s="351" t="n"/>
      <c r="V662" s="351" t="n"/>
      <c r="W662" s="351" t="n"/>
      <c r="X662" s="351" t="n"/>
    </row>
    <row r="663" ht="15.5" customHeight="1" s="297">
      <c r="B663" s="464" t="n">
        <v>45607</v>
      </c>
      <c r="C663" s="353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5" t="n">
        <v>276216</v>
      </c>
      <c r="G663" s="353" t="inlineStr">
        <is>
          <t>IDR</t>
        </is>
      </c>
      <c r="H663" s="381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4" t="n"/>
      <c r="S663" s="354" t="n"/>
      <c r="T663" s="354" t="n"/>
      <c r="U663" s="354" t="n"/>
      <c r="V663" s="354" t="n"/>
      <c r="W663" s="354" t="n"/>
      <c r="X663" s="354" t="n"/>
    </row>
    <row r="664" ht="15.5" customHeight="1" s="297">
      <c r="B664" s="413" t="n">
        <v>45607</v>
      </c>
      <c r="C664" s="353" t="n">
        <v>10</v>
      </c>
      <c r="D664" s="428" t="inlineStr">
        <is>
          <t>toll gate</t>
        </is>
      </c>
      <c r="E664" s="428" t="inlineStr">
        <is>
          <t>-</t>
        </is>
      </c>
      <c r="F664" s="465" t="n">
        <v>79500</v>
      </c>
      <c r="G664" s="353" t="inlineStr">
        <is>
          <t>IDR</t>
        </is>
      </c>
      <c r="H664" s="381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4" t="n"/>
      <c r="S664" s="354" t="n"/>
      <c r="T664" s="354" t="n"/>
      <c r="U664" s="354" t="n"/>
      <c r="V664" s="354" t="n"/>
      <c r="W664" s="354" t="n"/>
      <c r="X664" s="354" t="n"/>
    </row>
    <row r="665" ht="15.5" customHeight="1" s="297">
      <c r="B665" s="382" t="n">
        <v>45622</v>
      </c>
      <c r="C665" s="353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5" t="n">
        <v>29000</v>
      </c>
      <c r="G665" s="353" t="inlineStr">
        <is>
          <t>IDR</t>
        </is>
      </c>
      <c r="H665" s="381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4" t="n"/>
      <c r="S665" s="354" t="n"/>
      <c r="T665" s="354" t="n"/>
      <c r="U665" s="354" t="n"/>
      <c r="V665" s="354" t="n"/>
      <c r="W665" s="354" t="n"/>
      <c r="X665" s="354" t="n"/>
    </row>
    <row r="666" ht="15.5" customHeight="1" s="297">
      <c r="B666" s="466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5" t="n">
        <v>17000</v>
      </c>
      <c r="G666" s="353" t="inlineStr">
        <is>
          <t>IDR</t>
        </is>
      </c>
      <c r="H666" s="381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4" t="n"/>
      <c r="S666" s="354" t="n"/>
      <c r="T666" s="354" t="n"/>
      <c r="U666" s="354" t="n"/>
      <c r="V666" s="354" t="n"/>
      <c r="W666" s="354" t="n"/>
      <c r="X666" s="354" t="n"/>
    </row>
    <row r="667" ht="15.5" customHeight="1" s="297">
      <c r="B667" s="352" t="n">
        <v>45636</v>
      </c>
      <c r="C667" s="353" t="n">
        <v>13</v>
      </c>
      <c r="D667" s="354" t="inlineStr">
        <is>
          <t>Taksi,take Document from Loket Graha Elnusa</t>
        </is>
      </c>
      <c r="E667" s="354" t="inlineStr">
        <is>
          <t>-</t>
        </is>
      </c>
      <c r="F667" s="355" t="n">
        <v>155680</v>
      </c>
      <c r="G667" s="353" t="inlineStr">
        <is>
          <t>IDR</t>
        </is>
      </c>
      <c r="H667" s="381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4" t="n"/>
      <c r="S667" s="354" t="n"/>
      <c r="T667" s="354" t="n"/>
      <c r="U667" s="354" t="n"/>
      <c r="V667" s="354" t="n"/>
      <c r="W667" s="354" t="n"/>
      <c r="X667" s="354" t="n"/>
    </row>
    <row r="668" ht="15.5" customHeight="1" s="297">
      <c r="B668" s="352" t="n">
        <v>45636</v>
      </c>
      <c r="C668" s="353" t="n">
        <v>14</v>
      </c>
      <c r="D668" s="354" t="inlineStr">
        <is>
          <t>Parkir Graha Elnusa (antar dokemen invoice)</t>
        </is>
      </c>
      <c r="E668" s="354" t="inlineStr">
        <is>
          <t>-</t>
        </is>
      </c>
      <c r="F668" s="355" t="n">
        <v>17000</v>
      </c>
      <c r="G668" s="353" t="inlineStr">
        <is>
          <t>IDR</t>
        </is>
      </c>
      <c r="H668" s="381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4" t="n"/>
      <c r="S668" s="354" t="n"/>
      <c r="T668" s="354" t="n"/>
      <c r="U668" s="354" t="n"/>
      <c r="V668" s="354" t="n"/>
      <c r="W668" s="354" t="n"/>
      <c r="X668" s="354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2" t="n"/>
      <c r="J669" s="462" t="n"/>
      <c r="K669" s="462" t="n"/>
      <c r="L669" s="462" t="n"/>
      <c r="M669" s="462" t="n"/>
      <c r="N669" s="462" t="n"/>
      <c r="O669" s="462" t="n"/>
      <c r="P669" s="462" t="n"/>
      <c r="Q669" s="462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2" t="n"/>
      <c r="C670" s="343" t="n"/>
      <c r="D670" s="344" t="inlineStr">
        <is>
          <t>Accommodation</t>
        </is>
      </c>
      <c r="E670" s="345" t="n"/>
      <c r="F670" s="346" t="n"/>
      <c r="G670" s="343" t="n"/>
      <c r="H670" s="343" t="n"/>
      <c r="I670" s="463" t="n"/>
      <c r="J670" s="463" t="n"/>
      <c r="K670" s="463" t="n"/>
      <c r="L670" s="463" t="n"/>
      <c r="M670" s="463" t="n"/>
      <c r="N670" s="463" t="n"/>
      <c r="O670" s="463" t="n"/>
      <c r="P670" s="463" t="n"/>
      <c r="Q670" s="463" t="n"/>
      <c r="R670" s="351" t="n"/>
      <c r="S670" s="351" t="n"/>
      <c r="T670" s="351" t="n"/>
      <c r="U670" s="351" t="n"/>
      <c r="V670" s="351" t="n"/>
      <c r="W670" s="351" t="n"/>
      <c r="X670" s="351" t="n"/>
    </row>
    <row r="671" ht="15.5" customHeight="1" s="297">
      <c r="B671" s="352" t="n">
        <v>45650</v>
      </c>
      <c r="C671" s="353" t="n">
        <v>1</v>
      </c>
      <c r="D671" s="354" t="inlineStr">
        <is>
          <t>payment for hotel Grand Dafam and</t>
        </is>
      </c>
      <c r="E671" s="354" t="inlineStr">
        <is>
          <t>-</t>
        </is>
      </c>
      <c r="F671" s="355" t="n">
        <v>4913283</v>
      </c>
      <c r="G671" s="353" t="inlineStr">
        <is>
          <t>IDR</t>
        </is>
      </c>
      <c r="H671" s="381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4" t="n"/>
      <c r="S671" s="354" t="n"/>
      <c r="T671" s="354" t="n"/>
      <c r="U671" s="354" t="n"/>
      <c r="V671" s="354" t="n"/>
      <c r="W671" s="354" t="n"/>
      <c r="X671" s="354" t="n"/>
    </row>
    <row r="672" ht="15.5" customHeight="1" s="297">
      <c r="B672" s="342" t="n"/>
      <c r="C672" s="343" t="n"/>
      <c r="D672" s="344" t="inlineStr">
        <is>
          <t>Meal</t>
        </is>
      </c>
      <c r="E672" s="345" t="n"/>
      <c r="F672" s="346" t="n"/>
      <c r="G672" s="343" t="n"/>
      <c r="H672" s="343" t="n"/>
      <c r="I672" s="463" t="n"/>
      <c r="J672" s="463" t="n"/>
      <c r="K672" s="463" t="n"/>
      <c r="L672" s="463" t="n"/>
      <c r="M672" s="463" t="n"/>
      <c r="N672" s="463" t="n"/>
      <c r="O672" s="463" t="n"/>
      <c r="P672" s="463" t="n"/>
      <c r="Q672" s="463" t="n"/>
      <c r="R672" s="351" t="n"/>
      <c r="S672" s="351" t="n"/>
      <c r="T672" s="351" t="n"/>
      <c r="U672" s="351" t="n"/>
      <c r="V672" s="351" t="n"/>
      <c r="W672" s="351" t="n"/>
      <c r="X672" s="351" t="n"/>
    </row>
    <row r="673" ht="15.5" customHeight="1" s="297">
      <c r="B673" s="352" t="n">
        <v>45646</v>
      </c>
      <c r="C673" s="353" t="n">
        <v>2</v>
      </c>
      <c r="D673" s="354" t="inlineStr">
        <is>
          <t>Meal</t>
        </is>
      </c>
      <c r="E673" s="354" t="inlineStr">
        <is>
          <t>-</t>
        </is>
      </c>
      <c r="F673" s="355" t="n">
        <v>195585</v>
      </c>
      <c r="G673" s="353" t="inlineStr">
        <is>
          <t>IDR</t>
        </is>
      </c>
      <c r="H673" s="381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4" t="n"/>
      <c r="S673" s="354" t="n"/>
      <c r="T673" s="354" t="n"/>
      <c r="U673" s="354" t="n"/>
      <c r="V673" s="354" t="n"/>
      <c r="W673" s="354" t="n"/>
      <c r="X673" s="354" t="n"/>
    </row>
    <row r="674" ht="15.5" customHeight="1" s="297">
      <c r="B674" s="352" t="n">
        <v>45647</v>
      </c>
      <c r="C674" s="353" t="n">
        <v>3</v>
      </c>
      <c r="D674" s="354" t="inlineStr">
        <is>
          <t>Meal</t>
        </is>
      </c>
      <c r="E674" s="354" t="inlineStr">
        <is>
          <t>-</t>
        </is>
      </c>
      <c r="F674" s="355" t="n">
        <v>299900</v>
      </c>
      <c r="G674" s="353" t="inlineStr">
        <is>
          <t>IDR</t>
        </is>
      </c>
      <c r="H674" s="381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4" t="n"/>
      <c r="S674" s="354" t="n"/>
      <c r="T674" s="354" t="n"/>
      <c r="U674" s="354" t="n"/>
      <c r="V674" s="354" t="n"/>
      <c r="W674" s="354" t="n"/>
      <c r="X674" s="354" t="n"/>
    </row>
    <row r="675" ht="15.5" customHeight="1" s="297">
      <c r="B675" s="384" t="n"/>
      <c r="C675" s="343" t="n"/>
      <c r="D675" s="344" t="inlineStr">
        <is>
          <t>Transportation</t>
        </is>
      </c>
      <c r="E675" s="407" t="n"/>
      <c r="F675" s="346" t="n"/>
      <c r="G675" s="343" t="n"/>
      <c r="H675" s="343" t="n"/>
      <c r="I675" s="463" t="n"/>
      <c r="J675" s="463" t="n"/>
      <c r="K675" s="463" t="n"/>
      <c r="L675" s="463" t="n"/>
      <c r="M675" s="463" t="n"/>
      <c r="N675" s="463" t="n"/>
      <c r="O675" s="463" t="n"/>
      <c r="P675" s="463" t="n"/>
      <c r="Q675" s="463" t="n"/>
      <c r="R675" s="351" t="n"/>
      <c r="S675" s="351" t="n"/>
      <c r="T675" s="351" t="n"/>
      <c r="U675" s="351" t="n"/>
      <c r="V675" s="351" t="n"/>
      <c r="W675" s="351" t="n"/>
      <c r="X675" s="351" t="n"/>
    </row>
    <row r="676" ht="15.5" customHeight="1" s="297">
      <c r="B676" s="369" t="n">
        <v>45646</v>
      </c>
      <c r="C676" s="353" t="n">
        <v>4</v>
      </c>
      <c r="D676" s="361" t="inlineStr">
        <is>
          <t>Traveling Jakarta - Bandung</t>
        </is>
      </c>
      <c r="E676" s="361" t="inlineStr">
        <is>
          <t>-</t>
        </is>
      </c>
      <c r="F676" s="355" t="n">
        <v>160000</v>
      </c>
      <c r="G676" s="353" t="inlineStr">
        <is>
          <t>IDR</t>
        </is>
      </c>
      <c r="H676" s="381" t="n">
        <v>1</v>
      </c>
      <c r="I676" s="358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4" t="n"/>
      <c r="S676" s="354" t="n"/>
      <c r="T676" s="354" t="n"/>
      <c r="U676" s="354" t="n"/>
      <c r="V676" s="354" t="n"/>
      <c r="W676" s="354" t="n"/>
      <c r="X676" s="354" t="n"/>
    </row>
    <row r="677" ht="15.5" customHeight="1" s="297">
      <c r="B677" s="369" t="n">
        <v>45647</v>
      </c>
      <c r="C677" s="353" t="n">
        <v>5</v>
      </c>
      <c r="D677" s="361" t="inlineStr">
        <is>
          <t>Taksi around the Bandung city for 2 days</t>
        </is>
      </c>
      <c r="E677" s="361" t="inlineStr">
        <is>
          <t>-</t>
        </is>
      </c>
      <c r="F677" s="355" t="n">
        <v>200000</v>
      </c>
      <c r="G677" s="353" t="inlineStr">
        <is>
          <t>IDR</t>
        </is>
      </c>
      <c r="H677" s="381" t="n">
        <v>1</v>
      </c>
      <c r="I677" s="358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4" t="n"/>
      <c r="S677" s="354" t="n"/>
      <c r="T677" s="354" t="n"/>
      <c r="U677" s="354" t="n"/>
      <c r="V677" s="354" t="n"/>
      <c r="W677" s="354" t="n"/>
      <c r="X677" s="354" t="n"/>
    </row>
    <row r="678" ht="15.5" customHeight="1" s="297">
      <c r="B678" s="369" t="n">
        <v>45647</v>
      </c>
      <c r="C678" s="353" t="n">
        <v>6</v>
      </c>
      <c r="D678" s="361" t="inlineStr">
        <is>
          <t>Traveling Bandung - Jakarta</t>
        </is>
      </c>
      <c r="E678" s="361" t="inlineStr">
        <is>
          <t>-</t>
        </is>
      </c>
      <c r="F678" s="355" t="n">
        <v>160000</v>
      </c>
      <c r="G678" s="353" t="inlineStr">
        <is>
          <t>IDR</t>
        </is>
      </c>
      <c r="H678" s="381" t="n">
        <v>1</v>
      </c>
      <c r="I678" s="358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4" t="n"/>
      <c r="S678" s="354" t="n"/>
      <c r="T678" s="354" t="n"/>
      <c r="U678" s="354" t="n"/>
      <c r="V678" s="354" t="n"/>
      <c r="W678" s="354" t="n"/>
      <c r="X678" s="354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2" t="n"/>
      <c r="K679" s="462" t="n"/>
      <c r="L679" s="462" t="n"/>
      <c r="M679" s="462" t="n"/>
      <c r="N679" s="462" t="n"/>
      <c r="O679" s="462" t="n"/>
      <c r="P679" s="462" t="n"/>
      <c r="Q679" s="462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3" t="n"/>
      <c r="D680" s="365" t="inlineStr">
        <is>
          <t>IT Services</t>
        </is>
      </c>
      <c r="E680" s="366" t="n"/>
      <c r="F680" s="346" t="n"/>
      <c r="G680" s="343" t="n"/>
      <c r="H680" s="343" t="n"/>
      <c r="I680" s="348" t="n"/>
      <c r="J680" s="463" t="n"/>
      <c r="K680" s="463" t="n"/>
      <c r="L680" s="463" t="n"/>
      <c r="M680" s="463" t="n"/>
      <c r="N680" s="463" t="n"/>
      <c r="O680" s="463" t="n"/>
      <c r="P680" s="463" t="n"/>
      <c r="Q680" s="463" t="n"/>
      <c r="R680" s="351" t="n"/>
      <c r="S680" s="351" t="n"/>
      <c r="T680" s="351" t="n"/>
      <c r="U680" s="351" t="n"/>
      <c r="V680" s="351" t="n"/>
      <c r="W680" s="351" t="n"/>
      <c r="X680" s="351" t="n"/>
    </row>
    <row r="681" ht="15.5" customHeight="1" s="297">
      <c r="B681" s="369" t="n">
        <v>45307</v>
      </c>
      <c r="C681" s="353" t="n">
        <v>1</v>
      </c>
      <c r="D681" s="361" t="inlineStr">
        <is>
          <t>Google Workspace PT. EWI</t>
        </is>
      </c>
      <c r="E681" s="361" t="inlineStr">
        <is>
          <t>-</t>
        </is>
      </c>
      <c r="F681" s="355" t="n">
        <v>306982</v>
      </c>
      <c r="G681" s="353" t="inlineStr">
        <is>
          <t>IDR</t>
        </is>
      </c>
      <c r="H681" s="381" t="n">
        <v>1</v>
      </c>
      <c r="I681" s="359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4" t="n"/>
      <c r="S681" s="354" t="n"/>
      <c r="T681" s="354" t="n"/>
      <c r="U681" s="354" t="n"/>
      <c r="V681" s="354" t="n"/>
      <c r="W681" s="354" t="n"/>
      <c r="X681" s="354" t="n"/>
    </row>
    <row r="682" ht="15.5" customHeight="1" s="297">
      <c r="B682" s="382" t="n">
        <v>45338</v>
      </c>
      <c r="C682" s="353" t="n">
        <v>2</v>
      </c>
      <c r="D682" s="383" t="inlineStr">
        <is>
          <t>Google Workspace PT. EWI</t>
        </is>
      </c>
      <c r="E682" s="383" t="inlineStr">
        <is>
          <t>-</t>
        </is>
      </c>
      <c r="F682" s="363" t="n">
        <v>306982</v>
      </c>
      <c r="G682" s="353" t="inlineStr">
        <is>
          <t>IDR</t>
        </is>
      </c>
      <c r="H682" s="381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4" t="n"/>
      <c r="S682" s="354" t="n"/>
      <c r="T682" s="354" t="n"/>
      <c r="U682" s="354" t="n"/>
      <c r="V682" s="354" t="n"/>
      <c r="W682" s="354" t="n"/>
      <c r="X682" s="354" t="n"/>
    </row>
    <row r="683" ht="15.5" customHeight="1" s="297">
      <c r="B683" s="369" t="n">
        <v>45367</v>
      </c>
      <c r="C683" s="353" t="n">
        <v>3</v>
      </c>
      <c r="D683" s="354" t="inlineStr">
        <is>
          <t>Google Workspace PT. EWI</t>
        </is>
      </c>
      <c r="E683" s="354" t="inlineStr">
        <is>
          <t>-</t>
        </is>
      </c>
      <c r="F683" s="355" t="n">
        <v>306982</v>
      </c>
      <c r="G683" s="353" t="inlineStr">
        <is>
          <t>IDR</t>
        </is>
      </c>
      <c r="H683" s="381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4" t="n"/>
      <c r="S683" s="354" t="n"/>
      <c r="T683" s="354" t="n"/>
      <c r="U683" s="354" t="n"/>
      <c r="V683" s="354" t="n"/>
      <c r="W683" s="354" t="n"/>
      <c r="X683" s="354" t="n"/>
    </row>
    <row r="684" ht="15.5" customHeight="1" s="297">
      <c r="B684" s="369" t="n">
        <v>45398</v>
      </c>
      <c r="C684" s="353" t="n">
        <v>4</v>
      </c>
      <c r="D684" s="361" t="inlineStr">
        <is>
          <t>Google Workspace PT. EWI</t>
        </is>
      </c>
      <c r="E684" s="361" t="inlineStr">
        <is>
          <t>-</t>
        </is>
      </c>
      <c r="F684" s="355" t="n">
        <v>306982</v>
      </c>
      <c r="G684" s="353" t="inlineStr">
        <is>
          <t>IDR</t>
        </is>
      </c>
      <c r="H684" s="381" t="n">
        <v>1</v>
      </c>
      <c r="I684" s="359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4" t="n"/>
      <c r="S684" s="354" t="n"/>
      <c r="T684" s="354" t="n"/>
      <c r="U684" s="354" t="n"/>
      <c r="V684" s="354" t="n"/>
      <c r="W684" s="354" t="n"/>
      <c r="X684" s="354" t="n"/>
    </row>
    <row r="685" ht="15.5" customHeight="1" s="297">
      <c r="B685" s="369" t="n">
        <v>45428</v>
      </c>
      <c r="C685" s="353" t="n">
        <v>5</v>
      </c>
      <c r="D685" s="361" t="inlineStr">
        <is>
          <t>Google Workspace PT. EWI</t>
        </is>
      </c>
      <c r="E685" s="361" t="inlineStr">
        <is>
          <t>-</t>
        </is>
      </c>
      <c r="F685" s="355" t="n">
        <v>306982</v>
      </c>
      <c r="G685" s="353" t="inlineStr">
        <is>
          <t>IDR</t>
        </is>
      </c>
      <c r="H685" s="381" t="n">
        <v>1</v>
      </c>
      <c r="I685" s="359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4" t="n"/>
      <c r="S685" s="354" t="n"/>
      <c r="T685" s="354" t="n"/>
      <c r="U685" s="354" t="n"/>
      <c r="V685" s="354" t="n"/>
      <c r="W685" s="354" t="n"/>
      <c r="X685" s="354" t="n"/>
    </row>
    <row r="686" ht="15.5" customHeight="1" s="297">
      <c r="B686" s="384" t="n"/>
      <c r="C686" s="343" t="n"/>
      <c r="D686" s="365" t="inlineStr">
        <is>
          <t>Training</t>
        </is>
      </c>
      <c r="E686" s="366" t="n"/>
      <c r="F686" s="346" t="n"/>
      <c r="G686" s="343" t="n"/>
      <c r="H686" s="343" t="n"/>
      <c r="I686" s="348" t="n"/>
      <c r="J686" s="463" t="n"/>
      <c r="K686" s="463" t="n"/>
      <c r="L686" s="463" t="n"/>
      <c r="M686" s="463" t="n"/>
      <c r="N686" s="463" t="n"/>
      <c r="O686" s="463" t="n"/>
      <c r="P686" s="463" t="n"/>
      <c r="Q686" s="463" t="n"/>
      <c r="R686" s="351" t="n"/>
      <c r="S686" s="351" t="n"/>
      <c r="T686" s="351" t="n"/>
      <c r="U686" s="351" t="n"/>
      <c r="V686" s="351" t="n"/>
      <c r="W686" s="351" t="n"/>
      <c r="X686" s="351" t="n"/>
    </row>
    <row r="687" ht="15.5" customHeight="1" s="297">
      <c r="B687" s="369" t="n">
        <v>45646</v>
      </c>
      <c r="C687" s="353" t="n">
        <v>6</v>
      </c>
      <c r="D687" s="361" t="inlineStr">
        <is>
          <t>Taxi Home to KCIC Train station</t>
        </is>
      </c>
      <c r="E687" s="361" t="inlineStr">
        <is>
          <t>-</t>
        </is>
      </c>
      <c r="F687" s="355" t="n">
        <v>100000</v>
      </c>
      <c r="G687" s="353" t="inlineStr">
        <is>
          <t>IDR</t>
        </is>
      </c>
      <c r="H687" s="381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4" t="n"/>
      <c r="S687" s="354" t="n"/>
      <c r="T687" s="354" t="n"/>
      <c r="U687" s="354" t="n"/>
      <c r="V687" s="354" t="n"/>
      <c r="W687" s="354" t="n"/>
      <c r="X687" s="354" t="n"/>
    </row>
    <row r="688" ht="15.5" customHeight="1" s="297">
      <c r="B688" s="369" t="n">
        <v>45646</v>
      </c>
      <c r="C688" s="353" t="n">
        <v>7</v>
      </c>
      <c r="D688" s="361" t="inlineStr">
        <is>
          <t>Train Round trip Jakarta - Bandung @200K/trip</t>
        </is>
      </c>
      <c r="E688" s="361" t="inlineStr">
        <is>
          <t>-</t>
        </is>
      </c>
      <c r="F688" s="355" t="n">
        <v>400000</v>
      </c>
      <c r="G688" s="353" t="inlineStr">
        <is>
          <t>IDR</t>
        </is>
      </c>
      <c r="H688" s="381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4" t="n"/>
      <c r="S688" s="354" t="n"/>
      <c r="T688" s="354" t="n"/>
      <c r="U688" s="354" t="n"/>
      <c r="V688" s="354" t="n"/>
      <c r="W688" s="354" t="n"/>
      <c r="X688" s="354" t="n"/>
    </row>
    <row r="689" ht="15.5" customHeight="1" s="297">
      <c r="B689" s="369" t="n">
        <v>45647</v>
      </c>
      <c r="C689" s="353" t="n">
        <v>8</v>
      </c>
      <c r="D689" s="361" t="inlineStr">
        <is>
          <t>Hotel 1 night 20 - 21 Dec 2024</t>
        </is>
      </c>
      <c r="E689" s="361" t="inlineStr">
        <is>
          <t>-</t>
        </is>
      </c>
      <c r="F689" s="355" t="n">
        <v>784000</v>
      </c>
      <c r="G689" s="353" t="inlineStr">
        <is>
          <t>IDR</t>
        </is>
      </c>
      <c r="H689" s="381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4" t="n"/>
      <c r="S689" s="354" t="n"/>
      <c r="T689" s="354" t="n"/>
      <c r="U689" s="354" t="n"/>
      <c r="V689" s="354" t="n"/>
      <c r="W689" s="354" t="n"/>
      <c r="X689" s="354" t="n"/>
    </row>
    <row r="690" ht="15.5" customHeight="1" s="297">
      <c r="B690" s="369" t="n">
        <v>45647</v>
      </c>
      <c r="C690" s="353" t="n">
        <v>9</v>
      </c>
      <c r="D690" s="361" t="inlineStr">
        <is>
          <t>Taxi from KCIC Stationa Halim to Home</t>
        </is>
      </c>
      <c r="E690" s="361" t="inlineStr">
        <is>
          <t>-</t>
        </is>
      </c>
      <c r="F690" s="355" t="n">
        <v>100000</v>
      </c>
      <c r="G690" s="353" t="inlineStr">
        <is>
          <t>IDR</t>
        </is>
      </c>
      <c r="H690" s="381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4" t="n"/>
      <c r="S690" s="354" t="n"/>
      <c r="T690" s="354" t="n"/>
      <c r="U690" s="354" t="n"/>
      <c r="V690" s="354" t="n"/>
      <c r="W690" s="354" t="n"/>
      <c r="X690" s="354" t="n"/>
    </row>
    <row r="691" ht="15.5" customHeight="1" s="297">
      <c r="B691" s="369" t="n">
        <v>45647</v>
      </c>
      <c r="C691" s="353" t="n">
        <v>10</v>
      </c>
      <c r="D691" s="361" t="inlineStr">
        <is>
          <t>Meals 2 days @ 150,000/day</t>
        </is>
      </c>
      <c r="E691" s="361" t="inlineStr">
        <is>
          <t>-</t>
        </is>
      </c>
      <c r="F691" s="355" t="n">
        <v>300000</v>
      </c>
      <c r="G691" s="353" t="inlineStr">
        <is>
          <t>IDR</t>
        </is>
      </c>
      <c r="H691" s="381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4" t="n"/>
      <c r="S691" s="354" t="n"/>
      <c r="T691" s="354" t="n"/>
      <c r="U691" s="354" t="n"/>
      <c r="V691" s="354" t="n"/>
      <c r="W691" s="354" t="n"/>
      <c r="X691" s="354" t="n"/>
    </row>
    <row r="692" ht="15.5" customHeight="1" s="297">
      <c r="B692" s="384" t="n"/>
      <c r="C692" s="343" t="n"/>
      <c r="D692" s="365" t="inlineStr">
        <is>
          <t>Trip</t>
        </is>
      </c>
      <c r="E692" s="366" t="n"/>
      <c r="F692" s="346" t="n"/>
      <c r="G692" s="343" t="n"/>
      <c r="H692" s="343" t="n"/>
      <c r="I692" s="463" t="n"/>
      <c r="J692" s="463" t="n"/>
      <c r="K692" s="463" t="n"/>
      <c r="L692" s="463" t="n"/>
      <c r="M692" s="463" t="n"/>
      <c r="N692" s="463" t="n"/>
      <c r="O692" s="463" t="n"/>
      <c r="P692" s="463" t="n"/>
      <c r="Q692" s="463" t="n"/>
      <c r="R692" s="351" t="n"/>
      <c r="S692" s="351" t="n"/>
      <c r="T692" s="351" t="n"/>
      <c r="U692" s="351" t="n"/>
      <c r="V692" s="351" t="n"/>
      <c r="W692" s="351" t="n"/>
      <c r="X692" s="351" t="n"/>
    </row>
    <row r="693" ht="15.5" customHeight="1" s="297">
      <c r="B693" s="382" t="n">
        <v>45335</v>
      </c>
      <c r="C693" s="353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3" t="n">
        <v>13201183.322</v>
      </c>
      <c r="G693" s="353" t="inlineStr">
        <is>
          <t>MYR</t>
        </is>
      </c>
      <c r="H693" s="381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4" t="n"/>
      <c r="S693" s="354" t="n"/>
      <c r="T693" s="354" t="n"/>
      <c r="U693" s="354" t="n"/>
      <c r="V693" s="354" t="n"/>
      <c r="W693" s="354" t="n"/>
      <c r="X693" s="354" t="n"/>
    </row>
    <row r="694" ht="15.5" customHeight="1" s="297">
      <c r="B694" s="352" t="n">
        <v>45362</v>
      </c>
      <c r="C694" s="353" t="n">
        <v>12</v>
      </c>
      <c r="D694" s="352" t="inlineStr">
        <is>
          <t>Taxi Home - CGK Airport</t>
        </is>
      </c>
      <c r="E694" s="352" t="inlineStr">
        <is>
          <t>-</t>
        </is>
      </c>
      <c r="F694" s="355" t="n">
        <v>200000</v>
      </c>
      <c r="G694" s="353" t="inlineStr">
        <is>
          <t>IDR</t>
        </is>
      </c>
      <c r="H694" s="381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4" t="n"/>
      <c r="S694" s="354" t="n"/>
      <c r="T694" s="354" t="n"/>
      <c r="U694" s="354" t="n"/>
      <c r="V694" s="354" t="n"/>
      <c r="W694" s="354" t="n"/>
      <c r="X694" s="354" t="n"/>
    </row>
    <row r="695" ht="15.5" customHeight="1" s="297">
      <c r="B695" s="468" t="n">
        <v>45362</v>
      </c>
      <c r="C695" s="362" t="n">
        <v>13</v>
      </c>
      <c r="D695" s="469" t="inlineStr">
        <is>
          <t>Flight CGK-KUL + Hotel 1 night</t>
        </is>
      </c>
      <c r="E695" s="469" t="inlineStr">
        <is>
          <t>-</t>
        </is>
      </c>
      <c r="F695" s="470" t="n">
        <v>1803353</v>
      </c>
      <c r="G695" s="362" t="inlineStr">
        <is>
          <t>IDR</t>
        </is>
      </c>
      <c r="H695" s="471" t="n">
        <v>1</v>
      </c>
      <c r="I695" s="358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4" t="n"/>
      <c r="S695" s="354" t="n"/>
      <c r="T695" s="354" t="n"/>
      <c r="U695" s="354" t="n"/>
      <c r="V695" s="354" t="n"/>
      <c r="W695" s="354" t="n"/>
      <c r="X695" s="354" t="n"/>
    </row>
    <row r="696" ht="15.5" customHeight="1" s="297">
      <c r="B696" s="468" t="n">
        <v>45362</v>
      </c>
      <c r="C696" s="362" t="n">
        <v>14</v>
      </c>
      <c r="D696" s="469" t="inlineStr">
        <is>
          <t>Train KLIA Airport to Hyperseal</t>
        </is>
      </c>
      <c r="E696" s="469" t="inlineStr">
        <is>
          <t>-</t>
        </is>
      </c>
      <c r="F696" s="470" t="n">
        <v>181844.5</v>
      </c>
      <c r="G696" s="362" t="inlineStr">
        <is>
          <t>MYR</t>
        </is>
      </c>
      <c r="H696" s="471" t="n">
        <v>3636.89</v>
      </c>
      <c r="I696" s="358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4" t="n"/>
      <c r="S696" s="354" t="n"/>
      <c r="T696" s="354" t="n"/>
      <c r="U696" s="354" t="n"/>
      <c r="V696" s="354" t="n"/>
      <c r="W696" s="354" t="n"/>
      <c r="X696" s="354" t="n"/>
    </row>
    <row r="697" ht="15.5" customHeight="1" s="297">
      <c r="B697" s="468" t="n">
        <v>45363</v>
      </c>
      <c r="C697" s="362" t="n">
        <v>15</v>
      </c>
      <c r="D697" s="469" t="inlineStr">
        <is>
          <t>Flight KUL- CGK</t>
        </is>
      </c>
      <c r="E697" s="469" t="inlineStr">
        <is>
          <t>-</t>
        </is>
      </c>
      <c r="F697" s="470" t="n">
        <v>1897983</v>
      </c>
      <c r="G697" s="362" t="inlineStr">
        <is>
          <t>IDR</t>
        </is>
      </c>
      <c r="H697" s="471" t="n">
        <v>1</v>
      </c>
      <c r="I697" s="358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4" t="n"/>
      <c r="S697" s="354" t="n"/>
      <c r="T697" s="354" t="n"/>
      <c r="U697" s="354" t="n"/>
      <c r="V697" s="354" t="n"/>
      <c r="W697" s="354" t="n"/>
      <c r="X697" s="354" t="n"/>
    </row>
    <row r="698" ht="15.5" customHeight="1" s="297">
      <c r="B698" s="468" t="n">
        <v>45363</v>
      </c>
      <c r="C698" s="362" t="n">
        <v>16</v>
      </c>
      <c r="D698" s="472" t="inlineStr">
        <is>
          <t>Train Hyperseal to KLIA Airport</t>
        </is>
      </c>
      <c r="E698" s="472" t="inlineStr">
        <is>
          <t>-</t>
        </is>
      </c>
      <c r="F698" s="470" t="n">
        <v>181844.5</v>
      </c>
      <c r="G698" s="362" t="inlineStr">
        <is>
          <t>MYR</t>
        </is>
      </c>
      <c r="H698" s="471" t="n">
        <v>3636.89</v>
      </c>
      <c r="I698" s="358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4" t="n"/>
      <c r="S698" s="354" t="n"/>
      <c r="T698" s="354" t="n"/>
      <c r="U698" s="354" t="n"/>
      <c r="V698" s="354" t="n"/>
      <c r="W698" s="354" t="n"/>
      <c r="X698" s="354" t="n"/>
    </row>
    <row r="699" ht="15.5" customHeight="1" s="297">
      <c r="B699" s="468" t="n">
        <v>45363</v>
      </c>
      <c r="C699" s="362" t="n">
        <v>17</v>
      </c>
      <c r="D699" s="472" t="inlineStr">
        <is>
          <t>Taxi CGK Airport to Home</t>
        </is>
      </c>
      <c r="E699" s="472" t="inlineStr">
        <is>
          <t>-</t>
        </is>
      </c>
      <c r="F699" s="470" t="n">
        <v>200000</v>
      </c>
      <c r="G699" s="362" t="inlineStr">
        <is>
          <t>IDR</t>
        </is>
      </c>
      <c r="H699" s="471" t="n">
        <v>1</v>
      </c>
      <c r="I699" s="358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4" t="n"/>
      <c r="S699" s="354" t="n"/>
      <c r="T699" s="354" t="n"/>
      <c r="U699" s="354" t="n"/>
      <c r="V699" s="354" t="n"/>
      <c r="W699" s="354" t="n"/>
      <c r="X699" s="354" t="n"/>
    </row>
    <row r="700" ht="15.5" customHeight="1" s="297">
      <c r="B700" s="468" t="n">
        <v>45363</v>
      </c>
      <c r="C700" s="362" t="n">
        <v>18</v>
      </c>
      <c r="D700" s="469" t="inlineStr">
        <is>
          <t>Meals 2 days @ 300,000/day</t>
        </is>
      </c>
      <c r="E700" s="469" t="inlineStr">
        <is>
          <t>-</t>
        </is>
      </c>
      <c r="F700" s="470" t="n">
        <v>600000</v>
      </c>
      <c r="G700" s="362" t="inlineStr">
        <is>
          <t>IDR</t>
        </is>
      </c>
      <c r="H700" s="471" t="n">
        <v>1</v>
      </c>
      <c r="I700" s="358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4" t="n"/>
      <c r="S700" s="354" t="n"/>
      <c r="T700" s="354" t="n"/>
      <c r="U700" s="354" t="n"/>
      <c r="V700" s="354" t="n"/>
      <c r="W700" s="354" t="n"/>
      <c r="X700" s="354" t="n"/>
    </row>
    <row r="701" ht="15.5" customHeight="1" s="297">
      <c r="B701" s="468" t="n">
        <v>45404</v>
      </c>
      <c r="C701" s="362" t="n">
        <v>19</v>
      </c>
      <c r="D701" s="469" t="inlineStr">
        <is>
          <t>Car 22-23 Apr 2024 (2 days) incl. Fuel &amp; Tol</t>
        </is>
      </c>
      <c r="E701" s="469" t="inlineStr">
        <is>
          <t>-</t>
        </is>
      </c>
      <c r="F701" s="470" t="n">
        <v>3000000</v>
      </c>
      <c r="G701" s="362" t="inlineStr">
        <is>
          <t>IDR</t>
        </is>
      </c>
      <c r="H701" s="471" t="n">
        <v>1</v>
      </c>
      <c r="I701" s="358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4" t="n"/>
      <c r="S701" s="354" t="n"/>
      <c r="T701" s="354" t="n"/>
      <c r="U701" s="354" t="n"/>
      <c r="V701" s="354" t="n"/>
      <c r="W701" s="354" t="n"/>
      <c r="X701" s="354" t="n"/>
    </row>
    <row r="702" ht="15.5" customHeight="1" s="297">
      <c r="B702" s="468" t="n">
        <v>45405</v>
      </c>
      <c r="C702" s="362" t="n">
        <v>20</v>
      </c>
      <c r="D702" s="472" t="inlineStr">
        <is>
          <t>Tunjangan Lapangan @ 1.5 juta/day x 2 days</t>
        </is>
      </c>
      <c r="E702" s="472" t="inlineStr">
        <is>
          <t>-</t>
        </is>
      </c>
      <c r="F702" s="470" t="n">
        <v>3000000</v>
      </c>
      <c r="G702" s="362" t="inlineStr">
        <is>
          <t>IDR</t>
        </is>
      </c>
      <c r="H702" s="471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4" t="n"/>
      <c r="S702" s="354" t="n"/>
      <c r="T702" s="354" t="n"/>
      <c r="U702" s="354" t="n"/>
      <c r="V702" s="354" t="n"/>
      <c r="W702" s="354" t="n"/>
      <c r="X702" s="354" t="n"/>
    </row>
    <row r="703" ht="15.5" customHeight="1" s="297">
      <c r="B703" s="352" t="n">
        <v>45405</v>
      </c>
      <c r="C703" s="362" t="n">
        <v>21</v>
      </c>
      <c r="D703" s="352" t="inlineStr">
        <is>
          <t>Meals 2 days @ 150,000/day</t>
        </is>
      </c>
      <c r="E703" s="352" t="inlineStr">
        <is>
          <t>-</t>
        </is>
      </c>
      <c r="F703" s="470" t="n">
        <v>300000</v>
      </c>
      <c r="G703" s="362" t="inlineStr">
        <is>
          <t>IDR</t>
        </is>
      </c>
      <c r="H703" s="471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4" t="n"/>
      <c r="S703" s="354" t="n"/>
      <c r="T703" s="354" t="n"/>
      <c r="U703" s="354" t="n"/>
      <c r="V703" s="354" t="n"/>
      <c r="W703" s="354" t="n"/>
      <c r="X703" s="354" t="n"/>
    </row>
    <row r="704" ht="15.5" customHeight="1" s="297">
      <c r="B704" s="473" t="n">
        <v>45412</v>
      </c>
      <c r="C704" s="362" t="n">
        <v>22</v>
      </c>
      <c r="D704" s="469" t="inlineStr">
        <is>
          <t>Car 30 Apr-01 May 2024 (2 days) incl. Fuel &amp; Tol</t>
        </is>
      </c>
      <c r="E704" s="469" t="inlineStr">
        <is>
          <t>-</t>
        </is>
      </c>
      <c r="F704" s="470" t="n">
        <v>3000000</v>
      </c>
      <c r="G704" s="362" t="inlineStr">
        <is>
          <t>IDR</t>
        </is>
      </c>
      <c r="H704" s="471" t="n">
        <v>1</v>
      </c>
      <c r="I704" s="358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4" t="n"/>
      <c r="S704" s="354" t="n"/>
      <c r="T704" s="354" t="n"/>
      <c r="U704" s="354" t="n"/>
      <c r="V704" s="354" t="n"/>
      <c r="W704" s="354" t="n"/>
      <c r="X704" s="354" t="n"/>
    </row>
    <row r="705" ht="15.5" customHeight="1" s="297">
      <c r="B705" s="474" t="inlineStr">
        <is>
          <t>Expense#46</t>
        </is>
      </c>
      <c r="C705" s="475" t="inlineStr">
        <is>
          <t>:</t>
        </is>
      </c>
      <c r="D705" s="476" t="inlineStr">
        <is>
          <t>Non trip - Training BSS - AC</t>
        </is>
      </c>
      <c r="E705" s="477" t="n"/>
      <c r="F705" s="478" t="n"/>
      <c r="G705" s="475" t="n"/>
      <c r="H705" s="475" t="n"/>
      <c r="I705" s="462" t="n"/>
      <c r="J705" s="462" t="n"/>
      <c r="K705" s="462" t="n"/>
      <c r="L705" s="462" t="n"/>
      <c r="M705" s="462" t="n"/>
      <c r="N705" s="462" t="n"/>
      <c r="O705" s="462" t="n"/>
      <c r="P705" s="462" t="n"/>
      <c r="Q705" s="462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79" t="n"/>
      <c r="C706" s="374" t="n"/>
      <c r="D706" s="480" t="inlineStr">
        <is>
          <t>Biaya Operasi</t>
        </is>
      </c>
      <c r="E706" s="481" t="n"/>
      <c r="F706" s="482" t="n"/>
      <c r="G706" s="374" t="n"/>
      <c r="H706" s="374" t="n"/>
      <c r="I706" s="463" t="n"/>
      <c r="J706" s="463" t="n"/>
      <c r="K706" s="463" t="n"/>
      <c r="L706" s="463" t="n"/>
      <c r="M706" s="463" t="n"/>
      <c r="N706" s="463" t="n"/>
      <c r="O706" s="463" t="n"/>
      <c r="P706" s="463" t="n"/>
      <c r="Q706" s="463" t="n"/>
      <c r="R706" s="351" t="n"/>
      <c r="S706" s="351" t="n"/>
      <c r="T706" s="351" t="n"/>
      <c r="U706" s="351" t="n"/>
      <c r="V706" s="351" t="n"/>
      <c r="W706" s="351" t="n"/>
      <c r="X706" s="351" t="n"/>
    </row>
    <row r="707" ht="15.5" customHeight="1" s="297">
      <c r="B707" s="352" t="n">
        <v>45636</v>
      </c>
      <c r="C707" s="362" t="n">
        <v>1</v>
      </c>
      <c r="D707" s="352" t="inlineStr">
        <is>
          <t>Traning Basic Sea Survival (BSS)</t>
        </is>
      </c>
      <c r="E707" s="352" t="inlineStr">
        <is>
          <t>-</t>
        </is>
      </c>
      <c r="F707" s="470" t="n">
        <v>2700000</v>
      </c>
      <c r="G707" s="362" t="inlineStr">
        <is>
          <t>IDR</t>
        </is>
      </c>
      <c r="H707" s="471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4" t="n"/>
      <c r="S707" s="354" t="n"/>
      <c r="T707" s="354" t="n"/>
      <c r="U707" s="354" t="n"/>
      <c r="V707" s="354" t="n"/>
      <c r="W707" s="354" t="n"/>
      <c r="X707" s="354" t="n"/>
    </row>
    <row r="708" ht="15.5" customHeight="1" s="297">
      <c r="B708" s="474" t="inlineStr">
        <is>
          <t>Expense#47</t>
        </is>
      </c>
      <c r="C708" s="475" t="inlineStr">
        <is>
          <t>:</t>
        </is>
      </c>
      <c r="D708" s="476" t="inlineStr">
        <is>
          <t>Trip Rakan : BSTTraining at HSSE Training Center PT Pertamina EP Zone 7 Cirebon</t>
        </is>
      </c>
      <c r="E708" s="477" t="n"/>
      <c r="F708" s="478" t="n"/>
      <c r="G708" s="475" t="n"/>
      <c r="H708" s="475" t="n"/>
      <c r="I708" s="399" t="n"/>
      <c r="J708" s="462" t="n"/>
      <c r="K708" s="462" t="n"/>
      <c r="L708" s="462" t="n"/>
      <c r="M708" s="462" t="n"/>
      <c r="N708" s="462" t="n"/>
      <c r="O708" s="462" t="n"/>
      <c r="P708" s="462" t="n"/>
      <c r="Q708" s="462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3" t="n"/>
      <c r="C709" s="374" t="n"/>
      <c r="D709" s="484" t="inlineStr">
        <is>
          <t>Allowance</t>
        </is>
      </c>
      <c r="E709" s="483" t="n"/>
      <c r="F709" s="482" t="n"/>
      <c r="G709" s="374" t="n"/>
      <c r="H709" s="374" t="n"/>
      <c r="I709" s="463" t="n"/>
      <c r="J709" s="463" t="n"/>
      <c r="K709" s="463" t="n"/>
      <c r="L709" s="463" t="n"/>
      <c r="M709" s="463" t="n"/>
      <c r="N709" s="463" t="n"/>
      <c r="O709" s="463" t="n"/>
      <c r="P709" s="463" t="n"/>
      <c r="Q709" s="463" t="n"/>
      <c r="R709" s="351" t="n"/>
      <c r="S709" s="351" t="n"/>
      <c r="T709" s="351" t="n"/>
      <c r="U709" s="351" t="n"/>
      <c r="V709" s="351" t="n"/>
      <c r="W709" s="351" t="n"/>
      <c r="X709" s="351" t="n"/>
    </row>
    <row r="710" ht="15.5" customHeight="1" s="297">
      <c r="B710" s="473" t="n">
        <v>45656</v>
      </c>
      <c r="C710" s="362" t="n">
        <v>1</v>
      </c>
      <c r="D710" s="469" t="inlineStr">
        <is>
          <t>Meal Allowance 2 Days (29 - 30 December 2024)@ 150 rb</t>
        </is>
      </c>
      <c r="E710" s="469" t="inlineStr">
        <is>
          <t>-</t>
        </is>
      </c>
      <c r="F710" s="470" t="n">
        <v>300000</v>
      </c>
      <c r="G710" s="362" t="inlineStr">
        <is>
          <t>IDR</t>
        </is>
      </c>
      <c r="H710" s="471" t="n">
        <v>1</v>
      </c>
      <c r="I710" s="358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4" t="n"/>
      <c r="S710" s="354" t="n"/>
      <c r="T710" s="354" t="n"/>
      <c r="U710" s="354" t="n"/>
      <c r="V710" s="354" t="n"/>
      <c r="W710" s="354" t="n"/>
      <c r="X710" s="354" t="n"/>
    </row>
    <row r="711" ht="15.5" customHeight="1" s="297">
      <c r="B711" s="485" t="n"/>
      <c r="C711" s="374" t="n"/>
      <c r="D711" s="486" t="inlineStr">
        <is>
          <t>Biaya Operasi</t>
        </is>
      </c>
      <c r="E711" s="487" t="n"/>
      <c r="F711" s="482" t="n"/>
      <c r="G711" s="374" t="n"/>
      <c r="H711" s="374" t="n"/>
      <c r="I711" s="348" t="n"/>
      <c r="J711" s="463" t="n"/>
      <c r="K711" s="463" t="n"/>
      <c r="L711" s="463" t="n"/>
      <c r="M711" s="463" t="n"/>
      <c r="N711" s="463" t="n"/>
      <c r="O711" s="463" t="n"/>
      <c r="P711" s="463" t="n"/>
      <c r="Q711" s="463" t="n"/>
      <c r="R711" s="351" t="n"/>
      <c r="S711" s="351" t="n"/>
      <c r="T711" s="351" t="n"/>
      <c r="U711" s="351" t="n"/>
      <c r="V711" s="351" t="n"/>
      <c r="W711" s="351" t="n"/>
      <c r="X711" s="351" t="n"/>
    </row>
    <row r="712" ht="15.5" customHeight="1" s="297">
      <c r="B712" s="473" t="n">
        <v>45655</v>
      </c>
      <c r="C712" s="362" t="n">
        <v>2</v>
      </c>
      <c r="D712" s="472" t="inlineStr">
        <is>
          <t>Transport Train, (Jakarta to Cirebon)</t>
        </is>
      </c>
      <c r="E712" s="472" t="inlineStr">
        <is>
          <t>-</t>
        </is>
      </c>
      <c r="F712" s="470" t="n">
        <v>200000</v>
      </c>
      <c r="G712" s="362" t="inlineStr">
        <is>
          <t>IDR</t>
        </is>
      </c>
      <c r="H712" s="471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4" t="n"/>
      <c r="S712" s="354" t="n"/>
      <c r="T712" s="354" t="n"/>
      <c r="U712" s="354" t="n"/>
      <c r="V712" s="354" t="n"/>
      <c r="W712" s="354" t="n"/>
      <c r="X712" s="354" t="n"/>
    </row>
    <row r="713" ht="15.5" customHeight="1" s="297">
      <c r="B713" s="473" t="n">
        <v>45655</v>
      </c>
      <c r="C713" s="362" t="n">
        <v>3</v>
      </c>
      <c r="D713" s="472" t="inlineStr">
        <is>
          <t>Gojek (Cirendeu to Gambir Station)</t>
        </is>
      </c>
      <c r="E713" s="472" t="inlineStr">
        <is>
          <t>-</t>
        </is>
      </c>
      <c r="F713" s="470" t="n">
        <v>61500</v>
      </c>
      <c r="G713" s="362" t="inlineStr">
        <is>
          <t>IDR</t>
        </is>
      </c>
      <c r="H713" s="471" t="n">
        <v>1</v>
      </c>
      <c r="I713" s="358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4" t="n"/>
      <c r="S713" s="354" t="n"/>
      <c r="T713" s="354" t="n"/>
      <c r="U713" s="354" t="n"/>
      <c r="V713" s="354" t="n"/>
      <c r="W713" s="354" t="n"/>
      <c r="X713" s="354" t="n"/>
    </row>
    <row r="714" ht="15.5" customHeight="1" s="297">
      <c r="B714" s="473" t="n">
        <v>45655</v>
      </c>
      <c r="C714" s="362" t="n">
        <v>4</v>
      </c>
      <c r="D714" s="472" t="inlineStr">
        <is>
          <t>Gojek (Cirebon Station to Hotel)</t>
        </is>
      </c>
      <c r="E714" s="472" t="inlineStr">
        <is>
          <t>-</t>
        </is>
      </c>
      <c r="F714" s="470" t="n">
        <v>12500</v>
      </c>
      <c r="G714" s="362" t="inlineStr">
        <is>
          <t>IDR</t>
        </is>
      </c>
      <c r="H714" s="471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4" t="n"/>
      <c r="S714" s="354" t="n"/>
      <c r="T714" s="354" t="n"/>
      <c r="U714" s="354" t="n"/>
      <c r="V714" s="354" t="n"/>
      <c r="W714" s="354" t="n"/>
      <c r="X714" s="354" t="n"/>
    </row>
    <row r="715" ht="15.5" customHeight="1" s="297">
      <c r="B715" s="352" t="n">
        <v>45655</v>
      </c>
      <c r="C715" s="362" t="n">
        <v>5</v>
      </c>
      <c r="D715" s="352" t="inlineStr">
        <is>
          <t>Accomodation Hotel (Pia Hotel 29 - 30 des, 1 Night)</t>
        </is>
      </c>
      <c r="E715" s="352" t="inlineStr">
        <is>
          <t>-</t>
        </is>
      </c>
      <c r="F715" s="470" t="n">
        <v>224000</v>
      </c>
      <c r="G715" s="362" t="inlineStr">
        <is>
          <t>IDR</t>
        </is>
      </c>
      <c r="H715" s="471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4" t="n"/>
      <c r="S715" s="354" t="n"/>
      <c r="T715" s="354" t="n"/>
      <c r="U715" s="354" t="n"/>
      <c r="V715" s="354" t="n"/>
      <c r="W715" s="354" t="n"/>
      <c r="X715" s="354" t="n"/>
    </row>
    <row r="716" ht="15.5" customHeight="1" s="297">
      <c r="B716" s="473" t="n">
        <v>45656</v>
      </c>
      <c r="C716" s="362" t="n">
        <v>6</v>
      </c>
      <c r="D716" s="469" t="inlineStr">
        <is>
          <t>Transport Train (Cirebon to Jakarta)</t>
        </is>
      </c>
      <c r="E716" s="469" t="inlineStr">
        <is>
          <t>-</t>
        </is>
      </c>
      <c r="F716" s="470" t="n">
        <v>140000</v>
      </c>
      <c r="G716" s="362" t="inlineStr">
        <is>
          <t>IDR</t>
        </is>
      </c>
      <c r="H716" s="471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4" t="n"/>
      <c r="S716" s="354" t="n"/>
      <c r="T716" s="354" t="n"/>
      <c r="U716" s="354" t="n"/>
      <c r="V716" s="354" t="n"/>
      <c r="W716" s="354" t="n"/>
      <c r="X716" s="354" t="n"/>
    </row>
    <row r="717" ht="15.5" customHeight="1" s="297">
      <c r="B717" s="473" t="n">
        <v>45656</v>
      </c>
      <c r="C717" s="362" t="n">
        <v>7</v>
      </c>
      <c r="D717" s="469" t="inlineStr">
        <is>
          <t>Gojek (Hotel to HSSE Training Center PEP Zone 7)</t>
        </is>
      </c>
      <c r="E717" s="469" t="inlineStr">
        <is>
          <t>-</t>
        </is>
      </c>
      <c r="F717" s="470" t="n">
        <v>11000</v>
      </c>
      <c r="G717" s="362" t="inlineStr">
        <is>
          <t>IDR</t>
        </is>
      </c>
      <c r="H717" s="471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4" t="n"/>
      <c r="S717" s="354" t="n"/>
      <c r="T717" s="354" t="n"/>
      <c r="U717" s="354" t="n"/>
      <c r="V717" s="354" t="n"/>
      <c r="W717" s="354" t="n"/>
      <c r="X717" s="354" t="n"/>
    </row>
    <row r="718" ht="15.5" customHeight="1" s="297">
      <c r="B718" s="473" t="n">
        <v>45656</v>
      </c>
      <c r="C718" s="362" t="n">
        <v>8</v>
      </c>
      <c r="D718" s="469" t="inlineStr">
        <is>
          <t>Gojek (CSB to Cirebon Train Station)</t>
        </is>
      </c>
      <c r="E718" s="469" t="inlineStr">
        <is>
          <t>-</t>
        </is>
      </c>
      <c r="F718" s="470" t="n">
        <v>11000</v>
      </c>
      <c r="G718" s="362" t="inlineStr">
        <is>
          <t>IDR</t>
        </is>
      </c>
      <c r="H718" s="471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4" t="n"/>
      <c r="S718" s="354" t="n"/>
      <c r="T718" s="354" t="n"/>
      <c r="U718" s="354" t="n"/>
      <c r="V718" s="354" t="n"/>
      <c r="W718" s="354" t="n"/>
      <c r="X718" s="354" t="n"/>
    </row>
    <row r="719" ht="15.5" customHeight="1" s="297">
      <c r="B719" s="473" t="n">
        <v>45656</v>
      </c>
      <c r="C719" s="362" t="n">
        <v>9</v>
      </c>
      <c r="D719" s="469" t="inlineStr">
        <is>
          <t>Gojek (Gambir Station to Cirendeu)</t>
        </is>
      </c>
      <c r="E719" s="469" t="inlineStr">
        <is>
          <t>-</t>
        </is>
      </c>
      <c r="F719" s="470" t="n">
        <v>66000</v>
      </c>
      <c r="G719" s="362" t="inlineStr">
        <is>
          <t>IDR</t>
        </is>
      </c>
      <c r="H719" s="471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4" t="n"/>
      <c r="S719" s="354" t="n"/>
      <c r="T719" s="354" t="n"/>
      <c r="U719" s="354" t="n"/>
      <c r="V719" s="354" t="n"/>
      <c r="W719" s="354" t="n"/>
      <c r="X719" s="354" t="n"/>
    </row>
    <row r="720" ht="15.5" customHeight="1" s="297">
      <c r="B720" s="488" t="n"/>
      <c r="C720" s="489" t="n"/>
      <c r="D720" s="490" t="n"/>
      <c r="E720" s="491" t="inlineStr">
        <is>
          <t>TOTAL</t>
        </is>
      </c>
      <c r="F720" s="492">
        <f>SUM(F41:F719)</f>
        <v/>
      </c>
      <c r="G720" s="489" t="inlineStr">
        <is>
          <t>IDR</t>
        </is>
      </c>
      <c r="H720" s="489" t="n">
        <v>1</v>
      </c>
      <c r="I720" s="493" t="n">
        <v>1165223146.932</v>
      </c>
      <c r="J720" s="493" t="n">
        <v>991500000</v>
      </c>
      <c r="K720" s="493" t="n">
        <v>356012003</v>
      </c>
      <c r="L720" s="493" t="n">
        <v>367745000</v>
      </c>
      <c r="M720" s="493" t="n">
        <v>8769780</v>
      </c>
      <c r="N720" s="493" t="n">
        <v>200517570</v>
      </c>
      <c r="O720" s="493" t="n">
        <v>4995000</v>
      </c>
      <c r="P720" s="493" t="n">
        <v>38548717.5</v>
      </c>
      <c r="Q720" s="493" t="n">
        <v>202920000</v>
      </c>
      <c r="R720" s="494" t="n">
        <v>0</v>
      </c>
      <c r="S720" s="494" t="n">
        <v>0</v>
      </c>
      <c r="T720" s="494" t="n">
        <v>0</v>
      </c>
      <c r="U720" s="494" t="n">
        <v>0</v>
      </c>
      <c r="V720" s="494" t="n">
        <v>0</v>
      </c>
      <c r="W720" s="494" t="n">
        <v>0</v>
      </c>
      <c r="X720" s="49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  <c r="G3" s="501" t="inlineStr">
        <is>
          <t>PT. EXSPAN WIRELINE INDONESIA</t>
        </is>
      </c>
      <c r="H3" s="501" t="n"/>
      <c r="I3" s="501" t="n"/>
      <c r="J3" s="501" t="n"/>
    </row>
    <row r="4" ht="20.5" customHeight="1" s="297">
      <c r="A4" s="497" t="n"/>
      <c r="B4" s="502" t="inlineStr">
        <is>
          <t>LABA RUGI | TAHUN 2024</t>
        </is>
      </c>
      <c r="F4" s="500" t="n"/>
      <c r="G4" s="503" t="inlineStr">
        <is>
          <t>NERACA |TAHUN YANG BERAKHIR, 31 DESEMBER 2024</t>
        </is>
      </c>
      <c r="H4" s="503" t="n"/>
      <c r="I4" s="503" t="n"/>
      <c r="J4" s="503" t="n"/>
      <c r="K4" s="504" t="inlineStr">
        <is>
          <t>CATATAN KEAMANAN</t>
        </is>
      </c>
    </row>
    <row r="5" ht="6" customHeight="1" s="297">
      <c r="A5" s="497" t="n"/>
      <c r="B5" s="497" t="n"/>
      <c r="C5" s="497" t="n"/>
      <c r="D5" s="497" t="n"/>
      <c r="E5" s="498" t="n"/>
      <c r="F5" s="500" t="n"/>
      <c r="G5" s="500" t="n"/>
      <c r="H5" s="505" t="n"/>
      <c r="I5" s="505" t="n"/>
      <c r="J5" s="505" t="n"/>
      <c r="K5" t="inlineStr">
        <is>
          <t>Kolom ini aman dari overwrite sistem.</t>
        </is>
      </c>
    </row>
    <row r="6" ht="15.5" customHeight="1" s="297">
      <c r="A6" s="497" t="n"/>
      <c r="B6" s="506" t="n"/>
      <c r="C6" s="507" t="n"/>
      <c r="D6" s="508" t="inlineStr">
        <is>
          <t>PT. Exspan Wireline Indonesia</t>
        </is>
      </c>
      <c r="E6" s="289" t="n"/>
      <c r="F6" s="500" t="n"/>
      <c r="G6" s="509" t="n"/>
      <c r="H6" s="510" t="n"/>
      <c r="I6" s="508" t="inlineStr">
        <is>
          <t>PT. Exspan Wireline Indonesia</t>
        </is>
      </c>
      <c r="J6" s="289" t="n"/>
      <c r="K6" t="inlineStr">
        <is>
          <t>Diverifikasi pada: 2026-04-01 00:00</t>
        </is>
      </c>
    </row>
    <row r="7" ht="15.5" customHeight="1" s="297">
      <c r="A7" s="497" t="n"/>
      <c r="B7" s="511" t="n"/>
      <c r="C7" s="512" t="n"/>
      <c r="D7" s="513" t="inlineStr">
        <is>
          <t>(Rp)</t>
        </is>
      </c>
      <c r="E7" s="290" t="n"/>
      <c r="F7" s="500" t="n"/>
      <c r="G7" s="514" t="n"/>
      <c r="H7" s="515" t="n"/>
      <c r="I7" s="513" t="inlineStr">
        <is>
          <t>(Rp)</t>
        </is>
      </c>
      <c r="J7" s="290" t="n"/>
    </row>
    <row r="8">
      <c r="A8" s="497" t="n"/>
      <c r="B8" s="516" t="inlineStr">
        <is>
          <t>PENDAPATAN</t>
        </is>
      </c>
      <c r="C8" s="517" t="n"/>
      <c r="D8" s="518" t="n"/>
      <c r="E8" s="519" t="n"/>
      <c r="F8" s="500" t="n"/>
      <c r="G8" s="520" t="inlineStr">
        <is>
          <t>AKTIVA</t>
        </is>
      </c>
      <c r="H8" s="521" t="n"/>
      <c r="I8" s="522" t="n"/>
      <c r="J8" s="523" t="n"/>
    </row>
    <row r="9">
      <c r="A9" s="497" t="n"/>
      <c r="B9" s="524" t="n"/>
      <c r="C9" s="517" t="inlineStr">
        <is>
          <t>PENDAPATAN LANGSUNG</t>
        </is>
      </c>
      <c r="D9" s="524" t="inlineStr">
        <is>
          <t>Rp</t>
        </is>
      </c>
      <c r="E9" s="525">
        <f>SUM('Revenue-Cost_2024'!L8:'Revenue-Cost_2024'!L21)</f>
        <v/>
      </c>
      <c r="F9" s="500" t="n"/>
      <c r="G9" s="526" t="inlineStr">
        <is>
          <t>AKTIVA LANCAR</t>
        </is>
      </c>
      <c r="H9" s="527" t="n"/>
      <c r="I9" s="526" t="n"/>
      <c r="J9" s="528" t="n"/>
    </row>
    <row r="10">
      <c r="A10" s="497" t="n"/>
      <c r="B10" s="524" t="n"/>
      <c r="C10" s="517" t="inlineStr">
        <is>
          <t>PENDAPATAN LAIN LAIN</t>
        </is>
      </c>
      <c r="D10" s="524" t="inlineStr">
        <is>
          <t>Rp</t>
        </is>
      </c>
      <c r="E10" s="525">
        <f>SUM('Revenue-Cost_2024'!L8:'Revenue-Cost_2024'!L21)</f>
        <v/>
      </c>
      <c r="F10" s="500" t="n"/>
      <c r="G10" s="529" t="n"/>
      <c r="H10" s="530" t="inlineStr">
        <is>
          <t>KAS DAN SETARA KAS TAHUN SEBELUMNYA</t>
        </is>
      </c>
      <c r="I10" s="524" t="inlineStr">
        <is>
          <t>Rp</t>
        </is>
      </c>
      <c r="J10" s="531" t="n">
        <v>0</v>
      </c>
    </row>
    <row r="11">
      <c r="A11" s="497" t="n"/>
      <c r="B11" s="524" t="n"/>
      <c r="C11" s="517" t="n"/>
      <c r="D11" s="532" t="n"/>
      <c r="E11" s="533" t="n"/>
      <c r="F11" s="500" t="n"/>
      <c r="G11" s="529" t="n"/>
      <c r="H11" s="530" t="inlineStr">
        <is>
          <t>KAS DAN SETARA KAS TAHUN LAPORAN</t>
        </is>
      </c>
      <c r="I11" s="524" t="inlineStr">
        <is>
          <t>Rp</t>
        </is>
      </c>
      <c r="J11" s="531">
        <f>E46-'Business Summary'!E13</f>
        <v/>
      </c>
    </row>
    <row r="12">
      <c r="A12" s="497" t="n"/>
      <c r="B12" s="534" t="inlineStr">
        <is>
          <t>TOTALPENDAPATAN</t>
        </is>
      </c>
      <c r="C12" s="535" t="n"/>
      <c r="D12" s="536" t="inlineStr">
        <is>
          <t>Rp</t>
        </is>
      </c>
      <c r="E12" s="537">
        <f>SUM(E9:E11)</f>
        <v/>
      </c>
      <c r="F12" s="500" t="n"/>
      <c r="G12" s="529" t="n"/>
      <c r="H12" s="530" t="inlineStr">
        <is>
          <t>PIUTANG USAHA</t>
        </is>
      </c>
      <c r="I12" s="524" t="inlineStr">
        <is>
          <t>Rp</t>
        </is>
      </c>
      <c r="J12" s="531" t="n">
        <v>0</v>
      </c>
    </row>
    <row r="13">
      <c r="A13" s="497" t="n"/>
      <c r="B13" s="524" t="n"/>
      <c r="C13" s="517" t="n"/>
      <c r="D13" s="518" t="n"/>
      <c r="E13" s="538" t="n"/>
      <c r="F13" s="500" t="n"/>
      <c r="G13" s="529" t="n"/>
      <c r="H13" s="530" t="inlineStr">
        <is>
          <t>PAJAK BAYAR DI MUKA (pph23)</t>
        </is>
      </c>
      <c r="I13" s="524" t="inlineStr">
        <is>
          <t>Rp</t>
        </is>
      </c>
      <c r="J13" s="531" t="n">
        <v>0</v>
      </c>
    </row>
    <row r="14">
      <c r="A14" s="497" t="n"/>
      <c r="B14" s="539" t="inlineStr">
        <is>
          <t>BEBAN LANGSUNG</t>
        </is>
      </c>
      <c r="C14" s="517" t="n"/>
      <c r="D14" s="524" t="n"/>
      <c r="E14" s="540" t="n"/>
      <c r="F14" s="500" t="n"/>
      <c r="G14" s="529" t="n"/>
      <c r="H14" s="530" t="inlineStr">
        <is>
          <t>BIAYA BAYAR DI MUKA</t>
        </is>
      </c>
      <c r="I14" s="524" t="inlineStr">
        <is>
          <t>Rp</t>
        </is>
      </c>
      <c r="J14" s="531" t="n">
        <v>0</v>
      </c>
    </row>
    <row r="15">
      <c r="A15" s="497" t="n"/>
      <c r="B15" s="541" t="n"/>
      <c r="C15" s="517" t="inlineStr">
        <is>
          <t xml:space="preserve">Biaya Operasi </t>
        </is>
      </c>
      <c r="D15" s="524" t="inlineStr">
        <is>
          <t>Rp</t>
        </is>
      </c>
      <c r="E15" s="540">
        <f>'Revenue-Cost_2024'!I720</f>
        <v/>
      </c>
      <c r="F15" s="500" t="n"/>
      <c r="G15" s="542" t="n"/>
      <c r="H15" s="530" t="inlineStr">
        <is>
          <t>PIUTANG LAIN LAIN</t>
        </is>
      </c>
      <c r="I15" s="524" t="inlineStr">
        <is>
          <t>Rp</t>
        </is>
      </c>
      <c r="J15" s="531" t="n">
        <v>0</v>
      </c>
    </row>
    <row r="16">
      <c r="A16" s="497" t="n"/>
      <c r="B16" s="541" t="n"/>
      <c r="C16" s="517" t="inlineStr">
        <is>
          <t>Biaya research (R &amp; D)</t>
        </is>
      </c>
      <c r="D16" s="524" t="inlineStr">
        <is>
          <t>Rp</t>
        </is>
      </c>
      <c r="E16" s="540">
        <f>'Revenue-Cost_2024'!J720</f>
        <v/>
      </c>
      <c r="F16" s="500" t="n"/>
      <c r="G16" s="543" t="n"/>
      <c r="H16" s="544" t="inlineStr">
        <is>
          <t>TOTAL AKTIVA LANCAR</t>
        </is>
      </c>
      <c r="I16" s="536" t="inlineStr">
        <is>
          <t>Rp</t>
        </is>
      </c>
      <c r="J16" s="545">
        <f>SUM(J10:J15)</f>
        <v/>
      </c>
    </row>
    <row r="17">
      <c r="A17" s="497" t="n"/>
      <c r="B17" s="541" t="n"/>
      <c r="C17" s="517" t="inlineStr">
        <is>
          <t>BIAYA SEWA PERALATAN</t>
        </is>
      </c>
      <c r="D17" s="524" t="inlineStr">
        <is>
          <t>Rp</t>
        </is>
      </c>
      <c r="E17" s="540">
        <f>'Revenue-Cost_2024'!K720</f>
        <v/>
      </c>
      <c r="F17" s="500" t="n"/>
      <c r="G17" s="529" t="n"/>
      <c r="H17" s="530" t="n"/>
      <c r="I17" s="546" t="n"/>
      <c r="J17" s="547" t="n"/>
    </row>
    <row r="18">
      <c r="A18" s="497" t="n"/>
      <c r="B18" s="541" t="n"/>
      <c r="C18" s="517" t="inlineStr">
        <is>
          <t>BIAYA Data Processing</t>
        </is>
      </c>
      <c r="D18" s="524" t="inlineStr">
        <is>
          <t>Rp</t>
        </is>
      </c>
      <c r="E18" s="540">
        <f>'Revenue-Cost_2024'!L720</f>
        <v/>
      </c>
      <c r="F18" s="500" t="n"/>
      <c r="G18" s="526" t="inlineStr">
        <is>
          <t>ACTIVA TETAP</t>
        </is>
      </c>
      <c r="H18" s="548" t="n"/>
      <c r="I18" s="520" t="n"/>
      <c r="J18" s="531" t="n"/>
    </row>
    <row r="19">
      <c r="A19" s="497" t="n"/>
      <c r="B19" s="541" t="n"/>
      <c r="C19" s="517" t="n"/>
      <c r="D19" s="524" t="n"/>
      <c r="E19" s="540" t="n"/>
      <c r="F19" s="500" t="n"/>
      <c r="G19" s="526" t="n"/>
      <c r="H19" s="548" t="n"/>
      <c r="I19" s="520" t="n"/>
      <c r="J19" s="531" t="n"/>
    </row>
    <row r="20">
      <c r="A20" s="497" t="n"/>
      <c r="B20" s="541" t="n"/>
      <c r="C20" s="517" t="n"/>
      <c r="D20" s="532" t="n"/>
      <c r="E20" s="549" t="n"/>
      <c r="F20" s="500" t="n"/>
      <c r="G20" s="529" t="n"/>
      <c r="H20" s="530" t="inlineStr">
        <is>
          <t>INVENTARIS KANTOR</t>
        </is>
      </c>
      <c r="I20" s="524" t="inlineStr">
        <is>
          <t>Rp</t>
        </is>
      </c>
      <c r="J20" s="531" t="n">
        <v>0</v>
      </c>
    </row>
    <row r="21">
      <c r="A21" s="497" t="n"/>
      <c r="B21" s="534" t="inlineStr">
        <is>
          <t>TOTAL BIAYA LANGSUNG</t>
        </is>
      </c>
      <c r="C21" s="535" t="n"/>
      <c r="D21" s="536" t="inlineStr">
        <is>
          <t>Rp</t>
        </is>
      </c>
      <c r="E21" s="550">
        <f>SUM(E15:E20)</f>
        <v/>
      </c>
      <c r="F21" s="500" t="n"/>
      <c r="G21" s="529" t="n"/>
      <c r="H21" s="548" t="n"/>
      <c r="I21" s="551" t="n"/>
      <c r="J21" s="552" t="n"/>
    </row>
    <row r="22">
      <c r="A22" s="497" t="n"/>
      <c r="B22" s="524" t="n"/>
      <c r="C22" s="517" t="n"/>
      <c r="D22" s="518" t="n"/>
      <c r="E22" s="553" t="n"/>
      <c r="F22" s="500" t="n"/>
      <c r="G22" s="543" t="n"/>
      <c r="H22" s="544" t="inlineStr">
        <is>
          <t>TOTAL AKTIVA TETAP</t>
        </is>
      </c>
      <c r="I22" s="536" t="inlineStr">
        <is>
          <t>Rp</t>
        </is>
      </c>
      <c r="J22" s="545">
        <f>J20</f>
        <v/>
      </c>
    </row>
    <row r="23">
      <c r="A23" s="497" t="n"/>
      <c r="B23" s="539" t="inlineStr">
        <is>
          <t>BEBAN TIDAK LANGSUNG</t>
        </is>
      </c>
      <c r="C23" s="517" t="n"/>
      <c r="D23" s="524" t="n"/>
      <c r="E23" s="540">
        <f>'Revenue-Cost_2024'!Q720</f>
        <v/>
      </c>
      <c r="F23" s="500" t="n"/>
      <c r="G23" s="529" t="n"/>
      <c r="H23" s="530" t="n"/>
      <c r="I23" s="546" t="n"/>
      <c r="J23" s="523" t="n"/>
    </row>
    <row r="24">
      <c r="A24" s="497" t="n"/>
      <c r="B24" s="524" t="n"/>
      <c r="C24" s="517" t="n"/>
      <c r="D24" s="524" t="n"/>
      <c r="E24" s="540" t="n"/>
      <c r="F24" s="500" t="n"/>
      <c r="G24" s="526" t="inlineStr">
        <is>
          <t>ACTIVA LAIN LAIN</t>
        </is>
      </c>
      <c r="H24" s="548" t="n"/>
      <c r="I24" s="520" t="n"/>
      <c r="J24" s="531" t="n">
        <v>0</v>
      </c>
    </row>
    <row r="25">
      <c r="A25" s="497" t="n"/>
      <c r="B25" s="524" t="n"/>
      <c r="C25" s="517" t="n"/>
      <c r="D25" s="524" t="inlineStr">
        <is>
          <t>Rp</t>
        </is>
      </c>
      <c r="E25" s="540" t="n"/>
      <c r="F25" s="500" t="n"/>
      <c r="G25" s="529" t="n"/>
      <c r="H25" s="530" t="n"/>
      <c r="I25" s="554" t="n"/>
      <c r="J25" s="555" t="n">
        <v>0</v>
      </c>
    </row>
    <row r="26">
      <c r="A26" s="497" t="n"/>
      <c r="B26" s="524" t="n"/>
      <c r="C26" s="517" t="n"/>
      <c r="D26" s="532" t="n"/>
      <c r="E26" s="549" t="n"/>
      <c r="F26" s="500" t="n"/>
      <c r="G26" s="543" t="n"/>
      <c r="H26" s="544" t="inlineStr">
        <is>
          <t>TOTAL AKTIVA LAIN LAIN</t>
        </is>
      </c>
      <c r="I26" s="536" t="inlineStr">
        <is>
          <t>Rp</t>
        </is>
      </c>
      <c r="J26" s="545">
        <f>SUM(J25:J25)</f>
        <v/>
      </c>
    </row>
    <row r="27">
      <c r="A27" s="497" t="n"/>
      <c r="B27" s="534" t="inlineStr">
        <is>
          <t>TOTAL BIAYA TIDAK LANGSUNG</t>
        </is>
      </c>
      <c r="C27" s="535" t="n"/>
      <c r="D27" s="536" t="inlineStr">
        <is>
          <t>Rp</t>
        </is>
      </c>
      <c r="E27" s="550">
        <f>SUM(E22:E26)</f>
        <v/>
      </c>
      <c r="F27" s="500" t="n"/>
      <c r="G27" s="529" t="n"/>
      <c r="H27" s="530" t="n"/>
      <c r="I27" s="556" t="n"/>
      <c r="J27" s="557" t="n"/>
    </row>
    <row r="28">
      <c r="A28" s="497" t="n"/>
      <c r="B28" s="524" t="n"/>
      <c r="C28" s="517" t="n"/>
      <c r="D28" s="518" t="n"/>
      <c r="E28" s="553" t="n"/>
      <c r="F28" s="500" t="n"/>
      <c r="G28" s="534" t="inlineStr">
        <is>
          <t>TOTAL AKTIVA</t>
        </is>
      </c>
      <c r="H28" s="535" t="n"/>
      <c r="I28" s="536" t="inlineStr">
        <is>
          <t>Rp</t>
        </is>
      </c>
      <c r="J28" s="558">
        <f>J26+J22+J16</f>
        <v/>
      </c>
    </row>
    <row r="29">
      <c r="A29" s="497" t="n"/>
      <c r="B29" s="539" t="inlineStr">
        <is>
          <t>BIAYA ADMINISTRASI DAN UMUM</t>
        </is>
      </c>
      <c r="C29" s="517" t="n"/>
      <c r="D29" s="524" t="n"/>
      <c r="E29" s="540" t="n"/>
      <c r="F29" s="500" t="n"/>
      <c r="G29" s="559" t="n"/>
      <c r="H29" s="560" t="n"/>
      <c r="I29" s="559" t="n"/>
      <c r="J29" s="547" t="n"/>
    </row>
    <row r="30">
      <c r="A30" s="497" t="n"/>
      <c r="B30" s="541" t="n"/>
      <c r="C30" s="517" t="inlineStr">
        <is>
          <t>BIAYA ADMINISTRASI</t>
        </is>
      </c>
      <c r="D30" s="524" t="inlineStr">
        <is>
          <t>Rp</t>
        </is>
      </c>
      <c r="E30" s="540">
        <f>'Revenue-Cost_2024'!M720</f>
        <v/>
      </c>
      <c r="F30" s="500" t="n"/>
      <c r="G30" s="561" t="inlineStr">
        <is>
          <t>HUTANG DAN MODAL</t>
        </is>
      </c>
      <c r="H30" s="521" t="n"/>
      <c r="I30" s="561" t="n"/>
      <c r="J30" s="562" t="n"/>
    </row>
    <row r="31">
      <c r="A31" s="497" t="n"/>
      <c r="B31" s="541" t="n"/>
      <c r="C31" s="517" t="inlineStr">
        <is>
          <t>BIAYA PEMBELIAN Barang</t>
        </is>
      </c>
      <c r="D31" s="524" t="inlineStr">
        <is>
          <t>Rp</t>
        </is>
      </c>
      <c r="E31" s="540">
        <f>'Revenue-Cost_2024'!N720</f>
        <v/>
      </c>
      <c r="F31" s="500" t="n"/>
      <c r="G31" s="561" t="n"/>
      <c r="H31" s="521" t="n"/>
      <c r="I31" s="561" t="n"/>
      <c r="J31" s="562" t="n"/>
    </row>
    <row r="32">
      <c r="A32" s="497" t="n"/>
      <c r="B32" s="541" t="n"/>
      <c r="C32" s="517" t="inlineStr">
        <is>
          <t>BIAYA SEWA KANTOR</t>
        </is>
      </c>
      <c r="D32" s="524" t="inlineStr">
        <is>
          <t>Rp</t>
        </is>
      </c>
      <c r="E32" s="540">
        <f>'Revenue-Cost_2024'!O720</f>
        <v/>
      </c>
      <c r="F32" s="500" t="n"/>
      <c r="G32" s="526" t="inlineStr">
        <is>
          <t>HUTANG LANCAR</t>
        </is>
      </c>
      <c r="H32" s="527" t="n"/>
      <c r="I32" s="526" t="n"/>
      <c r="J32" s="528" t="n"/>
    </row>
    <row r="33">
      <c r="A33" s="497" t="n"/>
      <c r="B33" s="541" t="n"/>
      <c r="C33" s="517" t="inlineStr">
        <is>
          <t>BIAYA KESEHATAN</t>
        </is>
      </c>
      <c r="D33" s="524" t="inlineStr">
        <is>
          <t>Rp</t>
        </is>
      </c>
      <c r="E33" s="540">
        <f>'Revenue-Cost_2024'!P720</f>
        <v/>
      </c>
      <c r="F33" s="500" t="n"/>
      <c r="G33" s="529" t="n"/>
      <c r="H33" s="530" t="inlineStr">
        <is>
          <t>HUTANG USAHA</t>
        </is>
      </c>
      <c r="I33" s="524" t="inlineStr">
        <is>
          <t>Rp</t>
        </is>
      </c>
      <c r="J33" s="531" t="n">
        <v>0</v>
      </c>
    </row>
    <row r="34">
      <c r="A34" s="497" t="n"/>
      <c r="B34" s="541" t="n"/>
      <c r="C34" s="517" t="n"/>
      <c r="D34" s="532" t="n"/>
      <c r="E34" s="549" t="n"/>
      <c r="F34" s="500" t="n"/>
      <c r="G34" s="529" t="n"/>
      <c r="H34" s="563" t="inlineStr">
        <is>
          <t>HUTANG GAJI</t>
        </is>
      </c>
      <c r="I34" s="524" t="inlineStr">
        <is>
          <t>Rp</t>
        </is>
      </c>
      <c r="J34" s="531" t="n">
        <v>0</v>
      </c>
    </row>
    <row r="35">
      <c r="A35" s="497" t="n"/>
      <c r="B35" s="534" t="inlineStr">
        <is>
          <t>TOTAL BIAYA ADMINISTRASI DAN UMUM</t>
        </is>
      </c>
      <c r="C35" s="535" t="n"/>
      <c r="D35" s="536" t="inlineStr">
        <is>
          <t>Rp</t>
        </is>
      </c>
      <c r="E35" s="537">
        <f>SUM(E30:E34)</f>
        <v/>
      </c>
      <c r="F35" s="500" t="n"/>
      <c r="G35" s="529" t="n"/>
      <c r="H35" s="530" t="inlineStr">
        <is>
          <t>HUTANG PEMEGANG SAHAM</t>
        </is>
      </c>
      <c r="I35" s="524" t="inlineStr">
        <is>
          <t>Rp</t>
        </is>
      </c>
      <c r="J35" s="531" t="n">
        <v>0</v>
      </c>
    </row>
    <row r="36">
      <c r="A36" s="497" t="n"/>
      <c r="B36" s="541" t="n"/>
      <c r="C36" s="517" t="n"/>
      <c r="D36" s="536" t="n"/>
      <c r="E36" s="564" t="n"/>
      <c r="F36" s="500" t="n"/>
      <c r="G36" s="529" t="n"/>
      <c r="H36" s="530" t="inlineStr">
        <is>
          <t>BIAYA YANG MASIH HARUS DI BAYAR</t>
        </is>
      </c>
      <c r="I36" s="524" t="inlineStr">
        <is>
          <t>Rp</t>
        </is>
      </c>
      <c r="J36" s="531" t="n">
        <v>0</v>
      </c>
    </row>
    <row r="37">
      <c r="A37" s="497" t="n"/>
      <c r="B37" s="534" t="inlineStr">
        <is>
          <t>TOTAL BIAYA</t>
        </is>
      </c>
      <c r="C37" s="535" t="n"/>
      <c r="D37" s="536" t="inlineStr">
        <is>
          <t>Rp</t>
        </is>
      </c>
      <c r="E37" s="537">
        <f>E35+E21+E27</f>
        <v/>
      </c>
      <c r="F37" s="500" t="n"/>
      <c r="G37" s="565" t="n"/>
      <c r="H37" s="566" t="n"/>
      <c r="I37" s="565" t="n"/>
      <c r="J37" s="567" t="n"/>
    </row>
    <row r="38">
      <c r="A38" s="497" t="n"/>
      <c r="B38" s="516" t="n"/>
      <c r="C38" s="568" t="n"/>
      <c r="D38" s="518" t="n"/>
      <c r="E38" s="569" t="n"/>
      <c r="F38" s="500" t="n"/>
      <c r="G38" s="543" t="n"/>
      <c r="H38" s="544" t="inlineStr">
        <is>
          <t>TOTAL HUTANG LANCAR</t>
        </is>
      </c>
      <c r="I38" s="570" t="n"/>
      <c r="J38" s="545">
        <f>SUM(J33:J36)</f>
        <v/>
      </c>
    </row>
    <row r="39">
      <c r="A39" s="497" t="n"/>
      <c r="B39" s="539" t="inlineStr">
        <is>
          <t xml:space="preserve">PENDAPATAN/BEBAN LAIN LAIN </t>
        </is>
      </c>
      <c r="C39" s="517" t="n"/>
      <c r="D39" s="524" t="inlineStr">
        <is>
          <t>Rp</t>
        </is>
      </c>
      <c r="E39" s="571" t="n"/>
      <c r="F39" s="500" t="n"/>
      <c r="G39" s="529" t="n"/>
      <c r="H39" s="548" t="n"/>
      <c r="I39" s="572" t="n"/>
      <c r="J39" s="523" t="n"/>
    </row>
    <row r="40">
      <c r="A40" s="497" t="n"/>
      <c r="B40" s="539" t="n"/>
      <c r="C40" s="517" t="inlineStr">
        <is>
          <t>PENDAPATAN LAINNYA</t>
        </is>
      </c>
      <c r="D40" s="524" t="inlineStr">
        <is>
          <t>Rp</t>
        </is>
      </c>
      <c r="E40" s="525" t="n">
        <v>0</v>
      </c>
      <c r="F40" s="500" t="n"/>
      <c r="G40" s="526" t="inlineStr">
        <is>
          <t>MODAL</t>
        </is>
      </c>
      <c r="H40" s="527" t="n"/>
      <c r="I40" s="526" t="n"/>
      <c r="J40" s="528" t="n"/>
    </row>
    <row r="41">
      <c r="A41" s="497" t="n"/>
      <c r="B41" s="539" t="n"/>
      <c r="C41" s="517" t="n"/>
      <c r="D41" s="532" t="n"/>
      <c r="E41" s="573" t="n"/>
      <c r="F41" s="500" t="n"/>
      <c r="G41" s="529" t="n"/>
      <c r="H41" s="530" t="inlineStr">
        <is>
          <t>MODAL SAHAM</t>
        </is>
      </c>
      <c r="I41" s="524" t="inlineStr">
        <is>
          <t>Rp</t>
        </is>
      </c>
      <c r="J41" s="531" t="n">
        <v>0</v>
      </c>
    </row>
    <row r="42">
      <c r="A42" s="497" t="n"/>
      <c r="B42" s="534" t="inlineStr">
        <is>
          <t>LABA RUGI SEBELUM PAJAK</t>
        </is>
      </c>
      <c r="C42" s="535" t="n"/>
      <c r="D42" s="536" t="inlineStr">
        <is>
          <t>Rp</t>
        </is>
      </c>
      <c r="E42" s="537">
        <f>E12-E37</f>
        <v/>
      </c>
      <c r="F42" s="500" t="n"/>
      <c r="G42" s="529" t="n"/>
      <c r="H42" s="530" t="inlineStr">
        <is>
          <t>LABA DI TAHAN</t>
        </is>
      </c>
      <c r="I42" s="524" t="inlineStr">
        <is>
          <t>Rp</t>
        </is>
      </c>
      <c r="J42" s="531" t="n">
        <v>0</v>
      </c>
    </row>
    <row r="43">
      <c r="A43" s="497" t="n"/>
      <c r="B43" s="574" t="n"/>
      <c r="C43" s="568" t="n"/>
      <c r="D43" s="518" t="n"/>
      <c r="E43" s="538" t="n"/>
      <c r="F43" s="500" t="n"/>
      <c r="G43" s="526" t="n"/>
      <c r="H43" s="530" t="inlineStr">
        <is>
          <t>TOTAL LABA (RUGI) DITAHAN</t>
        </is>
      </c>
      <c r="I43" s="532" t="inlineStr">
        <is>
          <t>Rp</t>
        </is>
      </c>
      <c r="J43" s="555">
        <f>J28-J38-J41-J42</f>
        <v/>
      </c>
    </row>
    <row r="44">
      <c r="A44" s="497" t="n"/>
      <c r="B44" s="539" t="inlineStr">
        <is>
          <t>CORPORATE TAX (PPh 29)</t>
        </is>
      </c>
      <c r="D44" s="524" t="inlineStr">
        <is>
          <t>Rp</t>
        </is>
      </c>
      <c r="E44" s="525" t="n">
        <v>0</v>
      </c>
      <c r="F44" s="500" t="n"/>
      <c r="G44" s="543" t="n"/>
      <c r="H44" s="544" t="inlineStr">
        <is>
          <t>TOTAL MODAL</t>
        </is>
      </c>
      <c r="I44" s="536" t="inlineStr">
        <is>
          <t>Rp</t>
        </is>
      </c>
      <c r="J44" s="545">
        <f>SUM(J41:J43)</f>
        <v/>
      </c>
    </row>
    <row r="45">
      <c r="A45" s="497" t="n"/>
      <c r="B45" s="539" t="n"/>
      <c r="C45" s="517" t="n"/>
      <c r="D45" s="532" t="n"/>
      <c r="E45" s="573" t="n"/>
      <c r="F45" s="500" t="n"/>
      <c r="G45" s="529" t="n"/>
      <c r="H45" s="530" t="n"/>
      <c r="I45" s="556" t="n"/>
      <c r="J45" s="557" t="n"/>
    </row>
    <row r="46" ht="15" customHeight="1" s="297">
      <c r="A46" s="497" t="n"/>
      <c r="B46" s="575" t="inlineStr">
        <is>
          <t>LABA / RUGI BERSIH</t>
        </is>
      </c>
      <c r="C46" s="303" t="n"/>
      <c r="D46" s="576" t="n"/>
      <c r="E46" s="577">
        <f>E42-E44</f>
        <v/>
      </c>
      <c r="F46" s="500" t="n"/>
      <c r="G46" s="578" t="inlineStr">
        <is>
          <t>TOTAL HUTANG DAN MODAL</t>
        </is>
      </c>
      <c r="H46" s="579" t="n"/>
      <c r="I46" s="576" t="inlineStr">
        <is>
          <t>Rp</t>
        </is>
      </c>
      <c r="J46" s="580">
        <f>J44+J38</f>
        <v/>
      </c>
    </row>
    <row r="47" ht="4.5" customHeight="1" s="297">
      <c r="A47" s="497" t="n"/>
      <c r="F47" s="500" t="n"/>
    </row>
    <row r="48" ht="50.65" customHeight="1" s="297">
      <c r="A48" s="497" t="n"/>
      <c r="F48" s="500" t="n"/>
      <c r="G48" s="581" t="n"/>
    </row>
    <row r="49" ht="16.75" customHeight="1" s="297">
      <c r="A49" s="497" t="n"/>
      <c r="B49" s="582" t="n"/>
      <c r="F49" s="500" t="n"/>
      <c r="G49" s="582" t="n"/>
    </row>
    <row r="50" ht="15.65" customHeight="1" s="297">
      <c r="A50" s="517" t="n"/>
      <c r="B50" s="583" t="inlineStr">
        <is>
          <t>Direktur</t>
        </is>
      </c>
      <c r="F50" s="500" t="n"/>
      <c r="G50" s="583" t="inlineStr">
        <is>
          <t>Direktur</t>
        </is>
      </c>
    </row>
    <row r="51">
      <c r="A51" s="517" t="n"/>
      <c r="F51" s="500" t="n"/>
    </row>
    <row r="52">
      <c r="A52" s="517" t="n"/>
      <c r="F52" s="500" t="n"/>
      <c r="J52" s="5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</row>
    <row r="4" ht="20.5" customHeight="1" s="297">
      <c r="A4" s="497" t="n"/>
      <c r="B4" s="502" t="inlineStr">
        <is>
          <t>BUSINESS SUMMARY | TAHUN 2024</t>
        </is>
      </c>
      <c r="F4" s="500" t="n"/>
    </row>
    <row r="5" ht="6" customHeight="1" s="297">
      <c r="A5" s="497" t="n"/>
      <c r="B5" s="497" t="n"/>
      <c r="C5" s="497" t="n"/>
      <c r="D5" s="497" t="n"/>
      <c r="E5" s="498" t="n"/>
      <c r="F5" s="500" t="n"/>
    </row>
    <row r="6" ht="19" customHeight="1" s="297">
      <c r="A6" s="497" t="n"/>
      <c r="B6" s="585" t="inlineStr">
        <is>
          <t>#</t>
        </is>
      </c>
      <c r="C6" s="585" t="inlineStr">
        <is>
          <t>Items</t>
        </is>
      </c>
      <c r="D6" s="586" t="inlineStr">
        <is>
          <t>Amount</t>
        </is>
      </c>
      <c r="E6" s="279" t="n"/>
      <c r="F6" s="500" t="n"/>
    </row>
    <row r="7" ht="19" customHeight="1" s="297">
      <c r="A7" s="497" t="n"/>
      <c r="B7" s="587" t="n">
        <v>1</v>
      </c>
      <c r="C7" s="588" t="inlineStr">
        <is>
          <t>Revenue</t>
        </is>
      </c>
      <c r="D7" s="589" t="inlineStr">
        <is>
          <t>Rp</t>
        </is>
      </c>
      <c r="E7" s="590">
        <f>SUM('Revenue-Cost_2024'!L8:'Revenue-Cost_2024'!L21)</f>
        <v/>
      </c>
      <c r="F7" s="500" t="n"/>
    </row>
    <row r="8" ht="19" customHeight="1" s="297">
      <c r="A8" s="497" t="n"/>
      <c r="B8" s="587" t="n">
        <v>2</v>
      </c>
      <c r="C8" s="588" t="inlineStr">
        <is>
          <t>Revenue Diterima (Setelah Pajak)</t>
        </is>
      </c>
      <c r="D8" s="589" t="inlineStr">
        <is>
          <t>Rp</t>
        </is>
      </c>
      <c r="E8" s="590">
        <f>E7-SUM('Revenue-Cost_2024'!N8:'Revenue-Cost_2024'!N21)</f>
        <v/>
      </c>
      <c r="F8" s="500" t="n"/>
    </row>
    <row r="9" ht="19" customHeight="1" s="297">
      <c r="A9" s="497" t="n"/>
      <c r="B9" s="587" t="n">
        <v>3</v>
      </c>
      <c r="C9" s="588" t="inlineStr">
        <is>
          <t>Biaya</t>
        </is>
      </c>
      <c r="D9" s="589" t="inlineStr">
        <is>
          <t>Rp</t>
        </is>
      </c>
      <c r="E9" s="590">
        <f>SUM('Revenue-Cost_2024'!I720:Q720)</f>
        <v/>
      </c>
      <c r="F9" s="500" t="n"/>
    </row>
    <row r="10" ht="19" customHeight="1" s="297">
      <c r="A10" s="497" t="n"/>
      <c r="B10" s="587" t="n">
        <v>4</v>
      </c>
      <c r="C10" s="588" t="inlineStr">
        <is>
          <t>Profit SebelumTax</t>
        </is>
      </c>
      <c r="D10" s="589" t="inlineStr">
        <is>
          <t>Rp</t>
        </is>
      </c>
      <c r="E10" s="590">
        <f>E7-E9</f>
        <v/>
      </c>
      <c r="F10" s="500" t="n"/>
    </row>
    <row r="11" ht="19" customHeight="1" s="297">
      <c r="A11" s="497" t="n"/>
      <c r="B11" s="587" t="n">
        <v>5</v>
      </c>
      <c r="C11" s="588" t="inlineStr">
        <is>
          <t>PPh Badan (22%*50%)</t>
        </is>
      </c>
      <c r="D11" s="589" t="inlineStr">
        <is>
          <t>Rp</t>
        </is>
      </c>
      <c r="E11" s="590">
        <f>E10*22%*50%</f>
        <v/>
      </c>
      <c r="F11" s="500" t="n"/>
    </row>
    <row r="12" ht="19" customHeight="1" s="297">
      <c r="A12" s="497" t="n"/>
      <c r="B12" s="587" t="n">
        <v>6</v>
      </c>
      <c r="C12" s="588" t="inlineStr">
        <is>
          <t>PPh 23 Dipotong oleh client</t>
        </is>
      </c>
      <c r="D12" s="589" t="inlineStr">
        <is>
          <t>Rp</t>
        </is>
      </c>
      <c r="E12" s="590">
        <f>SUM('Revenue-Cost_2024'!N8:'Revenue-Cost_2024'!N21)</f>
        <v/>
      </c>
      <c r="F12" s="500" t="n"/>
    </row>
    <row r="13" ht="19" customHeight="1" s="297">
      <c r="A13" s="497" t="n"/>
      <c r="B13" s="587" t="n">
        <v>7</v>
      </c>
      <c r="C13" s="588" t="inlineStr">
        <is>
          <t>Kekurangan Bayar PPh Badan</t>
        </is>
      </c>
      <c r="D13" s="589" t="inlineStr">
        <is>
          <t>Rp</t>
        </is>
      </c>
      <c r="E13" s="591">
        <f>E11-E12</f>
        <v/>
      </c>
      <c r="F13" s="500" t="n"/>
    </row>
    <row r="14" ht="19" customHeight="1" s="297">
      <c r="A14" s="497" t="n"/>
      <c r="B14" s="587" t="n">
        <v>8</v>
      </c>
      <c r="C14" s="588" t="inlineStr">
        <is>
          <t>Profit After Tax</t>
        </is>
      </c>
      <c r="D14" s="589" t="inlineStr">
        <is>
          <t>Rp</t>
        </is>
      </c>
      <c r="E14" s="590">
        <f>E10-E13</f>
        <v/>
      </c>
      <c r="F14" s="500" t="n"/>
    </row>
    <row r="15" ht="19" customHeight="1" s="297">
      <c r="A15" s="497" t="n"/>
      <c r="B15" s="587" t="n">
        <v>9</v>
      </c>
      <c r="C15" s="588" t="inlineStr">
        <is>
          <t>Deviden Dibagi</t>
        </is>
      </c>
      <c r="D15" s="589" t="inlineStr">
        <is>
          <t>Rp</t>
        </is>
      </c>
      <c r="E15" s="590">
        <f>E14-E16</f>
        <v/>
      </c>
      <c r="F15" s="500" t="n"/>
    </row>
    <row r="16" ht="19" customHeight="1" s="297">
      <c r="A16" s="497" t="n"/>
      <c r="B16" s="587" t="n">
        <v>10</v>
      </c>
      <c r="C16" s="588" t="inlineStr">
        <is>
          <t>Profit Ditahan</t>
        </is>
      </c>
      <c r="D16" s="589" t="inlineStr">
        <is>
          <t>Rp</t>
        </is>
      </c>
      <c r="E16" s="590" t="n">
        <v>33763737</v>
      </c>
      <c r="F16" s="500" t="n"/>
    </row>
    <row r="17">
      <c r="A17" s="497" t="n"/>
      <c r="B17" s="497" t="n"/>
      <c r="C17" s="497" t="n"/>
      <c r="D17" s="497" t="n"/>
      <c r="E17" s="498" t="n"/>
      <c r="F17" s="500" t="n"/>
    </row>
    <row r="18" ht="18" customHeight="1" s="297">
      <c r="A18" s="497" t="n"/>
      <c r="B18" s="592" t="inlineStr">
        <is>
          <t>DEVIDEN</t>
        </is>
      </c>
      <c r="F18" s="500" t="n"/>
    </row>
    <row r="19" ht="19" customHeight="1" s="297">
      <c r="A19" s="497" t="n"/>
      <c r="B19" s="593" t="inlineStr">
        <is>
          <t>#</t>
        </is>
      </c>
      <c r="C19" s="593" t="inlineStr">
        <is>
          <t>Nama Lengkap</t>
        </is>
      </c>
      <c r="D19" s="593" t="inlineStr"/>
      <c r="E19" s="594" t="inlineStr">
        <is>
          <t>Amount</t>
        </is>
      </c>
      <c r="F19" s="500" t="inlineStr"/>
      <c r="G19" s="595" t="inlineStr">
        <is>
          <t>Pajak</t>
        </is>
      </c>
    </row>
    <row r="20" ht="19" customHeight="1" s="297">
      <c r="A20" s="497" t="n"/>
      <c r="B20" s="596" t="n">
        <v>1</v>
      </c>
      <c r="C20" s="597" t="inlineStr">
        <is>
          <t>Anevril Chairulsyah</t>
        </is>
      </c>
      <c r="D20" s="597" t="inlineStr">
        <is>
          <t>Rp</t>
        </is>
      </c>
      <c r="E20" s="598">
        <f>IF(C20="","",ROUND($E$15/COUNTA($C$20:$C$21), 0))</f>
        <v/>
      </c>
      <c r="F20" s="500" t="n"/>
      <c r="G20" s="599" t="inlineStr">
        <is>
          <t>Pajak 10%</t>
        </is>
      </c>
    </row>
    <row r="21" ht="48.75" customHeight="1" s="297">
      <c r="A21" s="517" t="n"/>
      <c r="B21" s="600" t="n">
        <v>2</v>
      </c>
      <c r="C21" s="600" t="inlineStr">
        <is>
          <t>Alan Muhadjir</t>
        </is>
      </c>
      <c r="D21" s="600" t="inlineStr">
        <is>
          <t>Rp</t>
        </is>
      </c>
      <c r="E21" s="601">
        <f>IF(C21="","",ROUND($E$15/COUNTA($C$20:$C$21), 0))</f>
        <v/>
      </c>
      <c r="F21" s="500" t="n"/>
      <c r="G21" t="inlineStr">
        <is>
          <t>Pajak 10%</t>
        </is>
      </c>
    </row>
    <row r="22">
      <c r="A22" s="517" t="n"/>
      <c r="F22" s="5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2026-03-31T17:00:25Z</dcterms:modified>
  <cp:lastModifiedBy>Diofavian - Student</cp:lastModifiedBy>
</cp:coreProperties>
</file>