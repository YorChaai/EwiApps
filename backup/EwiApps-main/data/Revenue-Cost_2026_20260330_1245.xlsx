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/>
    <font>
      <name val="Trebuchet MS"/>
      <b val="1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9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6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6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3" fontId="37" fillId="11" borderId="20" pivotButton="0" quotePrefix="0" xfId="2"/>
    <xf numFmtId="15" fontId="37" fillId="11" borderId="20" applyAlignment="1" pivotButton="0" quotePrefix="0" xfId="0">
      <alignment horizontal="right" vertical="center"/>
    </xf>
    <xf numFmtId="165" fontId="8" fillId="11" borderId="20" pivotButton="0" quotePrefix="0" xfId="1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pivotButton="0" quotePrefix="0" xfId="0"/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0" fontId="0" fillId="10" borderId="20" pivotButton="0" quotePrefix="0" xfId="0"/>
    <xf numFmtId="15" fontId="36" fillId="12" borderId="20" pivotButton="0" quotePrefix="0" xfId="0"/>
    <xf numFmtId="0" fontId="10" fillId="12" borderId="20" applyAlignment="1" pivotButton="0" quotePrefix="0" xfId="0">
      <alignment horizontal="center"/>
    </xf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165" fontId="8" fillId="12" borderId="20" pivotButton="0" quotePrefix="0" xfId="0"/>
    <xf numFmtId="0" fontId="0" fillId="12" borderId="20" pivotButton="0" quotePrefix="0" xfId="0"/>
    <xf numFmtId="165" fontId="10" fillId="12" borderId="20" pivotButton="0" quotePrefix="0" xfId="1"/>
    <xf numFmtId="168" fontId="37" fillId="11" borderId="20" pivotButton="0" quotePrefix="0" xfId="0"/>
    <xf numFmtId="168" fontId="8" fillId="12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0" fontId="36" fillId="12" borderId="20" pivotButton="0" quotePrefix="0" xfId="0"/>
    <xf numFmtId="0" fontId="10" fillId="12" borderId="20" pivotButton="0" quotePrefix="0" xfId="0"/>
    <xf numFmtId="165" fontId="10" fillId="12" borderId="20" pivotButton="0" quotePrefix="0" xfId="0"/>
    <xf numFmtId="165" fontId="8" fillId="12" borderId="20" pivotButton="0" quotePrefix="0" xfId="1"/>
    <xf numFmtId="165" fontId="10" fillId="11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applyAlignment="1" pivotButton="0" quotePrefix="0" xfId="0">
      <alignment horizontal="left" vertical="center"/>
    </xf>
    <xf numFmtId="0" fontId="36" fillId="0" borderId="20" applyAlignment="1" pivotButton="0" quotePrefix="0" xfId="0">
      <alignment horizontal="right"/>
    </xf>
    <xf numFmtId="3" fontId="36" fillId="0" borderId="20" pivotButton="0" quotePrefix="0" xfId="1"/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horizontal="center" vertical="center"/>
    </xf>
    <xf numFmtId="3" fontId="36" fillId="0" borderId="20" applyAlignment="1" pivotButton="0" quotePrefix="0" xfId="0">
      <alignment vertical="top"/>
    </xf>
    <xf numFmtId="3" fontId="36" fillId="0" borderId="20" pivotButton="0" quotePrefix="0" xfId="0"/>
    <xf numFmtId="3" fontId="36" fillId="0" borderId="20" applyAlignment="1" pivotButton="0" quotePrefix="0" xfId="1">
      <alignment vertical="top"/>
    </xf>
    <xf numFmtId="167" fontId="8" fillId="0" borderId="4" applyAlignment="1" pivotButton="0" quotePrefix="0" xfId="1">
      <alignment vertical="top"/>
    </xf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</t>
        </is>
      </c>
      <c r="J40" s="310" t="inlineStr">
        <is>
          <t>Biaya Research (R&amp;D)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Accommodation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23" t="n">
        <v>46094</v>
      </c>
      <c r="C42" s="324" t="n">
        <v>1</v>
      </c>
      <c r="D42" s="325" t="inlineStr">
        <is>
          <t>diofavian</t>
        </is>
      </c>
      <c r="E42" s="325" t="inlineStr">
        <is>
          <t>BCA</t>
        </is>
      </c>
      <c r="F42" s="326" t="n">
        <v>101</v>
      </c>
      <c r="G42" s="327" t="inlineStr">
        <is>
          <t>IDR</t>
        </is>
      </c>
      <c r="H42" s="328" t="n">
        <v>1</v>
      </c>
      <c r="I42" s="329" t="n">
        <v>101</v>
      </c>
      <c r="J42" s="330" t="n"/>
      <c r="K42" s="331" t="n"/>
      <c r="L42" s="325" t="n"/>
      <c r="M42" s="325" t="n"/>
      <c r="N42" s="325" t="n"/>
      <c r="O42" s="325" t="n"/>
      <c r="P42" s="325" t="n"/>
      <c r="Q42" s="325" t="n"/>
      <c r="R42" s="325" t="n"/>
      <c r="S42" s="325" t="n"/>
      <c r="T42" s="325" t="n"/>
      <c r="U42" s="325" t="n"/>
      <c r="V42" s="325" t="n"/>
      <c r="W42" s="325" t="n"/>
      <c r="X42" s="325" t="n"/>
    </row>
    <row r="43" ht="15.5" customHeight="1" s="297">
      <c r="B43" s="313" t="n"/>
      <c r="C43" s="314" t="n"/>
      <c r="D43" s="315" t="inlineStr">
        <is>
          <t>asdasda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23" t="n">
        <v>46103</v>
      </c>
      <c r="C44" s="324" t="n">
        <v>2</v>
      </c>
      <c r="D44" s="332" t="inlineStr">
        <is>
          <t>asdsadasdasd</t>
        </is>
      </c>
      <c r="E44" s="332" t="inlineStr">
        <is>
          <t>BCA</t>
        </is>
      </c>
      <c r="F44" s="326" t="n">
        <v>12312312312</v>
      </c>
      <c r="G44" s="333" t="inlineStr">
        <is>
          <t>IDR</t>
        </is>
      </c>
      <c r="H44" s="328" t="n">
        <v>1</v>
      </c>
      <c r="I44" s="334" t="n">
        <v>12312312312</v>
      </c>
      <c r="J44" s="325" t="n"/>
      <c r="K44" s="335" t="n"/>
      <c r="L44" s="325" t="n"/>
      <c r="M44" s="325" t="n"/>
      <c r="N44" s="325" t="n"/>
      <c r="O44" s="325" t="n"/>
      <c r="P44" s="325" t="n"/>
      <c r="Q44" s="325" t="n"/>
      <c r="R44" s="325" t="n"/>
      <c r="S44" s="325" t="n"/>
      <c r="T44" s="325" t="n"/>
      <c r="U44" s="325" t="n"/>
      <c r="V44" s="325" t="n"/>
      <c r="W44" s="325" t="n"/>
      <c r="X44" s="325" t="n"/>
    </row>
    <row r="45" ht="15.5" customHeight="1" s="297">
      <c r="B45" s="313" t="n"/>
      <c r="C45" s="314" t="n"/>
      <c r="D45" s="336" t="inlineStr">
        <is>
          <t>Biaya Bank</t>
        </is>
      </c>
      <c r="E45" s="337" t="n"/>
      <c r="F45" s="338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23" t="n">
        <v>46103</v>
      </c>
      <c r="C46" s="324" t="n">
        <v>3</v>
      </c>
      <c r="D46" s="332" t="inlineStr">
        <is>
          <t>21231</t>
        </is>
      </c>
      <c r="E46" s="332" t="inlineStr">
        <is>
          <t>BRI</t>
        </is>
      </c>
      <c r="F46" s="326" t="n">
        <v>111111</v>
      </c>
      <c r="G46" s="327" t="inlineStr">
        <is>
          <t>IDR</t>
        </is>
      </c>
      <c r="H46" s="328" t="n">
        <v>1</v>
      </c>
      <c r="I46" s="329" t="n">
        <v>111111</v>
      </c>
      <c r="J46" s="330" t="n"/>
      <c r="K46" s="325" t="n"/>
      <c r="L46" s="325" t="n"/>
      <c r="M46" s="325" t="n"/>
      <c r="N46" s="325" t="n"/>
      <c r="O46" s="325" t="n"/>
      <c r="P46" s="325" t="n"/>
      <c r="Q46" s="325" t="n"/>
      <c r="R46" s="325" t="n"/>
      <c r="S46" s="325" t="n"/>
      <c r="T46" s="325" t="n"/>
      <c r="U46" s="325" t="n"/>
      <c r="V46" s="325" t="n"/>
      <c r="W46" s="325" t="n"/>
      <c r="X46" s="325" t="n"/>
    </row>
    <row r="47" ht="15.5" customHeight="1" s="297">
      <c r="A47" s="66" t="n"/>
      <c r="B47" s="313" t="n"/>
      <c r="C47" s="314" t="n"/>
      <c r="D47" s="336" t="inlineStr">
        <is>
          <t>Gaji</t>
        </is>
      </c>
      <c r="E47" s="337" t="n"/>
      <c r="F47" s="338" t="n"/>
      <c r="G47" s="318" t="n"/>
      <c r="H47" s="318" t="n"/>
      <c r="I47" s="319" t="n"/>
      <c r="J47" s="320" t="n"/>
      <c r="K47" s="321" t="n"/>
      <c r="L47" s="321" t="n"/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23" t="n">
        <v>46093</v>
      </c>
      <c r="C48" s="324" t="n">
        <v>4</v>
      </c>
      <c r="D48" s="332" t="inlineStr">
        <is>
          <t>Gaji mael</t>
        </is>
      </c>
      <c r="E48" s="332" t="inlineStr">
        <is>
          <t>Mandiri</t>
        </is>
      </c>
      <c r="F48" s="339" t="n">
        <v>234234234</v>
      </c>
      <c r="G48" s="327" t="inlineStr">
        <is>
          <t>IDR</t>
        </is>
      </c>
      <c r="H48" s="328" t="n">
        <v>1</v>
      </c>
      <c r="I48" s="329" t="n">
        <v>234234234</v>
      </c>
      <c r="J48" s="330" t="n"/>
      <c r="K48" s="325" t="n"/>
      <c r="L48" s="325" t="n"/>
      <c r="M48" s="325" t="n"/>
      <c r="N48" s="325" t="n"/>
      <c r="O48" s="325" t="n"/>
      <c r="P48" s="325" t="n"/>
      <c r="Q48" s="325" t="n"/>
      <c r="R48" s="325" t="n"/>
      <c r="S48" s="325" t="n"/>
      <c r="T48" s="325" t="n"/>
      <c r="U48" s="325" t="n"/>
      <c r="V48" s="325" t="n"/>
      <c r="W48" s="325" t="n"/>
      <c r="X48" s="325" t="n"/>
    </row>
    <row r="49" ht="15.5" customHeight="1" s="297">
      <c r="B49" s="340" t="n">
        <v>46093</v>
      </c>
      <c r="C49" s="324" t="n">
        <v>5</v>
      </c>
      <c r="D49" s="332" t="inlineStr">
        <is>
          <t>gaji diofavian</t>
        </is>
      </c>
      <c r="E49" s="332" t="inlineStr">
        <is>
          <t>BRI</t>
        </is>
      </c>
      <c r="F49" s="339" t="n">
        <v>300000</v>
      </c>
      <c r="G49" s="327" t="inlineStr">
        <is>
          <t>IDR</t>
        </is>
      </c>
      <c r="H49" s="328" t="n">
        <v>1</v>
      </c>
      <c r="I49" s="329" t="n">
        <v>300000</v>
      </c>
      <c r="J49" s="330" t="n"/>
      <c r="K49" s="325" t="n"/>
      <c r="L49" s="325" t="n"/>
      <c r="M49" s="325" t="n"/>
      <c r="N49" s="325" t="n"/>
      <c r="O49" s="325" t="n"/>
      <c r="P49" s="325" t="n"/>
      <c r="Q49" s="325" t="n"/>
      <c r="R49" s="325" t="n"/>
      <c r="S49" s="325" t="n"/>
      <c r="T49" s="325" t="n"/>
      <c r="U49" s="325" t="n"/>
      <c r="V49" s="325" t="n"/>
      <c r="W49" s="325" t="n"/>
      <c r="X49" s="325" t="n"/>
    </row>
    <row r="50" ht="15.5" customHeight="1" s="297">
      <c r="B50" s="313" t="n"/>
      <c r="C50" s="314" t="n"/>
      <c r="D50" s="336" t="inlineStr">
        <is>
          <t>Pembuatan Alat</t>
        </is>
      </c>
      <c r="E50" s="337" t="n"/>
      <c r="F50" s="338" t="n"/>
      <c r="G50" s="318" t="n"/>
      <c r="H50" s="318" t="n"/>
      <c r="I50" s="319" t="n"/>
      <c r="J50" s="319" t="n"/>
      <c r="K50" s="321" t="n"/>
      <c r="L50" s="341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23" t="n">
        <v>46093</v>
      </c>
      <c r="C51" s="324" t="n">
        <v>6</v>
      </c>
      <c r="D51" s="332" t="inlineStr">
        <is>
          <t>sdasd</t>
        </is>
      </c>
      <c r="E51" s="332" t="inlineStr">
        <is>
          <t>BNI</t>
        </is>
      </c>
      <c r="F51" s="326" t="n">
        <v>50000</v>
      </c>
      <c r="G51" s="327" t="inlineStr">
        <is>
          <t>IDR</t>
        </is>
      </c>
      <c r="H51" s="328" t="n">
        <v>1</v>
      </c>
      <c r="I51" s="329" t="n">
        <v>50000</v>
      </c>
      <c r="J51" s="330" t="n"/>
      <c r="K51" s="325" t="n"/>
      <c r="L51" s="325" t="n"/>
      <c r="M51" s="325" t="n"/>
      <c r="N51" s="325" t="n"/>
      <c r="O51" s="325" t="n"/>
      <c r="P51" s="325" t="n"/>
      <c r="Q51" s="325" t="n"/>
      <c r="R51" s="325" t="n"/>
      <c r="S51" s="325" t="n"/>
      <c r="T51" s="325" t="n"/>
      <c r="U51" s="325" t="n"/>
      <c r="V51" s="325" t="n"/>
      <c r="W51" s="325" t="n"/>
      <c r="X51" s="325" t="n"/>
    </row>
    <row r="52" ht="15.5" customFormat="1" customHeight="1" s="66">
      <c r="B52" s="323" t="n">
        <v>46093</v>
      </c>
      <c r="C52" s="324" t="n">
        <v>7</v>
      </c>
      <c r="D52" s="332" t="inlineStr">
        <is>
          <t>12</t>
        </is>
      </c>
      <c r="E52" s="332" t="inlineStr">
        <is>
          <t>BRI</t>
        </is>
      </c>
      <c r="F52" s="326" t="n">
        <v>121</v>
      </c>
      <c r="G52" s="327" t="inlineStr">
        <is>
          <t>IDR</t>
        </is>
      </c>
      <c r="H52" s="328" t="n">
        <v>1</v>
      </c>
      <c r="I52" s="329" t="n">
        <v>121</v>
      </c>
      <c r="J52" s="331" t="n"/>
      <c r="K52" s="325" t="n"/>
      <c r="L52" s="325" t="n"/>
      <c r="M52" s="325" t="n"/>
      <c r="N52" s="325" t="n"/>
      <c r="O52" s="325" t="n"/>
      <c r="P52" s="325" t="n"/>
      <c r="Q52" s="325" t="n"/>
      <c r="R52" s="325" t="n"/>
      <c r="S52" s="325" t="n"/>
      <c r="T52" s="325" t="n"/>
      <c r="U52" s="325" t="n"/>
      <c r="V52" s="325" t="n"/>
      <c r="W52" s="325" t="n"/>
      <c r="X52" s="325" t="n"/>
    </row>
    <row r="53" ht="15.5" customFormat="1" customHeight="1" s="66">
      <c r="B53" s="323" t="n">
        <v>46093</v>
      </c>
      <c r="C53" s="324" t="n">
        <v>8</v>
      </c>
      <c r="D53" s="332" t="inlineStr">
        <is>
          <t>sfdsf</t>
        </is>
      </c>
      <c r="E53" s="332" t="inlineStr">
        <is>
          <t>BRI</t>
        </is>
      </c>
      <c r="F53" s="326" t="n">
        <v>234234</v>
      </c>
      <c r="G53" s="327" t="inlineStr">
        <is>
          <t>IDR</t>
        </is>
      </c>
      <c r="H53" s="328" t="n">
        <v>1</v>
      </c>
      <c r="I53" s="334" t="n">
        <v>234234</v>
      </c>
      <c r="J53" s="330" t="n"/>
      <c r="K53" s="325" t="n"/>
      <c r="L53" s="325" t="n"/>
      <c r="M53" s="325" t="n"/>
      <c r="N53" s="325" t="n"/>
      <c r="O53" s="325" t="n"/>
      <c r="P53" s="325" t="n"/>
      <c r="Q53" s="325" t="n"/>
      <c r="R53" s="325" t="n"/>
      <c r="S53" s="325" t="n"/>
      <c r="T53" s="325" t="n"/>
      <c r="U53" s="325" t="n"/>
      <c r="V53" s="325" t="n"/>
      <c r="W53" s="325" t="n"/>
      <c r="X53" s="325" t="n"/>
    </row>
    <row r="54" ht="15.5" customFormat="1" customHeight="1" s="66">
      <c r="B54" s="323" t="n">
        <v>46103</v>
      </c>
      <c r="C54" s="324" t="n">
        <v>9</v>
      </c>
      <c r="D54" s="325" t="inlineStr">
        <is>
          <t>hari senin</t>
        </is>
      </c>
      <c r="E54" s="325" t="inlineStr">
        <is>
          <t>BRI</t>
        </is>
      </c>
      <c r="F54" s="326" t="n">
        <v>1112121</v>
      </c>
      <c r="G54" s="327" t="inlineStr">
        <is>
          <t>IDR</t>
        </is>
      </c>
      <c r="H54" s="328" t="n">
        <v>1</v>
      </c>
      <c r="I54" s="329" t="n">
        <v>1112121</v>
      </c>
      <c r="J54" s="330" t="n"/>
      <c r="K54" s="331" t="n"/>
      <c r="L54" s="342" t="n"/>
      <c r="M54" s="325" t="n"/>
      <c r="N54" s="325" t="n"/>
      <c r="O54" s="325" t="n"/>
      <c r="P54" s="325" t="n"/>
      <c r="Q54" s="325" t="n"/>
      <c r="R54" s="325" t="n"/>
      <c r="S54" s="325" t="n"/>
      <c r="T54" s="325" t="n"/>
      <c r="U54" s="325" t="n"/>
      <c r="V54" s="325" t="n"/>
      <c r="W54" s="325" t="n"/>
      <c r="X54" s="325" t="n"/>
    </row>
    <row r="55" ht="15.5" customFormat="1" customHeight="1" s="66">
      <c r="B55" s="323" t="n">
        <v>46103</v>
      </c>
      <c r="C55" s="324" t="n">
        <v>10</v>
      </c>
      <c r="D55" s="332" t="inlineStr">
        <is>
          <t>werwerwerwer</t>
        </is>
      </c>
      <c r="E55" s="332" t="inlineStr">
        <is>
          <t>BCA</t>
        </is>
      </c>
      <c r="F55" s="326" t="n">
        <v>123123123</v>
      </c>
      <c r="G55" s="327" t="inlineStr">
        <is>
          <t>IDR</t>
        </is>
      </c>
      <c r="H55" s="328" t="n">
        <v>1</v>
      </c>
      <c r="I55" s="334" t="n">
        <v>123123123</v>
      </c>
      <c r="J55" s="330" t="n"/>
      <c r="K55" s="325" t="n"/>
      <c r="L55" s="325" t="n"/>
      <c r="M55" s="325" t="n"/>
      <c r="N55" s="325" t="n"/>
      <c r="O55" s="325" t="n"/>
      <c r="P55" s="325" t="n"/>
      <c r="Q55" s="325" t="n"/>
      <c r="R55" s="325" t="n"/>
      <c r="S55" s="325" t="n"/>
      <c r="T55" s="325" t="n"/>
      <c r="U55" s="325" t="n"/>
      <c r="V55" s="325" t="n"/>
      <c r="W55" s="325" t="n"/>
      <c r="X55" s="325" t="n"/>
    </row>
    <row r="56" ht="15.5" customFormat="1" customHeight="1" s="66">
      <c r="B56" s="313" t="n"/>
      <c r="C56" s="314" t="n"/>
      <c r="D56" s="336" t="inlineStr">
        <is>
          <t>Rental Tool</t>
        </is>
      </c>
      <c r="E56" s="337" t="n"/>
      <c r="F56" s="338" t="n"/>
      <c r="G56" s="318" t="n"/>
      <c r="H56" s="318" t="n"/>
      <c r="I56" s="319" t="n"/>
      <c r="J56" s="319" t="n"/>
      <c r="K56" s="321" t="n"/>
      <c r="L56" s="321" t="n"/>
      <c r="M56" s="321" t="n"/>
      <c r="N56" s="321" t="n"/>
      <c r="O56" s="321" t="n"/>
      <c r="P56" s="321" t="n"/>
      <c r="Q56" s="341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23" t="n">
        <v>46095</v>
      </c>
      <c r="C57" s="324" t="n">
        <v>11</v>
      </c>
      <c r="D57" s="325" t="inlineStr">
        <is>
          <t>coba maka</t>
        </is>
      </c>
      <c r="E57" s="325" t="inlineStr">
        <is>
          <t>BRI</t>
        </is>
      </c>
      <c r="F57" s="326" t="n">
        <v>123123123112</v>
      </c>
      <c r="G57" s="327" t="inlineStr">
        <is>
          <t>IDR</t>
        </is>
      </c>
      <c r="H57" s="328" t="n">
        <v>1</v>
      </c>
      <c r="I57" s="329" t="n">
        <v>123123123112</v>
      </c>
      <c r="J57" s="330" t="n"/>
      <c r="K57" s="331" t="n"/>
      <c r="L57" s="325" t="n"/>
      <c r="M57" s="325" t="n"/>
      <c r="N57" s="325" t="n"/>
      <c r="O57" s="325" t="n"/>
      <c r="P57" s="325" t="n"/>
      <c r="Q57" s="325" t="n"/>
      <c r="R57" s="325" t="n"/>
      <c r="S57" s="325" t="n"/>
      <c r="T57" s="325" t="n"/>
      <c r="U57" s="325" t="n"/>
      <c r="V57" s="325" t="n"/>
      <c r="W57" s="325" t="n"/>
      <c r="X57" s="325" t="n"/>
    </row>
    <row r="58" ht="15.5" customFormat="1" customHeight="1" s="66">
      <c r="B58" s="313" t="n"/>
      <c r="C58" s="314" t="n"/>
      <c r="D58" s="336" t="inlineStr">
        <is>
          <t>Sewa Ruangan</t>
        </is>
      </c>
      <c r="E58" s="337" t="n"/>
      <c r="F58" s="338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23" t="n">
        <v>46097</v>
      </c>
      <c r="C59" s="324" t="n">
        <v>12</v>
      </c>
      <c r="D59" s="332" t="inlineStr">
        <is>
          <t>aaaaaaaaaaaaaaaa</t>
        </is>
      </c>
      <c r="E59" s="332" t="inlineStr">
        <is>
          <t>Mandiri</t>
        </is>
      </c>
      <c r="F59" s="326" t="n">
        <v>1111111</v>
      </c>
      <c r="G59" s="327" t="inlineStr">
        <is>
          <t>IDR</t>
        </is>
      </c>
      <c r="H59" s="328" t="n">
        <v>1</v>
      </c>
      <c r="I59" s="329" t="n">
        <v>1111111</v>
      </c>
      <c r="J59" s="330" t="n"/>
      <c r="K59" s="325" t="n"/>
      <c r="L59" s="325" t="n"/>
      <c r="M59" s="325" t="n"/>
      <c r="N59" s="342" t="n"/>
      <c r="O59" s="325" t="n"/>
      <c r="P59" s="325" t="n"/>
      <c r="Q59" s="325" t="n"/>
      <c r="R59" s="325" t="n"/>
      <c r="S59" s="325" t="n"/>
      <c r="T59" s="325" t="n"/>
      <c r="U59" s="325" t="n"/>
      <c r="V59" s="325" t="n"/>
      <c r="W59" s="325" t="n"/>
      <c r="X59" s="325" t="n"/>
    </row>
    <row r="60" ht="15.5" customFormat="1" customHeight="1" s="66">
      <c r="B60" s="313" t="n"/>
      <c r="C60" s="314" t="n"/>
      <c r="D60" s="336" t="inlineStr">
        <is>
          <t>Software License</t>
        </is>
      </c>
      <c r="E60" s="337" t="n"/>
      <c r="F60" s="338" t="n"/>
      <c r="G60" s="318" t="n"/>
      <c r="H60" s="318" t="n"/>
      <c r="I60" s="319" t="n"/>
      <c r="J60" s="319" t="n"/>
      <c r="K60" s="321" t="n"/>
      <c r="L60" s="321" t="n"/>
      <c r="M60" s="321" t="n"/>
      <c r="N60" s="341" t="n"/>
      <c r="O60" s="321" t="n"/>
      <c r="P60" s="321" t="n"/>
      <c r="Q60" s="321" t="n"/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23" t="n">
        <v>46106</v>
      </c>
      <c r="C61" s="324" t="n">
        <v>13</v>
      </c>
      <c r="D61" s="343" t="inlineStr">
        <is>
          <t>jajsj</t>
        </is>
      </c>
      <c r="E61" s="332" t="inlineStr">
        <is>
          <t>BCA</t>
        </is>
      </c>
      <c r="F61" s="326" t="n">
        <v>13131</v>
      </c>
      <c r="G61" s="333" t="inlineStr">
        <is>
          <t>IDR</t>
        </is>
      </c>
      <c r="H61" s="328" t="n">
        <v>1</v>
      </c>
      <c r="I61" s="329" t="n">
        <v>13131</v>
      </c>
      <c r="J61" s="331" t="n"/>
      <c r="K61" s="335" t="n"/>
      <c r="L61" s="325" t="n"/>
      <c r="M61" s="325" t="n"/>
      <c r="N61" s="325" t="n"/>
      <c r="O61" s="325" t="n"/>
      <c r="P61" s="325" t="n"/>
      <c r="Q61" s="325" t="n"/>
      <c r="R61" s="325" t="n"/>
      <c r="S61" s="325" t="n"/>
      <c r="T61" s="325" t="n"/>
      <c r="U61" s="325" t="n"/>
      <c r="V61" s="325" t="n"/>
      <c r="W61" s="325" t="n"/>
      <c r="X61" s="325" t="n"/>
    </row>
    <row r="62" ht="15.5" customFormat="1" customHeight="1" s="66">
      <c r="B62" s="344" t="n"/>
      <c r="C62" s="345" t="n"/>
      <c r="D62" s="346" t="inlineStr">
        <is>
          <t>OPERATION COST AND OFFICE - Expenses Report</t>
        </is>
      </c>
      <c r="E62" s="347" t="n"/>
      <c r="F62" s="348" t="n"/>
      <c r="G62" s="349" t="n"/>
      <c r="H62" s="349" t="n"/>
      <c r="I62" s="350" t="n"/>
      <c r="J62" s="351" t="n"/>
      <c r="K62" s="352" t="n"/>
      <c r="L62" s="352" t="n"/>
      <c r="M62" s="352" t="n"/>
      <c r="N62" s="352" t="n"/>
      <c r="O62" s="352" t="n"/>
      <c r="P62" s="352" t="n"/>
      <c r="Q62" s="352" t="n"/>
      <c r="R62" s="353" t="n"/>
      <c r="S62" s="353" t="n"/>
      <c r="T62" s="353" t="n"/>
      <c r="U62" s="353" t="n"/>
      <c r="V62" s="353" t="n"/>
      <c r="W62" s="353" t="n"/>
      <c r="X62" s="353" t="n"/>
    </row>
    <row r="63" ht="15.5" customFormat="1" customHeight="1" s="66">
      <c r="B63" s="354" t="inlineStr">
        <is>
          <t>Expense#1</t>
        </is>
      </c>
      <c r="C63" s="355" t="inlineStr">
        <is>
          <t>:</t>
        </is>
      </c>
      <c r="D63" s="356" t="inlineStr">
        <is>
          <t>kerja ke goweel</t>
        </is>
      </c>
      <c r="E63" s="357" t="n"/>
      <c r="F63" s="358" t="n"/>
      <c r="G63" s="359" t="n"/>
      <c r="H63" s="359" t="n"/>
      <c r="I63" s="360" t="n"/>
      <c r="J63" s="360" t="n"/>
      <c r="K63" s="361" t="n"/>
      <c r="L63" s="361" t="n"/>
      <c r="M63" s="361" t="n"/>
      <c r="N63" s="361" t="n"/>
      <c r="O63" s="361" t="n"/>
      <c r="P63" s="361" t="n"/>
      <c r="Q63" s="362" t="n"/>
      <c r="R63" s="363" t="n"/>
      <c r="S63" s="363" t="n"/>
      <c r="T63" s="363" t="n"/>
      <c r="U63" s="363" t="n"/>
      <c r="V63" s="363" t="n"/>
      <c r="W63" s="363" t="n"/>
      <c r="X63" s="363" t="n"/>
    </row>
    <row r="64" ht="15.5" customFormat="1" customHeight="1" s="66">
      <c r="B64" s="313" t="n"/>
      <c r="C64" s="314" t="n"/>
      <c r="D64" s="336" t="inlineStr">
        <is>
          <t>Biaya Bank</t>
        </is>
      </c>
      <c r="E64" s="337" t="n"/>
      <c r="F64" s="338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23" t="n">
        <v>46093</v>
      </c>
      <c r="C65" s="324" t="n">
        <v>1</v>
      </c>
      <c r="D65" s="343" t="inlineStr">
        <is>
          <t>23000</t>
        </is>
      </c>
      <c r="E65" s="332" t="inlineStr">
        <is>
          <t>BRI</t>
        </is>
      </c>
      <c r="F65" s="326" t="n">
        <v>200000</v>
      </c>
      <c r="G65" s="327" t="inlineStr">
        <is>
          <t>IDR</t>
        </is>
      </c>
      <c r="H65" s="328" t="n">
        <v>1</v>
      </c>
      <c r="I65" s="329" t="n">
        <v>200000</v>
      </c>
      <c r="J65" s="330" t="n"/>
      <c r="K65" s="325" t="n"/>
      <c r="L65" s="325" t="n"/>
      <c r="M65" s="325" t="n"/>
      <c r="N65" s="325" t="n"/>
      <c r="O65" s="325" t="n"/>
      <c r="P65" s="325" t="n"/>
      <c r="Q65" s="342" t="n"/>
      <c r="R65" s="325" t="n"/>
      <c r="S65" s="325" t="n"/>
      <c r="T65" s="325" t="n"/>
      <c r="U65" s="325" t="n"/>
      <c r="V65" s="325" t="n"/>
      <c r="W65" s="325" t="n"/>
      <c r="X65" s="325" t="n"/>
    </row>
    <row r="66" ht="15.5" customFormat="1" customHeight="1" s="66">
      <c r="B66" s="313" t="n"/>
      <c r="C66" s="314" t="n"/>
      <c r="D66" s="336" t="inlineStr">
        <is>
          <t>Pembuatan Alat</t>
        </is>
      </c>
      <c r="E66" s="337" t="n"/>
      <c r="F66" s="338" t="n"/>
      <c r="G66" s="318" t="n"/>
      <c r="H66" s="318" t="n"/>
      <c r="I66" s="319" t="n"/>
      <c r="J66" s="319" t="n"/>
      <c r="K66" s="321" t="n"/>
      <c r="L66" s="321" t="n"/>
      <c r="M66" s="321" t="n"/>
      <c r="N66" s="341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23" t="n">
        <v>46093</v>
      </c>
      <c r="C67" s="324" t="n">
        <v>2</v>
      </c>
      <c r="D67" s="332" t="inlineStr">
        <is>
          <t>123123</t>
        </is>
      </c>
      <c r="E67" s="332" t="inlineStr">
        <is>
          <t>Cash</t>
        </is>
      </c>
      <c r="F67" s="326" t="n">
        <v>544000</v>
      </c>
      <c r="G67" s="327" t="inlineStr">
        <is>
          <t>USD</t>
        </is>
      </c>
      <c r="H67" s="328" t="n">
        <v>16000</v>
      </c>
      <c r="I67" s="329" t="n">
        <v>544000</v>
      </c>
      <c r="J67" s="330" t="n"/>
      <c r="K67" s="325" t="n"/>
      <c r="L67" s="325" t="n"/>
      <c r="M67" s="325" t="n"/>
      <c r="N67" s="342" t="n"/>
      <c r="O67" s="325" t="n"/>
      <c r="P67" s="325" t="n"/>
      <c r="Q67" s="325" t="n"/>
      <c r="R67" s="325" t="n"/>
      <c r="S67" s="325" t="n"/>
      <c r="T67" s="325" t="n"/>
      <c r="U67" s="325" t="n"/>
      <c r="V67" s="325" t="n"/>
      <c r="W67" s="325" t="n"/>
      <c r="X67" s="325" t="n"/>
    </row>
    <row r="68" ht="15.5" customHeight="1" s="297">
      <c r="A68" s="66" t="n"/>
      <c r="B68" s="354" t="inlineStr">
        <is>
          <t>Expense#2</t>
        </is>
      </c>
      <c r="C68" s="355" t="inlineStr">
        <is>
          <t>:</t>
        </is>
      </c>
      <c r="D68" s="356" t="inlineStr">
        <is>
          <t>gowel party</t>
        </is>
      </c>
      <c r="E68" s="357" t="n"/>
      <c r="F68" s="364" t="n"/>
      <c r="G68" s="359" t="n"/>
      <c r="H68" s="359" t="n"/>
      <c r="I68" s="360" t="n"/>
      <c r="J68" s="362" t="n"/>
      <c r="K68" s="361" t="n"/>
      <c r="L68" s="361" t="n"/>
      <c r="M68" s="361" t="n"/>
      <c r="N68" s="361" t="n"/>
      <c r="O68" s="361" t="n"/>
      <c r="P68" s="361" t="n"/>
      <c r="Q68" s="361" t="n"/>
      <c r="R68" s="363" t="n"/>
      <c r="S68" s="363" t="n"/>
      <c r="T68" s="363" t="n"/>
      <c r="U68" s="363" t="n"/>
      <c r="V68" s="363" t="n"/>
      <c r="W68" s="363" t="n"/>
      <c r="X68" s="363" t="n"/>
    </row>
    <row r="69" ht="15.5" customHeight="1" s="297">
      <c r="A69" s="66" t="n"/>
      <c r="B69" s="313" t="n"/>
      <c r="C69" s="314" t="n"/>
      <c r="D69" s="336" t="inlineStr">
        <is>
          <t>Rental Tool</t>
        </is>
      </c>
      <c r="E69" s="337" t="n"/>
      <c r="F69" s="338" t="n"/>
      <c r="G69" s="318" t="n"/>
      <c r="H69" s="318" t="n"/>
      <c r="I69" s="319" t="n"/>
      <c r="J69" s="319" t="n"/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23" t="n">
        <v>46093</v>
      </c>
      <c r="C70" s="324" t="n">
        <v>1</v>
      </c>
      <c r="D70" s="332" t="inlineStr">
        <is>
          <t>blejar party</t>
        </is>
      </c>
      <c r="E70" s="332" t="inlineStr">
        <is>
          <t>BRI</t>
        </is>
      </c>
      <c r="F70" s="326" t="n">
        <v>12312312</v>
      </c>
      <c r="G70" s="327" t="inlineStr">
        <is>
          <t>IDR</t>
        </is>
      </c>
      <c r="H70" s="328" t="n">
        <v>1</v>
      </c>
      <c r="I70" s="329" t="n">
        <v>12312312</v>
      </c>
      <c r="J70" s="330" t="n"/>
      <c r="K70" s="325" t="n"/>
      <c r="L70" s="325" t="n"/>
      <c r="M70" s="325" t="n"/>
      <c r="N70" s="365" t="n"/>
      <c r="O70" s="325" t="n"/>
      <c r="P70" s="325" t="n"/>
      <c r="Q70" s="325" t="n"/>
      <c r="R70" s="325" t="n"/>
      <c r="S70" s="325" t="n"/>
      <c r="T70" s="325" t="n"/>
      <c r="U70" s="325" t="n"/>
      <c r="V70" s="325" t="n"/>
      <c r="W70" s="325" t="n"/>
      <c r="X70" s="325" t="n"/>
    </row>
    <row r="71" ht="15.5" customHeight="1" s="297">
      <c r="B71" s="354" t="inlineStr">
        <is>
          <t>Expense#3</t>
        </is>
      </c>
      <c r="C71" s="355" t="inlineStr">
        <is>
          <t>:</t>
        </is>
      </c>
      <c r="D71" s="356" t="inlineStr">
        <is>
          <t>Pengeluaran Batch</t>
        </is>
      </c>
      <c r="E71" s="357" t="n"/>
      <c r="F71" s="358" t="n"/>
      <c r="G71" s="359" t="n"/>
      <c r="H71" s="359" t="n"/>
      <c r="I71" s="360" t="n"/>
      <c r="J71" s="360" t="n"/>
      <c r="K71" s="361" t="n"/>
      <c r="L71" s="366" t="n"/>
      <c r="M71" s="361" t="n"/>
      <c r="N71" s="361" t="n"/>
      <c r="O71" s="361" t="n"/>
      <c r="P71" s="361" t="n"/>
      <c r="Q71" s="361" t="n"/>
      <c r="R71" s="363" t="n"/>
      <c r="S71" s="363" t="n"/>
      <c r="T71" s="363" t="n"/>
      <c r="U71" s="363" t="n"/>
      <c r="V71" s="363" t="n"/>
      <c r="W71" s="363" t="n"/>
      <c r="X71" s="363" t="n"/>
    </row>
    <row r="72" ht="15.5" customHeight="1" s="297">
      <c r="B72" s="313" t="n"/>
      <c r="C72" s="314" t="n"/>
      <c r="D72" s="336" t="inlineStr">
        <is>
          <t>nanas</t>
        </is>
      </c>
      <c r="E72" s="337" t="n"/>
      <c r="F72" s="338" t="n"/>
      <c r="G72" s="318" t="n"/>
      <c r="H72" s="318" t="n"/>
      <c r="I72" s="319" t="n"/>
      <c r="J72" s="319" t="n"/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23" t="n">
        <v>46093</v>
      </c>
      <c r="C73" s="324" t="n">
        <v>1</v>
      </c>
      <c r="D73" s="325" t="inlineStr">
        <is>
          <t>12312</t>
        </is>
      </c>
      <c r="E73" s="325" t="inlineStr">
        <is>
          <t>BRI</t>
        </is>
      </c>
      <c r="F73" s="326" t="n">
        <v>123123</v>
      </c>
      <c r="G73" s="327" t="inlineStr">
        <is>
          <t>IDR</t>
        </is>
      </c>
      <c r="H73" s="328" t="n">
        <v>1</v>
      </c>
      <c r="I73" s="329" t="n">
        <v>123123</v>
      </c>
      <c r="J73" s="330" t="n"/>
      <c r="K73" s="331" t="n"/>
      <c r="L73" s="325" t="n"/>
      <c r="M73" s="325" t="n"/>
      <c r="N73" s="325" t="n"/>
      <c r="O73" s="325" t="n"/>
      <c r="P73" s="325" t="n"/>
      <c r="Q73" s="325" t="n"/>
      <c r="R73" s="325" t="n"/>
      <c r="S73" s="325" t="n"/>
      <c r="T73" s="325" t="n"/>
      <c r="U73" s="325" t="n"/>
      <c r="V73" s="325" t="n"/>
      <c r="W73" s="325" t="n"/>
      <c r="X73" s="325" t="n"/>
    </row>
    <row r="74" ht="15.5" customHeight="1" s="297">
      <c r="A74" s="66" t="n"/>
      <c r="B74" s="313" t="n"/>
      <c r="C74" s="314" t="n"/>
      <c r="D74" s="336" t="inlineStr">
        <is>
          <t>Pembuatan Alat</t>
        </is>
      </c>
      <c r="E74" s="337" t="n"/>
      <c r="F74" s="317" t="n"/>
      <c r="G74" s="318" t="n"/>
      <c r="H74" s="318" t="n"/>
      <c r="I74" s="319" t="n"/>
      <c r="J74" s="319" t="n"/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23" t="n">
        <v>46093</v>
      </c>
      <c r="C75" s="324" t="n">
        <v>2</v>
      </c>
      <c r="D75" s="332" t="inlineStr">
        <is>
          <t>123123</t>
        </is>
      </c>
      <c r="E75" s="332" t="inlineStr">
        <is>
          <t>-</t>
        </is>
      </c>
      <c r="F75" s="326" t="n">
        <v>12312312</v>
      </c>
      <c r="G75" s="327" t="inlineStr">
        <is>
          <t>IDR</t>
        </is>
      </c>
      <c r="H75" s="328" t="n">
        <v>1</v>
      </c>
      <c r="I75" s="329" t="n">
        <v>12312312</v>
      </c>
      <c r="J75" s="331" t="n"/>
      <c r="K75" s="325" t="n"/>
      <c r="L75" s="325" t="n"/>
      <c r="M75" s="325" t="n"/>
      <c r="N75" s="325" t="n"/>
      <c r="O75" s="325" t="n"/>
      <c r="P75" s="325" t="n"/>
      <c r="Q75" s="325" t="n"/>
      <c r="R75" s="325" t="n"/>
      <c r="S75" s="325" t="n"/>
      <c r="T75" s="325" t="n"/>
      <c r="U75" s="325" t="n"/>
      <c r="V75" s="325" t="n"/>
      <c r="W75" s="325" t="n"/>
      <c r="X75" s="325" t="n"/>
    </row>
    <row r="76" ht="15.5" customHeight="1" s="297">
      <c r="B76" s="354" t="inlineStr">
        <is>
          <t>Expense#4</t>
        </is>
      </c>
      <c r="C76" s="355" t="inlineStr">
        <is>
          <t>:</t>
        </is>
      </c>
      <c r="D76" s="356" t="inlineStr">
        <is>
          <t>kerja sampingan</t>
        </is>
      </c>
      <c r="E76" s="357" t="n"/>
      <c r="F76" s="358" t="n"/>
      <c r="G76" s="359" t="n"/>
      <c r="H76" s="359" t="n"/>
      <c r="I76" s="360" t="n"/>
      <c r="J76" s="360" t="n"/>
      <c r="K76" s="361" t="n"/>
      <c r="L76" s="361" t="n"/>
      <c r="M76" s="361" t="n"/>
      <c r="N76" s="366" t="n"/>
      <c r="O76" s="361" t="n"/>
      <c r="P76" s="361" t="n"/>
      <c r="Q76" s="361" t="n"/>
      <c r="R76" s="363" t="n"/>
      <c r="S76" s="363" t="n"/>
      <c r="T76" s="363" t="n"/>
      <c r="U76" s="363" t="n"/>
      <c r="V76" s="363" t="n"/>
      <c r="W76" s="363" t="n"/>
      <c r="X76" s="363" t="n"/>
    </row>
    <row r="77" ht="15.5" customHeight="1" s="297">
      <c r="B77" s="313" t="n"/>
      <c r="C77" s="314" t="n"/>
      <c r="D77" s="336" t="inlineStr">
        <is>
          <t>Hand Tools</t>
        </is>
      </c>
      <c r="E77" s="337" t="n"/>
      <c r="F77" s="317" t="n"/>
      <c r="G77" s="367" t="n"/>
      <c r="H77" s="318" t="n"/>
      <c r="I77" s="319" t="n"/>
      <c r="J77" s="321" t="n"/>
      <c r="K77" s="36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23" t="n">
        <v>46099</v>
      </c>
      <c r="C78" s="324" t="n">
        <v>1</v>
      </c>
      <c r="D78" s="332" t="inlineStr">
        <is>
          <t>asdasd11</t>
        </is>
      </c>
      <c r="E78" s="332" t="inlineStr">
        <is>
          <t>BRI</t>
        </is>
      </c>
      <c r="F78" s="326" t="n">
        <v>1231231</v>
      </c>
      <c r="G78" s="333" t="inlineStr">
        <is>
          <t>IDR</t>
        </is>
      </c>
      <c r="H78" s="328" t="n">
        <v>1</v>
      </c>
      <c r="I78" s="329" t="n">
        <v>1231231</v>
      </c>
      <c r="J78" s="325" t="n"/>
      <c r="K78" s="335" t="n"/>
      <c r="L78" s="325" t="n"/>
      <c r="M78" s="325" t="n"/>
      <c r="N78" s="325" t="n"/>
      <c r="O78" s="325" t="n"/>
      <c r="P78" s="325" t="n"/>
      <c r="Q78" s="325" t="n"/>
      <c r="R78" s="325" t="n"/>
      <c r="S78" s="325" t="n"/>
      <c r="T78" s="325" t="n"/>
      <c r="U78" s="325" t="n"/>
      <c r="V78" s="325" t="n"/>
      <c r="W78" s="325" t="n"/>
      <c r="X78" s="325" t="n"/>
    </row>
    <row r="79" ht="15.5" customHeight="1" s="297">
      <c r="B79" s="354" t="inlineStr">
        <is>
          <t>Expense#5</t>
        </is>
      </c>
      <c r="C79" s="355" t="inlineStr">
        <is>
          <t>:</t>
        </is>
      </c>
      <c r="D79" s="369" t="inlineStr">
        <is>
          <t>Pengeluaran Batch</t>
        </is>
      </c>
      <c r="E79" s="370" t="n"/>
      <c r="F79" s="371" t="n"/>
      <c r="G79" s="359" t="n"/>
      <c r="H79" s="359" t="n"/>
      <c r="I79" s="360" t="n"/>
      <c r="J79" s="360" t="n"/>
      <c r="K79" s="362" t="n"/>
      <c r="L79" s="361" t="n"/>
      <c r="M79" s="361" t="n"/>
      <c r="N79" s="361" t="n"/>
      <c r="O79" s="361" t="n"/>
      <c r="P79" s="361" t="n"/>
      <c r="Q79" s="372" t="n"/>
      <c r="R79" s="363" t="n"/>
      <c r="S79" s="363" t="n"/>
      <c r="T79" s="363" t="n"/>
      <c r="U79" s="363" t="n"/>
      <c r="V79" s="363" t="n"/>
      <c r="W79" s="363" t="n"/>
      <c r="X79" s="363" t="n"/>
    </row>
    <row r="80" ht="15.5" customHeight="1" s="297">
      <c r="B80" s="313" t="n"/>
      <c r="C80" s="314" t="n"/>
      <c r="D80" s="315" t="inlineStr">
        <is>
          <t>pepaya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23" t="n">
        <v>46100</v>
      </c>
      <c r="C81" s="324" t="n">
        <v>1</v>
      </c>
      <c r="D81" s="325" t="inlineStr">
        <is>
          <t>pepaya panas</t>
        </is>
      </c>
      <c r="E81" s="325" t="inlineStr">
        <is>
          <t>BRI</t>
        </is>
      </c>
      <c r="F81" s="326" t="n">
        <v>111111</v>
      </c>
      <c r="G81" s="327" t="inlineStr">
        <is>
          <t>IDR</t>
        </is>
      </c>
      <c r="H81" s="328" t="n">
        <v>1</v>
      </c>
      <c r="I81" s="329" t="n">
        <v>111111</v>
      </c>
      <c r="J81" s="330" t="n"/>
      <c r="K81" s="331" t="n"/>
      <c r="L81" s="325" t="n"/>
      <c r="M81" s="325" t="n"/>
      <c r="N81" s="325" t="n"/>
      <c r="O81" s="325" t="n"/>
      <c r="P81" s="325" t="n"/>
      <c r="Q81" s="342" t="n"/>
      <c r="R81" s="325" t="n"/>
      <c r="S81" s="325" t="n"/>
      <c r="T81" s="325" t="n"/>
      <c r="U81" s="325" t="n"/>
      <c r="V81" s="325" t="n"/>
      <c r="W81" s="325" t="n"/>
      <c r="X81" s="325" t="n"/>
    </row>
    <row r="82" ht="15.5" customHeight="1" s="297">
      <c r="B82" s="354" t="inlineStr">
        <is>
          <t>Expense#6</t>
        </is>
      </c>
      <c r="C82" s="355" t="inlineStr">
        <is>
          <t>:</t>
        </is>
      </c>
      <c r="D82" s="369" t="inlineStr">
        <is>
          <t>asdasd</t>
        </is>
      </c>
      <c r="E82" s="370" t="n"/>
      <c r="F82" s="364" t="n"/>
      <c r="G82" s="359" t="n"/>
      <c r="H82" s="359" t="n"/>
      <c r="I82" s="360" t="n"/>
      <c r="J82" s="360" t="n"/>
      <c r="K82" s="362" t="n"/>
      <c r="L82" s="372" t="n"/>
      <c r="M82" s="361" t="n"/>
      <c r="N82" s="361" t="n"/>
      <c r="O82" s="361" t="n"/>
      <c r="P82" s="361" t="n"/>
      <c r="Q82" s="361" t="n"/>
      <c r="R82" s="363" t="n"/>
      <c r="S82" s="363" t="n"/>
      <c r="T82" s="363" t="n"/>
      <c r="U82" s="363" t="n"/>
      <c r="V82" s="363" t="n"/>
      <c r="W82" s="363" t="n"/>
      <c r="X82" s="363" t="n"/>
    </row>
    <row r="83" ht="15.5" customHeight="1" s="297">
      <c r="B83" s="313" t="n"/>
      <c r="C83" s="314" t="n"/>
      <c r="D83" s="315" t="inlineStr">
        <is>
          <t>asdasda</t>
        </is>
      </c>
      <c r="E83" s="316" t="n"/>
      <c r="F83" s="373" t="n"/>
      <c r="G83" s="318" t="n"/>
      <c r="H83" s="318" t="n"/>
      <c r="I83" s="319" t="n"/>
      <c r="J83" s="319" t="n"/>
      <c r="K83" s="320" t="n"/>
      <c r="L83" s="321" t="n"/>
      <c r="M83" s="321" t="n"/>
      <c r="N83" s="321" t="n"/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23" t="n">
        <v>46100</v>
      </c>
      <c r="C84" s="324" t="n">
        <v>1</v>
      </c>
      <c r="D84" s="332" t="inlineStr">
        <is>
          <t>asdasda</t>
        </is>
      </c>
      <c r="E84" s="332" t="inlineStr">
        <is>
          <t>BCA</t>
        </is>
      </c>
      <c r="F84" s="326" t="n">
        <v>123123123</v>
      </c>
      <c r="G84" s="327" t="inlineStr">
        <is>
          <t>IDR</t>
        </is>
      </c>
      <c r="H84" s="328" t="n">
        <v>1</v>
      </c>
      <c r="I84" s="334" t="n">
        <v>123123123</v>
      </c>
      <c r="J84" s="330" t="n"/>
      <c r="K84" s="325" t="n"/>
      <c r="L84" s="325" t="n"/>
      <c r="M84" s="325" t="n"/>
      <c r="N84" s="325" t="n"/>
      <c r="O84" s="325" t="n"/>
      <c r="P84" s="325" t="n"/>
      <c r="Q84" s="325" t="n"/>
      <c r="R84" s="325" t="n"/>
      <c r="S84" s="325" t="n"/>
      <c r="T84" s="325" t="n"/>
      <c r="U84" s="325" t="n"/>
      <c r="V84" s="325" t="n"/>
      <c r="W84" s="325" t="n"/>
      <c r="X84" s="325" t="n"/>
    </row>
    <row r="85" ht="15.5" customHeight="1" s="297">
      <c r="B85" s="374" t="n"/>
      <c r="C85" s="375" t="n"/>
      <c r="D85" s="376" t="n"/>
      <c r="E85" s="377" t="inlineStr">
        <is>
          <t>TOTAL</t>
        </is>
      </c>
      <c r="F85" s="378">
        <f>SUM(F41:F84)</f>
        <v/>
      </c>
      <c r="G85" s="379" t="inlineStr">
        <is>
          <t>IDR</t>
        </is>
      </c>
      <c r="H85" s="380" t="n">
        <v>1</v>
      </c>
      <c r="I85" s="381">
        <f>SUM(I41:I84)</f>
        <v/>
      </c>
      <c r="J85" s="382">
        <f>SUM(J41:J84)</f>
        <v/>
      </c>
      <c r="K85" s="383">
        <f>SUM(K41:K84)</f>
        <v/>
      </c>
      <c r="L85" s="382">
        <f>SUM(L41:L84)</f>
        <v/>
      </c>
      <c r="M85" s="382">
        <f>SUM(M41:M84)</f>
        <v/>
      </c>
      <c r="N85" s="382">
        <f>SUM(N41:N84)</f>
        <v/>
      </c>
      <c r="O85" s="382">
        <f>SUM(O41:O84)</f>
        <v/>
      </c>
      <c r="P85" s="382">
        <f>SUM(P41:P84)</f>
        <v/>
      </c>
      <c r="Q85" s="382">
        <f>SUM(Q41:Q84)</f>
        <v/>
      </c>
      <c r="R85" s="382">
        <f>SUM(R41:R84)</f>
        <v/>
      </c>
      <c r="S85" s="382">
        <f>SUM(S41:S84)</f>
        <v/>
      </c>
      <c r="T85" s="382">
        <f>SUM(T41:T84)</f>
        <v/>
      </c>
      <c r="U85" s="382">
        <f>SUM(U41:U84)</f>
        <v/>
      </c>
      <c r="V85" s="382">
        <f>SUM(V41:V84)</f>
        <v/>
      </c>
      <c r="W85" s="382">
        <f>SUM(W41:W84)</f>
        <v/>
      </c>
      <c r="X85" s="382">
        <f>SUM(X41:X84)</f>
        <v/>
      </c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84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84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84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85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86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85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85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85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85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87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88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89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89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88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88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88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88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88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88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90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88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90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88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88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88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88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88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91" t="n">
        <v>45071</v>
      </c>
      <c r="C638" s="141" t="n"/>
      <c r="D638" s="145" t="inlineStr">
        <is>
          <t>Materai 15 pcs</t>
        </is>
      </c>
      <c r="E638" s="145" t="n"/>
      <c r="F638" s="392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91" t="n">
        <v>45085</v>
      </c>
      <c r="C639" s="141" t="n"/>
      <c r="D639" s="145" t="inlineStr">
        <is>
          <t>Plastic folder 3 pcs</t>
        </is>
      </c>
      <c r="E639" s="145" t="n"/>
      <c r="F639" s="393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91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91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91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91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91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91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91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91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91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91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91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91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91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91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91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91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91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91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91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91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94" t="n"/>
      <c r="K741" s="394" t="n"/>
      <c r="L741" s="394" t="n"/>
      <c r="M741" s="394" t="n"/>
      <c r="N741" s="394" t="n"/>
      <c r="O741" s="394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95" t="n"/>
      <c r="K742" s="395" t="n"/>
      <c r="L742" s="394" t="n"/>
      <c r="M742" s="395" t="n"/>
      <c r="N742" s="395" t="n"/>
      <c r="O742" s="394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95" t="n"/>
      <c r="K743" s="395" t="n"/>
      <c r="L743" s="394" t="n"/>
      <c r="M743" s="395" t="n"/>
      <c r="N743" s="395" t="n"/>
      <c r="O743" s="394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95" t="n"/>
      <c r="K744" s="395" t="n"/>
      <c r="L744" s="394" t="n"/>
      <c r="M744" s="395" t="n"/>
      <c r="N744" s="395" t="n"/>
      <c r="O744" s="394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95" t="n"/>
      <c r="K745" s="395" t="n"/>
      <c r="L745" s="394" t="n"/>
      <c r="M745" s="395" t="n"/>
      <c r="N745" s="395" t="n"/>
      <c r="O745" s="394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95" t="n"/>
      <c r="K746" s="395" t="n"/>
      <c r="L746" s="394" t="n"/>
      <c r="M746" s="395" t="n"/>
      <c r="N746" s="395" t="n"/>
      <c r="O746" s="394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95" t="n"/>
      <c r="K747" s="395" t="n"/>
      <c r="L747" s="394" t="n"/>
      <c r="M747" s="395" t="n"/>
      <c r="N747" s="395" t="n"/>
      <c r="O747" s="394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95" t="n"/>
      <c r="K748" s="395" t="n"/>
      <c r="L748" s="394" t="n"/>
      <c r="M748" s="395" t="n"/>
      <c r="N748" s="395" t="n"/>
      <c r="O748" s="394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95" t="n"/>
      <c r="K749" s="395" t="n"/>
      <c r="L749" s="395" t="n"/>
      <c r="M749" s="395" t="n"/>
      <c r="N749" s="395" t="n"/>
      <c r="O749" s="394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234234335</v>
      </c>
      <c r="J750" s="120" t="n">
        <v>137910145</v>
      </c>
      <c r="K750" s="120" t="n">
        <v>123135435424</v>
      </c>
      <c r="L750" s="120" t="n">
        <v>13131</v>
      </c>
      <c r="M750" s="120" t="n">
        <v>311111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12435435435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96" t="n"/>
      <c r="B1" s="396" t="n"/>
      <c r="C1" s="396" t="n"/>
      <c r="D1" s="396" t="n"/>
      <c r="E1" s="397" t="n"/>
    </row>
    <row r="2" ht="37.25" customHeight="1" s="297">
      <c r="A2" s="396" t="n"/>
      <c r="B2" s="396" t="n"/>
      <c r="C2" s="396" t="n"/>
      <c r="D2" s="396" t="n"/>
      <c r="E2" s="397" t="n"/>
    </row>
    <row r="3" ht="33.65" customHeight="1" s="297">
      <c r="A3" s="396" t="n"/>
      <c r="B3" s="398" t="inlineStr">
        <is>
          <t>PT. EXSPAN WIRELINE INDONESIA</t>
        </is>
      </c>
      <c r="F3" s="399" t="n"/>
      <c r="G3" s="400" t="inlineStr">
        <is>
          <t>PT. EXSPAN WIRELINE INDONESIA</t>
        </is>
      </c>
      <c r="H3" s="400" t="n"/>
      <c r="I3" s="400" t="n"/>
      <c r="J3" s="400" t="n"/>
    </row>
    <row r="4" ht="20.5" customHeight="1" s="297">
      <c r="A4" s="396" t="n"/>
      <c r="B4" s="401" t="inlineStr">
        <is>
          <t>LABA RUGI | TAHUN 2026</t>
        </is>
      </c>
      <c r="F4" s="399" t="n"/>
      <c r="G4" s="402" t="inlineStr">
        <is>
          <t>NERACA | TAHUN YANG BERAKHIR, 31 DESEMBER 2026</t>
        </is>
      </c>
      <c r="H4" s="402" t="n"/>
      <c r="I4" s="402" t="n"/>
      <c r="J4" s="402" t="n"/>
      <c r="K4" s="403" t="inlineStr">
        <is>
          <t>CATATAN KEAMANAN</t>
        </is>
      </c>
    </row>
    <row r="5" ht="6" customHeight="1" s="297">
      <c r="A5" s="396" t="n"/>
      <c r="B5" s="396" t="n"/>
      <c r="C5" s="396" t="n"/>
      <c r="D5" s="396" t="n"/>
      <c r="E5" s="397" t="n"/>
      <c r="F5" s="399" t="n"/>
      <c r="G5" s="399" t="n"/>
      <c r="H5" s="404" t="n"/>
      <c r="I5" s="404" t="n"/>
      <c r="J5" s="404" t="n"/>
      <c r="K5" t="inlineStr">
        <is>
          <t>Kolom ini aman dari overwrite sistem.</t>
        </is>
      </c>
    </row>
    <row r="6" ht="15.5" customHeight="1" s="297">
      <c r="A6" s="396" t="n"/>
      <c r="B6" s="405" t="n"/>
      <c r="C6" s="406" t="n"/>
      <c r="D6" s="407" t="inlineStr">
        <is>
          <t>PT. Exspan Wireline Indonesia</t>
        </is>
      </c>
      <c r="E6" s="289" t="n"/>
      <c r="F6" s="399" t="n"/>
      <c r="G6" s="408" t="n"/>
      <c r="H6" s="409" t="n"/>
      <c r="I6" s="407" t="inlineStr">
        <is>
          <t>PT. Exspan Wireline Indonesia</t>
        </is>
      </c>
      <c r="J6" s="289" t="n"/>
      <c r="K6" t="inlineStr">
        <is>
          <t>Diverifikasi pada: 2026-03-30 12:45</t>
        </is>
      </c>
    </row>
    <row r="7" ht="15.5" customHeight="1" s="297">
      <c r="A7" s="396" t="n"/>
      <c r="B7" s="410" t="n"/>
      <c r="C7" s="411" t="n"/>
      <c r="D7" s="412" t="inlineStr">
        <is>
          <t>(Rp)</t>
        </is>
      </c>
      <c r="E7" s="290" t="n"/>
      <c r="F7" s="399" t="n"/>
      <c r="G7" s="413" t="n"/>
      <c r="H7" s="414" t="n"/>
      <c r="I7" s="412" t="inlineStr">
        <is>
          <t>(Rp)</t>
        </is>
      </c>
      <c r="J7" s="290" t="n"/>
    </row>
    <row r="8">
      <c r="A8" s="396" t="n"/>
      <c r="B8" s="415" t="inlineStr">
        <is>
          <t>PENDAPATAN</t>
        </is>
      </c>
      <c r="C8" s="416" t="n"/>
      <c r="D8" s="417" t="n"/>
      <c r="E8" s="418" t="n"/>
      <c r="F8" s="399" t="n"/>
      <c r="G8" s="419" t="inlineStr">
        <is>
          <t>AKTIVA</t>
        </is>
      </c>
      <c r="H8" s="420" t="n"/>
      <c r="I8" s="421" t="n"/>
      <c r="J8" s="422" t="n"/>
    </row>
    <row r="9">
      <c r="A9" s="396" t="n"/>
      <c r="B9" s="423" t="n"/>
      <c r="C9" s="416" t="inlineStr">
        <is>
          <t>PENDAPATAN LANGSUNG</t>
        </is>
      </c>
      <c r="D9" s="423" t="inlineStr">
        <is>
          <t>Rp</t>
        </is>
      </c>
      <c r="E9" s="424">
        <f>SUM('Revenue-Cost_2026'!F8:F20)</f>
        <v/>
      </c>
      <c r="F9" s="399" t="n"/>
      <c r="G9" s="425" t="inlineStr">
        <is>
          <t>AKTIVA LANCAR</t>
        </is>
      </c>
      <c r="H9" s="426" t="n"/>
      <c r="I9" s="425" t="n"/>
      <c r="J9" s="427" t="n"/>
    </row>
    <row r="10">
      <c r="A10" s="396" t="n"/>
      <c r="B10" s="423" t="n"/>
      <c r="C10" s="416" t="inlineStr">
        <is>
          <t>PENDAPATAN LAIN LAIN</t>
        </is>
      </c>
      <c r="D10" s="423" t="inlineStr">
        <is>
          <t>Rp</t>
        </is>
      </c>
      <c r="E10" s="424">
        <f>SUM('Revenue-Cost_2026'!F21)</f>
        <v/>
      </c>
      <c r="F10" s="399" t="n"/>
      <c r="G10" s="428" t="n"/>
      <c r="H10" s="429" t="inlineStr">
        <is>
          <t>KAS DAN SETARA KAS TAHUN SEBELUMNYA</t>
        </is>
      </c>
      <c r="I10" s="423" t="inlineStr">
        <is>
          <t>Rp</t>
        </is>
      </c>
      <c r="J10" s="430" t="n">
        <v>0</v>
      </c>
    </row>
    <row r="11">
      <c r="A11" s="396" t="n"/>
      <c r="B11" s="423" t="n"/>
      <c r="C11" s="416" t="n"/>
      <c r="D11" s="431" t="n"/>
      <c r="E11" s="432" t="n"/>
      <c r="F11" s="399" t="n"/>
      <c r="G11" s="428" t="n"/>
      <c r="H11" s="429" t="inlineStr">
        <is>
          <t>KAS DAN SETARA KAS TAHUN LAPORAN</t>
        </is>
      </c>
      <c r="I11" s="423" t="inlineStr">
        <is>
          <t>Rp</t>
        </is>
      </c>
      <c r="J11" s="430">
        <f>E46-'Business Summary'!E13</f>
        <v/>
      </c>
    </row>
    <row r="12">
      <c r="A12" s="396" t="n"/>
      <c r="B12" s="433" t="inlineStr">
        <is>
          <t>TOTALPENDAPATAN</t>
        </is>
      </c>
      <c r="C12" s="434" t="n"/>
      <c r="D12" s="435" t="inlineStr">
        <is>
          <t>Rp</t>
        </is>
      </c>
      <c r="E12" s="436">
        <f>SUM(E9:E11)</f>
        <v/>
      </c>
      <c r="F12" s="399" t="n"/>
      <c r="G12" s="428" t="n"/>
      <c r="H12" s="429" t="inlineStr">
        <is>
          <t>PIUTANG USAHA</t>
        </is>
      </c>
      <c r="I12" s="423" t="inlineStr">
        <is>
          <t>Rp</t>
        </is>
      </c>
      <c r="J12" s="430" t="n">
        <v>0</v>
      </c>
    </row>
    <row r="13">
      <c r="A13" s="396" t="n"/>
      <c r="B13" s="423" t="n"/>
      <c r="C13" s="416" t="n"/>
      <c r="D13" s="417" t="n"/>
      <c r="E13" s="437" t="n"/>
      <c r="F13" s="399" t="n"/>
      <c r="G13" s="428" t="n"/>
      <c r="H13" s="429" t="inlineStr">
        <is>
          <t>PAJAK BAYAR DI MUKA (pph23)</t>
        </is>
      </c>
      <c r="I13" s="423" t="inlineStr">
        <is>
          <t>Rp</t>
        </is>
      </c>
      <c r="J13" s="430" t="n">
        <v>0</v>
      </c>
    </row>
    <row r="14">
      <c r="A14" s="396" t="n"/>
      <c r="B14" s="438" t="inlineStr">
        <is>
          <t>BEBAN LANGSUNG</t>
        </is>
      </c>
      <c r="C14" s="416" t="n"/>
      <c r="D14" s="423" t="n"/>
      <c r="E14" s="439" t="n"/>
      <c r="F14" s="399" t="n"/>
      <c r="G14" s="428" t="n"/>
      <c r="H14" s="429" t="inlineStr">
        <is>
          <t>BIAYA BAYAR DI MUKA</t>
        </is>
      </c>
      <c r="I14" s="423" t="inlineStr">
        <is>
          <t>Rp</t>
        </is>
      </c>
      <c r="J14" s="430" t="n">
        <v>0</v>
      </c>
    </row>
    <row r="15">
      <c r="A15" s="396" t="n"/>
      <c r="B15" s="440" t="n"/>
      <c r="C15" s="416" t="inlineStr">
        <is>
          <t xml:space="preserve">Biaya Operasi </t>
        </is>
      </c>
      <c r="D15" s="423" t="inlineStr">
        <is>
          <t>Rp</t>
        </is>
      </c>
      <c r="E15" s="439">
        <f>'Revenue-Cost_2026'!I750</f>
        <v/>
      </c>
      <c r="F15" s="399" t="n"/>
      <c r="G15" s="441" t="n"/>
      <c r="H15" s="429" t="inlineStr">
        <is>
          <t>PIUTANG LAIN LAIN</t>
        </is>
      </c>
      <c r="I15" s="423" t="inlineStr">
        <is>
          <t>Rp</t>
        </is>
      </c>
      <c r="J15" s="430" t="n">
        <v>0</v>
      </c>
    </row>
    <row r="16">
      <c r="A16" s="396" t="n"/>
      <c r="B16" s="440" t="n"/>
      <c r="C16" s="416" t="inlineStr">
        <is>
          <t>Biaya research (R &amp; D)</t>
        </is>
      </c>
      <c r="D16" s="423" t="inlineStr">
        <is>
          <t>Rp</t>
        </is>
      </c>
      <c r="E16" s="439">
        <f>'Revenue-Cost_2026'!J750</f>
        <v/>
      </c>
      <c r="F16" s="399" t="n"/>
      <c r="G16" s="442" t="n"/>
      <c r="H16" s="443" t="inlineStr">
        <is>
          <t>TOTAL AKTIVA LANCAR</t>
        </is>
      </c>
      <c r="I16" s="435" t="inlineStr">
        <is>
          <t>Rp</t>
        </is>
      </c>
      <c r="J16" s="444">
        <f>SUM(J10:J15)</f>
        <v/>
      </c>
    </row>
    <row r="17">
      <c r="A17" s="396" t="n"/>
      <c r="B17" s="440" t="n"/>
      <c r="C17" s="416" t="inlineStr">
        <is>
          <t>BIAYA SEWA PERALATAN</t>
        </is>
      </c>
      <c r="D17" s="423" t="inlineStr">
        <is>
          <t>Rp</t>
        </is>
      </c>
      <c r="E17" s="439">
        <f>'Revenue-Cost_2026'!K750</f>
        <v/>
      </c>
      <c r="F17" s="399" t="n"/>
      <c r="G17" s="428" t="n"/>
      <c r="H17" s="429" t="n"/>
      <c r="I17" s="445" t="n"/>
      <c r="J17" s="446" t="n"/>
    </row>
    <row r="18">
      <c r="A18" s="396" t="n"/>
      <c r="B18" s="440" t="n"/>
      <c r="C18" s="416" t="inlineStr">
        <is>
          <t>BIAYA Data Processing</t>
        </is>
      </c>
      <c r="D18" s="423" t="inlineStr">
        <is>
          <t>Rp</t>
        </is>
      </c>
      <c r="E18" s="439">
        <f>'Revenue-Cost_2026'!L750</f>
        <v/>
      </c>
      <c r="F18" s="399" t="n"/>
      <c r="G18" s="425" t="inlineStr">
        <is>
          <t>ACTIVA TETAP</t>
        </is>
      </c>
      <c r="H18" s="447" t="n"/>
      <c r="I18" s="419" t="n"/>
      <c r="J18" s="430" t="n"/>
    </row>
    <row r="19">
      <c r="A19" s="396" t="n"/>
      <c r="B19" s="440" t="n"/>
      <c r="C19" s="416" t="n"/>
      <c r="D19" s="423" t="n"/>
      <c r="E19" s="439" t="n"/>
      <c r="F19" s="399" t="n"/>
      <c r="G19" s="425" t="n"/>
      <c r="H19" s="447" t="n"/>
      <c r="I19" s="419" t="n"/>
      <c r="J19" s="430" t="n"/>
    </row>
    <row r="20">
      <c r="A20" s="396" t="n"/>
      <c r="B20" s="440" t="n"/>
      <c r="C20" s="416" t="n"/>
      <c r="D20" s="431" t="n"/>
      <c r="E20" s="448" t="n"/>
      <c r="F20" s="399" t="n"/>
      <c r="G20" s="428" t="n"/>
      <c r="H20" s="429" t="inlineStr">
        <is>
          <t>INVENTARIS KANTOR</t>
        </is>
      </c>
      <c r="I20" s="423" t="inlineStr">
        <is>
          <t>Rp</t>
        </is>
      </c>
      <c r="J20" s="430" t="n">
        <v>0</v>
      </c>
    </row>
    <row r="21">
      <c r="A21" s="396" t="n"/>
      <c r="B21" s="433" t="inlineStr">
        <is>
          <t>TOTAL BIAYA LANGSUNG</t>
        </is>
      </c>
      <c r="C21" s="434" t="n"/>
      <c r="D21" s="435" t="inlineStr">
        <is>
          <t>Rp</t>
        </is>
      </c>
      <c r="E21" s="449">
        <f>SUM(E15:E20)</f>
        <v/>
      </c>
      <c r="F21" s="399" t="n"/>
      <c r="G21" s="428" t="n"/>
      <c r="H21" s="447" t="n"/>
      <c r="I21" s="450" t="n"/>
      <c r="J21" s="451" t="n"/>
    </row>
    <row r="22">
      <c r="A22" s="396" t="n"/>
      <c r="B22" s="423" t="n"/>
      <c r="C22" s="416" t="n"/>
      <c r="D22" s="417" t="n"/>
      <c r="E22" s="452" t="n"/>
      <c r="F22" s="399" t="n"/>
      <c r="G22" s="442" t="n"/>
      <c r="H22" s="443" t="inlineStr">
        <is>
          <t>TOTAL AKTIVA TETAP</t>
        </is>
      </c>
      <c r="I22" s="435" t="inlineStr">
        <is>
          <t>Rp</t>
        </is>
      </c>
      <c r="J22" s="444">
        <f>J20</f>
        <v/>
      </c>
    </row>
    <row r="23">
      <c r="A23" s="396" t="n"/>
      <c r="B23" s="438" t="inlineStr">
        <is>
          <t>BEBAN TIDAK LANGSUNG</t>
        </is>
      </c>
      <c r="C23" s="416" t="n"/>
      <c r="D23" s="423" t="n"/>
      <c r="E23" s="439">
        <f>'Revenue-Cost_2026'!Q750</f>
        <v/>
      </c>
      <c r="F23" s="399" t="n"/>
      <c r="G23" s="428" t="n"/>
      <c r="H23" s="429" t="n"/>
      <c r="I23" s="445" t="n"/>
      <c r="J23" s="422" t="n"/>
    </row>
    <row r="24">
      <c r="A24" s="396" t="n"/>
      <c r="B24" s="423" t="n"/>
      <c r="C24" s="416" t="n"/>
      <c r="D24" s="423" t="n"/>
      <c r="E24" s="439" t="n"/>
      <c r="F24" s="399" t="n"/>
      <c r="G24" s="425" t="inlineStr">
        <is>
          <t>ACTIVA LAIN LAIN</t>
        </is>
      </c>
      <c r="H24" s="447" t="n"/>
      <c r="I24" s="419" t="n"/>
      <c r="J24" s="430" t="n">
        <v>0</v>
      </c>
    </row>
    <row r="25">
      <c r="A25" s="396" t="n"/>
      <c r="B25" s="423" t="n"/>
      <c r="C25" s="416" t="n"/>
      <c r="D25" s="423" t="inlineStr">
        <is>
          <t>Rp</t>
        </is>
      </c>
      <c r="E25" s="439" t="n"/>
      <c r="F25" s="399" t="n"/>
      <c r="G25" s="428" t="n"/>
      <c r="H25" s="429" t="n"/>
      <c r="I25" s="453" t="n"/>
      <c r="J25" s="454" t="n">
        <v>0</v>
      </c>
    </row>
    <row r="26">
      <c r="A26" s="396" t="n"/>
      <c r="B26" s="423" t="n"/>
      <c r="C26" s="416" t="n"/>
      <c r="D26" s="431" t="n"/>
      <c r="E26" s="448" t="n"/>
      <c r="F26" s="399" t="n"/>
      <c r="G26" s="442" t="n"/>
      <c r="H26" s="443" t="inlineStr">
        <is>
          <t>TOTAL AKTIVA LAIN LAIN</t>
        </is>
      </c>
      <c r="I26" s="435" t="inlineStr">
        <is>
          <t>Rp</t>
        </is>
      </c>
      <c r="J26" s="444">
        <f>SUM(J25:J25)</f>
        <v/>
      </c>
    </row>
    <row r="27">
      <c r="A27" s="396" t="n"/>
      <c r="B27" s="433" t="inlineStr">
        <is>
          <t>TOTAL BIAYA TIDAK LANGSUNG</t>
        </is>
      </c>
      <c r="C27" s="434" t="n"/>
      <c r="D27" s="435" t="inlineStr">
        <is>
          <t>Rp</t>
        </is>
      </c>
      <c r="E27" s="449">
        <f>SUM(E22:E26)</f>
        <v/>
      </c>
      <c r="F27" s="399" t="n"/>
      <c r="G27" s="428" t="n"/>
      <c r="H27" s="429" t="n"/>
      <c r="I27" s="455" t="n"/>
      <c r="J27" s="456" t="n"/>
    </row>
    <row r="28">
      <c r="A28" s="396" t="n"/>
      <c r="B28" s="423" t="n"/>
      <c r="C28" s="416" t="n"/>
      <c r="D28" s="417" t="n"/>
      <c r="E28" s="452" t="n"/>
      <c r="F28" s="399" t="n"/>
      <c r="G28" s="433" t="inlineStr">
        <is>
          <t>TOTAL AKTIVA</t>
        </is>
      </c>
      <c r="H28" s="434" t="n"/>
      <c r="I28" s="435" t="inlineStr">
        <is>
          <t>Rp</t>
        </is>
      </c>
      <c r="J28" s="457">
        <f>J26+J22+J16</f>
        <v/>
      </c>
    </row>
    <row r="29">
      <c r="A29" s="396" t="n"/>
      <c r="B29" s="438" t="inlineStr">
        <is>
          <t>BIAYA ADMINISTRASI DAN UMUM</t>
        </is>
      </c>
      <c r="C29" s="416" t="n"/>
      <c r="D29" s="423" t="n"/>
      <c r="E29" s="439" t="n"/>
      <c r="F29" s="399" t="n"/>
      <c r="G29" s="458" t="n"/>
      <c r="H29" s="459" t="n"/>
      <c r="I29" s="458" t="n"/>
      <c r="J29" s="446" t="n"/>
    </row>
    <row r="30">
      <c r="A30" s="396" t="n"/>
      <c r="B30" s="440" t="n"/>
      <c r="C30" s="416" t="inlineStr">
        <is>
          <t>BIAYA ADMINISTRASI</t>
        </is>
      </c>
      <c r="D30" s="423" t="inlineStr">
        <is>
          <t>Rp</t>
        </is>
      </c>
      <c r="E30" s="439">
        <f>'Revenue-Cost_2026'!M750</f>
        <v/>
      </c>
      <c r="F30" s="399" t="n"/>
      <c r="G30" s="460" t="inlineStr">
        <is>
          <t>HUTANG DAN MODAL</t>
        </is>
      </c>
      <c r="H30" s="420" t="n"/>
      <c r="I30" s="460" t="n"/>
      <c r="J30" s="461" t="n"/>
    </row>
    <row r="31">
      <c r="A31" s="396" t="n"/>
      <c r="B31" s="440" t="n"/>
      <c r="C31" s="416" t="inlineStr">
        <is>
          <t>BIAYA PEMBELIAN Barang</t>
        </is>
      </c>
      <c r="D31" s="423" t="inlineStr">
        <is>
          <t>Rp</t>
        </is>
      </c>
      <c r="E31" s="439">
        <f>'Revenue-Cost_2026'!N750</f>
        <v/>
      </c>
      <c r="F31" s="399" t="n"/>
      <c r="G31" s="460" t="n"/>
      <c r="H31" s="420" t="n"/>
      <c r="I31" s="460" t="n"/>
      <c r="J31" s="461" t="n"/>
    </row>
    <row r="32">
      <c r="A32" s="396" t="n"/>
      <c r="B32" s="440" t="n"/>
      <c r="C32" s="416" t="inlineStr">
        <is>
          <t>BIAYA SEWA KANTOR</t>
        </is>
      </c>
      <c r="D32" s="423" t="inlineStr">
        <is>
          <t>Rp</t>
        </is>
      </c>
      <c r="E32" s="439">
        <f>'Revenue-Cost_2026'!O750</f>
        <v/>
      </c>
      <c r="F32" s="399" t="n"/>
      <c r="G32" s="425" t="inlineStr">
        <is>
          <t>HUTANG LANCAR</t>
        </is>
      </c>
      <c r="H32" s="426" t="n"/>
      <c r="I32" s="425" t="n"/>
      <c r="J32" s="427" t="n"/>
    </row>
    <row r="33">
      <c r="A33" s="396" t="n"/>
      <c r="B33" s="440" t="n"/>
      <c r="C33" s="416" t="inlineStr">
        <is>
          <t>BIAYA KESEHATAN</t>
        </is>
      </c>
      <c r="D33" s="423" t="inlineStr">
        <is>
          <t>Rp</t>
        </is>
      </c>
      <c r="E33" s="439">
        <f>'Revenue-Cost_2026'!P750</f>
        <v/>
      </c>
      <c r="F33" s="399" t="n"/>
      <c r="G33" s="428" t="n"/>
      <c r="H33" s="429" t="inlineStr">
        <is>
          <t>HUTANG USAHA</t>
        </is>
      </c>
      <c r="I33" s="423" t="inlineStr">
        <is>
          <t>Rp</t>
        </is>
      </c>
      <c r="J33" s="430" t="n">
        <v>0</v>
      </c>
    </row>
    <row r="34">
      <c r="A34" s="396" t="n"/>
      <c r="B34" s="440" t="n"/>
      <c r="C34" s="416" t="n"/>
      <c r="D34" s="431" t="n"/>
      <c r="E34" s="448" t="n"/>
      <c r="F34" s="399" t="n"/>
      <c r="G34" s="428" t="n"/>
      <c r="H34" s="462" t="inlineStr">
        <is>
          <t>HUTANG GAJI</t>
        </is>
      </c>
      <c r="I34" s="423" t="inlineStr">
        <is>
          <t>Rp</t>
        </is>
      </c>
      <c r="J34" s="430" t="n">
        <v>0</v>
      </c>
    </row>
    <row r="35">
      <c r="A35" s="396" t="n"/>
      <c r="B35" s="433" t="inlineStr">
        <is>
          <t>TOTAL BIAYA ADMINISTRASI DAN UMUM</t>
        </is>
      </c>
      <c r="C35" s="434" t="n"/>
      <c r="D35" s="435" t="inlineStr">
        <is>
          <t>Rp</t>
        </is>
      </c>
      <c r="E35" s="436">
        <f>SUM(E30:E34)</f>
        <v/>
      </c>
      <c r="F35" s="399" t="n"/>
      <c r="G35" s="428" t="n"/>
      <c r="H35" s="429" t="inlineStr">
        <is>
          <t>HUTANG PEMEGANG SAHAM</t>
        </is>
      </c>
      <c r="I35" s="423" t="inlineStr">
        <is>
          <t>Rp</t>
        </is>
      </c>
      <c r="J35" s="430" t="n">
        <v>0</v>
      </c>
    </row>
    <row r="36">
      <c r="A36" s="396" t="n"/>
      <c r="B36" s="440" t="n"/>
      <c r="C36" s="416" t="n"/>
      <c r="D36" s="435" t="n"/>
      <c r="E36" s="463" t="n"/>
      <c r="F36" s="399" t="n"/>
      <c r="G36" s="428" t="n"/>
      <c r="H36" s="429" t="inlineStr">
        <is>
          <t>BIAYA YANG MASIH HARUS DI BAYAR</t>
        </is>
      </c>
      <c r="I36" s="423" t="inlineStr">
        <is>
          <t>Rp</t>
        </is>
      </c>
      <c r="J36" s="430" t="n">
        <v>0</v>
      </c>
    </row>
    <row r="37">
      <c r="A37" s="396" t="n"/>
      <c r="B37" s="433" t="inlineStr">
        <is>
          <t>TOTAL BIAYA</t>
        </is>
      </c>
      <c r="C37" s="434" t="n"/>
      <c r="D37" s="435" t="inlineStr">
        <is>
          <t>Rp</t>
        </is>
      </c>
      <c r="E37" s="436">
        <f>E35+E21+E27</f>
        <v/>
      </c>
      <c r="F37" s="399" t="n"/>
      <c r="G37" s="464" t="n"/>
      <c r="H37" s="465" t="n"/>
      <c r="I37" s="464" t="n"/>
      <c r="J37" s="466" t="n"/>
    </row>
    <row r="38">
      <c r="A38" s="396" t="n"/>
      <c r="B38" s="415" t="n"/>
      <c r="C38" s="467" t="n"/>
      <c r="D38" s="417" t="n"/>
      <c r="E38" s="468" t="n"/>
      <c r="F38" s="399" t="n"/>
      <c r="G38" s="442" t="n"/>
      <c r="H38" s="443" t="inlineStr">
        <is>
          <t>TOTAL HUTANG LANCAR</t>
        </is>
      </c>
      <c r="I38" s="469" t="n"/>
      <c r="J38" s="444">
        <f>SUM(J33:J36)</f>
        <v/>
      </c>
    </row>
    <row r="39">
      <c r="A39" s="396" t="n"/>
      <c r="B39" s="438" t="inlineStr">
        <is>
          <t xml:space="preserve">PENDAPATAN/BEBAN LAIN LAIN </t>
        </is>
      </c>
      <c r="C39" s="416" t="n"/>
      <c r="D39" s="423" t="inlineStr">
        <is>
          <t>Rp</t>
        </is>
      </c>
      <c r="E39" s="470" t="n"/>
      <c r="F39" s="399" t="n"/>
      <c r="G39" s="428" t="n"/>
      <c r="H39" s="447" t="n"/>
      <c r="I39" s="471" t="n"/>
      <c r="J39" s="422" t="n"/>
    </row>
    <row r="40">
      <c r="A40" s="396" t="n"/>
      <c r="B40" s="438" t="n"/>
      <c r="C40" s="416" t="inlineStr">
        <is>
          <t>PENDAPATAN LAINNYA</t>
        </is>
      </c>
      <c r="D40" s="423" t="inlineStr">
        <is>
          <t>Rp</t>
        </is>
      </c>
      <c r="E40" s="424" t="n">
        <v>0</v>
      </c>
      <c r="F40" s="399" t="n"/>
      <c r="G40" s="425" t="inlineStr">
        <is>
          <t>MODAL</t>
        </is>
      </c>
      <c r="H40" s="426" t="n"/>
      <c r="I40" s="425" t="n"/>
      <c r="J40" s="427" t="n"/>
    </row>
    <row r="41">
      <c r="A41" s="396" t="n"/>
      <c r="B41" s="438" t="n"/>
      <c r="C41" s="416" t="n"/>
      <c r="D41" s="431" t="n"/>
      <c r="E41" s="472" t="n"/>
      <c r="F41" s="399" t="n"/>
      <c r="G41" s="428" t="n"/>
      <c r="H41" s="429" t="inlineStr">
        <is>
          <t>MODAL SAHAM</t>
        </is>
      </c>
      <c r="I41" s="423" t="inlineStr">
        <is>
          <t>Rp</t>
        </is>
      </c>
      <c r="J41" s="430" t="n">
        <v>0</v>
      </c>
    </row>
    <row r="42">
      <c r="A42" s="396" t="n"/>
      <c r="B42" s="433" t="inlineStr">
        <is>
          <t>LABA RUGI SEBELUM PAJAK</t>
        </is>
      </c>
      <c r="C42" s="434" t="n"/>
      <c r="D42" s="435" t="inlineStr">
        <is>
          <t>Rp</t>
        </is>
      </c>
      <c r="E42" s="436">
        <f>E12-E37</f>
        <v/>
      </c>
      <c r="F42" s="399" t="n"/>
      <c r="G42" s="428" t="n"/>
      <c r="H42" s="429" t="inlineStr">
        <is>
          <t>LABA DI TAHAN</t>
        </is>
      </c>
      <c r="I42" s="423" t="inlineStr">
        <is>
          <t>Rp</t>
        </is>
      </c>
      <c r="J42" s="430" t="n">
        <v>0</v>
      </c>
    </row>
    <row r="43">
      <c r="A43" s="396" t="n"/>
      <c r="B43" s="473" t="n"/>
      <c r="C43" s="467" t="n"/>
      <c r="D43" s="417" t="n"/>
      <c r="E43" s="437" t="n"/>
      <c r="F43" s="399" t="n"/>
      <c r="G43" s="425" t="n"/>
      <c r="H43" s="429" t="inlineStr">
        <is>
          <t>TOTAL LABA (RUGI) DITAHAN</t>
        </is>
      </c>
      <c r="I43" s="431" t="inlineStr">
        <is>
          <t>Rp</t>
        </is>
      </c>
      <c r="J43" s="454">
        <f>J28-J38-J41-J42</f>
        <v/>
      </c>
    </row>
    <row r="44">
      <c r="A44" s="396" t="n"/>
      <c r="B44" s="438" t="inlineStr">
        <is>
          <t>CORPORATE TAX (PPh 29)</t>
        </is>
      </c>
      <c r="D44" s="423" t="inlineStr">
        <is>
          <t>Rp</t>
        </is>
      </c>
      <c r="E44" s="424" t="n">
        <v>0</v>
      </c>
      <c r="F44" s="399" t="n"/>
      <c r="G44" s="442" t="n"/>
      <c r="H44" s="443" t="inlineStr">
        <is>
          <t>TOTAL MODAL</t>
        </is>
      </c>
      <c r="I44" s="435" t="inlineStr">
        <is>
          <t>Rp</t>
        </is>
      </c>
      <c r="J44" s="444">
        <f>SUM(J41:J43)</f>
        <v/>
      </c>
    </row>
    <row r="45">
      <c r="A45" s="396" t="n"/>
      <c r="B45" s="438" t="n"/>
      <c r="C45" s="416" t="n"/>
      <c r="D45" s="431" t="n"/>
      <c r="E45" s="472" t="n"/>
      <c r="F45" s="399" t="n"/>
      <c r="G45" s="428" t="n"/>
      <c r="H45" s="429" t="n"/>
      <c r="I45" s="455" t="n"/>
      <c r="J45" s="456" t="n"/>
    </row>
    <row r="46" ht="15" customHeight="1" s="297">
      <c r="A46" s="396" t="n"/>
      <c r="B46" s="474" t="inlineStr">
        <is>
          <t>LABA / RUGI BERSIH</t>
        </is>
      </c>
      <c r="C46" s="303" t="n"/>
      <c r="D46" s="475" t="n"/>
      <c r="E46" s="476">
        <f>E42-E44</f>
        <v/>
      </c>
      <c r="F46" s="399" t="n"/>
      <c r="G46" s="477" t="inlineStr">
        <is>
          <t>TOTAL HUTANG DAN MODAL</t>
        </is>
      </c>
      <c r="H46" s="478" t="n"/>
      <c r="I46" s="475" t="inlineStr">
        <is>
          <t>Rp</t>
        </is>
      </c>
      <c r="J46" s="479">
        <f>J44+J38</f>
        <v/>
      </c>
    </row>
    <row r="47" ht="4.5" customHeight="1" s="297">
      <c r="A47" s="396" t="n"/>
      <c r="F47" s="399" t="n"/>
    </row>
    <row r="48" ht="50.65" customHeight="1" s="297">
      <c r="A48" s="396" t="n"/>
      <c r="F48" s="399" t="n"/>
      <c r="G48" s="480" t="n"/>
    </row>
    <row r="49" ht="16.75" customHeight="1" s="297">
      <c r="A49" s="396" t="n"/>
      <c r="B49" s="481" t="n"/>
      <c r="F49" s="399" t="n"/>
      <c r="G49" s="481" t="n"/>
    </row>
    <row r="50" ht="15.65" customHeight="1" s="297">
      <c r="A50" s="416" t="n"/>
      <c r="B50" s="482" t="inlineStr">
        <is>
          <t>Direktur</t>
        </is>
      </c>
      <c r="F50" s="399" t="n"/>
      <c r="G50" s="482" t="inlineStr">
        <is>
          <t>Direktur</t>
        </is>
      </c>
    </row>
    <row r="51">
      <c r="A51" s="416" t="n"/>
      <c r="F51" s="399" t="n"/>
    </row>
    <row r="52">
      <c r="A52" s="416" t="n"/>
      <c r="F52" s="399" t="n"/>
      <c r="J52" s="48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96" t="n"/>
      <c r="B1" s="396" t="n"/>
      <c r="C1" s="396" t="n"/>
      <c r="D1" s="396" t="n"/>
      <c r="E1" s="397" t="n"/>
    </row>
    <row r="2" ht="37.25" customHeight="1" s="297">
      <c r="A2" s="396" t="n"/>
      <c r="B2" s="396" t="n"/>
      <c r="C2" s="396" t="n"/>
      <c r="D2" s="396" t="n"/>
      <c r="E2" s="397" t="n"/>
    </row>
    <row r="3" ht="33.65" customHeight="1" s="297">
      <c r="A3" s="396" t="n"/>
      <c r="B3" s="398" t="inlineStr">
        <is>
          <t>PT. EXSPAN WIRELINE INDONESIA</t>
        </is>
      </c>
      <c r="F3" s="399" t="n"/>
    </row>
    <row r="4" ht="20.5" customHeight="1" s="297">
      <c r="A4" s="396" t="n"/>
      <c r="B4" s="401" t="inlineStr">
        <is>
          <t>BUSINESS SUMMARY | TAHUN 2026</t>
        </is>
      </c>
      <c r="F4" s="399" t="n"/>
    </row>
    <row r="5" ht="6" customHeight="1" s="297">
      <c r="A5" s="396" t="n"/>
      <c r="B5" s="396" t="n"/>
      <c r="C5" s="396" t="n"/>
      <c r="D5" s="396" t="n"/>
      <c r="E5" s="397" t="n"/>
      <c r="F5" s="399" t="n"/>
    </row>
    <row r="6" ht="19" customHeight="1" s="297">
      <c r="A6" s="396" t="n"/>
      <c r="B6" s="484" t="inlineStr">
        <is>
          <t>#</t>
        </is>
      </c>
      <c r="C6" s="484" t="inlineStr">
        <is>
          <t>Items</t>
        </is>
      </c>
      <c r="D6" s="485" t="inlineStr">
        <is>
          <t>Amount</t>
        </is>
      </c>
      <c r="E6" s="279" t="n"/>
      <c r="F6" s="399" t="n"/>
    </row>
    <row r="7" ht="19" customHeight="1" s="297">
      <c r="A7" s="396" t="n"/>
      <c r="B7" s="486" t="n">
        <v>1</v>
      </c>
      <c r="C7" s="487" t="inlineStr">
        <is>
          <t>Revenue</t>
        </is>
      </c>
      <c r="D7" s="488" t="inlineStr">
        <is>
          <t>Rp</t>
        </is>
      </c>
      <c r="E7" s="489">
        <f>'Revenue-Cost_2026'!F22</f>
        <v/>
      </c>
      <c r="F7" s="399" t="n"/>
    </row>
    <row r="8" ht="19" customHeight="1" s="297">
      <c r="A8" s="396" t="n"/>
      <c r="B8" s="486" t="n">
        <v>2</v>
      </c>
      <c r="C8" s="487" t="inlineStr">
        <is>
          <t>Revenue Diterima (Setelah Pajak)</t>
        </is>
      </c>
      <c r="D8" s="488" t="inlineStr">
        <is>
          <t>Rp</t>
        </is>
      </c>
      <c r="E8" s="489">
        <f>E7-'Revenue-Cost_2026'!N22</f>
        <v/>
      </c>
      <c r="F8" s="399" t="n"/>
    </row>
    <row r="9" ht="19" customHeight="1" s="297">
      <c r="A9" s="396" t="n"/>
      <c r="B9" s="486" t="n">
        <v>3</v>
      </c>
      <c r="C9" s="487" t="inlineStr">
        <is>
          <t>Biaya</t>
        </is>
      </c>
      <c r="D9" s="488" t="inlineStr">
        <is>
          <t>Rp</t>
        </is>
      </c>
      <c r="E9" s="489">
        <f>SUM('Revenue-Cost_2026'!I750:Q750)</f>
        <v/>
      </c>
      <c r="F9" s="399" t="n"/>
    </row>
    <row r="10" ht="19" customHeight="1" s="297">
      <c r="A10" s="396" t="n"/>
      <c r="B10" s="486" t="n">
        <v>4</v>
      </c>
      <c r="C10" s="487" t="inlineStr">
        <is>
          <t>Profit SebelumTax</t>
        </is>
      </c>
      <c r="D10" s="488" t="inlineStr">
        <is>
          <t>Rp</t>
        </is>
      </c>
      <c r="E10" s="489">
        <f>E7-E9</f>
        <v/>
      </c>
      <c r="F10" s="399" t="n"/>
    </row>
    <row r="11" ht="19" customHeight="1" s="297">
      <c r="A11" s="396" t="n"/>
      <c r="B11" s="486" t="n">
        <v>5</v>
      </c>
      <c r="C11" s="487" t="inlineStr">
        <is>
          <t>PPh Badan (22%*50%)</t>
        </is>
      </c>
      <c r="D11" s="488" t="inlineStr">
        <is>
          <t>Rp</t>
        </is>
      </c>
      <c r="E11" s="489">
        <f>E10*22%*50%</f>
        <v/>
      </c>
      <c r="F11" s="399" t="n"/>
    </row>
    <row r="12" ht="19" customHeight="1" s="297">
      <c r="A12" s="396" t="n"/>
      <c r="B12" s="486" t="n">
        <v>6</v>
      </c>
      <c r="C12" s="487" t="inlineStr">
        <is>
          <t>PPh 23 Dipotong oleh client</t>
        </is>
      </c>
      <c r="D12" s="488" t="inlineStr">
        <is>
          <t>Rp</t>
        </is>
      </c>
      <c r="E12" s="489">
        <f>'Revenue-Cost_2026'!N22</f>
        <v/>
      </c>
      <c r="F12" s="399" t="n"/>
    </row>
    <row r="13" ht="19" customHeight="1" s="297">
      <c r="A13" s="396" t="n"/>
      <c r="B13" s="486" t="n">
        <v>7</v>
      </c>
      <c r="C13" s="487" t="inlineStr">
        <is>
          <t>Kekurangan Bayar PPh Badan</t>
        </is>
      </c>
      <c r="D13" s="488" t="inlineStr">
        <is>
          <t>Rp</t>
        </is>
      </c>
      <c r="E13" s="490">
        <f>E11-E12</f>
        <v/>
      </c>
      <c r="F13" s="399" t="n"/>
    </row>
    <row r="14" ht="19" customHeight="1" s="297">
      <c r="A14" s="396" t="n"/>
      <c r="B14" s="486" t="n">
        <v>8</v>
      </c>
      <c r="C14" s="487" t="inlineStr">
        <is>
          <t>Profit After Tax</t>
        </is>
      </c>
      <c r="D14" s="488" t="inlineStr">
        <is>
          <t>Rp</t>
        </is>
      </c>
      <c r="E14" s="489">
        <f>E10-E13</f>
        <v/>
      </c>
      <c r="F14" s="399" t="n"/>
    </row>
    <row r="15" ht="19" customHeight="1" s="297">
      <c r="A15" s="396" t="n"/>
      <c r="B15" s="486" t="n">
        <v>9</v>
      </c>
      <c r="C15" s="487" t="inlineStr">
        <is>
          <t>Deviden Dibagi</t>
        </is>
      </c>
      <c r="D15" s="488" t="inlineStr">
        <is>
          <t>Rp</t>
        </is>
      </c>
      <c r="E15" s="489">
        <f>E14-E16</f>
        <v/>
      </c>
      <c r="F15" s="399" t="n"/>
    </row>
    <row r="16" ht="19" customHeight="1" s="297">
      <c r="A16" s="396" t="n"/>
      <c r="B16" s="486" t="n">
        <v>10</v>
      </c>
      <c r="C16" s="487" t="inlineStr">
        <is>
          <t>Profit Ditahan</t>
        </is>
      </c>
      <c r="D16" s="488" t="inlineStr">
        <is>
          <t>Rp</t>
        </is>
      </c>
      <c r="E16" s="489" t="n">
        <v>200</v>
      </c>
      <c r="F16" s="399" t="n"/>
    </row>
    <row r="17">
      <c r="A17" s="396" t="n"/>
      <c r="B17" s="396" t="n"/>
      <c r="C17" s="396" t="n"/>
      <c r="D17" s="396" t="n"/>
      <c r="E17" s="397" t="n"/>
      <c r="F17" s="399" t="n"/>
    </row>
    <row r="18" ht="18" customHeight="1" s="297">
      <c r="A18" s="396" t="n"/>
      <c r="B18" s="491" t="inlineStr">
        <is>
          <t>DEVIDEN</t>
        </is>
      </c>
      <c r="F18" s="399" t="n"/>
    </row>
    <row r="19" ht="19" customHeight="1" s="297">
      <c r="A19" s="396" t="n"/>
      <c r="B19" s="492" t="inlineStr">
        <is>
          <t>#</t>
        </is>
      </c>
      <c r="C19" s="492" t="inlineStr">
        <is>
          <t>Nama Lengkap</t>
        </is>
      </c>
      <c r="D19" s="492" t="inlineStr"/>
      <c r="E19" s="493" t="inlineStr">
        <is>
          <t>Amount</t>
        </is>
      </c>
      <c r="F19" s="399" t="inlineStr"/>
      <c r="G19" s="494" t="inlineStr">
        <is>
          <t>Pajak</t>
        </is>
      </c>
    </row>
    <row r="20" ht="19" customHeight="1" s="297">
      <c r="A20" s="396" t="n"/>
      <c r="B20" s="271" t="n"/>
      <c r="C20" s="272" t="n"/>
      <c r="D20" s="487" t="n"/>
      <c r="E20" s="495" t="n"/>
      <c r="F20" s="399" t="n"/>
      <c r="G20" s="496" t="n"/>
    </row>
    <row r="21" ht="48.75" customHeight="1" s="297">
      <c r="A21" s="416" t="n"/>
      <c r="F21" s="399" t="n"/>
    </row>
    <row r="22">
      <c r="A22" s="416" t="n"/>
      <c r="F22" s="39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2026-03-30T05:45:06Z</dcterms:modified>
  <cp:lastModifiedBy>Diofavian - Student</cp:lastModifiedBy>
</cp:coreProperties>
</file>