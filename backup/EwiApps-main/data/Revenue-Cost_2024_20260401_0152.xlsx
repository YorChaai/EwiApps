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77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77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3" fontId="38" fillId="12" borderId="20" applyAlignment="1" pivotButton="0" quotePrefix="0" xfId="2">
      <alignment horizontal="center"/>
    </xf>
    <xf numFmtId="165" fontId="38" fillId="12" borderId="20" pivotButton="0" quotePrefix="0" xfId="2"/>
    <xf numFmtId="177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horizontal="center"/>
    </xf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77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3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77" fontId="38" fillId="12" borderId="20" applyAlignment="1" pivotButton="0" quotePrefix="0" xfId="0">
      <alignment vertical="center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77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7" fontId="38" fillId="12" borderId="20" applyAlignment="1" pivotButton="0" quotePrefix="0" xfId="0">
      <alignment horizontal="left"/>
    </xf>
    <xf numFmtId="0" fontId="38" fillId="12" borderId="20" applyAlignment="1" pivotButton="0" quotePrefix="0" xfId="0">
      <alignment horizontal="right"/>
    </xf>
    <xf numFmtId="15" fontId="38" fillId="12" borderId="20" pivotButton="0" quotePrefix="0" xfId="0"/>
    <xf numFmtId="177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3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77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53" t="n">
        <v>45569</v>
      </c>
      <c r="C98" s="354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4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4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4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4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4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4" t="n"/>
      <c r="C122" s="344" t="n"/>
      <c r="D122" s="366" t="inlineStr">
        <is>
          <t>Logistic</t>
        </is>
      </c>
      <c r="E122" s="367" t="n"/>
      <c r="F122" s="403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53" t="n">
        <v>45347</v>
      </c>
      <c r="C127" s="354" t="n">
        <v>9</v>
      </c>
      <c r="D127" s="383" t="inlineStr">
        <is>
          <t>White Marker</t>
        </is>
      </c>
      <c r="E127" s="383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4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4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4" t="n"/>
      <c r="C144" s="344" t="n"/>
      <c r="D144" s="366" t="inlineStr">
        <is>
          <t>Allowance</t>
        </is>
      </c>
      <c r="E144" s="367" t="n"/>
      <c r="F144" s="369" t="n"/>
      <c r="G144" s="344" t="n"/>
      <c r="H144" s="406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53" t="n">
        <v>45358</v>
      </c>
      <c r="C145" s="354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4" t="n"/>
      <c r="C146" s="344" t="n"/>
      <c r="D146" s="345" t="inlineStr">
        <is>
          <t>Logistic</t>
        </is>
      </c>
      <c r="E146" s="407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4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4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53" t="n">
        <v>45357</v>
      </c>
      <c r="C155" s="354" t="n">
        <v>9</v>
      </c>
      <c r="D155" s="383" t="inlineStr">
        <is>
          <t>Airplane Ticket PLM-CGK</t>
        </is>
      </c>
      <c r="E155" s="383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4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4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53" t="n">
        <v>45375</v>
      </c>
      <c r="C164" s="354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4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53" t="n">
        <v>45370</v>
      </c>
      <c r="C166" s="354" t="n">
        <v>4</v>
      </c>
      <c r="D166" s="383" t="inlineStr">
        <is>
          <t>Taxi Bintaro-CGK</t>
        </is>
      </c>
      <c r="E166" s="383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4" t="n"/>
      <c r="C184" s="344" t="n"/>
      <c r="D184" s="366" t="inlineStr">
        <is>
          <t>Meal</t>
        </is>
      </c>
      <c r="E184" s="367" t="n"/>
      <c r="F184" s="369" t="n"/>
      <c r="G184" s="344" t="n"/>
      <c r="H184" s="406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53" t="n">
        <v>45402</v>
      </c>
      <c r="C185" s="354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4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4" t="n"/>
      <c r="C194" s="344" t="n"/>
      <c r="D194" s="366" t="inlineStr">
        <is>
          <t>Transportation</t>
        </is>
      </c>
      <c r="E194" s="409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53" t="n">
        <v>45402</v>
      </c>
      <c r="C196" s="354" t="n">
        <v>11</v>
      </c>
      <c r="D196" s="383" t="inlineStr">
        <is>
          <t>Taxi CGK-Bintaro</t>
        </is>
      </c>
      <c r="E196" s="383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3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4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4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4" t="n"/>
      <c r="C205" s="344" t="n"/>
      <c r="D205" s="366" t="inlineStr">
        <is>
          <t>Transportation</t>
        </is>
      </c>
      <c r="E205" s="409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1" t="n"/>
      <c r="C209" s="414" t="n"/>
      <c r="D209" s="415" t="inlineStr">
        <is>
          <t>Accommodation</t>
        </is>
      </c>
      <c r="E209" s="416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4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4" t="n"/>
      <c r="C213" s="344" t="n"/>
      <c r="D213" s="366" t="inlineStr">
        <is>
          <t>Transportation</t>
        </is>
      </c>
      <c r="E213" s="409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4" t="n"/>
      <c r="D221" s="366" t="inlineStr">
        <is>
          <t>Accommodation</t>
        </is>
      </c>
      <c r="E221" s="409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4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4" t="n"/>
      <c r="C227" s="344" t="n"/>
      <c r="D227" s="366" t="inlineStr">
        <is>
          <t>Transportation</t>
        </is>
      </c>
      <c r="E227" s="409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4" t="n"/>
      <c r="D231" s="366" t="inlineStr">
        <is>
          <t>Accommodation</t>
        </is>
      </c>
      <c r="E231" s="409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4" t="n"/>
      <c r="D234" s="415" t="inlineStr">
        <is>
          <t>Allowance</t>
        </is>
      </c>
      <c r="E234" s="416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364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364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4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364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364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4" t="n"/>
      <c r="C240" s="344" t="n"/>
      <c r="D240" s="366" t="inlineStr">
        <is>
          <t>Meal</t>
        </is>
      </c>
      <c r="E240" s="409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364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364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4" t="n"/>
      <c r="D244" s="366" t="inlineStr">
        <is>
          <t>Accommodation</t>
        </is>
      </c>
      <c r="E244" s="409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364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364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4" t="n"/>
      <c r="C247" s="344" t="n"/>
      <c r="D247" s="366" t="inlineStr">
        <is>
          <t>Allowance</t>
        </is>
      </c>
      <c r="E247" s="367" t="n"/>
      <c r="F247" s="347" t="n"/>
      <c r="G247" s="346" t="n"/>
      <c r="H247" s="420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53" t="n">
        <v>45401</v>
      </c>
      <c r="C248" s="354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4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53" t="n">
        <v>45401</v>
      </c>
      <c r="C250" s="354" t="n">
        <v>4</v>
      </c>
      <c r="D250" s="383" t="inlineStr">
        <is>
          <t>Battery A2</t>
        </is>
      </c>
      <c r="E250" s="383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53" t="n">
        <v>45401</v>
      </c>
      <c r="C253" s="354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53" t="n">
        <v>45404</v>
      </c>
      <c r="C255" s="354" t="n">
        <v>7</v>
      </c>
      <c r="D255" s="383" t="inlineStr">
        <is>
          <t>Taxi Bintaro-Wisma Mas</t>
        </is>
      </c>
      <c r="E255" s="383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4" t="n"/>
      <c r="D257" s="421" t="inlineStr">
        <is>
          <t>Biaya Operasi</t>
        </is>
      </c>
      <c r="E257" s="422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3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4" t="n"/>
      <c r="C262" s="344" t="n"/>
      <c r="D262" s="366" t="inlineStr">
        <is>
          <t>Pembelian Barang</t>
        </is>
      </c>
      <c r="E262" s="424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5" t="inlineStr">
        <is>
          <t>Safety shoes</t>
        </is>
      </c>
      <c r="E263" s="425" t="inlineStr">
        <is>
          <t>-</t>
        </is>
      </c>
      <c r="F263" s="426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4" t="n"/>
      <c r="D265" s="345" t="inlineStr">
        <is>
          <t>Kesehatan</t>
        </is>
      </c>
      <c r="E265" s="407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3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4" t="n"/>
      <c r="C271" s="344" t="n"/>
      <c r="D271" s="366" t="inlineStr">
        <is>
          <t>Biaya Operasi</t>
        </is>
      </c>
      <c r="E271" s="409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7" t="inlineStr">
        <is>
          <t>Tiket Pesawat Citilink (CGK-PLM 25 Mei 2024)</t>
        </is>
      </c>
      <c r="E272" s="427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4" t="n"/>
      <c r="D276" s="366" t="inlineStr">
        <is>
          <t>Allowance</t>
        </is>
      </c>
      <c r="E276" s="409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4" t="n"/>
      <c r="C279" s="344" t="n"/>
      <c r="D279" s="421" t="inlineStr">
        <is>
          <t>Hand Tools</t>
        </is>
      </c>
      <c r="E279" s="422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53" t="n">
        <v>45443</v>
      </c>
      <c r="C280" s="354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4" t="n"/>
      <c r="C281" s="344" t="n"/>
      <c r="D281" s="366" t="inlineStr">
        <is>
          <t>Laundry</t>
        </is>
      </c>
      <c r="E281" s="409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4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4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7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4" t="n"/>
      <c r="C293" s="344" t="n"/>
      <c r="D293" s="366" t="inlineStr">
        <is>
          <t>Allowance</t>
        </is>
      </c>
      <c r="E293" s="367" t="n"/>
      <c r="F293" s="403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7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4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7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7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4" t="n"/>
      <c r="D298" s="415" t="inlineStr">
        <is>
          <t>Transportation</t>
        </is>
      </c>
      <c r="E298" s="416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3" t="n">
        <v>45437</v>
      </c>
      <c r="C302" s="354" t="n">
        <v>9</v>
      </c>
      <c r="D302" s="425" t="inlineStr">
        <is>
          <t>Rent Car 6 Days</t>
        </is>
      </c>
      <c r="E302" s="425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3" t="n">
        <v>45437</v>
      </c>
      <c r="C303" s="354" t="n">
        <v>10</v>
      </c>
      <c r="D303" s="425" t="inlineStr">
        <is>
          <t>Gasoline</t>
        </is>
      </c>
      <c r="E303" s="425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53" t="n">
        <v>45442</v>
      </c>
      <c r="C305" s="354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8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29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4" t="n"/>
      <c r="C309" s="344" t="n"/>
      <c r="D309" s="366" t="inlineStr">
        <is>
          <t>Transportation</t>
        </is>
      </c>
      <c r="E309" s="409" t="n"/>
      <c r="F309" s="347" t="n"/>
      <c r="G309" s="344" t="n"/>
      <c r="H309" s="344" t="n"/>
      <c r="I309" s="429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4" t="n"/>
      <c r="C317" s="430" t="n"/>
      <c r="D317" s="366" t="inlineStr">
        <is>
          <t>Allowance</t>
        </is>
      </c>
      <c r="E317" s="409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4" t="n"/>
      <c r="C319" s="430" t="n"/>
      <c r="D319" s="366" t="inlineStr">
        <is>
          <t>Logistic</t>
        </is>
      </c>
      <c r="E319" s="409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4" t="n"/>
      <c r="C321" s="430" t="n"/>
      <c r="D321" s="366" t="inlineStr">
        <is>
          <t>Meal</t>
        </is>
      </c>
      <c r="E321" s="409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7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4" t="n"/>
      <c r="D323" s="415" t="inlineStr">
        <is>
          <t>Transportation</t>
        </is>
      </c>
      <c r="E323" s="416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53" t="n">
        <v>45428</v>
      </c>
      <c r="C329" s="354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8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4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4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53" t="n">
        <v>45483</v>
      </c>
      <c r="C343" s="354" t="n">
        <v>4</v>
      </c>
      <c r="D343" s="383" t="inlineStr">
        <is>
          <t>OTG Type C</t>
        </is>
      </c>
      <c r="E343" s="383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53" t="n">
        <v>45482</v>
      </c>
      <c r="C349" s="354" t="n">
        <v>9</v>
      </c>
      <c r="D349" s="383" t="inlineStr">
        <is>
          <t>Taxi Hotel - KLIA</t>
        </is>
      </c>
      <c r="E349" s="383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3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4" t="n"/>
      <c r="C360" s="344" t="n"/>
      <c r="D360" s="366" t="inlineStr">
        <is>
          <t>Allowance</t>
        </is>
      </c>
      <c r="E360" s="431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4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4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29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4" t="n"/>
      <c r="C369" s="344" t="n"/>
      <c r="D369" s="421" t="inlineStr">
        <is>
          <t>Transportation</t>
        </is>
      </c>
      <c r="E369" s="422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5" t="inlineStr">
        <is>
          <t>Jakarta - Palembang</t>
        </is>
      </c>
      <c r="E370" s="425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5" t="inlineStr">
        <is>
          <t>Taxi + Tol to Airport Jakarta</t>
        </is>
      </c>
      <c r="E371" s="425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5" t="inlineStr">
        <is>
          <t>fuel + tol PLM-Prabu</t>
        </is>
      </c>
      <c r="E372" s="425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5" t="inlineStr">
        <is>
          <t>Jakarta - Palembang</t>
        </is>
      </c>
      <c r="E373" s="425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53" t="n">
        <v>45497</v>
      </c>
      <c r="C374" s="354" t="n">
        <v>12</v>
      </c>
      <c r="D374" s="383" t="inlineStr">
        <is>
          <t>fuel</t>
        </is>
      </c>
      <c r="E374" s="383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4" t="n"/>
      <c r="D380" s="366" t="inlineStr">
        <is>
          <t>Allowance</t>
        </is>
      </c>
      <c r="E380" s="431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5" t="inlineStr">
        <is>
          <t>Uang makan (16 - 19 June 2024) pending job /Job Postponed</t>
        </is>
      </c>
      <c r="E381" s="425" t="inlineStr">
        <is>
          <t>-</t>
        </is>
      </c>
      <c r="F381" s="426" t="n">
        <v>600000</v>
      </c>
      <c r="G381" s="357" t="inlineStr">
        <is>
          <t>IDR</t>
        </is>
      </c>
      <c r="H381" s="358" t="n">
        <v>1</v>
      </c>
      <c r="I381" s="432" t="n">
        <v>600000</v>
      </c>
      <c r="J381" s="373" t="n"/>
      <c r="K381" s="373" t="n"/>
      <c r="L381" s="373" t="n"/>
      <c r="M381" s="433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4" t="n"/>
      <c r="D388" s="366" t="inlineStr">
        <is>
          <t>Allowance</t>
        </is>
      </c>
      <c r="E388" s="409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4" t="n"/>
      <c r="C390" s="344" t="n"/>
      <c r="D390" s="366" t="inlineStr">
        <is>
          <t>Laundry</t>
        </is>
      </c>
      <c r="E390" s="409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4" t="n"/>
      <c r="D392" s="415" t="inlineStr">
        <is>
          <t>Logistic</t>
        </is>
      </c>
      <c r="E392" s="416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4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4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5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4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4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4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5" t="inlineStr">
        <is>
          <t>Taxi+Tol Serpong - Gambir</t>
        </is>
      </c>
      <c r="E407" s="425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53" t="n">
        <v>45507</v>
      </c>
      <c r="C408" s="354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3" t="n"/>
      <c r="C439" s="344" t="n"/>
      <c r="D439" s="345" t="inlineStr">
        <is>
          <t>Accommodation</t>
        </is>
      </c>
      <c r="E439" s="436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4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4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4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4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1" t="n"/>
      <c r="C469" s="414" t="n"/>
      <c r="D469" s="415" t="inlineStr">
        <is>
          <t>Accommodation</t>
        </is>
      </c>
      <c r="E469" s="416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4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4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4" t="n"/>
      <c r="C477" s="344" t="n"/>
      <c r="D477" s="366" t="inlineStr">
        <is>
          <t>Operation</t>
        </is>
      </c>
      <c r="E477" s="409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4" t="n"/>
      <c r="C479" s="430" t="n"/>
      <c r="D479" s="366" t="inlineStr">
        <is>
          <t>Transportation</t>
        </is>
      </c>
      <c r="E479" s="409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7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4" t="inlineStr">
        <is>
          <t>Expense#30</t>
        </is>
      </c>
      <c r="C483" s="437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4" t="n"/>
      <c r="D484" s="366" t="inlineStr">
        <is>
          <t>Allowance</t>
        </is>
      </c>
      <c r="E484" s="367" t="n"/>
      <c r="F484" s="369" t="n"/>
      <c r="G484" s="344" t="n"/>
      <c r="H484" s="406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53" t="n">
        <v>45548</v>
      </c>
      <c r="C485" s="354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4" t="n"/>
      <c r="D489" s="366" t="inlineStr">
        <is>
          <t>Accommodation</t>
        </is>
      </c>
      <c r="E489" s="424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53" t="n">
        <v>45541</v>
      </c>
      <c r="C491" s="354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4" t="n"/>
      <c r="C492" s="344" t="n"/>
      <c r="D492" s="366" t="inlineStr">
        <is>
          <t>Allowance</t>
        </is>
      </c>
      <c r="E492" s="431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4" t="n"/>
      <c r="C495" s="344" t="n"/>
      <c r="D495" s="366" t="inlineStr">
        <is>
          <t>Transportation</t>
        </is>
      </c>
      <c r="E495" s="431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4" t="inlineStr">
        <is>
          <t>Expense#32</t>
        </is>
      </c>
      <c r="C503" s="437" t="inlineStr">
        <is>
          <t>:</t>
        </is>
      </c>
      <c r="D503" s="404" t="inlineStr">
        <is>
          <t>ALFA PMB-009 (Cancel)_ TMA</t>
        </is>
      </c>
      <c r="E503" s="438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4" t="n"/>
      <c r="D504" s="366" t="inlineStr">
        <is>
          <t>Allowance</t>
        </is>
      </c>
      <c r="E504" s="367" t="n"/>
      <c r="F504" s="369" t="n"/>
      <c r="G504" s="344" t="n"/>
      <c r="H504" s="406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53" t="n">
        <v>45561</v>
      </c>
      <c r="C506" s="354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4" t="n"/>
      <c r="C507" s="344" t="n"/>
      <c r="D507" s="345" t="inlineStr">
        <is>
          <t>Laundry</t>
        </is>
      </c>
      <c r="E507" s="407" t="n"/>
      <c r="F507" s="347" t="n"/>
      <c r="G507" s="346" t="n"/>
      <c r="H507" s="439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3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0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5" t="n"/>
      <c r="C509" s="344" t="n"/>
      <c r="D509" s="366" t="inlineStr">
        <is>
          <t>Transportation</t>
        </is>
      </c>
      <c r="E509" s="367" t="n"/>
      <c r="F509" s="347" t="n"/>
      <c r="G509" s="346" t="n"/>
      <c r="H509" s="439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0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0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0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1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4" t="n"/>
      <c r="D514" s="366" t="inlineStr">
        <is>
          <t>Accommodation</t>
        </is>
      </c>
      <c r="E514" s="367" t="n"/>
      <c r="F514" s="347" t="n"/>
      <c r="G514" s="346" t="n"/>
      <c r="H514" s="439" t="n"/>
      <c r="I514" s="429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0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5" t="inlineStr">
        <is>
          <t>Laundry 20 Sept - 27 Sept 2024 (7days) @ Rp. 50000</t>
        </is>
      </c>
      <c r="E516" s="425" t="inlineStr">
        <is>
          <t>-</t>
        </is>
      </c>
      <c r="F516" s="356" t="n">
        <v>350000</v>
      </c>
      <c r="G516" s="355" t="inlineStr">
        <is>
          <t>IDR</t>
        </is>
      </c>
      <c r="H516" s="440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4" t="n"/>
      <c r="D517" s="415" t="inlineStr">
        <is>
          <t>Allowance</t>
        </is>
      </c>
      <c r="E517" s="416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4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4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0" t="n"/>
      <c r="D542" s="366" t="inlineStr">
        <is>
          <t>Accommodation</t>
        </is>
      </c>
      <c r="E542" s="409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7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4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53" t="n">
        <v>45564</v>
      </c>
      <c r="C545" s="354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4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8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4" t="n"/>
      <c r="D554" s="366" t="inlineStr">
        <is>
          <t>Accommodation</t>
        </is>
      </c>
      <c r="E554" s="409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4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4" t="n"/>
      <c r="D560" s="415" t="inlineStr">
        <is>
          <t>Transportation</t>
        </is>
      </c>
      <c r="E560" s="416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364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364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364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364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364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364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364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364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364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364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2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6" t="n">
        <v>245000</v>
      </c>
      <c r="G572" s="355" t="inlineStr">
        <is>
          <t>IDR</t>
        </is>
      </c>
      <c r="H572" s="364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364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364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364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4" t="n"/>
      <c r="D577" s="366" t="inlineStr">
        <is>
          <t>Medical</t>
        </is>
      </c>
      <c r="E577" s="409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364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364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364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364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364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53" t="n">
        <v>45536</v>
      </c>
      <c r="C583" s="354" t="n">
        <v>6</v>
      </c>
      <c r="D583" s="383" t="inlineStr">
        <is>
          <t>medicine</t>
        </is>
      </c>
      <c r="E583" s="383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4" t="n"/>
      <c r="D594" s="345" t="inlineStr">
        <is>
          <t>Accommodation</t>
        </is>
      </c>
      <c r="E594" s="407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4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4" t="n"/>
      <c r="D600" s="415" t="inlineStr">
        <is>
          <t>Transportation</t>
        </is>
      </c>
      <c r="E600" s="416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4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7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4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53" t="n">
        <v>45585</v>
      </c>
      <c r="C614" s="354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4" t="n"/>
      <c r="C615" s="344" t="n"/>
      <c r="D615" s="345" t="inlineStr">
        <is>
          <t>Transportation</t>
        </is>
      </c>
      <c r="E615" s="407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8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4" t="n"/>
      <c r="C621" s="344" t="n"/>
      <c r="D621" s="366" t="inlineStr">
        <is>
          <t>Transportation</t>
        </is>
      </c>
      <c r="E621" s="431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4" t="n"/>
      <c r="D628" s="366" t="inlineStr">
        <is>
          <t>Shipping</t>
        </is>
      </c>
      <c r="E628" s="409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53" t="n">
        <v>45617</v>
      </c>
      <c r="C636" s="354" t="n">
        <v>8</v>
      </c>
      <c r="D636" s="383" t="inlineStr">
        <is>
          <t>Materai 10 pcs</t>
        </is>
      </c>
      <c r="E636" s="383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4" t="n"/>
      <c r="C637" s="445" t="n"/>
      <c r="D637" s="345" t="inlineStr">
        <is>
          <t>Transportation</t>
        </is>
      </c>
      <c r="E637" s="446" t="n"/>
      <c r="F637" s="447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8" t="n">
        <v>45579</v>
      </c>
      <c r="C638" s="354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8" t="n">
        <v>45579</v>
      </c>
      <c r="C639" s="354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8" t="n">
        <v>45582</v>
      </c>
      <c r="C640" s="354" t="n">
        <v>11</v>
      </c>
      <c r="D640" s="449" t="inlineStr">
        <is>
          <t>GoCar to Elnusa PP</t>
        </is>
      </c>
      <c r="E640" s="449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8" t="n">
        <v>45582</v>
      </c>
      <c r="C641" s="354" t="n">
        <v>12</v>
      </c>
      <c r="D641" s="449" t="inlineStr">
        <is>
          <t>Tol &amp; parking fee</t>
        </is>
      </c>
      <c r="E641" s="449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8" t="n">
        <v>45617</v>
      </c>
      <c r="C642" s="354" t="n">
        <v>13</v>
      </c>
      <c r="D642" s="449" t="inlineStr">
        <is>
          <t>GoCar to Elnusa PP</t>
        </is>
      </c>
      <c r="E642" s="449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8" t="n">
        <v>45617</v>
      </c>
      <c r="C643" s="354" t="n">
        <v>14</v>
      </c>
      <c r="D643" s="449" t="inlineStr">
        <is>
          <t>Tol &amp; parking fee</t>
        </is>
      </c>
      <c r="E643" s="449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8" t="n">
        <v>45636</v>
      </c>
      <c r="C644" s="354" t="n">
        <v>15</v>
      </c>
      <c r="D644" s="449" t="inlineStr">
        <is>
          <t>GoCar to Elnusa PP</t>
        </is>
      </c>
      <c r="E644" s="449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8" t="n">
        <v>45636</v>
      </c>
      <c r="C645" s="354" t="n">
        <v>16</v>
      </c>
      <c r="D645" s="449" t="inlineStr">
        <is>
          <t>Tol &amp; parking fee</t>
        </is>
      </c>
      <c r="E645" s="449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8" t="n">
        <v>45607</v>
      </c>
      <c r="C648" s="354" t="n">
        <v>1</v>
      </c>
      <c r="D648" s="449" t="inlineStr">
        <is>
          <t>Starlink Kit</t>
        </is>
      </c>
      <c r="E648" s="449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8" t="n">
        <v>45640</v>
      </c>
      <c r="C651" s="354" t="n">
        <v>1</v>
      </c>
      <c r="D651" s="449" t="inlineStr">
        <is>
          <t>Pelican Case 1650</t>
        </is>
      </c>
      <c r="E651" s="449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4" t="n"/>
      <c r="H653" s="344" t="n"/>
      <c r="I653" s="349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8" t="n">
        <v>45596</v>
      </c>
      <c r="C654" s="354" t="n">
        <v>1</v>
      </c>
      <c r="D654" s="449" t="inlineStr">
        <is>
          <t>Medicine lanjutan</t>
        </is>
      </c>
      <c r="E654" s="449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3" t="n"/>
      <c r="K654" s="433" t="n"/>
      <c r="L654" s="433" t="n"/>
      <c r="M654" s="433" t="n"/>
      <c r="N654" s="433" t="n"/>
      <c r="O654" s="433" t="n"/>
      <c r="P654" s="432" t="n">
        <v>604000</v>
      </c>
      <c r="Q654" s="433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8" t="n">
        <v>45627</v>
      </c>
      <c r="C655" s="354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3" t="n"/>
      <c r="K655" s="433" t="n"/>
      <c r="L655" s="433" t="n"/>
      <c r="M655" s="433" t="n"/>
      <c r="N655" s="433" t="n"/>
      <c r="O655" s="433" t="n"/>
      <c r="P655" s="432" t="n">
        <v>1582141</v>
      </c>
      <c r="Q655" s="433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8" t="n">
        <v>45627</v>
      </c>
      <c r="C656" s="354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3" t="n"/>
      <c r="K656" s="433" t="n"/>
      <c r="L656" s="433" t="n"/>
      <c r="M656" s="433" t="n"/>
      <c r="N656" s="433" t="n"/>
      <c r="O656" s="433" t="n"/>
      <c r="P656" s="432" t="n">
        <v>970767</v>
      </c>
      <c r="Q656" s="433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8" t="n">
        <v>45627</v>
      </c>
      <c r="C657" s="354" t="n">
        <v>4</v>
      </c>
      <c r="D657" s="449" t="inlineStr">
        <is>
          <t>Medicine lanjutan</t>
        </is>
      </c>
      <c r="E657" s="449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3" t="n"/>
      <c r="K657" s="433" t="n"/>
      <c r="L657" s="433" t="n"/>
      <c r="M657" s="433" t="n"/>
      <c r="N657" s="433" t="n"/>
      <c r="O657" s="433" t="n"/>
      <c r="P657" s="432" t="n">
        <v>157000</v>
      </c>
      <c r="Q657" s="433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8" t="n">
        <v>45627</v>
      </c>
      <c r="C658" s="354" t="n">
        <v>5</v>
      </c>
      <c r="D658" s="449" t="inlineStr">
        <is>
          <t>Medicine lanjutan</t>
        </is>
      </c>
      <c r="E658" s="449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3" t="n"/>
      <c r="K658" s="433" t="n"/>
      <c r="L658" s="433" t="n"/>
      <c r="M658" s="433" t="n"/>
      <c r="N658" s="433" t="n"/>
      <c r="O658" s="433" t="n"/>
      <c r="P658" s="432" t="n">
        <v>152000</v>
      </c>
      <c r="Q658" s="433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8" t="n">
        <v>45628</v>
      </c>
      <c r="C659" s="354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3" t="n"/>
      <c r="K659" s="433" t="n"/>
      <c r="L659" s="433" t="n"/>
      <c r="M659" s="433" t="n"/>
      <c r="N659" s="433" t="n"/>
      <c r="O659" s="433" t="n"/>
      <c r="P659" s="432" t="n">
        <v>799000</v>
      </c>
      <c r="Q659" s="433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8" t="n">
        <v>45628</v>
      </c>
      <c r="C660" s="354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3" t="n"/>
      <c r="K660" s="433" t="n"/>
      <c r="L660" s="433" t="n"/>
      <c r="M660" s="433" t="n"/>
      <c r="N660" s="433" t="n"/>
      <c r="O660" s="433" t="n"/>
      <c r="P660" s="432" t="n">
        <v>190309.5</v>
      </c>
      <c r="Q660" s="433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4" t="n">
        <v>45637</v>
      </c>
      <c r="C661" s="354" t="n">
        <v>8</v>
      </c>
      <c r="D661" s="427" t="inlineStr">
        <is>
          <t>Medicine after konsul jantung 3rd</t>
        </is>
      </c>
      <c r="E661" s="427" t="inlineStr">
        <is>
          <t>-</t>
        </is>
      </c>
      <c r="F661" s="440" t="n">
        <v>417600</v>
      </c>
      <c r="G661" s="354" t="inlineStr">
        <is>
          <t>IDR</t>
        </is>
      </c>
      <c r="H661" s="382" t="n">
        <v>1</v>
      </c>
      <c r="I661" s="433" t="n"/>
      <c r="J661" s="433" t="n"/>
      <c r="K661" s="433" t="n"/>
      <c r="L661" s="433" t="n"/>
      <c r="M661" s="433" t="n"/>
      <c r="N661" s="433" t="n"/>
      <c r="O661" s="433" t="n"/>
      <c r="P661" s="432" t="n">
        <v>417600</v>
      </c>
      <c r="Q661" s="433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4" t="n">
        <v>45607</v>
      </c>
      <c r="C663" s="354" t="n">
        <v>9</v>
      </c>
      <c r="D663" s="427" t="inlineStr">
        <is>
          <t>Fuel diesel visit consul to KPP pajak</t>
        </is>
      </c>
      <c r="E663" s="427" t="inlineStr">
        <is>
          <t>-</t>
        </is>
      </c>
      <c r="F663" s="440" t="n">
        <v>276216</v>
      </c>
      <c r="G663" s="354" t="inlineStr">
        <is>
          <t>IDR</t>
        </is>
      </c>
      <c r="H663" s="382" t="n">
        <v>1</v>
      </c>
      <c r="I663" s="432" t="n">
        <v>276216</v>
      </c>
      <c r="J663" s="433" t="n"/>
      <c r="K663" s="433" t="n"/>
      <c r="L663" s="433" t="n"/>
      <c r="M663" s="433" t="n"/>
      <c r="N663" s="433" t="n"/>
      <c r="O663" s="433" t="n"/>
      <c r="P663" s="433" t="n"/>
      <c r="Q663" s="433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3" t="n">
        <v>45607</v>
      </c>
      <c r="C664" s="354" t="n">
        <v>10</v>
      </c>
      <c r="D664" s="427" t="inlineStr">
        <is>
          <t>toll gate</t>
        </is>
      </c>
      <c r="E664" s="427" t="inlineStr">
        <is>
          <t>-</t>
        </is>
      </c>
      <c r="F664" s="440" t="n">
        <v>79500</v>
      </c>
      <c r="G664" s="354" t="inlineStr">
        <is>
          <t>IDR</t>
        </is>
      </c>
      <c r="H664" s="382" t="n">
        <v>1</v>
      </c>
      <c r="I664" s="432" t="n">
        <v>79500</v>
      </c>
      <c r="J664" s="433" t="n"/>
      <c r="K664" s="433" t="n"/>
      <c r="L664" s="433" t="n"/>
      <c r="M664" s="433" t="n"/>
      <c r="N664" s="433" t="n"/>
      <c r="O664" s="433" t="n"/>
      <c r="P664" s="433" t="n"/>
      <c r="Q664" s="433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53" t="n">
        <v>45622</v>
      </c>
      <c r="C665" s="354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40" t="n">
        <v>29000</v>
      </c>
      <c r="G665" s="354" t="inlineStr">
        <is>
          <t>IDR</t>
        </is>
      </c>
      <c r="H665" s="382" t="n">
        <v>1</v>
      </c>
      <c r="I665" s="432" t="n">
        <v>29000</v>
      </c>
      <c r="J665" s="433" t="n"/>
      <c r="K665" s="433" t="n"/>
      <c r="L665" s="433" t="n"/>
      <c r="M665" s="433" t="n"/>
      <c r="N665" s="433" t="n"/>
      <c r="O665" s="433" t="n"/>
      <c r="P665" s="433" t="n"/>
      <c r="Q665" s="433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13" t="n">
        <v>45622</v>
      </c>
      <c r="C666" s="465" t="n">
        <v>12</v>
      </c>
      <c r="D666" s="427" t="inlineStr">
        <is>
          <t>toll gate</t>
        </is>
      </c>
      <c r="E666" s="427" t="inlineStr">
        <is>
          <t>-</t>
        </is>
      </c>
      <c r="F666" s="440" t="n">
        <v>17000</v>
      </c>
      <c r="G666" s="354" t="inlineStr">
        <is>
          <t>IDR</t>
        </is>
      </c>
      <c r="H666" s="382" t="n">
        <v>1</v>
      </c>
      <c r="I666" s="432" t="n">
        <v>17000</v>
      </c>
      <c r="J666" s="433" t="n"/>
      <c r="K666" s="433" t="n"/>
      <c r="L666" s="433" t="n"/>
      <c r="M666" s="433" t="n"/>
      <c r="N666" s="433" t="n"/>
      <c r="O666" s="433" t="n"/>
      <c r="P666" s="433" t="n"/>
      <c r="Q666" s="433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2" t="n">
        <v>155680</v>
      </c>
      <c r="J667" s="433" t="n"/>
      <c r="K667" s="433" t="n"/>
      <c r="L667" s="433" t="n"/>
      <c r="M667" s="433" t="n"/>
      <c r="N667" s="433" t="n"/>
      <c r="O667" s="433" t="n"/>
      <c r="P667" s="433" t="n"/>
      <c r="Q667" s="433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2" t="n">
        <v>17000</v>
      </c>
      <c r="J668" s="433" t="n"/>
      <c r="K668" s="433" t="n"/>
      <c r="L668" s="433" t="n"/>
      <c r="M668" s="433" t="n"/>
      <c r="N668" s="433" t="n"/>
      <c r="O668" s="433" t="n"/>
      <c r="P668" s="433" t="n"/>
      <c r="Q668" s="433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3" t="n"/>
      <c r="J671" s="433" t="n"/>
      <c r="K671" s="433" t="n"/>
      <c r="L671" s="433" t="n"/>
      <c r="M671" s="432" t="n">
        <v>4913283</v>
      </c>
      <c r="N671" s="433" t="n"/>
      <c r="O671" s="433" t="n"/>
      <c r="P671" s="433" t="n"/>
      <c r="Q671" s="433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2" t="n">
        <v>195585</v>
      </c>
      <c r="J673" s="433" t="n"/>
      <c r="K673" s="433" t="n"/>
      <c r="L673" s="433" t="n"/>
      <c r="M673" s="433" t="n"/>
      <c r="N673" s="433" t="n"/>
      <c r="O673" s="433" t="n"/>
      <c r="P673" s="433" t="n"/>
      <c r="Q673" s="433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2" t="n">
        <v>299900</v>
      </c>
      <c r="J674" s="433" t="n"/>
      <c r="K674" s="433" t="n"/>
      <c r="L674" s="433" t="n"/>
      <c r="M674" s="433" t="n"/>
      <c r="N674" s="433" t="n"/>
      <c r="O674" s="433" t="n"/>
      <c r="P674" s="433" t="n"/>
      <c r="Q674" s="433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4" t="n"/>
      <c r="C675" s="344" t="n"/>
      <c r="D675" s="345" t="inlineStr">
        <is>
          <t>Transportation</t>
        </is>
      </c>
      <c r="E675" s="407" t="n"/>
      <c r="F675" s="347" t="n"/>
      <c r="G675" s="344" t="n"/>
      <c r="H675" s="344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3" t="n"/>
      <c r="K676" s="433" t="n"/>
      <c r="L676" s="433" t="n"/>
      <c r="M676" s="433" t="n"/>
      <c r="N676" s="433" t="n"/>
      <c r="O676" s="433" t="n"/>
      <c r="P676" s="433" t="n"/>
      <c r="Q676" s="433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3" t="n"/>
      <c r="K677" s="433" t="n"/>
      <c r="L677" s="433" t="n"/>
      <c r="M677" s="433" t="n"/>
      <c r="N677" s="433" t="n"/>
      <c r="O677" s="433" t="n"/>
      <c r="P677" s="433" t="n"/>
      <c r="Q677" s="433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3" t="n"/>
      <c r="K678" s="433" t="n"/>
      <c r="L678" s="433" t="n"/>
      <c r="M678" s="433" t="n"/>
      <c r="N678" s="433" t="n"/>
      <c r="O678" s="433" t="n"/>
      <c r="P678" s="433" t="n"/>
      <c r="Q678" s="433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3" t="n"/>
      <c r="K681" s="433" t="n"/>
      <c r="L681" s="433" t="n"/>
      <c r="M681" s="432" t="n">
        <v>306982</v>
      </c>
      <c r="N681" s="433" t="n"/>
      <c r="O681" s="433" t="n"/>
      <c r="P681" s="433" t="n"/>
      <c r="Q681" s="433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53" t="n">
        <v>45338</v>
      </c>
      <c r="C682" s="354" t="n">
        <v>2</v>
      </c>
      <c r="D682" s="383" t="inlineStr">
        <is>
          <t>Google Workspace PT. EWI</t>
        </is>
      </c>
      <c r="E682" s="383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3" t="n"/>
      <c r="J682" s="433" t="n"/>
      <c r="K682" s="433" t="n"/>
      <c r="L682" s="433" t="n"/>
      <c r="M682" s="432" t="n">
        <v>306982</v>
      </c>
      <c r="N682" s="433" t="n"/>
      <c r="O682" s="433" t="n"/>
      <c r="P682" s="433" t="n"/>
      <c r="Q682" s="433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3" t="n"/>
      <c r="J683" s="433" t="n"/>
      <c r="K683" s="433" t="n"/>
      <c r="L683" s="433" t="n"/>
      <c r="M683" s="432" t="n">
        <v>306982</v>
      </c>
      <c r="N683" s="433" t="n"/>
      <c r="O683" s="433" t="n"/>
      <c r="P683" s="433" t="n"/>
      <c r="Q683" s="433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3" t="n"/>
      <c r="K684" s="433" t="n"/>
      <c r="L684" s="433" t="n"/>
      <c r="M684" s="432" t="n">
        <v>306982</v>
      </c>
      <c r="N684" s="433" t="n"/>
      <c r="O684" s="433" t="n"/>
      <c r="P684" s="433" t="n"/>
      <c r="Q684" s="433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3" t="n"/>
      <c r="K685" s="433" t="n"/>
      <c r="L685" s="433" t="n"/>
      <c r="M685" s="432" t="n">
        <v>306982</v>
      </c>
      <c r="N685" s="433" t="n"/>
      <c r="O685" s="433" t="n"/>
      <c r="P685" s="433" t="n"/>
      <c r="Q685" s="433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4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2" t="n">
        <v>100000</v>
      </c>
      <c r="J687" s="433" t="n"/>
      <c r="K687" s="433" t="n"/>
      <c r="L687" s="433" t="n"/>
      <c r="M687" s="433" t="n"/>
      <c r="N687" s="433" t="n"/>
      <c r="O687" s="433" t="n"/>
      <c r="P687" s="433" t="n"/>
      <c r="Q687" s="433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2" t="n">
        <v>400000</v>
      </c>
      <c r="J688" s="433" t="n"/>
      <c r="K688" s="433" t="n"/>
      <c r="L688" s="433" t="n"/>
      <c r="M688" s="433" t="n"/>
      <c r="N688" s="433" t="n"/>
      <c r="O688" s="433" t="n"/>
      <c r="P688" s="433" t="n"/>
      <c r="Q688" s="433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2" t="n">
        <v>784000</v>
      </c>
      <c r="J689" s="433" t="n"/>
      <c r="K689" s="433" t="n"/>
      <c r="L689" s="433" t="n"/>
      <c r="M689" s="433" t="n"/>
      <c r="N689" s="433" t="n"/>
      <c r="O689" s="433" t="n"/>
      <c r="P689" s="433" t="n"/>
      <c r="Q689" s="433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2" t="n">
        <v>100000</v>
      </c>
      <c r="J690" s="433" t="n"/>
      <c r="K690" s="433" t="n"/>
      <c r="L690" s="433" t="n"/>
      <c r="M690" s="433" t="n"/>
      <c r="N690" s="433" t="n"/>
      <c r="O690" s="433" t="n"/>
      <c r="P690" s="433" t="n"/>
      <c r="Q690" s="433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2" t="n">
        <v>300000</v>
      </c>
      <c r="J691" s="433" t="n"/>
      <c r="K691" s="433" t="n"/>
      <c r="L691" s="433" t="n"/>
      <c r="M691" s="433" t="n"/>
      <c r="N691" s="433" t="n"/>
      <c r="O691" s="433" t="n"/>
      <c r="P691" s="433" t="n"/>
      <c r="Q691" s="433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4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53" t="n">
        <v>45335</v>
      </c>
      <c r="C693" s="354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2" t="n">
        <v>13201183.322</v>
      </c>
      <c r="J693" s="433" t="n"/>
      <c r="K693" s="433" t="n"/>
      <c r="L693" s="433" t="n"/>
      <c r="M693" s="433" t="n"/>
      <c r="N693" s="433" t="n"/>
      <c r="O693" s="433" t="n"/>
      <c r="P693" s="433" t="n"/>
      <c r="Q693" s="433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466" t="inlineStr">
        <is>
          <t>Taxi Home - CGK Airport</t>
        </is>
      </c>
      <c r="E694" s="466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2" t="n">
        <v>200000</v>
      </c>
      <c r="J694" s="433" t="n"/>
      <c r="K694" s="433" t="n"/>
      <c r="L694" s="433" t="n"/>
      <c r="M694" s="433" t="n"/>
      <c r="N694" s="433" t="n"/>
      <c r="O694" s="433" t="n"/>
      <c r="P694" s="433" t="n"/>
      <c r="Q694" s="433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7" t="n">
        <v>45362</v>
      </c>
      <c r="C695" s="363" t="n">
        <v>13</v>
      </c>
      <c r="D695" s="468" t="inlineStr">
        <is>
          <t>Flight CGK-KUL + Hotel 1 night</t>
        </is>
      </c>
      <c r="E695" s="468" t="inlineStr">
        <is>
          <t>-</t>
        </is>
      </c>
      <c r="F695" s="469" t="n">
        <v>1803353</v>
      </c>
      <c r="G695" s="363" t="inlineStr">
        <is>
          <t>IDR</t>
        </is>
      </c>
      <c r="H695" s="470" t="n">
        <v>1</v>
      </c>
      <c r="I695" s="359" t="n">
        <v>1803353</v>
      </c>
      <c r="J695" s="433" t="n"/>
      <c r="K695" s="433" t="n"/>
      <c r="L695" s="433" t="n"/>
      <c r="M695" s="433" t="n"/>
      <c r="N695" s="433" t="n"/>
      <c r="O695" s="433" t="n"/>
      <c r="P695" s="433" t="n"/>
      <c r="Q695" s="433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7" t="n">
        <v>45362</v>
      </c>
      <c r="C696" s="363" t="n">
        <v>14</v>
      </c>
      <c r="D696" s="468" t="inlineStr">
        <is>
          <t>Train KLIA Airport to Hyperseal</t>
        </is>
      </c>
      <c r="E696" s="468" t="inlineStr">
        <is>
          <t>-</t>
        </is>
      </c>
      <c r="F696" s="469" t="n">
        <v>181844.5</v>
      </c>
      <c r="G696" s="363" t="inlineStr">
        <is>
          <t>MYR</t>
        </is>
      </c>
      <c r="H696" s="470" t="n">
        <v>3636.89</v>
      </c>
      <c r="I696" s="359" t="n">
        <v>181844.5</v>
      </c>
      <c r="J696" s="433" t="n"/>
      <c r="K696" s="433" t="n"/>
      <c r="L696" s="433" t="n"/>
      <c r="M696" s="433" t="n"/>
      <c r="N696" s="433" t="n"/>
      <c r="O696" s="433" t="n"/>
      <c r="P696" s="433" t="n"/>
      <c r="Q696" s="433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7" t="n">
        <v>45363</v>
      </c>
      <c r="C697" s="363" t="n">
        <v>15</v>
      </c>
      <c r="D697" s="468" t="inlineStr">
        <is>
          <t>Flight KUL- CGK</t>
        </is>
      </c>
      <c r="E697" s="468" t="inlineStr">
        <is>
          <t>-</t>
        </is>
      </c>
      <c r="F697" s="469" t="n">
        <v>1897983</v>
      </c>
      <c r="G697" s="363" t="inlineStr">
        <is>
          <t>IDR</t>
        </is>
      </c>
      <c r="H697" s="470" t="n">
        <v>1</v>
      </c>
      <c r="I697" s="359" t="n">
        <v>1897983</v>
      </c>
      <c r="J697" s="433" t="n"/>
      <c r="K697" s="433" t="n"/>
      <c r="L697" s="433" t="n"/>
      <c r="M697" s="433" t="n"/>
      <c r="N697" s="433" t="n"/>
      <c r="O697" s="433" t="n"/>
      <c r="P697" s="433" t="n"/>
      <c r="Q697" s="433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7" t="n">
        <v>45363</v>
      </c>
      <c r="C698" s="363" t="n">
        <v>16</v>
      </c>
      <c r="D698" s="471" t="inlineStr">
        <is>
          <t>Train Hyperseal to KLIA Airport</t>
        </is>
      </c>
      <c r="E698" s="471" t="inlineStr">
        <is>
          <t>-</t>
        </is>
      </c>
      <c r="F698" s="469" t="n">
        <v>181844.5</v>
      </c>
      <c r="G698" s="363" t="inlineStr">
        <is>
          <t>MYR</t>
        </is>
      </c>
      <c r="H698" s="470" t="n">
        <v>3636.89</v>
      </c>
      <c r="I698" s="359" t="n">
        <v>181844.5</v>
      </c>
      <c r="J698" s="433" t="n"/>
      <c r="K698" s="433" t="n"/>
      <c r="L698" s="433" t="n"/>
      <c r="M698" s="433" t="n"/>
      <c r="N698" s="433" t="n"/>
      <c r="O698" s="433" t="n"/>
      <c r="P698" s="433" t="n"/>
      <c r="Q698" s="433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7" t="n">
        <v>45363</v>
      </c>
      <c r="C699" s="363" t="n">
        <v>17</v>
      </c>
      <c r="D699" s="471" t="inlineStr">
        <is>
          <t>Taxi CGK Airport to Home</t>
        </is>
      </c>
      <c r="E699" s="471" t="inlineStr">
        <is>
          <t>-</t>
        </is>
      </c>
      <c r="F699" s="469" t="n">
        <v>200000</v>
      </c>
      <c r="G699" s="363" t="inlineStr">
        <is>
          <t>IDR</t>
        </is>
      </c>
      <c r="H699" s="470" t="n">
        <v>1</v>
      </c>
      <c r="I699" s="359" t="n">
        <v>200000</v>
      </c>
      <c r="J699" s="433" t="n"/>
      <c r="K699" s="433" t="n"/>
      <c r="L699" s="433" t="n"/>
      <c r="M699" s="433" t="n"/>
      <c r="N699" s="433" t="n"/>
      <c r="O699" s="433" t="n"/>
      <c r="P699" s="433" t="n"/>
      <c r="Q699" s="433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7" t="n">
        <v>45363</v>
      </c>
      <c r="C700" s="363" t="n">
        <v>18</v>
      </c>
      <c r="D700" s="468" t="inlineStr">
        <is>
          <t>Meals 2 days @ 300,000/day</t>
        </is>
      </c>
      <c r="E700" s="468" t="inlineStr">
        <is>
          <t>-</t>
        </is>
      </c>
      <c r="F700" s="469" t="n">
        <v>600000</v>
      </c>
      <c r="G700" s="363" t="inlineStr">
        <is>
          <t>IDR</t>
        </is>
      </c>
      <c r="H700" s="470" t="n">
        <v>1</v>
      </c>
      <c r="I700" s="359" t="n">
        <v>600000</v>
      </c>
      <c r="J700" s="433" t="n"/>
      <c r="K700" s="433" t="n"/>
      <c r="L700" s="433" t="n"/>
      <c r="M700" s="433" t="n"/>
      <c r="N700" s="433" t="n"/>
      <c r="O700" s="433" t="n"/>
      <c r="P700" s="433" t="n"/>
      <c r="Q700" s="433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7" t="n">
        <v>45404</v>
      </c>
      <c r="C701" s="363" t="n">
        <v>19</v>
      </c>
      <c r="D701" s="468" t="inlineStr">
        <is>
          <t>Car 22-23 Apr 2024 (2 days) incl. Fuel &amp; Tol</t>
        </is>
      </c>
      <c r="E701" s="468" t="inlineStr">
        <is>
          <t>-</t>
        </is>
      </c>
      <c r="F701" s="469" t="n">
        <v>3000000</v>
      </c>
      <c r="G701" s="363" t="inlineStr">
        <is>
          <t>IDR</t>
        </is>
      </c>
      <c r="H701" s="470" t="n">
        <v>1</v>
      </c>
      <c r="I701" s="359" t="n">
        <v>3000000</v>
      </c>
      <c r="J701" s="433" t="n"/>
      <c r="K701" s="433" t="n"/>
      <c r="L701" s="433" t="n"/>
      <c r="M701" s="433" t="n"/>
      <c r="N701" s="433" t="n"/>
      <c r="O701" s="433" t="n"/>
      <c r="P701" s="433" t="n"/>
      <c r="Q701" s="433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7" t="n">
        <v>45405</v>
      </c>
      <c r="C702" s="363" t="n">
        <v>20</v>
      </c>
      <c r="D702" s="471" t="inlineStr">
        <is>
          <t>Tunjangan Lapangan @ 1.5 juta/day x 2 days</t>
        </is>
      </c>
      <c r="E702" s="471" t="inlineStr">
        <is>
          <t>-</t>
        </is>
      </c>
      <c r="F702" s="469" t="n">
        <v>3000000</v>
      </c>
      <c r="G702" s="363" t="inlineStr">
        <is>
          <t>IDR</t>
        </is>
      </c>
      <c r="H702" s="470" t="n">
        <v>1</v>
      </c>
      <c r="I702" s="432" t="n">
        <v>3000000</v>
      </c>
      <c r="J702" s="433" t="n"/>
      <c r="K702" s="433" t="n"/>
      <c r="L702" s="433" t="n"/>
      <c r="M702" s="433" t="n"/>
      <c r="N702" s="433" t="n"/>
      <c r="O702" s="433" t="n"/>
      <c r="P702" s="433" t="n"/>
      <c r="Q702" s="433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466" t="inlineStr">
        <is>
          <t>Meals 2 days @ 150,000/day</t>
        </is>
      </c>
      <c r="E703" s="466" t="inlineStr">
        <is>
          <t>-</t>
        </is>
      </c>
      <c r="F703" s="469" t="n">
        <v>300000</v>
      </c>
      <c r="G703" s="363" t="inlineStr">
        <is>
          <t>IDR</t>
        </is>
      </c>
      <c r="H703" s="470" t="n">
        <v>1</v>
      </c>
      <c r="I703" s="432" t="n">
        <v>300000</v>
      </c>
      <c r="J703" s="433" t="n"/>
      <c r="K703" s="433" t="n"/>
      <c r="L703" s="433" t="n"/>
      <c r="M703" s="433" t="n"/>
      <c r="N703" s="433" t="n"/>
      <c r="O703" s="433" t="n"/>
      <c r="P703" s="433" t="n"/>
      <c r="Q703" s="433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2" t="n">
        <v>45412</v>
      </c>
      <c r="C704" s="363" t="n">
        <v>22</v>
      </c>
      <c r="D704" s="468" t="inlineStr">
        <is>
          <t>Car 30 Apr-01 May 2024 (2 days) incl. Fuel &amp; Tol</t>
        </is>
      </c>
      <c r="E704" s="468" t="inlineStr">
        <is>
          <t>-</t>
        </is>
      </c>
      <c r="F704" s="469" t="n">
        <v>3000000</v>
      </c>
      <c r="G704" s="363" t="inlineStr">
        <is>
          <t>IDR</t>
        </is>
      </c>
      <c r="H704" s="470" t="n">
        <v>1</v>
      </c>
      <c r="I704" s="359" t="n">
        <v>3000000</v>
      </c>
      <c r="J704" s="433" t="n"/>
      <c r="K704" s="433" t="n"/>
      <c r="L704" s="433" t="n"/>
      <c r="M704" s="433" t="n"/>
      <c r="N704" s="433" t="n"/>
      <c r="O704" s="433" t="n"/>
      <c r="P704" s="433" t="n"/>
      <c r="Q704" s="433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3" t="inlineStr">
        <is>
          <t>Expense#46</t>
        </is>
      </c>
      <c r="C705" s="474" t="inlineStr">
        <is>
          <t>:</t>
        </is>
      </c>
      <c r="D705" s="475" t="inlineStr">
        <is>
          <t>Non trip - Training BSS - AC</t>
        </is>
      </c>
      <c r="E705" s="476" t="n"/>
      <c r="F705" s="477" t="n"/>
      <c r="G705" s="474" t="n"/>
      <c r="H705" s="474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8" t="n"/>
      <c r="C706" s="375" t="n"/>
      <c r="D706" s="479" t="inlineStr">
        <is>
          <t>Biaya Operasi</t>
        </is>
      </c>
      <c r="E706" s="480" t="n"/>
      <c r="F706" s="481" t="n"/>
      <c r="G706" s="375" t="n"/>
      <c r="H706" s="375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466" t="inlineStr">
        <is>
          <t>Traning Basic Sea Survival (BSS)</t>
        </is>
      </c>
      <c r="E707" s="466" t="inlineStr">
        <is>
          <t>-</t>
        </is>
      </c>
      <c r="F707" s="469" t="n">
        <v>2700000</v>
      </c>
      <c r="G707" s="363" t="inlineStr">
        <is>
          <t>IDR</t>
        </is>
      </c>
      <c r="H707" s="470" t="n">
        <v>1</v>
      </c>
      <c r="I707" s="432" t="n">
        <v>2700000</v>
      </c>
      <c r="J707" s="433" t="n"/>
      <c r="K707" s="433" t="n"/>
      <c r="L707" s="433" t="n"/>
      <c r="M707" s="433" t="n"/>
      <c r="N707" s="433" t="n"/>
      <c r="O707" s="433" t="n"/>
      <c r="P707" s="433" t="n"/>
      <c r="Q707" s="433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3" t="inlineStr">
        <is>
          <t>Expense#47</t>
        </is>
      </c>
      <c r="C708" s="474" t="inlineStr">
        <is>
          <t>:</t>
        </is>
      </c>
      <c r="D708" s="475" t="inlineStr">
        <is>
          <t>Trip Rakan : BSTTraining at HSSE Training Center PT Pertamina EP Zone 7 Cirebon</t>
        </is>
      </c>
      <c r="E708" s="476" t="n"/>
      <c r="F708" s="477" t="n"/>
      <c r="G708" s="474" t="n"/>
      <c r="H708" s="474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2" t="n"/>
      <c r="C709" s="375" t="n"/>
      <c r="D709" s="483" t="inlineStr">
        <is>
          <t>Allowance</t>
        </is>
      </c>
      <c r="E709" s="482" t="n"/>
      <c r="F709" s="481" t="n"/>
      <c r="G709" s="375" t="n"/>
      <c r="H709" s="375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2" t="n">
        <v>45656</v>
      </c>
      <c r="C710" s="363" t="n">
        <v>1</v>
      </c>
      <c r="D710" s="468" t="inlineStr">
        <is>
          <t>Meal Allowance 2 Days (29 - 30 December 2024)@ 150 rb</t>
        </is>
      </c>
      <c r="E710" s="468" t="inlineStr">
        <is>
          <t>-</t>
        </is>
      </c>
      <c r="F710" s="469" t="n">
        <v>300000</v>
      </c>
      <c r="G710" s="363" t="inlineStr">
        <is>
          <t>IDR</t>
        </is>
      </c>
      <c r="H710" s="470" t="n">
        <v>1</v>
      </c>
      <c r="I710" s="359" t="n">
        <v>300000</v>
      </c>
      <c r="J710" s="433" t="n"/>
      <c r="K710" s="433" t="n"/>
      <c r="L710" s="433" t="n"/>
      <c r="M710" s="433" t="n"/>
      <c r="N710" s="433" t="n"/>
      <c r="O710" s="433" t="n"/>
      <c r="P710" s="433" t="n"/>
      <c r="Q710" s="433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4" t="n"/>
      <c r="C711" s="375" t="n"/>
      <c r="D711" s="485" t="inlineStr">
        <is>
          <t>Biaya Operasi</t>
        </is>
      </c>
      <c r="E711" s="486" t="n"/>
      <c r="F711" s="481" t="n"/>
      <c r="G711" s="375" t="n"/>
      <c r="H711" s="375" t="n"/>
      <c r="I711" s="349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2" t="n">
        <v>45655</v>
      </c>
      <c r="C712" s="363" t="n">
        <v>2</v>
      </c>
      <c r="D712" s="471" t="inlineStr">
        <is>
          <t>Transport Train, (Jakarta to Cirebon)</t>
        </is>
      </c>
      <c r="E712" s="471" t="inlineStr">
        <is>
          <t>-</t>
        </is>
      </c>
      <c r="F712" s="469" t="n">
        <v>200000</v>
      </c>
      <c r="G712" s="363" t="inlineStr">
        <is>
          <t>IDR</t>
        </is>
      </c>
      <c r="H712" s="470" t="n">
        <v>1</v>
      </c>
      <c r="I712" s="432" t="n">
        <v>200000</v>
      </c>
      <c r="J712" s="433" t="n"/>
      <c r="K712" s="433" t="n"/>
      <c r="L712" s="433" t="n"/>
      <c r="M712" s="433" t="n"/>
      <c r="N712" s="433" t="n"/>
      <c r="O712" s="433" t="n"/>
      <c r="P712" s="433" t="n"/>
      <c r="Q712" s="433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2" t="n">
        <v>45655</v>
      </c>
      <c r="C713" s="363" t="n">
        <v>3</v>
      </c>
      <c r="D713" s="471" t="inlineStr">
        <is>
          <t>Gojek (Cirendeu to Gambir Station)</t>
        </is>
      </c>
      <c r="E713" s="471" t="inlineStr">
        <is>
          <t>-</t>
        </is>
      </c>
      <c r="F713" s="469" t="n">
        <v>61500</v>
      </c>
      <c r="G713" s="363" t="inlineStr">
        <is>
          <t>IDR</t>
        </is>
      </c>
      <c r="H713" s="470" t="n">
        <v>1</v>
      </c>
      <c r="I713" s="359" t="n">
        <v>61500</v>
      </c>
      <c r="J713" s="433" t="n"/>
      <c r="K713" s="433" t="n"/>
      <c r="L713" s="433" t="n"/>
      <c r="M713" s="433" t="n"/>
      <c r="N713" s="433" t="n"/>
      <c r="O713" s="433" t="n"/>
      <c r="P713" s="433" t="n"/>
      <c r="Q713" s="433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2" t="n">
        <v>45655</v>
      </c>
      <c r="C714" s="363" t="n">
        <v>4</v>
      </c>
      <c r="D714" s="471" t="inlineStr">
        <is>
          <t>Gojek (Cirebon Station to Hotel)</t>
        </is>
      </c>
      <c r="E714" s="471" t="inlineStr">
        <is>
          <t>-</t>
        </is>
      </c>
      <c r="F714" s="469" t="n">
        <v>12500</v>
      </c>
      <c r="G714" s="363" t="inlineStr">
        <is>
          <t>IDR</t>
        </is>
      </c>
      <c r="H714" s="470" t="n">
        <v>1</v>
      </c>
      <c r="I714" s="432" t="n">
        <v>12500</v>
      </c>
      <c r="J714" s="433" t="n"/>
      <c r="K714" s="433" t="n"/>
      <c r="L714" s="433" t="n"/>
      <c r="M714" s="433" t="n"/>
      <c r="N714" s="433" t="n"/>
      <c r="O714" s="433" t="n"/>
      <c r="P714" s="433" t="n"/>
      <c r="Q714" s="433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466" t="inlineStr">
        <is>
          <t>Accomodation Hotel (Pia Hotel 29 - 30 des, 1 Night)</t>
        </is>
      </c>
      <c r="E715" s="466" t="inlineStr">
        <is>
          <t>-</t>
        </is>
      </c>
      <c r="F715" s="469" t="n">
        <v>224000</v>
      </c>
      <c r="G715" s="363" t="inlineStr">
        <is>
          <t>IDR</t>
        </is>
      </c>
      <c r="H715" s="470" t="n">
        <v>1</v>
      </c>
      <c r="I715" s="432" t="n">
        <v>224000</v>
      </c>
      <c r="J715" s="433" t="n"/>
      <c r="K715" s="433" t="n"/>
      <c r="L715" s="433" t="n"/>
      <c r="M715" s="433" t="n"/>
      <c r="N715" s="433" t="n"/>
      <c r="O715" s="433" t="n"/>
      <c r="P715" s="433" t="n"/>
      <c r="Q715" s="433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2" t="n">
        <v>45656</v>
      </c>
      <c r="C716" s="363" t="n">
        <v>6</v>
      </c>
      <c r="D716" s="468" t="inlineStr">
        <is>
          <t>Transport Train (Cirebon to Jakarta)</t>
        </is>
      </c>
      <c r="E716" s="468" t="inlineStr">
        <is>
          <t>-</t>
        </is>
      </c>
      <c r="F716" s="469" t="n">
        <v>140000</v>
      </c>
      <c r="G716" s="363" t="inlineStr">
        <is>
          <t>IDR</t>
        </is>
      </c>
      <c r="H716" s="470" t="n">
        <v>1</v>
      </c>
      <c r="I716" s="432" t="n">
        <v>140000</v>
      </c>
      <c r="J716" s="433" t="n"/>
      <c r="K716" s="433" t="n"/>
      <c r="L716" s="433" t="n"/>
      <c r="M716" s="433" t="n"/>
      <c r="N716" s="433" t="n"/>
      <c r="O716" s="433" t="n"/>
      <c r="P716" s="433" t="n"/>
      <c r="Q716" s="433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2" t="n">
        <v>45656</v>
      </c>
      <c r="C717" s="363" t="n">
        <v>7</v>
      </c>
      <c r="D717" s="468" t="inlineStr">
        <is>
          <t>Gojek (Hotel to HSSE Training Center PEP Zone 7)</t>
        </is>
      </c>
      <c r="E717" s="468" t="inlineStr">
        <is>
          <t>-</t>
        </is>
      </c>
      <c r="F717" s="469" t="n">
        <v>11000</v>
      </c>
      <c r="G717" s="363" t="inlineStr">
        <is>
          <t>IDR</t>
        </is>
      </c>
      <c r="H717" s="470" t="n">
        <v>1</v>
      </c>
      <c r="I717" s="432" t="n">
        <v>11000</v>
      </c>
      <c r="J717" s="433" t="n"/>
      <c r="K717" s="433" t="n"/>
      <c r="L717" s="433" t="n"/>
      <c r="M717" s="433" t="n"/>
      <c r="N717" s="433" t="n"/>
      <c r="O717" s="433" t="n"/>
      <c r="P717" s="433" t="n"/>
      <c r="Q717" s="433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2" t="n">
        <v>45656</v>
      </c>
      <c r="C718" s="363" t="n">
        <v>8</v>
      </c>
      <c r="D718" s="468" t="inlineStr">
        <is>
          <t>Gojek (CSB to Cirebon Train Station)</t>
        </is>
      </c>
      <c r="E718" s="468" t="inlineStr">
        <is>
          <t>-</t>
        </is>
      </c>
      <c r="F718" s="469" t="n">
        <v>11000</v>
      </c>
      <c r="G718" s="363" t="inlineStr">
        <is>
          <t>IDR</t>
        </is>
      </c>
      <c r="H718" s="470" t="n">
        <v>1</v>
      </c>
      <c r="I718" s="432" t="n">
        <v>11000</v>
      </c>
      <c r="J718" s="433" t="n"/>
      <c r="K718" s="433" t="n"/>
      <c r="L718" s="433" t="n"/>
      <c r="M718" s="433" t="n"/>
      <c r="N718" s="433" t="n"/>
      <c r="O718" s="433" t="n"/>
      <c r="P718" s="433" t="n"/>
      <c r="Q718" s="433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2" t="n">
        <v>45656</v>
      </c>
      <c r="C719" s="363" t="n">
        <v>9</v>
      </c>
      <c r="D719" s="468" t="inlineStr">
        <is>
          <t>Gojek (Gambir Station to Cirendeu)</t>
        </is>
      </c>
      <c r="E719" s="468" t="inlineStr">
        <is>
          <t>-</t>
        </is>
      </c>
      <c r="F719" s="469" t="n">
        <v>66000</v>
      </c>
      <c r="G719" s="363" t="inlineStr">
        <is>
          <t>IDR</t>
        </is>
      </c>
      <c r="H719" s="470" t="n">
        <v>1</v>
      </c>
      <c r="I719" s="432" t="n">
        <v>66000</v>
      </c>
      <c r="J719" s="433" t="n"/>
      <c r="K719" s="433" t="n"/>
      <c r="L719" s="433" t="n"/>
      <c r="M719" s="433" t="n"/>
      <c r="N719" s="433" t="n"/>
      <c r="O719" s="433" t="n"/>
      <c r="P719" s="433" t="n"/>
      <c r="Q719" s="433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7" t="n"/>
      <c r="C720" s="488" t="n"/>
      <c r="D720" s="489" t="n"/>
      <c r="E720" s="490" t="inlineStr">
        <is>
          <t>TOTAL</t>
        </is>
      </c>
      <c r="F720" s="491">
        <f>SUM(F41:F719)</f>
        <v/>
      </c>
      <c r="G720" s="488" t="inlineStr">
        <is>
          <t>IDR</t>
        </is>
      </c>
      <c r="H720" s="488" t="n">
        <v>1</v>
      </c>
      <c r="I720" s="492" t="n">
        <v>1165223146.932</v>
      </c>
      <c r="J720" s="492" t="n">
        <v>991500000</v>
      </c>
      <c r="K720" s="492" t="n">
        <v>356012003</v>
      </c>
      <c r="L720" s="492" t="n">
        <v>367745000</v>
      </c>
      <c r="M720" s="492" t="n">
        <v>8769780</v>
      </c>
      <c r="N720" s="492" t="n">
        <v>200517570</v>
      </c>
      <c r="O720" s="492" t="n">
        <v>4995000</v>
      </c>
      <c r="P720" s="492" t="n">
        <v>38548717.5</v>
      </c>
      <c r="Q720" s="492" t="n">
        <v>202920000</v>
      </c>
      <c r="R720" s="493" t="n">
        <v>0</v>
      </c>
      <c r="S720" s="493" t="n">
        <v>0</v>
      </c>
      <c r="T720" s="493" t="n">
        <v>0</v>
      </c>
      <c r="U720" s="493" t="n">
        <v>0</v>
      </c>
      <c r="V720" s="493" t="n">
        <v>0</v>
      </c>
      <c r="W720" s="493" t="n">
        <v>0</v>
      </c>
      <c r="X720" s="493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4" t="n"/>
      <c r="K741" s="494" t="n"/>
      <c r="L741" s="494" t="n"/>
      <c r="M741" s="494" t="n"/>
      <c r="N741" s="494" t="n"/>
      <c r="O741" s="49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5" t="n"/>
      <c r="K742" s="495" t="n"/>
      <c r="L742" s="494" t="n"/>
      <c r="M742" s="495" t="n"/>
      <c r="N742" s="495" t="n"/>
      <c r="O742" s="49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5" t="n"/>
      <c r="K743" s="495" t="n"/>
      <c r="L743" s="494" t="n"/>
      <c r="M743" s="495" t="n"/>
      <c r="N743" s="495" t="n"/>
      <c r="O743" s="49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5" t="n"/>
      <c r="K744" s="495" t="n"/>
      <c r="L744" s="494" t="n"/>
      <c r="M744" s="495" t="n"/>
      <c r="N744" s="495" t="n"/>
      <c r="O744" s="49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5" t="n"/>
      <c r="K745" s="495" t="n"/>
      <c r="L745" s="494" t="n"/>
      <c r="M745" s="495" t="n"/>
      <c r="N745" s="495" t="n"/>
      <c r="O745" s="49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5" t="n"/>
      <c r="K746" s="495" t="n"/>
      <c r="L746" s="494" t="n"/>
      <c r="M746" s="495" t="n"/>
      <c r="N746" s="495" t="n"/>
      <c r="O746" s="49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5" t="n"/>
      <c r="K747" s="495" t="n"/>
      <c r="L747" s="494" t="n"/>
      <c r="M747" s="495" t="n"/>
      <c r="N747" s="495" t="n"/>
      <c r="O747" s="49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5" t="n"/>
      <c r="K748" s="495" t="n"/>
      <c r="L748" s="494" t="n"/>
      <c r="M748" s="495" t="n"/>
      <c r="N748" s="495" t="n"/>
      <c r="O748" s="49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5" t="n"/>
      <c r="K749" s="495" t="n"/>
      <c r="L749" s="495" t="n"/>
      <c r="M749" s="495" t="n"/>
      <c r="N749" s="495" t="n"/>
      <c r="O749" s="49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6" t="n"/>
      <c r="B1" s="496" t="n"/>
      <c r="C1" s="496" t="n"/>
      <c r="D1" s="496" t="n"/>
      <c r="E1" s="497" t="n"/>
    </row>
    <row r="2" ht="37.25" customHeight="1" s="297">
      <c r="A2" s="496" t="n"/>
      <c r="B2" s="496" t="n"/>
      <c r="C2" s="496" t="n"/>
      <c r="D2" s="496" t="n"/>
      <c r="E2" s="497" t="n"/>
    </row>
    <row r="3" ht="33.65" customHeight="1" s="297">
      <c r="A3" s="496" t="n"/>
      <c r="B3" s="498" t="inlineStr">
        <is>
          <t>PT. EXSPAN WIRELINE INDONESIA</t>
        </is>
      </c>
      <c r="F3" s="499" t="n"/>
      <c r="G3" s="500" t="inlineStr">
        <is>
          <t>PT. EXSPAN WIRELINE INDONESIA</t>
        </is>
      </c>
      <c r="H3" s="500" t="n"/>
      <c r="I3" s="500" t="n"/>
      <c r="J3" s="500" t="n"/>
    </row>
    <row r="4" ht="20.5" customHeight="1" s="297">
      <c r="A4" s="496" t="n"/>
      <c r="B4" s="501" t="inlineStr">
        <is>
          <t>LABA RUGI | TAHUN 2024</t>
        </is>
      </c>
      <c r="F4" s="499" t="n"/>
      <c r="G4" s="502" t="inlineStr">
        <is>
          <t>NERACA |TAHUN YANG BERAKHIR, 31 DESEMBER 2024</t>
        </is>
      </c>
      <c r="H4" s="502" t="n"/>
      <c r="I4" s="502" t="n"/>
      <c r="J4" s="502" t="n"/>
      <c r="K4" s="503" t="inlineStr">
        <is>
          <t>CATATAN KEAMANAN</t>
        </is>
      </c>
    </row>
    <row r="5" ht="6" customHeight="1" s="297">
      <c r="A5" s="496" t="n"/>
      <c r="B5" s="496" t="n"/>
      <c r="C5" s="496" t="n"/>
      <c r="D5" s="496" t="n"/>
      <c r="E5" s="497" t="n"/>
      <c r="F5" s="499" t="n"/>
      <c r="G5" s="499" t="n"/>
      <c r="H5" s="504" t="n"/>
      <c r="I5" s="504" t="n"/>
      <c r="J5" s="504" t="n"/>
      <c r="K5" t="inlineStr">
        <is>
          <t>Kolom ini aman dari overwrite sistem.</t>
        </is>
      </c>
    </row>
    <row r="6" ht="15.5" customHeight="1" s="297">
      <c r="A6" s="496" t="n"/>
      <c r="B6" s="505" t="n"/>
      <c r="C6" s="506" t="n"/>
      <c r="D6" s="507" t="inlineStr">
        <is>
          <t>PT. Exspan Wireline Indonesia</t>
        </is>
      </c>
      <c r="E6" s="289" t="n"/>
      <c r="F6" s="499" t="n"/>
      <c r="G6" s="508" t="n"/>
      <c r="H6" s="509" t="n"/>
      <c r="I6" s="507" t="inlineStr">
        <is>
          <t>PT. Exspan Wireline Indonesia</t>
        </is>
      </c>
      <c r="J6" s="289" t="n"/>
      <c r="K6" t="inlineStr">
        <is>
          <t>Diverifikasi pada: 2026-04-01 01:52</t>
        </is>
      </c>
    </row>
    <row r="7" ht="15.5" customHeight="1" s="297">
      <c r="A7" s="496" t="n"/>
      <c r="B7" s="510" t="n"/>
      <c r="C7" s="511" t="n"/>
      <c r="D7" s="512" t="inlineStr">
        <is>
          <t>(Rp)</t>
        </is>
      </c>
      <c r="E7" s="290" t="n"/>
      <c r="F7" s="499" t="n"/>
      <c r="G7" s="513" t="n"/>
      <c r="H7" s="514" t="n"/>
      <c r="I7" s="512" t="inlineStr">
        <is>
          <t>(Rp)</t>
        </is>
      </c>
      <c r="J7" s="290" t="n"/>
    </row>
    <row r="8">
      <c r="A8" s="496" t="n"/>
      <c r="B8" s="515" t="inlineStr">
        <is>
          <t>PENDAPATAN</t>
        </is>
      </c>
      <c r="C8" s="516" t="n"/>
      <c r="D8" s="517" t="n"/>
      <c r="E8" s="518" t="n"/>
      <c r="F8" s="499" t="n"/>
      <c r="G8" s="519" t="inlineStr">
        <is>
          <t>AKTIVA</t>
        </is>
      </c>
      <c r="H8" s="520" t="n"/>
      <c r="I8" s="521" t="n"/>
      <c r="J8" s="522" t="n"/>
    </row>
    <row r="9">
      <c r="A9" s="496" t="n"/>
      <c r="B9" s="523" t="n"/>
      <c r="C9" s="516" t="inlineStr">
        <is>
          <t>PENDAPATAN LANGSUNG</t>
        </is>
      </c>
      <c r="D9" s="523" t="inlineStr">
        <is>
          <t>Rp</t>
        </is>
      </c>
      <c r="E9" s="524">
        <f>SUM('Revenue-Cost_2024'!L8:'Revenue-Cost_2024'!L21)</f>
        <v/>
      </c>
      <c r="F9" s="499" t="n"/>
      <c r="G9" s="525" t="inlineStr">
        <is>
          <t>AKTIVA LANCAR</t>
        </is>
      </c>
      <c r="H9" s="526" t="n"/>
      <c r="I9" s="525" t="n"/>
      <c r="J9" s="527" t="n"/>
    </row>
    <row r="10">
      <c r="A10" s="496" t="n"/>
      <c r="B10" s="523" t="n"/>
      <c r="C10" s="516" t="inlineStr">
        <is>
          <t>PENDAPATAN LAIN LAIN</t>
        </is>
      </c>
      <c r="D10" s="523" t="inlineStr">
        <is>
          <t>Rp</t>
        </is>
      </c>
      <c r="E10" s="524">
        <f>SUM('Revenue-Cost_2024'!L8:'Revenue-Cost_2024'!L21)</f>
        <v/>
      </c>
      <c r="F10" s="499" t="n"/>
      <c r="G10" s="528" t="n"/>
      <c r="H10" s="529" t="inlineStr">
        <is>
          <t>KAS DAN SETARA KAS TAHUN SEBELUMNYA</t>
        </is>
      </c>
      <c r="I10" s="523" t="inlineStr">
        <is>
          <t>Rp</t>
        </is>
      </c>
      <c r="J10" s="530" t="n">
        <v>0</v>
      </c>
    </row>
    <row r="11">
      <c r="A11" s="496" t="n"/>
      <c r="B11" s="523" t="n"/>
      <c r="C11" s="516" t="n"/>
      <c r="D11" s="531" t="n"/>
      <c r="E11" s="532" t="n"/>
      <c r="F11" s="499" t="n"/>
      <c r="G11" s="528" t="n"/>
      <c r="H11" s="529" t="inlineStr">
        <is>
          <t>KAS DAN SETARA KAS TAHUN LAPORAN</t>
        </is>
      </c>
      <c r="I11" s="523" t="inlineStr">
        <is>
          <t>Rp</t>
        </is>
      </c>
      <c r="J11" s="530">
        <f>E46-'Business Summary'!E13</f>
        <v/>
      </c>
    </row>
    <row r="12">
      <c r="A12" s="496" t="n"/>
      <c r="B12" s="533" t="inlineStr">
        <is>
          <t>TOTALPENDAPATAN</t>
        </is>
      </c>
      <c r="C12" s="534" t="n"/>
      <c r="D12" s="535" t="inlineStr">
        <is>
          <t>Rp</t>
        </is>
      </c>
      <c r="E12" s="536">
        <f>SUM(E9:E11)</f>
        <v/>
      </c>
      <c r="F12" s="499" t="n"/>
      <c r="G12" s="528" t="n"/>
      <c r="H12" s="529" t="inlineStr">
        <is>
          <t>PIUTANG USAHA</t>
        </is>
      </c>
      <c r="I12" s="523" t="inlineStr">
        <is>
          <t>Rp</t>
        </is>
      </c>
      <c r="J12" s="530" t="n">
        <v>0</v>
      </c>
    </row>
    <row r="13">
      <c r="A13" s="496" t="n"/>
      <c r="B13" s="523" t="n"/>
      <c r="C13" s="516" t="n"/>
      <c r="D13" s="517" t="n"/>
      <c r="E13" s="537" t="n"/>
      <c r="F13" s="499" t="n"/>
      <c r="G13" s="528" t="n"/>
      <c r="H13" s="529" t="inlineStr">
        <is>
          <t>PAJAK BAYAR DI MUKA (pph23)</t>
        </is>
      </c>
      <c r="I13" s="523" t="inlineStr">
        <is>
          <t>Rp</t>
        </is>
      </c>
      <c r="J13" s="530" t="n">
        <v>0</v>
      </c>
    </row>
    <row r="14">
      <c r="A14" s="496" t="n"/>
      <c r="B14" s="538" t="inlineStr">
        <is>
          <t>BEBAN LANGSUNG</t>
        </is>
      </c>
      <c r="C14" s="516" t="n"/>
      <c r="D14" s="523" t="n"/>
      <c r="E14" s="539" t="n"/>
      <c r="F14" s="499" t="n"/>
      <c r="G14" s="528" t="n"/>
      <c r="H14" s="529" t="inlineStr">
        <is>
          <t>BIAYA BAYAR DI MUKA</t>
        </is>
      </c>
      <c r="I14" s="523" t="inlineStr">
        <is>
          <t>Rp</t>
        </is>
      </c>
      <c r="J14" s="530" t="n">
        <v>0</v>
      </c>
    </row>
    <row r="15">
      <c r="A15" s="496" t="n"/>
      <c r="B15" s="540" t="n"/>
      <c r="C15" s="516" t="inlineStr">
        <is>
          <t xml:space="preserve">Biaya Operasi </t>
        </is>
      </c>
      <c r="D15" s="523" t="inlineStr">
        <is>
          <t>Rp</t>
        </is>
      </c>
      <c r="E15" s="539">
        <f>'Revenue-Cost_2024'!I720</f>
        <v/>
      </c>
      <c r="F15" s="499" t="n"/>
      <c r="G15" s="541" t="n"/>
      <c r="H15" s="529" t="inlineStr">
        <is>
          <t>PIUTANG LAIN LAIN</t>
        </is>
      </c>
      <c r="I15" s="523" t="inlineStr">
        <is>
          <t>Rp</t>
        </is>
      </c>
      <c r="J15" s="530" t="n">
        <v>0</v>
      </c>
    </row>
    <row r="16">
      <c r="A16" s="496" t="n"/>
      <c r="B16" s="540" t="n"/>
      <c r="C16" s="516" t="inlineStr">
        <is>
          <t>Biaya research (R &amp; D)</t>
        </is>
      </c>
      <c r="D16" s="523" t="inlineStr">
        <is>
          <t>Rp</t>
        </is>
      </c>
      <c r="E16" s="539">
        <f>'Revenue-Cost_2024'!J720</f>
        <v/>
      </c>
      <c r="F16" s="499" t="n"/>
      <c r="G16" s="542" t="n"/>
      <c r="H16" s="543" t="inlineStr">
        <is>
          <t>TOTAL AKTIVA LANCAR</t>
        </is>
      </c>
      <c r="I16" s="535" t="inlineStr">
        <is>
          <t>Rp</t>
        </is>
      </c>
      <c r="J16" s="544">
        <f>SUM(J10:J15)</f>
        <v/>
      </c>
    </row>
    <row r="17">
      <c r="A17" s="496" t="n"/>
      <c r="B17" s="540" t="n"/>
      <c r="C17" s="516" t="inlineStr">
        <is>
          <t>BIAYA SEWA PERALATAN</t>
        </is>
      </c>
      <c r="D17" s="523" t="inlineStr">
        <is>
          <t>Rp</t>
        </is>
      </c>
      <c r="E17" s="539">
        <f>'Revenue-Cost_2024'!K720</f>
        <v/>
      </c>
      <c r="F17" s="499" t="n"/>
      <c r="G17" s="528" t="n"/>
      <c r="H17" s="529" t="n"/>
      <c r="I17" s="545" t="n"/>
      <c r="J17" s="546" t="n"/>
    </row>
    <row r="18">
      <c r="A18" s="496" t="n"/>
      <c r="B18" s="540" t="n"/>
      <c r="C18" s="516" t="inlineStr">
        <is>
          <t>BIAYA Data Processing</t>
        </is>
      </c>
      <c r="D18" s="523" t="inlineStr">
        <is>
          <t>Rp</t>
        </is>
      </c>
      <c r="E18" s="539">
        <f>'Revenue-Cost_2024'!L720</f>
        <v/>
      </c>
      <c r="F18" s="499" t="n"/>
      <c r="G18" s="525" t="inlineStr">
        <is>
          <t>ACTIVA TETAP</t>
        </is>
      </c>
      <c r="H18" s="547" t="n"/>
      <c r="I18" s="519" t="n"/>
      <c r="J18" s="530" t="n"/>
    </row>
    <row r="19">
      <c r="A19" s="496" t="n"/>
      <c r="B19" s="540" t="n"/>
      <c r="C19" s="516" t="n"/>
      <c r="D19" s="523" t="n"/>
      <c r="E19" s="539" t="n"/>
      <c r="F19" s="499" t="n"/>
      <c r="G19" s="525" t="n"/>
      <c r="H19" s="547" t="n"/>
      <c r="I19" s="519" t="n"/>
      <c r="J19" s="530" t="n"/>
    </row>
    <row r="20">
      <c r="A20" s="496" t="n"/>
      <c r="B20" s="540" t="n"/>
      <c r="C20" s="516" t="n"/>
      <c r="D20" s="531" t="n"/>
      <c r="E20" s="548" t="n"/>
      <c r="F20" s="499" t="n"/>
      <c r="G20" s="528" t="n"/>
      <c r="H20" s="529" t="inlineStr">
        <is>
          <t>INVENTARIS KANTOR</t>
        </is>
      </c>
      <c r="I20" s="523" t="inlineStr">
        <is>
          <t>Rp</t>
        </is>
      </c>
      <c r="J20" s="530" t="n">
        <v>0</v>
      </c>
    </row>
    <row r="21">
      <c r="A21" s="496" t="n"/>
      <c r="B21" s="533" t="inlineStr">
        <is>
          <t>TOTAL BIAYA LANGSUNG</t>
        </is>
      </c>
      <c r="C21" s="534" t="n"/>
      <c r="D21" s="535" t="inlineStr">
        <is>
          <t>Rp</t>
        </is>
      </c>
      <c r="E21" s="549">
        <f>SUM(E15:E20)</f>
        <v/>
      </c>
      <c r="F21" s="499" t="n"/>
      <c r="G21" s="528" t="n"/>
      <c r="H21" s="547" t="n"/>
      <c r="I21" s="550" t="n"/>
      <c r="J21" s="551" t="n"/>
    </row>
    <row r="22">
      <c r="A22" s="496" t="n"/>
      <c r="B22" s="523" t="n"/>
      <c r="C22" s="516" t="n"/>
      <c r="D22" s="517" t="n"/>
      <c r="E22" s="552" t="n"/>
      <c r="F22" s="499" t="n"/>
      <c r="G22" s="542" t="n"/>
      <c r="H22" s="543" t="inlineStr">
        <is>
          <t>TOTAL AKTIVA TETAP</t>
        </is>
      </c>
      <c r="I22" s="535" t="inlineStr">
        <is>
          <t>Rp</t>
        </is>
      </c>
      <c r="J22" s="544">
        <f>J20</f>
        <v/>
      </c>
    </row>
    <row r="23">
      <c r="A23" s="496" t="n"/>
      <c r="B23" s="538" t="inlineStr">
        <is>
          <t>BEBAN TIDAK LANGSUNG</t>
        </is>
      </c>
      <c r="C23" s="516" t="n"/>
      <c r="D23" s="523" t="n"/>
      <c r="E23" s="539">
        <f>'Revenue-Cost_2024'!Q720</f>
        <v/>
      </c>
      <c r="F23" s="499" t="n"/>
      <c r="G23" s="528" t="n"/>
      <c r="H23" s="529" t="n"/>
      <c r="I23" s="545" t="n"/>
      <c r="J23" s="522" t="n"/>
    </row>
    <row r="24">
      <c r="A24" s="496" t="n"/>
      <c r="B24" s="523" t="n"/>
      <c r="C24" s="516" t="n"/>
      <c r="D24" s="523" t="n"/>
      <c r="E24" s="539" t="n"/>
      <c r="F24" s="499" t="n"/>
      <c r="G24" s="525" t="inlineStr">
        <is>
          <t>ACTIVA LAIN LAIN</t>
        </is>
      </c>
      <c r="H24" s="547" t="n"/>
      <c r="I24" s="519" t="n"/>
      <c r="J24" s="530" t="n">
        <v>0</v>
      </c>
    </row>
    <row r="25">
      <c r="A25" s="496" t="n"/>
      <c r="B25" s="523" t="n"/>
      <c r="C25" s="516" t="n"/>
      <c r="D25" s="523" t="inlineStr">
        <is>
          <t>Rp</t>
        </is>
      </c>
      <c r="E25" s="539" t="n"/>
      <c r="F25" s="499" t="n"/>
      <c r="G25" s="528" t="n"/>
      <c r="H25" s="529" t="n"/>
      <c r="I25" s="553" t="n"/>
      <c r="J25" s="554" t="n">
        <v>0</v>
      </c>
    </row>
    <row r="26">
      <c r="A26" s="496" t="n"/>
      <c r="B26" s="523" t="n"/>
      <c r="C26" s="516" t="n"/>
      <c r="D26" s="531" t="n"/>
      <c r="E26" s="548" t="n"/>
      <c r="F26" s="499" t="n"/>
      <c r="G26" s="542" t="n"/>
      <c r="H26" s="543" t="inlineStr">
        <is>
          <t>TOTAL AKTIVA LAIN LAIN</t>
        </is>
      </c>
      <c r="I26" s="535" t="inlineStr">
        <is>
          <t>Rp</t>
        </is>
      </c>
      <c r="J26" s="544">
        <f>SUM(J25:J25)</f>
        <v/>
      </c>
    </row>
    <row r="27">
      <c r="A27" s="496" t="n"/>
      <c r="B27" s="533" t="inlineStr">
        <is>
          <t>TOTAL BIAYA TIDAK LANGSUNG</t>
        </is>
      </c>
      <c r="C27" s="534" t="n"/>
      <c r="D27" s="535" t="inlineStr">
        <is>
          <t>Rp</t>
        </is>
      </c>
      <c r="E27" s="549">
        <f>SUM(E22:E26)</f>
        <v/>
      </c>
      <c r="F27" s="499" t="n"/>
      <c r="G27" s="528" t="n"/>
      <c r="H27" s="529" t="n"/>
      <c r="I27" s="555" t="n"/>
      <c r="J27" s="556" t="n"/>
    </row>
    <row r="28">
      <c r="A28" s="496" t="n"/>
      <c r="B28" s="523" t="n"/>
      <c r="C28" s="516" t="n"/>
      <c r="D28" s="517" t="n"/>
      <c r="E28" s="552" t="n"/>
      <c r="F28" s="499" t="n"/>
      <c r="G28" s="533" t="inlineStr">
        <is>
          <t>TOTAL AKTIVA</t>
        </is>
      </c>
      <c r="H28" s="534" t="n"/>
      <c r="I28" s="535" t="inlineStr">
        <is>
          <t>Rp</t>
        </is>
      </c>
      <c r="J28" s="557">
        <f>J26+J22+J16</f>
        <v/>
      </c>
    </row>
    <row r="29">
      <c r="A29" s="496" t="n"/>
      <c r="B29" s="538" t="inlineStr">
        <is>
          <t>BIAYA ADMINISTRASI DAN UMUM</t>
        </is>
      </c>
      <c r="C29" s="516" t="n"/>
      <c r="D29" s="523" t="n"/>
      <c r="E29" s="539" t="n"/>
      <c r="F29" s="499" t="n"/>
      <c r="G29" s="558" t="n"/>
      <c r="H29" s="559" t="n"/>
      <c r="I29" s="558" t="n"/>
      <c r="J29" s="546" t="n"/>
    </row>
    <row r="30">
      <c r="A30" s="496" t="n"/>
      <c r="B30" s="540" t="n"/>
      <c r="C30" s="516" t="inlineStr">
        <is>
          <t>BIAYA ADMINISTRASI</t>
        </is>
      </c>
      <c r="D30" s="523" t="inlineStr">
        <is>
          <t>Rp</t>
        </is>
      </c>
      <c r="E30" s="539">
        <f>'Revenue-Cost_2024'!M720</f>
        <v/>
      </c>
      <c r="F30" s="499" t="n"/>
      <c r="G30" s="560" t="inlineStr">
        <is>
          <t>HUTANG DAN MODAL</t>
        </is>
      </c>
      <c r="H30" s="520" t="n"/>
      <c r="I30" s="560" t="n"/>
      <c r="J30" s="561" t="n"/>
    </row>
    <row r="31">
      <c r="A31" s="496" t="n"/>
      <c r="B31" s="540" t="n"/>
      <c r="C31" s="516" t="inlineStr">
        <is>
          <t>BIAYA PEMBELIAN Barang</t>
        </is>
      </c>
      <c r="D31" s="523" t="inlineStr">
        <is>
          <t>Rp</t>
        </is>
      </c>
      <c r="E31" s="539">
        <f>'Revenue-Cost_2024'!N720</f>
        <v/>
      </c>
      <c r="F31" s="499" t="n"/>
      <c r="G31" s="560" t="n"/>
      <c r="H31" s="520" t="n"/>
      <c r="I31" s="560" t="n"/>
      <c r="J31" s="561" t="n"/>
    </row>
    <row r="32">
      <c r="A32" s="496" t="n"/>
      <c r="B32" s="540" t="n"/>
      <c r="C32" s="516" t="inlineStr">
        <is>
          <t>BIAYA SEWA KANTOR</t>
        </is>
      </c>
      <c r="D32" s="523" t="inlineStr">
        <is>
          <t>Rp</t>
        </is>
      </c>
      <c r="E32" s="539">
        <f>'Revenue-Cost_2024'!O720</f>
        <v/>
      </c>
      <c r="F32" s="499" t="n"/>
      <c r="G32" s="525" t="inlineStr">
        <is>
          <t>HUTANG LANCAR</t>
        </is>
      </c>
      <c r="H32" s="526" t="n"/>
      <c r="I32" s="525" t="n"/>
      <c r="J32" s="527" t="n"/>
    </row>
    <row r="33">
      <c r="A33" s="496" t="n"/>
      <c r="B33" s="540" t="n"/>
      <c r="C33" s="516" t="inlineStr">
        <is>
          <t>BIAYA KESEHATAN</t>
        </is>
      </c>
      <c r="D33" s="523" t="inlineStr">
        <is>
          <t>Rp</t>
        </is>
      </c>
      <c r="E33" s="539">
        <f>'Revenue-Cost_2024'!P720</f>
        <v/>
      </c>
      <c r="F33" s="499" t="n"/>
      <c r="G33" s="528" t="n"/>
      <c r="H33" s="529" t="inlineStr">
        <is>
          <t>HUTANG USAHA</t>
        </is>
      </c>
      <c r="I33" s="523" t="inlineStr">
        <is>
          <t>Rp</t>
        </is>
      </c>
      <c r="J33" s="530" t="n">
        <v>0</v>
      </c>
    </row>
    <row r="34">
      <c r="A34" s="496" t="n"/>
      <c r="B34" s="540" t="n"/>
      <c r="C34" s="516" t="n"/>
      <c r="D34" s="531" t="n"/>
      <c r="E34" s="548" t="n"/>
      <c r="F34" s="499" t="n"/>
      <c r="G34" s="528" t="n"/>
      <c r="H34" s="562" t="inlineStr">
        <is>
          <t>HUTANG GAJI</t>
        </is>
      </c>
      <c r="I34" s="523" t="inlineStr">
        <is>
          <t>Rp</t>
        </is>
      </c>
      <c r="J34" s="530" t="n">
        <v>0</v>
      </c>
    </row>
    <row r="35">
      <c r="A35" s="496" t="n"/>
      <c r="B35" s="533" t="inlineStr">
        <is>
          <t>TOTAL BIAYA ADMINISTRASI DAN UMUM</t>
        </is>
      </c>
      <c r="C35" s="534" t="n"/>
      <c r="D35" s="535" t="inlineStr">
        <is>
          <t>Rp</t>
        </is>
      </c>
      <c r="E35" s="536">
        <f>SUM(E30:E34)</f>
        <v/>
      </c>
      <c r="F35" s="499" t="n"/>
      <c r="G35" s="528" t="n"/>
      <c r="H35" s="529" t="inlineStr">
        <is>
          <t>HUTANG PEMEGANG SAHAM</t>
        </is>
      </c>
      <c r="I35" s="523" t="inlineStr">
        <is>
          <t>Rp</t>
        </is>
      </c>
      <c r="J35" s="530" t="n">
        <v>0</v>
      </c>
    </row>
    <row r="36">
      <c r="A36" s="496" t="n"/>
      <c r="B36" s="540" t="n"/>
      <c r="C36" s="516" t="n"/>
      <c r="D36" s="535" t="n"/>
      <c r="E36" s="563" t="n"/>
      <c r="F36" s="499" t="n"/>
      <c r="G36" s="528" t="n"/>
      <c r="H36" s="529" t="inlineStr">
        <is>
          <t>BIAYA YANG MASIH HARUS DI BAYAR</t>
        </is>
      </c>
      <c r="I36" s="523" t="inlineStr">
        <is>
          <t>Rp</t>
        </is>
      </c>
      <c r="J36" s="530" t="n">
        <v>0</v>
      </c>
    </row>
    <row r="37">
      <c r="A37" s="496" t="n"/>
      <c r="B37" s="533" t="inlineStr">
        <is>
          <t>TOTAL BIAYA</t>
        </is>
      </c>
      <c r="C37" s="534" t="n"/>
      <c r="D37" s="535" t="inlineStr">
        <is>
          <t>Rp</t>
        </is>
      </c>
      <c r="E37" s="536">
        <f>E35+E21+E27</f>
        <v/>
      </c>
      <c r="F37" s="499" t="n"/>
      <c r="G37" s="564" t="n"/>
      <c r="H37" s="565" t="n"/>
      <c r="I37" s="564" t="n"/>
      <c r="J37" s="566" t="n"/>
    </row>
    <row r="38">
      <c r="A38" s="496" t="n"/>
      <c r="B38" s="515" t="n"/>
      <c r="C38" s="567" t="n"/>
      <c r="D38" s="517" t="n"/>
      <c r="E38" s="568" t="n"/>
      <c r="F38" s="499" t="n"/>
      <c r="G38" s="542" t="n"/>
      <c r="H38" s="543" t="inlineStr">
        <is>
          <t>TOTAL HUTANG LANCAR</t>
        </is>
      </c>
      <c r="I38" s="569" t="n"/>
      <c r="J38" s="544">
        <f>SUM(J33:J36)</f>
        <v/>
      </c>
    </row>
    <row r="39">
      <c r="A39" s="496" t="n"/>
      <c r="B39" s="538" t="inlineStr">
        <is>
          <t xml:space="preserve">PENDAPATAN/BEBAN LAIN LAIN </t>
        </is>
      </c>
      <c r="C39" s="516" t="n"/>
      <c r="D39" s="523" t="inlineStr">
        <is>
          <t>Rp</t>
        </is>
      </c>
      <c r="E39" s="570" t="n"/>
      <c r="F39" s="499" t="n"/>
      <c r="G39" s="528" t="n"/>
      <c r="H39" s="547" t="n"/>
      <c r="I39" s="571" t="n"/>
      <c r="J39" s="522" t="n"/>
    </row>
    <row r="40">
      <c r="A40" s="496" t="n"/>
      <c r="B40" s="538" t="n"/>
      <c r="C40" s="516" t="inlineStr">
        <is>
          <t>PENDAPATAN LAINNYA</t>
        </is>
      </c>
      <c r="D40" s="523" t="inlineStr">
        <is>
          <t>Rp</t>
        </is>
      </c>
      <c r="E40" s="524" t="n">
        <v>0</v>
      </c>
      <c r="F40" s="499" t="n"/>
      <c r="G40" s="525" t="inlineStr">
        <is>
          <t>MODAL</t>
        </is>
      </c>
      <c r="H40" s="526" t="n"/>
      <c r="I40" s="525" t="n"/>
      <c r="J40" s="527" t="n"/>
    </row>
    <row r="41">
      <c r="A41" s="496" t="n"/>
      <c r="B41" s="538" t="n"/>
      <c r="C41" s="516" t="n"/>
      <c r="D41" s="531" t="n"/>
      <c r="E41" s="572" t="n"/>
      <c r="F41" s="499" t="n"/>
      <c r="G41" s="528" t="n"/>
      <c r="H41" s="529" t="inlineStr">
        <is>
          <t>MODAL SAHAM</t>
        </is>
      </c>
      <c r="I41" s="523" t="inlineStr">
        <is>
          <t>Rp</t>
        </is>
      </c>
      <c r="J41" s="530" t="n">
        <v>0</v>
      </c>
    </row>
    <row r="42">
      <c r="A42" s="496" t="n"/>
      <c r="B42" s="533" t="inlineStr">
        <is>
          <t>LABA RUGI SEBELUM PAJAK</t>
        </is>
      </c>
      <c r="C42" s="534" t="n"/>
      <c r="D42" s="535" t="inlineStr">
        <is>
          <t>Rp</t>
        </is>
      </c>
      <c r="E42" s="536">
        <f>E12-E37</f>
        <v/>
      </c>
      <c r="F42" s="499" t="n"/>
      <c r="G42" s="528" t="n"/>
      <c r="H42" s="529" t="inlineStr">
        <is>
          <t>LABA DI TAHAN</t>
        </is>
      </c>
      <c r="I42" s="523" t="inlineStr">
        <is>
          <t>Rp</t>
        </is>
      </c>
      <c r="J42" s="530" t="n">
        <v>0</v>
      </c>
    </row>
    <row r="43">
      <c r="A43" s="496" t="n"/>
      <c r="B43" s="573" t="n"/>
      <c r="C43" s="567" t="n"/>
      <c r="D43" s="517" t="n"/>
      <c r="E43" s="537" t="n"/>
      <c r="F43" s="499" t="n"/>
      <c r="G43" s="525" t="n"/>
      <c r="H43" s="529" t="inlineStr">
        <is>
          <t>TOTAL LABA (RUGI) DITAHAN</t>
        </is>
      </c>
      <c r="I43" s="531" t="inlineStr">
        <is>
          <t>Rp</t>
        </is>
      </c>
      <c r="J43" s="554">
        <f>J28-J38-J41-J42</f>
        <v/>
      </c>
    </row>
    <row r="44">
      <c r="A44" s="496" t="n"/>
      <c r="B44" s="538" t="inlineStr">
        <is>
          <t>CORPORATE TAX (PPh 29)</t>
        </is>
      </c>
      <c r="D44" s="523" t="inlineStr">
        <is>
          <t>Rp</t>
        </is>
      </c>
      <c r="E44" s="524" t="n">
        <v>0</v>
      </c>
      <c r="F44" s="499" t="n"/>
      <c r="G44" s="542" t="n"/>
      <c r="H44" s="543" t="inlineStr">
        <is>
          <t>TOTAL MODAL</t>
        </is>
      </c>
      <c r="I44" s="535" t="inlineStr">
        <is>
          <t>Rp</t>
        </is>
      </c>
      <c r="J44" s="544">
        <f>SUM(J41:J43)</f>
        <v/>
      </c>
    </row>
    <row r="45">
      <c r="A45" s="496" t="n"/>
      <c r="B45" s="538" t="n"/>
      <c r="C45" s="516" t="n"/>
      <c r="D45" s="531" t="n"/>
      <c r="E45" s="572" t="n"/>
      <c r="F45" s="499" t="n"/>
      <c r="G45" s="528" t="n"/>
      <c r="H45" s="529" t="n"/>
      <c r="I45" s="555" t="n"/>
      <c r="J45" s="556" t="n"/>
    </row>
    <row r="46" ht="15" customHeight="1" s="297">
      <c r="A46" s="496" t="n"/>
      <c r="B46" s="574" t="inlineStr">
        <is>
          <t>LABA / RUGI BERSIH</t>
        </is>
      </c>
      <c r="C46" s="303" t="n"/>
      <c r="D46" s="575" t="n"/>
      <c r="E46" s="576">
        <f>E42-E44</f>
        <v/>
      </c>
      <c r="F46" s="499" t="n"/>
      <c r="G46" s="577" t="inlineStr">
        <is>
          <t>TOTAL HUTANG DAN MODAL</t>
        </is>
      </c>
      <c r="H46" s="578" t="n"/>
      <c r="I46" s="575" t="inlineStr">
        <is>
          <t>Rp</t>
        </is>
      </c>
      <c r="J46" s="579">
        <f>J44+J38</f>
        <v/>
      </c>
    </row>
    <row r="47" ht="4.5" customHeight="1" s="297">
      <c r="A47" s="496" t="n"/>
      <c r="F47" s="499" t="n"/>
    </row>
    <row r="48" ht="50.65" customHeight="1" s="297">
      <c r="A48" s="496" t="n"/>
      <c r="F48" s="499" t="n"/>
      <c r="G48" s="580" t="n"/>
    </row>
    <row r="49" ht="16.75" customHeight="1" s="297">
      <c r="A49" s="496" t="n"/>
      <c r="B49" s="581" t="n"/>
      <c r="F49" s="499" t="n"/>
      <c r="G49" s="581" t="n"/>
    </row>
    <row r="50" ht="15.65" customHeight="1" s="297">
      <c r="A50" s="516" t="n"/>
      <c r="B50" s="582" t="inlineStr">
        <is>
          <t>Direktur</t>
        </is>
      </c>
      <c r="F50" s="499" t="n"/>
      <c r="G50" s="582" t="inlineStr">
        <is>
          <t>Direktur</t>
        </is>
      </c>
    </row>
    <row r="51">
      <c r="A51" s="516" t="n"/>
      <c r="F51" s="499" t="n"/>
    </row>
    <row r="52">
      <c r="A52" s="516" t="n"/>
      <c r="F52" s="499" t="n"/>
      <c r="J52" s="58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6" t="n"/>
      <c r="B1" s="496" t="n"/>
      <c r="C1" s="496" t="n"/>
      <c r="D1" s="496" t="n"/>
      <c r="E1" s="497" t="n"/>
    </row>
    <row r="2" ht="37.25" customHeight="1" s="297">
      <c r="A2" s="496" t="n"/>
      <c r="B2" s="496" t="n"/>
      <c r="C2" s="496" t="n"/>
      <c r="D2" s="496" t="n"/>
      <c r="E2" s="497" t="n"/>
    </row>
    <row r="3" ht="33.65" customHeight="1" s="297">
      <c r="A3" s="496" t="n"/>
      <c r="B3" s="498" t="inlineStr">
        <is>
          <t>PT. EXSPAN WIRELINE INDONESIA</t>
        </is>
      </c>
      <c r="F3" s="499" t="n"/>
    </row>
    <row r="4" ht="20.5" customHeight="1" s="297">
      <c r="A4" s="496" t="n"/>
      <c r="B4" s="501" t="inlineStr">
        <is>
          <t>BUSINESS SUMMARY | TAHUN 2024</t>
        </is>
      </c>
      <c r="F4" s="499" t="n"/>
    </row>
    <row r="5" ht="6" customHeight="1" s="297">
      <c r="A5" s="496" t="n"/>
      <c r="B5" s="496" t="n"/>
      <c r="C5" s="496" t="n"/>
      <c r="D5" s="496" t="n"/>
      <c r="E5" s="497" t="n"/>
      <c r="F5" s="499" t="n"/>
    </row>
    <row r="6" ht="19" customHeight="1" s="297">
      <c r="A6" s="496" t="n"/>
      <c r="B6" s="584" t="inlineStr">
        <is>
          <t>#</t>
        </is>
      </c>
      <c r="C6" s="584" t="inlineStr">
        <is>
          <t>Items</t>
        </is>
      </c>
      <c r="D6" s="585" t="inlineStr">
        <is>
          <t>Amount</t>
        </is>
      </c>
      <c r="E6" s="279" t="n"/>
      <c r="F6" s="499" t="n"/>
    </row>
    <row r="7" ht="19" customHeight="1" s="297">
      <c r="A7" s="496" t="n"/>
      <c r="B7" s="586" t="n">
        <v>1</v>
      </c>
      <c r="C7" s="587" t="inlineStr">
        <is>
          <t>Revenue</t>
        </is>
      </c>
      <c r="D7" s="588" t="inlineStr">
        <is>
          <t>Rp</t>
        </is>
      </c>
      <c r="E7" s="589">
        <f>SUM('Revenue-Cost_2024'!L8:'Revenue-Cost_2024'!L21)</f>
        <v/>
      </c>
      <c r="F7" s="499" t="n"/>
    </row>
    <row r="8" ht="19" customHeight="1" s="297">
      <c r="A8" s="496" t="n"/>
      <c r="B8" s="586" t="n">
        <v>2</v>
      </c>
      <c r="C8" s="587" t="inlineStr">
        <is>
          <t>Revenue Diterima (Setelah Pajak)</t>
        </is>
      </c>
      <c r="D8" s="588" t="inlineStr">
        <is>
          <t>Rp</t>
        </is>
      </c>
      <c r="E8" s="589">
        <f>E7-SUM('Revenue-Cost_2024'!N8:'Revenue-Cost_2024'!N21)</f>
        <v/>
      </c>
      <c r="F8" s="499" t="n"/>
    </row>
    <row r="9" ht="19" customHeight="1" s="297">
      <c r="A9" s="496" t="n"/>
      <c r="B9" s="586" t="n">
        <v>3</v>
      </c>
      <c r="C9" s="587" t="inlineStr">
        <is>
          <t>Biaya</t>
        </is>
      </c>
      <c r="D9" s="588" t="inlineStr">
        <is>
          <t>Rp</t>
        </is>
      </c>
      <c r="E9" s="589">
        <f>SUM('Revenue-Cost_2024'!I720:Q720)</f>
        <v/>
      </c>
      <c r="F9" s="499" t="n"/>
    </row>
    <row r="10" ht="19" customHeight="1" s="297">
      <c r="A10" s="496" t="n"/>
      <c r="B10" s="586" t="n">
        <v>4</v>
      </c>
      <c r="C10" s="587" t="inlineStr">
        <is>
          <t>Profit SebelumTax</t>
        </is>
      </c>
      <c r="D10" s="588" t="inlineStr">
        <is>
          <t>Rp</t>
        </is>
      </c>
      <c r="E10" s="589">
        <f>E7-E9</f>
        <v/>
      </c>
      <c r="F10" s="499" t="n"/>
    </row>
    <row r="11" ht="19" customHeight="1" s="297">
      <c r="A11" s="496" t="n"/>
      <c r="B11" s="586" t="n">
        <v>5</v>
      </c>
      <c r="C11" s="587" t="inlineStr">
        <is>
          <t>PPh Badan (22%*50%)</t>
        </is>
      </c>
      <c r="D11" s="588" t="inlineStr">
        <is>
          <t>Rp</t>
        </is>
      </c>
      <c r="E11" s="589">
        <f>E10*22%*50%</f>
        <v/>
      </c>
      <c r="F11" s="499" t="n"/>
    </row>
    <row r="12" ht="19" customHeight="1" s="297">
      <c r="A12" s="496" t="n"/>
      <c r="B12" s="586" t="n">
        <v>6</v>
      </c>
      <c r="C12" s="587" t="inlineStr">
        <is>
          <t>PPh 23 Dipotong oleh client</t>
        </is>
      </c>
      <c r="D12" s="588" t="inlineStr">
        <is>
          <t>Rp</t>
        </is>
      </c>
      <c r="E12" s="589">
        <f>SUM('Revenue-Cost_2024'!N8:'Revenue-Cost_2024'!N21)</f>
        <v/>
      </c>
      <c r="F12" s="499" t="n"/>
    </row>
    <row r="13" ht="19" customHeight="1" s="297">
      <c r="A13" s="496" t="n"/>
      <c r="B13" s="586" t="n">
        <v>7</v>
      </c>
      <c r="C13" s="587" t="inlineStr">
        <is>
          <t>Kekurangan Bayar PPh Badan</t>
        </is>
      </c>
      <c r="D13" s="588" t="inlineStr">
        <is>
          <t>Rp</t>
        </is>
      </c>
      <c r="E13" s="590">
        <f>E11-E12</f>
        <v/>
      </c>
      <c r="F13" s="499" t="n"/>
    </row>
    <row r="14" ht="19" customHeight="1" s="297">
      <c r="A14" s="496" t="n"/>
      <c r="B14" s="586" t="n">
        <v>8</v>
      </c>
      <c r="C14" s="587" t="inlineStr">
        <is>
          <t>Profit After Tax</t>
        </is>
      </c>
      <c r="D14" s="588" t="inlineStr">
        <is>
          <t>Rp</t>
        </is>
      </c>
      <c r="E14" s="589">
        <f>E10-E13</f>
        <v/>
      </c>
      <c r="F14" s="499" t="n"/>
    </row>
    <row r="15" ht="19" customHeight="1" s="297">
      <c r="A15" s="496" t="n"/>
      <c r="B15" s="586" t="n">
        <v>9</v>
      </c>
      <c r="C15" s="587" t="inlineStr">
        <is>
          <t>Deviden Dibagi</t>
        </is>
      </c>
      <c r="D15" s="588" t="inlineStr">
        <is>
          <t>Rp</t>
        </is>
      </c>
      <c r="E15" s="589">
        <f>E14-E16</f>
        <v/>
      </c>
      <c r="F15" s="499" t="n"/>
    </row>
    <row r="16" ht="19" customHeight="1" s="297">
      <c r="A16" s="496" t="n"/>
      <c r="B16" s="586" t="n">
        <v>10</v>
      </c>
      <c r="C16" s="587" t="inlineStr">
        <is>
          <t>Profit Ditahan</t>
        </is>
      </c>
      <c r="D16" s="588" t="inlineStr">
        <is>
          <t>Rp</t>
        </is>
      </c>
      <c r="E16" s="589" t="n">
        <v>33763737</v>
      </c>
      <c r="F16" s="499" t="n"/>
    </row>
    <row r="17">
      <c r="A17" s="496" t="n"/>
      <c r="B17" s="496" t="n"/>
      <c r="C17" s="496" t="n"/>
      <c r="D17" s="496" t="n"/>
      <c r="E17" s="497" t="n"/>
      <c r="F17" s="499" t="n"/>
    </row>
    <row r="18" ht="18" customHeight="1" s="297">
      <c r="A18" s="496" t="n"/>
      <c r="B18" s="591" t="inlineStr">
        <is>
          <t>DEVIDEN</t>
        </is>
      </c>
      <c r="F18" s="499" t="n"/>
    </row>
    <row r="19" ht="19" customHeight="1" s="297">
      <c r="A19" s="496" t="n"/>
      <c r="B19" s="592" t="inlineStr">
        <is>
          <t>#</t>
        </is>
      </c>
      <c r="C19" s="592" t="inlineStr">
        <is>
          <t>Nama Lengkap</t>
        </is>
      </c>
      <c r="D19" s="592" t="inlineStr"/>
      <c r="E19" s="593" t="inlineStr">
        <is>
          <t>Amount</t>
        </is>
      </c>
      <c r="F19" s="499" t="inlineStr"/>
      <c r="G19" s="594" t="inlineStr">
        <is>
          <t>Pajak</t>
        </is>
      </c>
    </row>
    <row r="20" ht="19" customHeight="1" s="297">
      <c r="A20" s="496" t="n"/>
      <c r="B20" s="595" t="n">
        <v>1</v>
      </c>
      <c r="C20" s="596" t="inlineStr">
        <is>
          <t>Anevril Chairulsyah</t>
        </is>
      </c>
      <c r="D20" s="596" t="inlineStr">
        <is>
          <t>Rp</t>
        </is>
      </c>
      <c r="E20" s="597">
        <f>IF(C20="","",ROUND($E$15/COUNTA($C$20:$C$21), 0))</f>
        <v/>
      </c>
      <c r="F20" s="499" t="n"/>
      <c r="G20" s="598" t="inlineStr">
        <is>
          <t>Pajak 10%</t>
        </is>
      </c>
    </row>
    <row r="21" ht="48.75" customHeight="1" s="297">
      <c r="A21" s="516" t="n"/>
      <c r="B21" s="599" t="n">
        <v>2</v>
      </c>
      <c r="C21" s="599" t="inlineStr">
        <is>
          <t>Alan Muhadjir</t>
        </is>
      </c>
      <c r="D21" s="599" t="inlineStr">
        <is>
          <t>Rp</t>
        </is>
      </c>
      <c r="E21" s="600">
        <f>IF(C21="","",ROUND($E$15/COUNTA($C$20:$C$21), 0))</f>
        <v/>
      </c>
      <c r="F21" s="499" t="n"/>
      <c r="G21" t="inlineStr">
        <is>
          <t>Pajak 10%</t>
        </is>
      </c>
    </row>
    <row r="22">
      <c r="A22" s="516" t="n"/>
      <c r="F22" s="49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2026-03-31T18:52:00Z</dcterms:modified>
  <cp:lastModifiedBy>Diofavian - Student</cp:lastModifiedBy>
</cp:coreProperties>
</file>