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3" fontId="8" fillId="11" borderId="20" pivotButton="0" quotePrefix="0" xfId="1"/>
    <xf numFmtId="165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3" fontId="8" fillId="11" borderId="20" pivotButton="0" quotePrefix="0" xfId="2"/>
    <xf numFmtId="165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177" fontId="8" fillId="11" borderId="20" pivotButton="0" quotePrefix="0" xfId="0"/>
    <xf numFmtId="0" fontId="8" fillId="11" borderId="20" applyAlignment="1" pivotButton="0" quotePrefix="0" xfId="0">
      <alignment horizontal="center"/>
    </xf>
    <xf numFmtId="164" fontId="16" fillId="11" borderId="20" applyAlignment="1" pivotButton="0" quotePrefix="0" xfId="0">
      <alignment horizontal="left"/>
    </xf>
    <xf numFmtId="0" fontId="17" fillId="11" borderId="20" pivotButton="0" quotePrefix="0" xfId="0"/>
    <xf numFmtId="165" fontId="10" fillId="11" borderId="20" pivotButton="0" quotePrefix="0" xfId="2"/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6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8" fillId="11" borderId="20" applyAlignment="1" pivotButton="0" quotePrefix="0" xfId="0">
      <alignment horizontal="left" vertical="center"/>
    </xf>
    <xf numFmtId="15" fontId="36" fillId="12" borderId="20" pivotButton="0" quotePrefix="0" xfId="0"/>
    <xf numFmtId="0" fontId="36" fillId="12" borderId="20" pivotButton="0" quotePrefix="0" xfId="0"/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7" fontId="8" fillId="12" borderId="20" pivotButton="0" quotePrefix="0" xfId="0"/>
    <xf numFmtId="3" fontId="10" fillId="11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5" fontId="10" fillId="12" borderId="20" pivotButton="0" quotePrefix="0" xfId="1"/>
    <xf numFmtId="167" fontId="8" fillId="11" borderId="20" pivotButton="0" quotePrefix="0" xfId="0"/>
    <xf numFmtId="176" fontId="10" fillId="11" borderId="20" pivotButton="0" quotePrefix="0" xfId="0"/>
    <xf numFmtId="0" fontId="10" fillId="12" borderId="20" pivotButton="0" quotePrefix="0" xfId="0"/>
    <xf numFmtId="3" fontId="10" fillId="12" borderId="20" applyAlignment="1" pivotButton="0" quotePrefix="0" xfId="0">
      <alignment horizontal="center"/>
    </xf>
    <xf numFmtId="164" fontId="36" fillId="11" borderId="20" applyAlignment="1" pivotButton="0" quotePrefix="0" xfId="0">
      <alignment horizontal="left"/>
    </xf>
    <xf numFmtId="164" fontId="8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36" fillId="11" borderId="20" applyAlignment="1" pivotButton="0" quotePrefix="0" xfId="0">
      <alignment horizontal="left"/>
    </xf>
    <xf numFmtId="0" fontId="10" fillId="11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0" fontId="36" fillId="11" borderId="20" applyAlignment="1" pivotButton="0" quotePrefix="0" xfId="0">
      <alignment horizontal="left" vertical="center" wrapText="1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 wrapText="1"/>
    </xf>
    <xf numFmtId="165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16" fillId="12" borderId="20" pivotButton="0" quotePrefix="0" xfId="0"/>
    <xf numFmtId="0" fontId="19" fillId="11" borderId="20" pivotButton="0" quotePrefix="0" xfId="0"/>
    <xf numFmtId="3" fontId="19" fillId="11" borderId="20" pivotButton="0" quotePrefix="0" xfId="0"/>
    <xf numFmtId="176" fontId="10" fillId="11" borderId="20" applyAlignment="1" pivotButton="0" quotePrefix="0" xfId="0">
      <alignment horizontal="right"/>
    </xf>
    <xf numFmtId="0" fontId="10" fillId="11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3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169" fontId="36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3" fontId="36" fillId="0" borderId="20" applyAlignment="1" pivotButton="0" quotePrefix="0" xfId="6">
      <alignment horizontal="center" vertical="center"/>
    </xf>
    <xf numFmtId="0" fontId="10" fillId="0" borderId="20" applyAlignment="1" pivotButton="0" quotePrefix="0" xfId="0">
      <alignment horizontal="center"/>
    </xf>
    <xf numFmtId="3" fontId="36" fillId="0" borderId="20" pivotButton="0" quotePrefix="0" xfId="0"/>
    <xf numFmtId="3" fontId="36" fillId="0" borderId="20" applyAlignment="1" pivotButton="0" quotePrefix="0" xfId="0">
      <alignment vertical="top"/>
    </xf>
    <xf numFmtId="169" fontId="11" fillId="0" borderId="4" applyAlignment="1" pivotButton="0" quotePrefix="0" xfId="4">
      <alignment horizontal="right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>
        <v>45302</v>
      </c>
      <c r="C41" s="314" t="n">
        <v>1</v>
      </c>
      <c r="D41" s="315" t="inlineStr">
        <is>
          <t>Biaya Bank</t>
        </is>
      </c>
      <c r="E41" s="316" t="inlineStr">
        <is>
          <t>BCA</t>
        </is>
      </c>
      <c r="F41" s="317" t="n">
        <v>29640916</v>
      </c>
      <c r="G41" s="318" t="inlineStr">
        <is>
          <t>IDR</t>
        </is>
      </c>
      <c r="H41" s="318" t="n">
        <v>1</v>
      </c>
      <c r="I41" s="319" t="n"/>
      <c r="J41" s="319" t="n"/>
      <c r="K41" s="320">
        <f>$F41*$H41</f>
        <v/>
      </c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45657</v>
      </c>
      <c r="C42" s="314" t="n">
        <v>1</v>
      </c>
      <c r="D42" s="316" t="inlineStr">
        <is>
          <t>Total Biaya Transaksi Bank selama 1 tahun</t>
        </is>
      </c>
      <c r="E42" s="316" t="inlineStr">
        <is>
          <t>-</t>
        </is>
      </c>
      <c r="F42" s="323" t="n">
        <v>1998587</v>
      </c>
      <c r="G42" s="318" t="inlineStr">
        <is>
          <t>IDR</t>
        </is>
      </c>
      <c r="H42" s="324" t="n">
        <v>1</v>
      </c>
      <c r="I42" s="325" t="n">
        <v>1998587</v>
      </c>
      <c r="J42" s="319" t="n"/>
      <c r="K42" s="320">
        <f>$F42*$H42</f>
        <v/>
      </c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>
        <v>45302</v>
      </c>
      <c r="C43" s="314" t="n">
        <v>3</v>
      </c>
      <c r="D43" s="315" t="inlineStr">
        <is>
          <t>Biaya Interpretasi Log Data</t>
        </is>
      </c>
      <c r="E43" s="316" t="inlineStr">
        <is>
          <t>BCA</t>
        </is>
      </c>
      <c r="F43" s="317" t="n">
        <v>29640916</v>
      </c>
      <c r="G43" s="318" t="inlineStr">
        <is>
          <t>IDR</t>
        </is>
      </c>
      <c r="H43" s="318" t="n">
        <v>1</v>
      </c>
      <c r="I43" s="319" t="n"/>
      <c r="J43" s="319" t="n"/>
      <c r="K43" s="320">
        <f>$F43*$H43</f>
        <v/>
      </c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45413</v>
      </c>
      <c r="C44" s="314" t="n">
        <v>2</v>
      </c>
      <c r="D44" s="326" t="inlineStr">
        <is>
          <t>Data proccesing MTD 4 well, project Tomori-Alan</t>
        </is>
      </c>
      <c r="E44" s="326" t="inlineStr">
        <is>
          <t>BCA</t>
        </is>
      </c>
      <c r="F44" s="323" t="n">
        <v>122625000</v>
      </c>
      <c r="G44" s="327" t="inlineStr">
        <is>
          <t>IDR</t>
        </is>
      </c>
      <c r="H44" s="324" t="n">
        <v>1</v>
      </c>
      <c r="I44" s="320">
        <f>$F44*$H44</f>
        <v/>
      </c>
      <c r="J44" s="321" t="n"/>
      <c r="K44" s="328" t="n"/>
      <c r="L44" s="329" t="n">
        <v>122625000</v>
      </c>
      <c r="M44" s="321" t="n"/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>
        <v>45525</v>
      </c>
      <c r="C45" s="314" t="n">
        <v>3</v>
      </c>
      <c r="D45" s="326" t="inlineStr">
        <is>
          <t>Data proccesing TGB-33 DAN TIS (RBG-3b)-Alan</t>
        </is>
      </c>
      <c r="E45" s="326" t="inlineStr">
        <is>
          <t>BCA</t>
        </is>
      </c>
      <c r="F45" s="323" t="n">
        <v>101120000</v>
      </c>
      <c r="G45" s="318" t="inlineStr">
        <is>
          <t>IDR</t>
        </is>
      </c>
      <c r="H45" s="324" t="n">
        <v>1</v>
      </c>
      <c r="I45" s="319">
        <f>F45</f>
        <v/>
      </c>
      <c r="J45" s="319" t="n"/>
      <c r="K45" s="321" t="n"/>
      <c r="L45" s="329" t="n">
        <v>101120000</v>
      </c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45589</v>
      </c>
      <c r="C46" s="314" t="n">
        <v>4</v>
      </c>
      <c r="D46" s="326" t="inlineStr">
        <is>
          <t>Data Processing 8 Well Alan Project SIJAK</t>
        </is>
      </c>
      <c r="E46" s="326" t="inlineStr">
        <is>
          <t>BRI</t>
        </is>
      </c>
      <c r="F46" s="323" t="n">
        <v>144000000</v>
      </c>
      <c r="G46" s="318" t="inlineStr">
        <is>
          <t>IDR</t>
        </is>
      </c>
      <c r="H46" s="324" t="n">
        <v>1</v>
      </c>
      <c r="I46" s="319" t="n">
        <v>3500000</v>
      </c>
      <c r="J46" s="319" t="n"/>
      <c r="K46" s="321" t="n"/>
      <c r="L46" s="329" t="n">
        <v>144000000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45364</v>
      </c>
      <c r="C47" s="314" t="n">
        <v>7</v>
      </c>
      <c r="D47" s="330" t="inlineStr">
        <is>
          <t>Biaya Operasi</t>
        </is>
      </c>
      <c r="E47" s="326" t="inlineStr">
        <is>
          <t>BCA</t>
        </is>
      </c>
      <c r="F47" s="331" t="n">
        <v>100000000</v>
      </c>
      <c r="G47" s="318" t="inlineStr">
        <is>
          <t>IDR</t>
        </is>
      </c>
      <c r="H47" s="318" t="n">
        <v>1</v>
      </c>
      <c r="I47" s="319" t="n"/>
      <c r="J47" s="320">
        <f>$F47*$H47</f>
        <v/>
      </c>
      <c r="K47" s="321" t="n"/>
      <c r="L47" s="321" t="n"/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>
        <v>45304</v>
      </c>
      <c r="C48" s="314" t="n">
        <v>5</v>
      </c>
      <c r="D48" s="326" t="inlineStr">
        <is>
          <t>Sales cost 4 Well Integrity Pertamina Z.4</t>
        </is>
      </c>
      <c r="E48" s="326" t="inlineStr">
        <is>
          <t>BRI</t>
        </is>
      </c>
      <c r="F48" s="332" t="n">
        <v>77672400</v>
      </c>
      <c r="G48" s="318" t="inlineStr">
        <is>
          <t>IDR</t>
        </is>
      </c>
      <c r="H48" s="324" t="n">
        <v>1</v>
      </c>
      <c r="I48" s="319" t="n">
        <v>3000000</v>
      </c>
      <c r="J48" s="325" t="n">
        <v>77672400</v>
      </c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45323</v>
      </c>
      <c r="C49" s="314" t="n">
        <v>6</v>
      </c>
      <c r="D49" s="326" t="inlineStr">
        <is>
          <t>Gaji Januari 2024 _Yufitri</t>
        </is>
      </c>
      <c r="E49" s="326" t="inlineStr">
        <is>
          <t>BCA</t>
        </is>
      </c>
      <c r="F49" s="332" t="n">
        <v>2500000</v>
      </c>
      <c r="G49" s="318" t="inlineStr">
        <is>
          <t>IDR</t>
        </is>
      </c>
      <c r="H49" s="324" t="n">
        <v>1</v>
      </c>
      <c r="I49" s="319" t="n">
        <v>3000000</v>
      </c>
      <c r="J49" s="325" t="n">
        <v>2500000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45356</v>
      </c>
      <c r="C50" s="314" t="n">
        <v>7</v>
      </c>
      <c r="D50" s="326" t="inlineStr">
        <is>
          <t>Gaji Februari 2024 + raple gaji Januari 2024_Yufitri</t>
        </is>
      </c>
      <c r="E50" s="326" t="inlineStr">
        <is>
          <t>BCA</t>
        </is>
      </c>
      <c r="F50" s="323" t="n">
        <v>3500000</v>
      </c>
      <c r="G50" s="318" t="inlineStr">
        <is>
          <t>IDR</t>
        </is>
      </c>
      <c r="H50" s="324" t="n">
        <v>1</v>
      </c>
      <c r="I50" s="319" t="n"/>
      <c r="J50" s="325" t="n">
        <v>3500000</v>
      </c>
      <c r="K50" s="321" t="n"/>
      <c r="L50" s="334" t="n">
        <v>122625000</v>
      </c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45379</v>
      </c>
      <c r="C51" s="314" t="n">
        <v>8</v>
      </c>
      <c r="D51" s="326" t="inlineStr">
        <is>
          <t>Gaji Maret 2024_Yufitri</t>
        </is>
      </c>
      <c r="E51" s="326" t="inlineStr">
        <is>
          <t>BCA</t>
        </is>
      </c>
      <c r="F51" s="323" t="n">
        <v>3000000</v>
      </c>
      <c r="G51" s="318" t="inlineStr">
        <is>
          <t>IDR</t>
        </is>
      </c>
      <c r="H51" s="324" t="n">
        <v>1</v>
      </c>
      <c r="I51" s="319" t="n">
        <v>3000000</v>
      </c>
      <c r="J51" s="325" t="n">
        <v>3000000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>
        <v>45388</v>
      </c>
      <c r="C52" s="314" t="n">
        <v>9</v>
      </c>
      <c r="D52" s="326" t="inlineStr">
        <is>
          <t>THR 2024_Yufitri</t>
        </is>
      </c>
      <c r="E52" s="326" t="inlineStr">
        <is>
          <t>BCA</t>
        </is>
      </c>
      <c r="F52" s="323" t="n">
        <v>3000000</v>
      </c>
      <c r="G52" s="318" t="inlineStr">
        <is>
          <t>IDR</t>
        </is>
      </c>
      <c r="H52" s="324" t="n">
        <v>1</v>
      </c>
      <c r="I52" s="319" t="n"/>
      <c r="J52" s="329" t="n">
        <v>3000000</v>
      </c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45416</v>
      </c>
      <c r="C53" s="314" t="n">
        <v>10</v>
      </c>
      <c r="D53" s="326" t="inlineStr">
        <is>
          <t>Gaji April_Yufitri</t>
        </is>
      </c>
      <c r="E53" s="326" t="inlineStr">
        <is>
          <t>BCA</t>
        </is>
      </c>
      <c r="F53" s="323" t="n">
        <v>3000000</v>
      </c>
      <c r="G53" s="318" t="inlineStr">
        <is>
          <t>IDR</t>
        </is>
      </c>
      <c r="H53" s="324" t="n">
        <v>1</v>
      </c>
      <c r="I53" s="320">
        <f>$F53*$H53</f>
        <v/>
      </c>
      <c r="J53" s="325" t="n">
        <v>3000000</v>
      </c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45422</v>
      </c>
      <c r="C54" s="314" t="n">
        <v>11</v>
      </c>
      <c r="D54" s="316" t="inlineStr">
        <is>
          <t>Aro Energy | Moving slickline dari Duri (Toni Supriadi) ke Sungai lilin</t>
        </is>
      </c>
      <c r="E54" s="316" t="inlineStr">
        <is>
          <t>BCA</t>
        </is>
      </c>
      <c r="F54" s="323" t="n">
        <v>18000000</v>
      </c>
      <c r="G54" s="318" t="inlineStr">
        <is>
          <t>IDR</t>
        </is>
      </c>
      <c r="H54" s="324" t="n">
        <v>1</v>
      </c>
      <c r="I54" s="319" t="n"/>
      <c r="J54" s="325" t="n">
        <v>18000000</v>
      </c>
      <c r="K54" s="320">
        <f>$F54*$H54</f>
        <v/>
      </c>
      <c r="L54" s="334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45446</v>
      </c>
      <c r="C55" s="314" t="n">
        <v>12</v>
      </c>
      <c r="D55" s="326" t="inlineStr">
        <is>
          <t>PT Laka Indonesia |  Wastafel for WIKA Anantara Ubud Bali</t>
        </is>
      </c>
      <c r="E55" s="326" t="inlineStr">
        <is>
          <t>BCA</t>
        </is>
      </c>
      <c r="F55" s="323" t="n">
        <v>300000000</v>
      </c>
      <c r="G55" s="318" t="inlineStr">
        <is>
          <t>IDR</t>
        </is>
      </c>
      <c r="H55" s="324" t="n">
        <v>1</v>
      </c>
      <c r="I55" s="320">
        <f>$F55*$H55</f>
        <v/>
      </c>
      <c r="J55" s="325" t="n">
        <v>300000000</v>
      </c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45446</v>
      </c>
      <c r="C56" s="314" t="n">
        <v>13</v>
      </c>
      <c r="D56" s="326" t="inlineStr">
        <is>
          <t>Gaji Mei_Yufitri</t>
        </is>
      </c>
      <c r="E56" s="326" t="inlineStr">
        <is>
          <t>BCA</t>
        </is>
      </c>
      <c r="F56" s="323" t="n">
        <v>3000000</v>
      </c>
      <c r="G56" s="318" t="inlineStr">
        <is>
          <t>IDR</t>
        </is>
      </c>
      <c r="H56" s="324" t="n">
        <v>1</v>
      </c>
      <c r="I56" s="319" t="n">
        <v>3000000</v>
      </c>
      <c r="J56" s="325" t="n">
        <v>3000000</v>
      </c>
      <c r="K56" s="321" t="n"/>
      <c r="L56" s="321" t="n"/>
      <c r="M56" s="321" t="n"/>
      <c r="N56" s="321" t="n"/>
      <c r="O56" s="321" t="n"/>
      <c r="P56" s="321" t="n"/>
      <c r="Q56" s="334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45473</v>
      </c>
      <c r="C57" s="314" t="n">
        <v>14</v>
      </c>
      <c r="D57" s="316" t="inlineStr">
        <is>
          <t>Gaji Juni 2024_Yufitri</t>
        </is>
      </c>
      <c r="E57" s="316" t="inlineStr">
        <is>
          <t>BCA</t>
        </is>
      </c>
      <c r="F57" s="323" t="n">
        <v>3000000</v>
      </c>
      <c r="G57" s="318" t="inlineStr">
        <is>
          <t>IDR</t>
        </is>
      </c>
      <c r="H57" s="324" t="n">
        <v>1</v>
      </c>
      <c r="I57" s="319" t="n"/>
      <c r="J57" s="325" t="n">
        <v>3000000</v>
      </c>
      <c r="K57" s="320">
        <f>$F57*$H57</f>
        <v/>
      </c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>
        <v>45478</v>
      </c>
      <c r="C58" s="314" t="n">
        <v>15</v>
      </c>
      <c r="D58" s="326" t="inlineStr">
        <is>
          <t>Repair ESOR panel &amp; Fabricate dummy test load, Payment#2</t>
        </is>
      </c>
      <c r="E58" s="326" t="inlineStr">
        <is>
          <t>BRI</t>
        </is>
      </c>
      <c r="F58" s="323" t="n">
        <v>25000000</v>
      </c>
      <c r="G58" s="318" t="inlineStr">
        <is>
          <t>IDR</t>
        </is>
      </c>
      <c r="H58" s="324" t="n">
        <v>1</v>
      </c>
      <c r="I58" s="319" t="n">
        <v>3000000</v>
      </c>
      <c r="J58" s="325" t="n">
        <v>25000000</v>
      </c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45480</v>
      </c>
      <c r="C59" s="314" t="n">
        <v>16</v>
      </c>
      <c r="D59" s="326" t="inlineStr">
        <is>
          <t>PT Laka Indonesia |  Wastafel for WIKA Anantara Ubud Bali</t>
        </is>
      </c>
      <c r="E59" s="326" t="inlineStr">
        <is>
          <t>BCA</t>
        </is>
      </c>
      <c r="F59" s="323" t="n">
        <v>25000000</v>
      </c>
      <c r="G59" s="318" t="inlineStr">
        <is>
          <t>IDR</t>
        </is>
      </c>
      <c r="H59" s="324" t="n">
        <v>1</v>
      </c>
      <c r="I59" s="319" t="n"/>
      <c r="J59" s="325" t="n">
        <v>25000000</v>
      </c>
      <c r="K59" s="321" t="n"/>
      <c r="L59" s="321" t="n"/>
      <c r="M59" s="321" t="n"/>
      <c r="N59" s="334" t="n">
        <v>3980000</v>
      </c>
      <c r="O59" s="321" t="n"/>
      <c r="P59" s="321" t="n"/>
      <c r="Q59" s="321" t="n"/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45492</v>
      </c>
      <c r="C60" s="314" t="n">
        <v>17</v>
      </c>
      <c r="D60" s="326" t="inlineStr">
        <is>
          <t>PT Laka Indonesia |  Wastafel for WIKA Anantara Ubud Bali</t>
        </is>
      </c>
      <c r="E60" s="326" t="inlineStr">
        <is>
          <t>BCA</t>
        </is>
      </c>
      <c r="F60" s="323" t="n">
        <v>25000000</v>
      </c>
      <c r="G60" s="318" t="inlineStr">
        <is>
          <t>IDR</t>
        </is>
      </c>
      <c r="H60" s="324" t="n">
        <v>1</v>
      </c>
      <c r="I60" s="319" t="n"/>
      <c r="J60" s="325" t="n">
        <v>25000000</v>
      </c>
      <c r="K60" s="321" t="n"/>
      <c r="L60" s="321" t="n"/>
      <c r="M60" s="321" t="n"/>
      <c r="N60" s="334" t="n">
        <v>3582000</v>
      </c>
      <c r="O60" s="321" t="n"/>
      <c r="P60" s="321" t="n"/>
      <c r="Q60" s="321" t="n"/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45493</v>
      </c>
      <c r="C61" s="314" t="n">
        <v>18</v>
      </c>
      <c r="D61" s="335" t="inlineStr">
        <is>
          <t>Repair ESOR panel &amp; Fabricate dummy test load, Payment#1</t>
        </is>
      </c>
      <c r="E61" s="326" t="inlineStr">
        <is>
          <t>BCA</t>
        </is>
      </c>
      <c r="F61" s="323" t="n">
        <v>20000000</v>
      </c>
      <c r="G61" s="327" t="inlineStr">
        <is>
          <t>IDR</t>
        </is>
      </c>
      <c r="H61" s="324" t="n">
        <v>1</v>
      </c>
      <c r="I61" s="319">
        <f>$F61</f>
        <v/>
      </c>
      <c r="J61" s="329" t="n">
        <v>20000000</v>
      </c>
      <c r="K61" s="328" t="n"/>
      <c r="L61" s="321" t="n"/>
      <c r="M61" s="321" t="n"/>
      <c r="N61" s="321" t="n"/>
      <c r="O61" s="321" t="n"/>
      <c r="P61" s="321" t="n"/>
      <c r="Q61" s="321" t="n"/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>
        <v>45501</v>
      </c>
      <c r="C62" s="314" t="n">
        <v>19</v>
      </c>
      <c r="D62" s="326" t="inlineStr">
        <is>
          <t>Gaji Juli 2024_Yufitri</t>
        </is>
      </c>
      <c r="E62" s="326" t="inlineStr">
        <is>
          <t>BCA</t>
        </is>
      </c>
      <c r="F62" s="323" t="n">
        <v>3000000</v>
      </c>
      <c r="G62" s="318" t="inlineStr">
        <is>
          <t>IDR</t>
        </is>
      </c>
      <c r="H62" s="324" t="n">
        <v>1</v>
      </c>
      <c r="I62" s="320">
        <f>$F62*$H62</f>
        <v/>
      </c>
      <c r="J62" s="325" t="n">
        <v>3000000</v>
      </c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45535</v>
      </c>
      <c r="C63" s="314" t="n">
        <v>20</v>
      </c>
      <c r="D63" s="326" t="inlineStr">
        <is>
          <t>Gaji Agustus 2024_Yufitri</t>
        </is>
      </c>
      <c r="E63" s="326" t="inlineStr">
        <is>
          <t>BCA</t>
        </is>
      </c>
      <c r="F63" s="323" t="n">
        <v>3000000</v>
      </c>
      <c r="G63" s="318" t="inlineStr">
        <is>
          <t>IDR</t>
        </is>
      </c>
      <c r="H63" s="324" t="n">
        <v>1</v>
      </c>
      <c r="I63" s="319" t="n"/>
      <c r="J63" s="325" t="n">
        <v>3000000</v>
      </c>
      <c r="K63" s="321" t="n"/>
      <c r="L63" s="321" t="n"/>
      <c r="M63" s="321" t="n"/>
      <c r="N63" s="321" t="n"/>
      <c r="O63" s="321" t="n"/>
      <c r="P63" s="321" t="n"/>
      <c r="Q63" s="320">
        <f>$F63*$H63</f>
        <v/>
      </c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>
        <v>45568</v>
      </c>
      <c r="C64" s="314" t="n">
        <v>21</v>
      </c>
      <c r="D64" s="326" t="inlineStr">
        <is>
          <t>Gaji fitri bulan september 2024</t>
        </is>
      </c>
      <c r="E64" s="326" t="inlineStr">
        <is>
          <t>BRI</t>
        </is>
      </c>
      <c r="F64" s="323" t="n">
        <v>3000000</v>
      </c>
      <c r="G64" s="318" t="inlineStr">
        <is>
          <t>IDR</t>
        </is>
      </c>
      <c r="H64" s="324" t="n">
        <v>1</v>
      </c>
      <c r="I64" s="320">
        <f>$F64*$H64</f>
        <v/>
      </c>
      <c r="J64" s="325" t="n">
        <v>3000000</v>
      </c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45568</v>
      </c>
      <c r="C65" s="314" t="n">
        <v>22</v>
      </c>
      <c r="D65" s="335" t="inlineStr">
        <is>
          <t>Gaji fitri bulan October 2024</t>
        </is>
      </c>
      <c r="E65" s="326" t="inlineStr">
        <is>
          <t>BRI</t>
        </is>
      </c>
      <c r="F65" s="323" t="n">
        <v>3000000</v>
      </c>
      <c r="G65" s="318" t="inlineStr">
        <is>
          <t>IDR</t>
        </is>
      </c>
      <c r="H65" s="324" t="n">
        <v>1</v>
      </c>
      <c r="I65" s="319">
        <f>$F65</f>
        <v/>
      </c>
      <c r="J65" s="325" t="n">
        <v>3000000</v>
      </c>
      <c r="K65" s="321" t="n"/>
      <c r="L65" s="321" t="n"/>
      <c r="M65" s="321" t="n"/>
      <c r="N65" s="321" t="n"/>
      <c r="O65" s="321" t="n"/>
      <c r="P65" s="321" t="n"/>
      <c r="Q65" s="334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45581</v>
      </c>
      <c r="C66" s="314" t="n">
        <v>23</v>
      </c>
      <c r="D66" s="326" t="inlineStr">
        <is>
          <t>PT Laka Indonesia | Project Lampu Taman Istana Negara Jakarta</t>
        </is>
      </c>
      <c r="E66" s="326" t="inlineStr">
        <is>
          <t>BRI</t>
        </is>
      </c>
      <c r="F66" s="323" t="n">
        <v>100000000</v>
      </c>
      <c r="G66" s="318" t="inlineStr">
        <is>
          <t>IDR</t>
        </is>
      </c>
      <c r="H66" s="324" t="n">
        <v>1</v>
      </c>
      <c r="I66" s="319" t="n">
        <v>3000000</v>
      </c>
      <c r="J66" s="325" t="n">
        <v>100000000</v>
      </c>
      <c r="K66" s="321" t="n"/>
      <c r="L66" s="321" t="n"/>
      <c r="M66" s="321" t="n"/>
      <c r="N66" s="334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45601</v>
      </c>
      <c r="C67" s="314" t="n">
        <v>24</v>
      </c>
      <c r="D67" s="326" t="inlineStr">
        <is>
          <t>Sales fee 2 Well Integrity Pertamina Z.4</t>
        </is>
      </c>
      <c r="E67" s="326" t="inlineStr">
        <is>
          <t>BRI</t>
        </is>
      </c>
      <c r="F67" s="323" t="n">
        <v>38838700</v>
      </c>
      <c r="G67" s="318" t="inlineStr">
        <is>
          <t>IDR</t>
        </is>
      </c>
      <c r="H67" s="324" t="n">
        <v>1</v>
      </c>
      <c r="I67" s="319" t="n"/>
      <c r="J67" s="325" t="n">
        <v>38838700</v>
      </c>
      <c r="K67" s="321" t="n"/>
      <c r="L67" s="321" t="n"/>
      <c r="M67" s="321" t="n"/>
      <c r="N67" s="334" t="n">
        <v>2600000</v>
      </c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45625</v>
      </c>
      <c r="C68" s="314" t="n">
        <v>25</v>
      </c>
      <c r="D68" s="326" t="inlineStr">
        <is>
          <t>Gaji fitri bulan November 2024</t>
        </is>
      </c>
      <c r="E68" s="326" t="inlineStr">
        <is>
          <t>BRI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45644</v>
      </c>
      <c r="C69" s="314" t="n">
        <v>26</v>
      </c>
      <c r="D69" s="326" t="inlineStr">
        <is>
          <t>Team building EWI dengan team Well Intervention PEP Reg. 2</t>
        </is>
      </c>
      <c r="E69" s="326" t="inlineStr">
        <is>
          <t>BCA</t>
        </is>
      </c>
      <c r="F69" s="323" t="n">
        <v>39201350</v>
      </c>
      <c r="G69" s="318" t="inlineStr">
        <is>
          <t>IDR</t>
        </is>
      </c>
      <c r="H69" s="324" t="n">
        <v>1</v>
      </c>
      <c r="I69" s="319" t="n"/>
      <c r="J69" s="325" t="n">
        <v>39201350</v>
      </c>
      <c r="K69" s="321" t="n"/>
      <c r="L69" s="321" t="n"/>
      <c r="M69" s="321" t="n"/>
      <c r="N69" s="321" t="n"/>
      <c r="O69" s="320" t="n"/>
      <c r="P69" s="321" t="n"/>
      <c r="Q69" s="320">
        <f>$F69*$H69</f>
        <v/>
      </c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45651</v>
      </c>
      <c r="C70" s="314" t="n">
        <v>27</v>
      </c>
      <c r="D70" s="326" t="inlineStr">
        <is>
          <t>Gaji Desember 2024 + Bomnus akhir tahun - 4 bulan_Yufitri</t>
        </is>
      </c>
      <c r="E70" s="326" t="inlineStr">
        <is>
          <t>BCA</t>
        </is>
      </c>
      <c r="F70" s="323" t="n">
        <v>15000000</v>
      </c>
      <c r="G70" s="318" t="inlineStr">
        <is>
          <t>IDR</t>
        </is>
      </c>
      <c r="H70" s="324" t="n">
        <v>1</v>
      </c>
      <c r="I70" s="319" t="n"/>
      <c r="J70" s="325" t="n">
        <v>15000000</v>
      </c>
      <c r="K70" s="321" t="n"/>
      <c r="L70" s="321" t="n"/>
      <c r="M70" s="321" t="n"/>
      <c r="N70" s="336">
        <f>F70</f>
        <v/>
      </c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45525</v>
      </c>
      <c r="C71" s="314" t="n">
        <v>31</v>
      </c>
      <c r="D71" s="330" t="inlineStr">
        <is>
          <t>Biaya Research (R&amp;D)</t>
        </is>
      </c>
      <c r="E71" s="326" t="inlineStr">
        <is>
          <t>BCA</t>
        </is>
      </c>
      <c r="F71" s="331" t="n">
        <v>101120000</v>
      </c>
      <c r="G71" s="318" t="inlineStr">
        <is>
          <t>IDR</t>
        </is>
      </c>
      <c r="H71" s="318" t="n">
        <v>1</v>
      </c>
      <c r="I71" s="319" t="n"/>
      <c r="J71" s="319" t="n"/>
      <c r="K71" s="321" t="n"/>
      <c r="L71" s="336">
        <f>F71</f>
        <v/>
      </c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45364</v>
      </c>
      <c r="C72" s="314" t="n">
        <v>28</v>
      </c>
      <c r="D72" s="326" t="inlineStr">
        <is>
          <t>Ralika Jaya Utama | Permbuatan alat Downhole Wireless Telemetry</t>
        </is>
      </c>
      <c r="E72" s="326" t="inlineStr">
        <is>
          <t>BCA</t>
        </is>
      </c>
      <c r="F72" s="323" t="n">
        <v>100000000</v>
      </c>
      <c r="G72" s="318" t="inlineStr">
        <is>
          <t>IDR</t>
        </is>
      </c>
      <c r="H72" s="324" t="n">
        <v>1</v>
      </c>
      <c r="I72" s="325" t="n">
        <v>100000000</v>
      </c>
      <c r="J72" s="319" t="n"/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45418</v>
      </c>
      <c r="C73" s="314" t="n">
        <v>29</v>
      </c>
      <c r="D73" s="316" t="inlineStr">
        <is>
          <t>Ralika Jaya Utama | Permbuatan alat Downhole Wireless Telemetry</t>
        </is>
      </c>
      <c r="E73" s="316" t="inlineStr">
        <is>
          <t>BRI</t>
        </is>
      </c>
      <c r="F73" s="323" t="n">
        <v>100000000</v>
      </c>
      <c r="G73" s="318" t="inlineStr">
        <is>
          <t>IDR</t>
        </is>
      </c>
      <c r="H73" s="324" t="n">
        <v>1</v>
      </c>
      <c r="I73" s="325" t="n">
        <v>100000000</v>
      </c>
      <c r="J73" s="319" t="n"/>
      <c r="K73" s="320">
        <f>$F73*$H73</f>
        <v/>
      </c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45502</v>
      </c>
      <c r="C74" s="314" t="n">
        <v>30</v>
      </c>
      <c r="D74" s="326" t="inlineStr">
        <is>
          <t>Ralika Jaya Utama | Permbuatan alat injeksi listrik (EAS)</t>
        </is>
      </c>
      <c r="E74" s="326" t="inlineStr">
        <is>
          <t>BRI</t>
        </is>
      </c>
      <c r="F74" s="323" t="n">
        <v>100000000</v>
      </c>
      <c r="G74" s="318" t="inlineStr">
        <is>
          <t>IDR</t>
        </is>
      </c>
      <c r="H74" s="324" t="n">
        <v>1</v>
      </c>
      <c r="I74" s="325" t="n">
        <v>100000000</v>
      </c>
      <c r="J74" s="319" t="n"/>
      <c r="K74" s="321" t="n"/>
      <c r="L74" s="321" t="n"/>
      <c r="M74" s="321" t="n"/>
      <c r="N74" s="321" t="n"/>
      <c r="O74" s="321" t="n"/>
      <c r="P74" s="321" t="n"/>
      <c r="Q74" s="320">
        <f>$F74*$H74</f>
        <v/>
      </c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45548</v>
      </c>
      <c r="C75" s="314" t="n">
        <v>31</v>
      </c>
      <c r="D75" s="326" t="inlineStr">
        <is>
          <t>Ralika Jaya Utama | Permbuatan alat EMR</t>
        </is>
      </c>
      <c r="E75" s="326" t="inlineStr">
        <is>
          <t>BRI</t>
        </is>
      </c>
      <c r="F75" s="323" t="n">
        <v>150000000</v>
      </c>
      <c r="G75" s="318" t="inlineStr">
        <is>
          <t>IDR</t>
        </is>
      </c>
      <c r="H75" s="324" t="n">
        <v>1</v>
      </c>
      <c r="I75" s="325" t="n">
        <v>150000000</v>
      </c>
      <c r="J75" s="320">
        <f>$F75*$H75</f>
        <v/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45631</v>
      </c>
      <c r="C76" s="314" t="n">
        <v>32</v>
      </c>
      <c r="D76" s="326" t="inlineStr">
        <is>
          <t>Ralika Jaya Utama | Permbuatan alat injeksi listrik (EAS)</t>
        </is>
      </c>
      <c r="E76" s="326" t="inlineStr">
        <is>
          <t>BRI</t>
        </is>
      </c>
      <c r="F76" s="323" t="n">
        <v>400000000</v>
      </c>
      <c r="G76" s="318" t="inlineStr">
        <is>
          <t>IDR</t>
        </is>
      </c>
      <c r="H76" s="324" t="n">
        <v>1</v>
      </c>
      <c r="I76" s="325" t="n">
        <v>400000000</v>
      </c>
      <c r="J76" s="319" t="n"/>
      <c r="K76" s="321" t="n"/>
      <c r="L76" s="321" t="n"/>
      <c r="M76" s="321" t="n"/>
      <c r="N76" s="336">
        <f>F76</f>
        <v/>
      </c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>
        <v>45653</v>
      </c>
      <c r="C77" s="314" t="n">
        <v>33</v>
      </c>
      <c r="D77" s="326" t="inlineStr">
        <is>
          <t>KUPA | Pembelian Mesin Retort Horizontal 500 Lt Automatic Control</t>
        </is>
      </c>
      <c r="E77" s="326" t="inlineStr">
        <is>
          <t>BCA</t>
        </is>
      </c>
      <c r="F77" s="323" t="n">
        <v>141500000</v>
      </c>
      <c r="G77" s="327" t="inlineStr">
        <is>
          <t>IDR</t>
        </is>
      </c>
      <c r="H77" s="324" t="n">
        <v>1</v>
      </c>
      <c r="I77" s="325" t="n">
        <v>141500000</v>
      </c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45568</v>
      </c>
      <c r="C78" s="314" t="n">
        <v>38</v>
      </c>
      <c r="D78" s="330" t="inlineStr">
        <is>
          <t>Bisnis Dev</t>
        </is>
      </c>
      <c r="E78" s="326" t="inlineStr">
        <is>
          <t>BRI</t>
        </is>
      </c>
      <c r="F78" s="317" t="n">
        <v>3000000</v>
      </c>
      <c r="G78" s="327" t="inlineStr">
        <is>
          <t>IDR</t>
        </is>
      </c>
      <c r="H78" s="318" t="n">
        <v>1</v>
      </c>
      <c r="I78" s="319">
        <f>F78</f>
        <v/>
      </c>
      <c r="J78" s="321" t="n"/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45483</v>
      </c>
      <c r="C79" s="314" t="n">
        <v>34</v>
      </c>
      <c r="D79" s="316" t="inlineStr">
        <is>
          <t>Pembelian Lisence Sonoechometer to PT Weebz Mandiri</t>
        </is>
      </c>
      <c r="E79" s="316" t="inlineStr">
        <is>
          <t>BCA</t>
        </is>
      </c>
      <c r="F79" s="337" t="n">
        <v>16650000</v>
      </c>
      <c r="G79" s="318" t="inlineStr">
        <is>
          <t>IDR</t>
        </is>
      </c>
      <c r="H79" s="324" t="n">
        <v>1</v>
      </c>
      <c r="I79" s="319" t="n"/>
      <c r="J79" s="319" t="n"/>
      <c r="K79" s="320">
        <f>$F79*$H79</f>
        <v/>
      </c>
      <c r="L79" s="321" t="n"/>
      <c r="M79" s="321" t="n"/>
      <c r="N79" s="321" t="n"/>
      <c r="O79" s="321" t="n"/>
      <c r="P79" s="321" t="n"/>
      <c r="Q79" s="338" t="n">
        <v>16650000</v>
      </c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>
        <v>45519</v>
      </c>
      <c r="C80" s="314" t="n">
        <v>35</v>
      </c>
      <c r="D80" s="316" t="inlineStr">
        <is>
          <t>MUTRI | Sewa ruangan kantor BBC 2 bulan</t>
        </is>
      </c>
      <c r="E80" s="316" t="inlineStr">
        <is>
          <t>BCA</t>
        </is>
      </c>
      <c r="F80" s="323" t="n">
        <v>11270000</v>
      </c>
      <c r="G80" s="318" t="inlineStr">
        <is>
          <t>IDR</t>
        </is>
      </c>
      <c r="H80" s="324" t="n">
        <v>1</v>
      </c>
      <c r="I80" s="319" t="n"/>
      <c r="J80" s="319" t="n"/>
      <c r="K80" s="320">
        <f>$F80*$H80</f>
        <v/>
      </c>
      <c r="L80" s="321" t="n"/>
      <c r="M80" s="321" t="n"/>
      <c r="N80" s="321" t="n"/>
      <c r="O80" s="321" t="n"/>
      <c r="P80" s="321" t="n"/>
      <c r="Q80" s="329" t="n">
        <v>11270000</v>
      </c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45539</v>
      </c>
      <c r="C81" s="314" t="n">
        <v>36</v>
      </c>
      <c r="D81" s="316" t="inlineStr">
        <is>
          <t>MUTRI | Penambahan modal biaya kerja</t>
        </is>
      </c>
      <c r="E81" s="316" t="inlineStr">
        <is>
          <t>BRI</t>
        </is>
      </c>
      <c r="F81" s="323" t="n">
        <v>100000000</v>
      </c>
      <c r="G81" s="318" t="inlineStr">
        <is>
          <t>IDR</t>
        </is>
      </c>
      <c r="H81" s="324" t="n">
        <v>1</v>
      </c>
      <c r="I81" s="319" t="n"/>
      <c r="J81" s="319" t="n"/>
      <c r="K81" s="320">
        <f>$F81*$H81</f>
        <v/>
      </c>
      <c r="L81" s="321" t="n"/>
      <c r="M81" s="321" t="n"/>
      <c r="N81" s="321" t="n"/>
      <c r="O81" s="321" t="n"/>
      <c r="P81" s="321" t="n"/>
      <c r="Q81" s="338" t="n">
        <v>100000000</v>
      </c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>
        <v>45625</v>
      </c>
      <c r="C82" s="314" t="n">
        <v>37</v>
      </c>
      <c r="D82" s="316" t="inlineStr">
        <is>
          <t>MUTRI | Penambahan modal biaya kerja 3rd</t>
        </is>
      </c>
      <c r="E82" s="316" t="inlineStr">
        <is>
          <t>BRI</t>
        </is>
      </c>
      <c r="F82" s="323" t="n">
        <v>75000000</v>
      </c>
      <c r="G82" s="318" t="inlineStr">
        <is>
          <t>IDR</t>
        </is>
      </c>
      <c r="H82" s="324" t="n">
        <v>1</v>
      </c>
      <c r="I82" s="319" t="n"/>
      <c r="J82" s="319" t="n"/>
      <c r="K82" s="320">
        <f>$F82*$H82</f>
        <v/>
      </c>
      <c r="L82" s="334" t="n"/>
      <c r="M82" s="321" t="n"/>
      <c r="N82" s="321" t="n"/>
      <c r="O82" s="321" t="n"/>
      <c r="P82" s="321" t="n"/>
      <c r="Q82" s="329" t="n">
        <v>75000000</v>
      </c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45576</v>
      </c>
      <c r="C83" s="314" t="n">
        <v>43</v>
      </c>
      <c r="D83" s="315" t="inlineStr">
        <is>
          <t>Pembelian Barang</t>
        </is>
      </c>
      <c r="E83" s="316" t="inlineStr">
        <is>
          <t>BCA</t>
        </is>
      </c>
      <c r="F83" s="339" t="n">
        <v>74291457</v>
      </c>
      <c r="G83" s="318" t="inlineStr">
        <is>
          <t>IDR</t>
        </is>
      </c>
      <c r="H83" s="318" t="n">
        <v>1</v>
      </c>
      <c r="I83" s="319" t="n"/>
      <c r="J83" s="319" t="n"/>
      <c r="K83" s="320">
        <f>$F83*$H83</f>
        <v/>
      </c>
      <c r="L83" s="321" t="n"/>
      <c r="M83" s="321" t="n"/>
      <c r="N83" s="321" t="n"/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>
        <v>45473</v>
      </c>
      <c r="C84" s="314" t="n">
        <v>38</v>
      </c>
      <c r="D84" s="326" t="inlineStr">
        <is>
          <t>Downhole Sampling tool #1-1 GARINDO SARANA BARU</t>
        </is>
      </c>
      <c r="E84" s="326" t="inlineStr">
        <is>
          <t>BCA</t>
        </is>
      </c>
      <c r="F84" s="323" t="n">
        <v>39800000</v>
      </c>
      <c r="G84" s="318" t="inlineStr">
        <is>
          <t>IDR</t>
        </is>
      </c>
      <c r="H84" s="324" t="n">
        <v>1</v>
      </c>
      <c r="I84" s="320">
        <f>$F84*$H84</f>
        <v/>
      </c>
      <c r="J84" s="319" t="n"/>
      <c r="K84" s="321" t="n"/>
      <c r="L84" s="321" t="n"/>
      <c r="M84" s="321" t="n"/>
      <c r="N84" s="329" t="n">
        <v>39800000</v>
      </c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45476</v>
      </c>
      <c r="C85" s="314" t="n">
        <v>39</v>
      </c>
      <c r="D85" s="326" t="inlineStr">
        <is>
          <t>Kekurangan (PPN ) ke PT Garindo sarana Baru (Downhole Sampling)</t>
        </is>
      </c>
      <c r="E85" s="326" t="inlineStr">
        <is>
          <t>BCA</t>
        </is>
      </c>
      <c r="F85" s="323" t="n">
        <v>3582000</v>
      </c>
      <c r="G85" s="327" t="inlineStr">
        <is>
          <t>IDR</t>
        </is>
      </c>
      <c r="H85" s="324" t="n">
        <v>1</v>
      </c>
      <c r="I85" s="319" t="n"/>
      <c r="J85" s="321" t="n"/>
      <c r="K85" s="328" t="n"/>
      <c r="L85" s="320">
        <f>F85</f>
        <v/>
      </c>
      <c r="M85" s="321" t="n"/>
      <c r="N85" s="329" t="n">
        <v>3582000</v>
      </c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>
        <v>45501</v>
      </c>
      <c r="C86" s="314" t="n">
        <v>40</v>
      </c>
      <c r="D86" s="326" t="inlineStr">
        <is>
          <t>Handphone Operational untuk Secretary (Yufitri)</t>
        </is>
      </c>
      <c r="E86" s="326" t="inlineStr">
        <is>
          <t>BCA</t>
        </is>
      </c>
      <c r="F86" s="323" t="n">
        <v>2600000</v>
      </c>
      <c r="G86" s="327" t="inlineStr">
        <is>
          <t>IDR</t>
        </is>
      </c>
      <c r="H86" s="324" t="n">
        <v>1</v>
      </c>
      <c r="I86" s="320">
        <f>$F86*$H86</f>
        <v/>
      </c>
      <c r="J86" s="321" t="n"/>
      <c r="K86" s="328" t="n"/>
      <c r="L86" s="321" t="n"/>
      <c r="M86" s="321" t="n"/>
      <c r="N86" s="329" t="n">
        <v>2600000</v>
      </c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45519</v>
      </c>
      <c r="C87" s="314" t="n">
        <v>41</v>
      </c>
      <c r="D87" s="326" t="inlineStr">
        <is>
          <t>Downhole Sampling tool #1-2 GARINDO SARANA BARU</t>
        </is>
      </c>
      <c r="E87" s="326" t="inlineStr">
        <is>
          <t>BCA</t>
        </is>
      </c>
      <c r="F87" s="323" t="n">
        <v>53835000</v>
      </c>
      <c r="G87" s="318" t="inlineStr">
        <is>
          <t>IDR</t>
        </is>
      </c>
      <c r="H87" s="324" t="n">
        <v>1</v>
      </c>
      <c r="I87" s="319" t="n"/>
      <c r="J87" s="319" t="n"/>
      <c r="K87" s="321" t="n"/>
      <c r="L87" s="321" t="n"/>
      <c r="M87" s="321" t="n"/>
      <c r="N87" s="329" t="n">
        <v>53835000</v>
      </c>
      <c r="O87" s="321" t="n"/>
      <c r="P87" s="321" t="n"/>
      <c r="Q87" s="320">
        <f>$F87*$H87</f>
        <v/>
      </c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45556</v>
      </c>
      <c r="C88" s="314" t="n">
        <v>42</v>
      </c>
      <c r="D88" s="326" t="inlineStr">
        <is>
          <t>Downhole Sampling tool #2 GARINDO SARANA BARU</t>
        </is>
      </c>
      <c r="E88" s="326" t="inlineStr">
        <is>
          <t>BCA</t>
        </is>
      </c>
      <c r="F88" s="323" t="n">
        <v>34299000</v>
      </c>
      <c r="G88" s="318" t="inlineStr">
        <is>
          <t>IDR</t>
        </is>
      </c>
      <c r="H88" s="324" t="n">
        <v>1</v>
      </c>
      <c r="I88" s="319">
        <f>F88</f>
        <v/>
      </c>
      <c r="J88" s="321" t="n"/>
      <c r="K88" s="328" t="n"/>
      <c r="L88" s="321" t="n"/>
      <c r="M88" s="321" t="n"/>
      <c r="N88" s="329" t="n">
        <v>34299000</v>
      </c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>
        <v>45630</v>
      </c>
      <c r="C89" s="314" t="n">
        <v>43</v>
      </c>
      <c r="D89" s="326" t="inlineStr">
        <is>
          <t>Payment ke UPS Biaya Import pembelian sparepart dari Pei-Genesis</t>
        </is>
      </c>
      <c r="E89" s="326" t="inlineStr">
        <is>
          <t>BRI</t>
        </is>
      </c>
      <c r="F89" s="323" t="n">
        <v>777246</v>
      </c>
      <c r="G89" s="318" t="inlineStr">
        <is>
          <t>IDR</t>
        </is>
      </c>
      <c r="H89" s="324" t="n">
        <v>1</v>
      </c>
      <c r="I89" s="319" t="n"/>
      <c r="J89" s="321" t="n"/>
      <c r="K89" s="328" t="n"/>
      <c r="L89" s="321" t="n"/>
      <c r="M89" s="321" t="n"/>
      <c r="N89" s="329" t="n">
        <v>777246</v>
      </c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45631</v>
      </c>
      <c r="C90" s="314" t="n">
        <v>50</v>
      </c>
      <c r="D90" s="330" t="inlineStr">
        <is>
          <t>Rental Tool</t>
        </is>
      </c>
      <c r="E90" s="326" t="inlineStr">
        <is>
          <t>BRI</t>
        </is>
      </c>
      <c r="F90" s="317" t="n">
        <v>400000000</v>
      </c>
      <c r="G90" s="318" t="inlineStr">
        <is>
          <t>IDR</t>
        </is>
      </c>
      <c r="H90" s="318" t="n">
        <v>1</v>
      </c>
      <c r="I90" s="319" t="n"/>
      <c r="J90" s="320">
        <f>$F90*$H90</f>
        <v/>
      </c>
      <c r="K90" s="321" t="n"/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44</v>
      </c>
      <c r="D91" s="326" t="inlineStr">
        <is>
          <t>ALFA Service PDP-075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25" t="n">
        <v>29640916</v>
      </c>
      <c r="J91" s="319" t="n"/>
      <c r="K91" s="321" t="n"/>
      <c r="L91" s="321" t="n"/>
      <c r="M91" s="321" t="n"/>
      <c r="N91" s="321" t="n"/>
      <c r="O91" s="336">
        <f>F91</f>
        <v/>
      </c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45</v>
      </c>
      <c r="D92" s="326" t="inlineStr">
        <is>
          <t>ALFA Service PDS-01ST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9" t="n">
        <v>29640916</v>
      </c>
      <c r="J92" s="319" t="n"/>
      <c r="K92" s="321" t="n"/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45302</v>
      </c>
      <c r="C93" s="314" t="n">
        <v>46</v>
      </c>
      <c r="D93" s="326" t="inlineStr">
        <is>
          <t>ALFA Service JRK-254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25" t="n">
        <v>29640916</v>
      </c>
      <c r="J93" s="319" t="n"/>
      <c r="K93" s="321" t="n"/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45446</v>
      </c>
      <c r="C94" s="314" t="n">
        <v>47</v>
      </c>
      <c r="D94" s="326" t="inlineStr">
        <is>
          <t>ALFA Service TLJ-58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25" t="n">
        <v>29640916</v>
      </c>
      <c r="J94" s="320">
        <f>$F94*$H94</f>
        <v/>
      </c>
      <c r="K94" s="321" t="n"/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45447</v>
      </c>
      <c r="C95" s="314" t="n">
        <v>48</v>
      </c>
      <c r="D95" s="340" t="inlineStr">
        <is>
          <t>ALFA Service JRK-193 Pertamina Zona#4 - Rental Tool</t>
        </is>
      </c>
      <c r="E95" s="340" t="inlineStr">
        <is>
          <t>BCA</t>
        </is>
      </c>
      <c r="F95" s="332" t="n">
        <v>29640916</v>
      </c>
      <c r="G95" s="341" t="inlineStr">
        <is>
          <t>IDR</t>
        </is>
      </c>
      <c r="H95" s="342" t="n">
        <v>1</v>
      </c>
      <c r="I95" s="343" t="n">
        <v>29640916</v>
      </c>
      <c r="J95" s="344" t="n"/>
      <c r="K95" s="344" t="n"/>
      <c r="L95" s="344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45537</v>
      </c>
      <c r="C96" s="327" t="n">
        <v>49</v>
      </c>
      <c r="D96" s="326" t="inlineStr">
        <is>
          <t>ALFA Service JRK-163 Pertamina Zona#4 - Rental Tool</t>
        </is>
      </c>
      <c r="E96" s="326" t="inlineStr">
        <is>
          <t>BCA</t>
        </is>
      </c>
      <c r="F96" s="323" t="n">
        <v>29640916</v>
      </c>
      <c r="G96" s="318" t="inlineStr">
        <is>
          <t>IDR</t>
        </is>
      </c>
      <c r="H96" s="324" t="n">
        <v>1</v>
      </c>
      <c r="I96" s="325" t="n">
        <v>29640916</v>
      </c>
      <c r="J96" s="321" t="n"/>
      <c r="K96" s="319" t="n"/>
      <c r="L96" s="321" t="n"/>
      <c r="M96" s="320">
        <f>$F96*$H96</f>
        <v/>
      </c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5" t="n">
        <v>45569</v>
      </c>
      <c r="C97" s="321" t="n">
        <v>50</v>
      </c>
      <c r="D97" s="321" t="inlineStr">
        <is>
          <t>PLT Service TGB-033 Pertamina Cirebon - Rental Tool</t>
        </is>
      </c>
      <c r="E97" s="321" t="inlineStr">
        <is>
          <t>BCA</t>
        </is>
      </c>
      <c r="F97" s="337" t="n">
        <v>16165271</v>
      </c>
      <c r="G97" s="327" t="inlineStr">
        <is>
          <t>IDR</t>
        </is>
      </c>
      <c r="H97" s="346" t="n">
        <v>1</v>
      </c>
      <c r="I97" s="329" t="n">
        <v>16165271</v>
      </c>
      <c r="J97" s="320" t="n"/>
      <c r="K97" s="320" t="n"/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B98" s="347" t="n">
        <v>45569</v>
      </c>
      <c r="C98" s="348" t="n">
        <v>51</v>
      </c>
      <c r="D98" s="349" t="inlineStr">
        <is>
          <t>ALFA Service TGB-033 Pertamina Cirebon - Rental Tool</t>
        </is>
      </c>
      <c r="E98" s="349" t="inlineStr">
        <is>
          <t>BCA</t>
        </is>
      </c>
      <c r="F98" s="337" t="n">
        <v>25967616</v>
      </c>
      <c r="G98" s="327" t="inlineStr">
        <is>
          <t>IDR</t>
        </is>
      </c>
      <c r="H98" s="346" t="n">
        <v>1</v>
      </c>
      <c r="I98" s="329" t="n">
        <v>25967616</v>
      </c>
      <c r="J98" s="320" t="n"/>
      <c r="K98" s="320" t="n"/>
      <c r="L98" s="320" t="n"/>
      <c r="M98" s="320" t="n"/>
      <c r="N98" s="320" t="n"/>
      <c r="O98" s="320" t="n"/>
      <c r="P98" s="320" t="n"/>
      <c r="Q98" s="320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B99" s="313" t="n">
        <v>45569</v>
      </c>
      <c r="C99" s="314" t="n">
        <v>52</v>
      </c>
      <c r="D99" s="340" t="inlineStr">
        <is>
          <t>MFC Service TGB-033 Pertamina Cirebon - Rental Tool</t>
        </is>
      </c>
      <c r="E99" s="340" t="inlineStr">
        <is>
          <t>BCA</t>
        </is>
      </c>
      <c r="F99" s="332" t="n">
        <v>32101247</v>
      </c>
      <c r="G99" s="314" t="inlineStr">
        <is>
          <t>IDR</t>
        </is>
      </c>
      <c r="H99" s="346" t="n">
        <v>1</v>
      </c>
      <c r="I99" s="329" t="n">
        <v>32101247</v>
      </c>
      <c r="J99" s="320" t="n"/>
      <c r="K99" s="321" t="n"/>
      <c r="L99" s="321" t="n"/>
      <c r="M99" s="321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B100" s="313" t="n">
        <v>45572</v>
      </c>
      <c r="C100" s="314" t="n">
        <v>53</v>
      </c>
      <c r="D100" s="350" t="inlineStr">
        <is>
          <t>ALFA Service JRK-095 Pertamina Zona#4 - Rental Tool</t>
        </is>
      </c>
      <c r="E100" s="350" t="inlineStr">
        <is>
          <t>BCA</t>
        </is>
      </c>
      <c r="F100" s="332" t="n">
        <v>29640916</v>
      </c>
      <c r="G100" s="314" t="inlineStr">
        <is>
          <t>IDR</t>
        </is>
      </c>
      <c r="H100" s="346" t="n">
        <v>1</v>
      </c>
      <c r="I100" s="329" t="n">
        <v>29640916</v>
      </c>
      <c r="J100" s="320" t="n"/>
      <c r="K100" s="321" t="n"/>
      <c r="L100" s="321" t="n"/>
      <c r="M100" s="321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B101" s="333" t="n">
        <v>45576</v>
      </c>
      <c r="C101" s="314" t="n">
        <v>54</v>
      </c>
      <c r="D101" s="326" t="inlineStr">
        <is>
          <t>MPLT/GR-CCL/ALFA TIS - Rental Tool</t>
        </is>
      </c>
      <c r="E101" s="326" t="inlineStr">
        <is>
          <t>BCA</t>
        </is>
      </c>
      <c r="F101" s="332" t="n">
        <v>74291457</v>
      </c>
      <c r="G101" s="314" t="inlineStr">
        <is>
          <t>IDR</t>
        </is>
      </c>
      <c r="H101" s="346" t="n">
        <v>1</v>
      </c>
      <c r="I101" s="325" t="n">
        <v>74291457</v>
      </c>
      <c r="J101" s="320" t="n"/>
      <c r="K101" s="321" t="n"/>
      <c r="L101" s="321" t="n"/>
      <c r="M101" s="321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B102" s="333" t="n">
        <v>45355</v>
      </c>
      <c r="C102" s="314" t="n">
        <v>3</v>
      </c>
      <c r="D102" s="330" t="inlineStr">
        <is>
          <t>Sewa Kantor</t>
        </is>
      </c>
      <c r="E102" s="326" t="n"/>
      <c r="F102" s="351" t="n">
        <v>1119500</v>
      </c>
      <c r="G102" s="314" t="inlineStr">
        <is>
          <t>IDR</t>
        </is>
      </c>
      <c r="H102" s="314" t="n">
        <v>1</v>
      </c>
      <c r="I102" s="319">
        <f>$H102*$F102</f>
        <v/>
      </c>
      <c r="J102" s="320" t="n"/>
      <c r="K102" s="321" t="n"/>
      <c r="L102" s="321" t="n"/>
      <c r="M102" s="321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B103" s="333" t="n">
        <v>45632</v>
      </c>
      <c r="C103" s="314" t="n">
        <v>55</v>
      </c>
      <c r="D103" s="350" t="inlineStr">
        <is>
          <t>Sewa Virtual Office 1th, 1jan25 - 31des25_BBC_ Ganesha Dwipaya B</t>
        </is>
      </c>
      <c r="E103" s="350" t="inlineStr">
        <is>
          <t>BCA</t>
        </is>
      </c>
      <c r="F103" s="332" t="n">
        <v>4995000</v>
      </c>
      <c r="G103" s="314" t="inlineStr">
        <is>
          <t>IDR</t>
        </is>
      </c>
      <c r="H103" s="346" t="n">
        <v>1</v>
      </c>
      <c r="I103" s="321" t="n"/>
      <c r="J103" s="320" t="n"/>
      <c r="K103" s="321" t="n"/>
      <c r="L103" s="321" t="n"/>
      <c r="M103" s="321" t="n"/>
      <c r="N103" s="321" t="n"/>
      <c r="O103" s="329" t="n">
        <v>4995000</v>
      </c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B104" s="352" t="n"/>
      <c r="C104" s="353" t="n"/>
      <c r="D104" s="354" t="inlineStr">
        <is>
          <t>OPERATION COST AND OFFICE - Expenses Report</t>
        </is>
      </c>
      <c r="E104" s="355" t="n"/>
      <c r="F104" s="356" t="n"/>
      <c r="G104" s="353" t="n"/>
      <c r="H104" s="353" t="n"/>
      <c r="I104" s="357" t="n"/>
      <c r="J104" s="358" t="n"/>
      <c r="K104" s="359" t="n"/>
      <c r="L104" s="359" t="n"/>
      <c r="M104" s="359" t="n"/>
      <c r="N104" s="359" t="n"/>
      <c r="O104" s="359" t="n"/>
      <c r="P104" s="359" t="n"/>
      <c r="Q104" s="359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Expense#1</t>
        </is>
      </c>
      <c r="C105" s="362" t="inlineStr">
        <is>
          <t>:</t>
        </is>
      </c>
      <c r="D105" s="363" t="inlineStr">
        <is>
          <t>ALFA_ TLJ-58 (PEPZ4-Prabumulih field) SIJak- IC</t>
        </is>
      </c>
      <c r="E105" s="364" t="n"/>
      <c r="F105" s="365" t="n">
        <v>900000</v>
      </c>
      <c r="G105" s="362" t="inlineStr">
        <is>
          <t>IDR</t>
        </is>
      </c>
      <c r="H105" s="362" t="n">
        <v>1</v>
      </c>
      <c r="I105" s="366">
        <f>$H105*$F105</f>
        <v/>
      </c>
      <c r="J105" s="367" t="n"/>
      <c r="K105" s="368" t="n"/>
      <c r="L105" s="368" t="n"/>
      <c r="M105" s="368" t="n"/>
      <c r="N105" s="368" t="n"/>
      <c r="O105" s="368" t="n"/>
      <c r="P105" s="368" t="n"/>
      <c r="Q105" s="368" t="n"/>
      <c r="R105" s="369" t="n"/>
      <c r="S105" s="369" t="n"/>
      <c r="T105" s="369" t="n"/>
      <c r="U105" s="369" t="n"/>
      <c r="V105" s="369" t="n"/>
      <c r="W105" s="369" t="n"/>
      <c r="X105" s="369" t="n"/>
    </row>
    <row r="106" ht="15.5" customHeight="1" s="297">
      <c r="B106" s="333" t="n">
        <v>45330</v>
      </c>
      <c r="C106" s="314" t="n">
        <v>6</v>
      </c>
      <c r="D106" s="330" t="inlineStr">
        <is>
          <t>Biaya Operasi</t>
        </is>
      </c>
      <c r="E106" s="326" t="n"/>
      <c r="F106" s="351" t="n">
        <v>18000000</v>
      </c>
      <c r="G106" s="314" t="inlineStr">
        <is>
          <t>IDR</t>
        </is>
      </c>
      <c r="H106" s="314" t="n">
        <v>1</v>
      </c>
      <c r="I106" s="319">
        <f>$H106*$F106</f>
        <v/>
      </c>
      <c r="J106" s="320" t="n"/>
      <c r="K106" s="321" t="n"/>
      <c r="L106" s="321" t="n"/>
      <c r="M106" s="321" t="n"/>
      <c r="N106" s="321" t="n"/>
      <c r="O106" s="321" t="n"/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B107" s="333" t="n">
        <v>45329</v>
      </c>
      <c r="C107" s="314" t="n">
        <v>1</v>
      </c>
      <c r="D107" s="326" t="inlineStr">
        <is>
          <t>Airplane Ticket CGK-PLM</t>
        </is>
      </c>
      <c r="E107" s="326" t="inlineStr">
        <is>
          <t>-</t>
        </is>
      </c>
      <c r="F107" s="332" t="n">
        <v>1608000</v>
      </c>
      <c r="G107" s="314" t="inlineStr">
        <is>
          <t>IDR</t>
        </is>
      </c>
      <c r="H107" s="346" t="n">
        <v>1</v>
      </c>
      <c r="I107" s="319">
        <f>$H107*$F107</f>
        <v/>
      </c>
      <c r="J107" s="329" t="n">
        <v>1608000</v>
      </c>
      <c r="K107" s="321" t="n"/>
      <c r="L107" s="321" t="n"/>
      <c r="M107" s="321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B108" s="333" t="n">
        <v>45329</v>
      </c>
      <c r="C108" s="314" t="n">
        <v>2</v>
      </c>
      <c r="D108" s="326" t="inlineStr">
        <is>
          <t>Taxi Bintaro-CGK</t>
        </is>
      </c>
      <c r="E108" s="326" t="inlineStr">
        <is>
          <t>-</t>
        </is>
      </c>
      <c r="F108" s="332" t="n">
        <v>250000</v>
      </c>
      <c r="G108" s="314" t="inlineStr">
        <is>
          <t>IDR</t>
        </is>
      </c>
      <c r="H108" s="346" t="n">
        <v>1</v>
      </c>
      <c r="I108" s="319">
        <f>$H108*$F108</f>
        <v/>
      </c>
      <c r="J108" s="329" t="n">
        <v>250000</v>
      </c>
      <c r="K108" s="321" t="n"/>
      <c r="L108" s="321" t="n"/>
      <c r="M108" s="321" t="n"/>
      <c r="N108" s="321" t="n"/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B109" s="333" t="n">
        <v>45329</v>
      </c>
      <c r="C109" s="314" t="n">
        <v>3</v>
      </c>
      <c r="D109" s="326" t="inlineStr">
        <is>
          <t>Hotel 7 Feb-8 Feb 2024 (1 days)</t>
        </is>
      </c>
      <c r="E109" s="326" t="inlineStr">
        <is>
          <t>-</t>
        </is>
      </c>
      <c r="F109" s="332" t="n">
        <v>200000</v>
      </c>
      <c r="G109" s="314" t="inlineStr">
        <is>
          <t>IDR</t>
        </is>
      </c>
      <c r="H109" s="346" t="n">
        <v>1</v>
      </c>
      <c r="I109" s="319">
        <f>$H109*$F109</f>
        <v/>
      </c>
      <c r="J109" s="329" t="n">
        <v>200000</v>
      </c>
      <c r="K109" s="321" t="n"/>
      <c r="L109" s="321" t="n"/>
      <c r="M109" s="319" t="n"/>
      <c r="N109" s="321" t="n"/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B110" s="333" t="n">
        <v>45329</v>
      </c>
      <c r="C110" s="314" t="n">
        <v>4</v>
      </c>
      <c r="D110" s="370" t="inlineStr">
        <is>
          <t>Hotel Prabumulih 8 Feb- 7 Mar 2024 (1 Month)</t>
        </is>
      </c>
      <c r="E110" s="370" t="inlineStr">
        <is>
          <t>-</t>
        </is>
      </c>
      <c r="F110" s="332" t="n">
        <v>3300000</v>
      </c>
      <c r="G110" s="314" t="inlineStr">
        <is>
          <t>IDR</t>
        </is>
      </c>
      <c r="H110" s="346" t="n">
        <v>1</v>
      </c>
      <c r="I110" s="320" t="n"/>
      <c r="J110" s="329" t="n">
        <v>3300000</v>
      </c>
      <c r="K110" s="321" t="n"/>
      <c r="L110" s="321" t="n"/>
      <c r="M110" s="321" t="n"/>
      <c r="N110" s="321" t="n"/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B111" s="333" t="n">
        <v>45330</v>
      </c>
      <c r="C111" s="314" t="n">
        <v>5</v>
      </c>
      <c r="D111" s="326" t="inlineStr">
        <is>
          <t>Rental Mobil Pajero 1 Hari</t>
        </is>
      </c>
      <c r="E111" s="326" t="inlineStr">
        <is>
          <t>-</t>
        </is>
      </c>
      <c r="F111" s="332" t="n">
        <v>900000</v>
      </c>
      <c r="G111" s="314" t="inlineStr">
        <is>
          <t>IDR</t>
        </is>
      </c>
      <c r="H111" s="346" t="n">
        <v>1</v>
      </c>
      <c r="I111" s="319">
        <f>F111</f>
        <v/>
      </c>
      <c r="J111" s="329" t="n">
        <v>900000</v>
      </c>
      <c r="K111" s="321" t="n"/>
      <c r="L111" s="321" t="n"/>
      <c r="M111" s="321" t="n"/>
      <c r="N111" s="319" t="n"/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B112" s="333" t="n">
        <v>45330</v>
      </c>
      <c r="C112" s="314" t="n">
        <v>6</v>
      </c>
      <c r="D112" s="326" t="inlineStr">
        <is>
          <t>Rental Mobil Pajero Sebulan</t>
        </is>
      </c>
      <c r="E112" s="326" t="inlineStr">
        <is>
          <t>-</t>
        </is>
      </c>
      <c r="F112" s="332" t="n">
        <v>18000000</v>
      </c>
      <c r="G112" s="314" t="inlineStr">
        <is>
          <t>IDR</t>
        </is>
      </c>
      <c r="H112" s="346" t="n">
        <v>1</v>
      </c>
      <c r="I112" s="319">
        <f>F112</f>
        <v/>
      </c>
      <c r="J112" s="329" t="n">
        <v>18000000</v>
      </c>
      <c r="K112" s="321" t="n"/>
      <c r="L112" s="321" t="n"/>
      <c r="M112" s="321" t="n"/>
      <c r="N112" s="319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B113" s="333" t="n">
        <v>45355</v>
      </c>
      <c r="C113" s="314" t="n">
        <v>7</v>
      </c>
      <c r="D113" s="326" t="inlineStr">
        <is>
          <t>Airplane Ticket PLM-CGK</t>
        </is>
      </c>
      <c r="E113" s="326" t="inlineStr">
        <is>
          <t>-</t>
        </is>
      </c>
      <c r="F113" s="332" t="n">
        <v>1119500</v>
      </c>
      <c r="G113" s="314" t="inlineStr">
        <is>
          <t>IDR</t>
        </is>
      </c>
      <c r="H113" s="346" t="n">
        <v>1</v>
      </c>
      <c r="I113" s="319">
        <f>F113</f>
        <v/>
      </c>
      <c r="J113" s="329" t="n">
        <v>1119500</v>
      </c>
      <c r="K113" s="321" t="n"/>
      <c r="L113" s="321" t="n"/>
      <c r="M113" s="321" t="n"/>
      <c r="N113" s="319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B114" s="333" t="n">
        <v>45355</v>
      </c>
      <c r="C114" s="314" t="n">
        <v>8</v>
      </c>
      <c r="D114" s="370" t="inlineStr">
        <is>
          <t>Taxi CGK-Bintaro</t>
        </is>
      </c>
      <c r="E114" s="370" t="inlineStr">
        <is>
          <t>-</t>
        </is>
      </c>
      <c r="F114" s="332" t="n">
        <v>250000</v>
      </c>
      <c r="G114" s="314" t="inlineStr">
        <is>
          <t>IDR</t>
        </is>
      </c>
      <c r="H114" s="346" t="n">
        <v>1</v>
      </c>
      <c r="I114" s="319" t="n"/>
      <c r="J114" s="329" t="n">
        <v>250000</v>
      </c>
      <c r="K114" s="321" t="n"/>
      <c r="L114" s="321" t="n"/>
      <c r="M114" s="321" t="n"/>
      <c r="N114" s="319" t="n"/>
      <c r="O114" s="321" t="n"/>
      <c r="P114" s="321" t="n"/>
      <c r="Q114" s="321" t="n"/>
      <c r="R114" s="322" t="n"/>
      <c r="S114" s="322" t="n"/>
      <c r="T114" s="322" t="n"/>
      <c r="U114" s="322" t="n"/>
      <c r="V114" s="322" t="n"/>
      <c r="W114" s="322" t="n"/>
      <c r="X114" s="322" t="n"/>
    </row>
    <row r="115" ht="15.5" customHeight="1" s="297">
      <c r="B115" s="333" t="n">
        <v>45355</v>
      </c>
      <c r="C115" s="314" t="n">
        <v>9</v>
      </c>
      <c r="D115" s="316" t="inlineStr">
        <is>
          <t>Fuel</t>
        </is>
      </c>
      <c r="E115" s="316" t="inlineStr">
        <is>
          <t>-</t>
        </is>
      </c>
      <c r="F115" s="332" t="n">
        <v>1498484</v>
      </c>
      <c r="G115" s="314" t="inlineStr">
        <is>
          <t>IDR</t>
        </is>
      </c>
      <c r="H115" s="346" t="n">
        <v>1</v>
      </c>
      <c r="I115" s="319" t="n"/>
      <c r="J115" s="329" t="n">
        <v>1498484</v>
      </c>
      <c r="K115" s="321" t="n"/>
      <c r="L115" s="321" t="n"/>
      <c r="M115" s="321" t="n"/>
      <c r="N115" s="319">
        <f>F115</f>
        <v/>
      </c>
      <c r="O115" s="321" t="n"/>
      <c r="P115" s="321" t="n"/>
      <c r="Q115" s="321" t="n"/>
      <c r="R115" s="322" t="n"/>
      <c r="S115" s="322" t="n"/>
      <c r="T115" s="322" t="n"/>
      <c r="U115" s="322" t="n"/>
      <c r="V115" s="322" t="n"/>
      <c r="W115" s="322" t="n"/>
      <c r="X115" s="322" t="n"/>
    </row>
    <row r="116" ht="15.5" customHeight="1" s="297">
      <c r="B116" s="333" t="n">
        <v>45355</v>
      </c>
      <c r="C116" s="314" t="n">
        <v>10</v>
      </c>
      <c r="D116" s="316" t="inlineStr">
        <is>
          <t>Toll Fee</t>
        </is>
      </c>
      <c r="E116" s="316" t="inlineStr">
        <is>
          <t>-</t>
        </is>
      </c>
      <c r="F116" s="332" t="n">
        <v>378000</v>
      </c>
      <c r="G116" s="314" t="inlineStr">
        <is>
          <t>IDR</t>
        </is>
      </c>
      <c r="H116" s="346" t="n">
        <v>1</v>
      </c>
      <c r="I116" s="319" t="n"/>
      <c r="J116" s="329" t="n">
        <v>378000</v>
      </c>
      <c r="K116" s="321" t="n"/>
      <c r="L116" s="321" t="n"/>
      <c r="M116" s="321" t="n"/>
      <c r="N116" s="319">
        <f>F116</f>
        <v/>
      </c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33" t="n">
        <v>45355</v>
      </c>
      <c r="C117" s="314" t="n">
        <v>11</v>
      </c>
      <c r="D117" s="316" t="inlineStr">
        <is>
          <t>Laundry 27 days 1 Persons @ 50K IDR/day</t>
        </is>
      </c>
      <c r="E117" s="316" t="inlineStr">
        <is>
          <t>-</t>
        </is>
      </c>
      <c r="F117" s="332" t="n">
        <v>1350000</v>
      </c>
      <c r="G117" s="314" t="inlineStr">
        <is>
          <t>IDR</t>
        </is>
      </c>
      <c r="H117" s="346" t="n">
        <v>1</v>
      </c>
      <c r="I117" s="319" t="n"/>
      <c r="J117" s="329" t="n">
        <v>1350000</v>
      </c>
      <c r="K117" s="321" t="n"/>
      <c r="L117" s="321" t="n"/>
      <c r="M117" s="321" t="n"/>
      <c r="N117" s="319">
        <f>F117</f>
        <v/>
      </c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45355</v>
      </c>
      <c r="C118" s="314" t="n">
        <v>12</v>
      </c>
      <c r="D118" s="316" t="inlineStr">
        <is>
          <t>Meal Crew's Operational</t>
        </is>
      </c>
      <c r="E118" s="316" t="inlineStr">
        <is>
          <t>-</t>
        </is>
      </c>
      <c r="F118" s="332" t="n">
        <v>1966300</v>
      </c>
      <c r="G118" s="314" t="inlineStr">
        <is>
          <t>IDR</t>
        </is>
      </c>
      <c r="H118" s="346" t="n">
        <v>1</v>
      </c>
      <c r="I118" s="319" t="n"/>
      <c r="J118" s="329" t="n">
        <v>1966300</v>
      </c>
      <c r="K118" s="321" t="n"/>
      <c r="L118" s="321" t="n"/>
      <c r="M118" s="321" t="n"/>
      <c r="N118" s="319">
        <f>F118</f>
        <v/>
      </c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45355</v>
      </c>
      <c r="C119" s="314" t="n">
        <v>13</v>
      </c>
      <c r="D119" s="316" t="inlineStr">
        <is>
          <t>Meals 27 days 1 Persons @ 150K IDR/day</t>
        </is>
      </c>
      <c r="E119" s="316" t="inlineStr">
        <is>
          <t>-</t>
        </is>
      </c>
      <c r="F119" s="332" t="n">
        <v>4050000</v>
      </c>
      <c r="G119" s="314" t="inlineStr">
        <is>
          <t>IDR</t>
        </is>
      </c>
      <c r="H119" s="346" t="n">
        <v>1</v>
      </c>
      <c r="I119" s="320" t="n"/>
      <c r="J119" s="329" t="n">
        <v>4050000</v>
      </c>
      <c r="K119" s="321" t="n"/>
      <c r="L119" s="321" t="n"/>
      <c r="M119" s="321" t="n"/>
      <c r="N119" s="319">
        <f>F119</f>
        <v/>
      </c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>
        <v>45355</v>
      </c>
      <c r="C120" s="314" t="n">
        <v>14</v>
      </c>
      <c r="D120" s="316" t="inlineStr">
        <is>
          <t>Tunjangan Lapangan for 27 days</t>
        </is>
      </c>
      <c r="E120" s="316" t="inlineStr">
        <is>
          <t>-</t>
        </is>
      </c>
      <c r="F120" s="332" t="n">
        <v>42589800</v>
      </c>
      <c r="G120" s="314" t="inlineStr">
        <is>
          <t>USD</t>
        </is>
      </c>
      <c r="H120" s="346" t="n">
        <v>15774</v>
      </c>
      <c r="I120" s="321" t="n"/>
      <c r="J120" s="329" t="n">
        <v>42589800</v>
      </c>
      <c r="K120" s="321" t="n"/>
      <c r="L120" s="321" t="n"/>
      <c r="M120" s="319" t="n"/>
      <c r="N120" s="319">
        <f>F120</f>
        <v/>
      </c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/>
      <c r="C121" s="314" t="n"/>
      <c r="D121" s="330" t="inlineStr">
        <is>
          <t>Pembelian Barang</t>
        </is>
      </c>
      <c r="E121" s="370" t="n"/>
      <c r="F121" s="351" t="n"/>
      <c r="G121" s="314" t="n"/>
      <c r="H121" s="314" t="n"/>
      <c r="I121" s="320" t="n"/>
      <c r="J121" s="320" t="n"/>
      <c r="K121" s="320" t="n"/>
      <c r="L121" s="320" t="n"/>
      <c r="M121" s="320" t="n"/>
      <c r="N121" s="320" t="n"/>
      <c r="O121" s="320" t="n"/>
      <c r="P121" s="320" t="n"/>
      <c r="Q121" s="320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45329</v>
      </c>
      <c r="C122" s="314" t="n">
        <v>15</v>
      </c>
      <c r="D122" s="326" t="inlineStr">
        <is>
          <t>Gloves</t>
        </is>
      </c>
      <c r="E122" s="326" t="inlineStr">
        <is>
          <t>-</t>
        </is>
      </c>
      <c r="F122" s="337" t="n">
        <v>58500</v>
      </c>
      <c r="G122" s="314" t="inlineStr">
        <is>
          <t>IDR</t>
        </is>
      </c>
      <c r="H122" s="346" t="n">
        <v>1</v>
      </c>
      <c r="I122" s="320">
        <f>F122</f>
        <v/>
      </c>
      <c r="J122" s="320" t="n"/>
      <c r="K122" s="321" t="n"/>
      <c r="L122" s="321" t="n"/>
      <c r="M122" s="321" t="n"/>
      <c r="N122" s="329" t="n">
        <v>58500</v>
      </c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45341</v>
      </c>
      <c r="C123" s="314" t="n">
        <v>16</v>
      </c>
      <c r="D123" s="370" t="inlineStr">
        <is>
          <t>Battery A3</t>
        </is>
      </c>
      <c r="E123" s="370" t="inlineStr">
        <is>
          <t>-</t>
        </is>
      </c>
      <c r="F123" s="332" t="n">
        <v>82100</v>
      </c>
      <c r="G123" s="314" t="inlineStr">
        <is>
          <t>IDR</t>
        </is>
      </c>
      <c r="H123" s="346" t="n">
        <v>1</v>
      </c>
      <c r="I123" s="320" t="n"/>
      <c r="J123" s="320" t="n"/>
      <c r="K123" s="321" t="n"/>
      <c r="L123" s="321" t="n"/>
      <c r="M123" s="320" t="n"/>
      <c r="N123" s="329" t="n">
        <v>82100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17</v>
      </c>
      <c r="D124" s="326" t="inlineStr">
        <is>
          <t>Steker</t>
        </is>
      </c>
      <c r="E124" s="326" t="inlineStr">
        <is>
          <t>-</t>
        </is>
      </c>
      <c r="F124" s="332" t="n">
        <v>14000</v>
      </c>
      <c r="G124" s="314" t="inlineStr">
        <is>
          <t>IDR</t>
        </is>
      </c>
      <c r="H124" s="346" t="n">
        <v>1</v>
      </c>
      <c r="I124" s="319">
        <f>F124</f>
        <v/>
      </c>
      <c r="J124" s="320" t="n"/>
      <c r="K124" s="321" t="n"/>
      <c r="L124" s="321" t="n"/>
      <c r="M124" s="320" t="n"/>
      <c r="N124" s="329" t="n">
        <v>14000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45344</v>
      </c>
      <c r="C125" s="314" t="n">
        <v>18</v>
      </c>
      <c r="D125" s="370" t="inlineStr">
        <is>
          <t>Gloves</t>
        </is>
      </c>
      <c r="E125" s="370" t="inlineStr">
        <is>
          <t>-</t>
        </is>
      </c>
      <c r="F125" s="332" t="n">
        <v>65000</v>
      </c>
      <c r="G125" s="314" t="inlineStr">
        <is>
          <t>IDR</t>
        </is>
      </c>
      <c r="H125" s="346" t="n">
        <v>1</v>
      </c>
      <c r="I125" s="320" t="n"/>
      <c r="J125" s="320" t="n"/>
      <c r="K125" s="321" t="n"/>
      <c r="L125" s="321" t="n"/>
      <c r="M125" s="320" t="n"/>
      <c r="N125" s="329" t="n">
        <v>65000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45347</v>
      </c>
      <c r="C126" s="314" t="n">
        <v>19</v>
      </c>
      <c r="D126" s="326" t="inlineStr">
        <is>
          <t>White Marker</t>
        </is>
      </c>
      <c r="E126" s="326" t="inlineStr">
        <is>
          <t>-</t>
        </is>
      </c>
      <c r="F126" s="332" t="n">
        <v>19000</v>
      </c>
      <c r="G126" s="314" t="inlineStr">
        <is>
          <t>IDR</t>
        </is>
      </c>
      <c r="H126" s="346" t="n">
        <v>1</v>
      </c>
      <c r="I126" s="320">
        <f>H126*F126</f>
        <v/>
      </c>
      <c r="J126" s="320" t="n"/>
      <c r="K126" s="321" t="n"/>
      <c r="L126" s="321" t="n"/>
      <c r="M126" s="321" t="n"/>
      <c r="N126" s="329" t="n">
        <v>19000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47" t="n">
        <v>45350</v>
      </c>
      <c r="C127" s="348" t="n">
        <v>20</v>
      </c>
      <c r="D127" s="349" t="inlineStr">
        <is>
          <t>Internet Data</t>
        </is>
      </c>
      <c r="E127" s="349" t="inlineStr">
        <is>
          <t>-</t>
        </is>
      </c>
      <c r="F127" s="337" t="n">
        <v>87000</v>
      </c>
      <c r="G127" s="314" t="inlineStr">
        <is>
          <t>IDR</t>
        </is>
      </c>
      <c r="H127" s="346" t="n">
        <v>1</v>
      </c>
      <c r="I127" s="319" t="n"/>
      <c r="J127" s="320" t="n"/>
      <c r="K127" s="321" t="n"/>
      <c r="L127" s="321" t="n"/>
      <c r="M127" s="319" t="n"/>
      <c r="N127" s="329" t="n">
        <v>87000</v>
      </c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71" t="inlineStr">
        <is>
          <t>Expense#2</t>
        </is>
      </c>
      <c r="C128" s="362" t="inlineStr">
        <is>
          <t>:</t>
        </is>
      </c>
      <c r="D128" s="372" t="inlineStr">
        <is>
          <t>Training ALFA _TLJ-58 (PEPZ4-Prabumulih field_ Titis Maulana</t>
        </is>
      </c>
      <c r="E128" s="373" t="n"/>
      <c r="F128" s="365" t="n"/>
      <c r="G128" s="362" t="n"/>
      <c r="H128" s="362" t="n"/>
      <c r="I128" s="366" t="n"/>
      <c r="J128" s="367" t="n"/>
      <c r="K128" s="368" t="n"/>
      <c r="L128" s="368" t="n"/>
      <c r="M128" s="366" t="n"/>
      <c r="N128" s="368" t="n"/>
      <c r="O128" s="368" t="n"/>
      <c r="P128" s="368" t="n"/>
      <c r="Q128" s="368" t="n"/>
      <c r="R128" s="369" t="n"/>
      <c r="S128" s="369" t="n"/>
      <c r="T128" s="369" t="n"/>
      <c r="U128" s="369" t="n"/>
      <c r="V128" s="369" t="n"/>
      <c r="W128" s="369" t="n"/>
      <c r="X128" s="369" t="n"/>
    </row>
    <row r="129" ht="15.5" customHeight="1" s="297">
      <c r="B129" s="333" t="n">
        <v>45357</v>
      </c>
      <c r="C129" s="314" t="n">
        <v>1</v>
      </c>
      <c r="D129" s="330" t="inlineStr">
        <is>
          <t>Biaya Operasi</t>
        </is>
      </c>
      <c r="E129" s="326" t="n"/>
      <c r="F129" s="351" t="n">
        <v>1000106</v>
      </c>
      <c r="G129" s="314" t="inlineStr">
        <is>
          <t>IDR</t>
        </is>
      </c>
      <c r="H129" s="314" t="n">
        <v>1</v>
      </c>
      <c r="I129" s="319">
        <f>$H129*$F129</f>
        <v/>
      </c>
      <c r="J129" s="321" t="n"/>
      <c r="K129" s="321" t="n"/>
      <c r="L129" s="321" t="n"/>
      <c r="M129" s="321" t="n"/>
      <c r="N129" s="321" t="n"/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45329</v>
      </c>
      <c r="C130" s="314" t="n">
        <v>1</v>
      </c>
      <c r="D130" s="350" t="inlineStr">
        <is>
          <t>Taxi Pondok Cabe-CGK</t>
        </is>
      </c>
      <c r="E130" s="350" t="inlineStr">
        <is>
          <t>-</t>
        </is>
      </c>
      <c r="F130" s="332" t="n">
        <v>250000</v>
      </c>
      <c r="G130" s="314" t="inlineStr">
        <is>
          <t>IDR</t>
        </is>
      </c>
      <c r="H130" s="346" t="n">
        <v>1</v>
      </c>
      <c r="I130" s="319" t="n"/>
      <c r="J130" s="329" t="n">
        <v>250000</v>
      </c>
      <c r="K130" s="321" t="n"/>
      <c r="L130" s="321" t="n"/>
      <c r="M130" s="319" t="n"/>
      <c r="N130" s="321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>
        <v>45355</v>
      </c>
      <c r="C131" s="314" t="n">
        <v>2</v>
      </c>
      <c r="D131" s="326" t="inlineStr">
        <is>
          <t>Fuel</t>
        </is>
      </c>
      <c r="E131" s="326" t="inlineStr">
        <is>
          <t>-</t>
        </is>
      </c>
      <c r="F131" s="332" t="n">
        <v>200000</v>
      </c>
      <c r="G131" s="314" t="inlineStr">
        <is>
          <t>IDR</t>
        </is>
      </c>
      <c r="H131" s="346" t="n">
        <v>1</v>
      </c>
      <c r="I131" s="319">
        <f>$H131*$F131</f>
        <v/>
      </c>
      <c r="J131" s="329" t="n">
        <v>200000</v>
      </c>
      <c r="K131" s="321" t="n"/>
      <c r="L131" s="321" t="n"/>
      <c r="M131" s="321" t="n"/>
      <c r="N131" s="321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45357</v>
      </c>
      <c r="C132" s="314" t="n">
        <v>3</v>
      </c>
      <c r="D132" s="326" t="inlineStr">
        <is>
          <t>Airplane Ticket PLM-CGK</t>
        </is>
      </c>
      <c r="E132" s="326" t="inlineStr">
        <is>
          <t>-</t>
        </is>
      </c>
      <c r="F132" s="332" t="n">
        <v>1000106</v>
      </c>
      <c r="G132" s="314" t="inlineStr">
        <is>
          <t>IDR</t>
        </is>
      </c>
      <c r="H132" s="346" t="n">
        <v>1</v>
      </c>
      <c r="I132" s="319">
        <f>$H132*$F132</f>
        <v/>
      </c>
      <c r="J132" s="329" t="n">
        <v>1000106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45358</v>
      </c>
      <c r="C133" s="314" t="n">
        <v>4</v>
      </c>
      <c r="D133" s="326" t="inlineStr">
        <is>
          <t>Taxi CGK-Pondok Cabe</t>
        </is>
      </c>
      <c r="E133" s="326" t="inlineStr">
        <is>
          <t>-</t>
        </is>
      </c>
      <c r="F133" s="332" t="n">
        <v>250000</v>
      </c>
      <c r="G133" s="314" t="inlineStr">
        <is>
          <t>IDR</t>
        </is>
      </c>
      <c r="H133" s="346" t="n">
        <v>1</v>
      </c>
      <c r="I133" s="319">
        <f>$H133*$F133</f>
        <v/>
      </c>
      <c r="J133" s="329" t="n">
        <v>250000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45358</v>
      </c>
      <c r="C134" s="314" t="n">
        <v>5</v>
      </c>
      <c r="D134" s="326" t="inlineStr">
        <is>
          <t>Toll Fee</t>
        </is>
      </c>
      <c r="E134" s="326" t="inlineStr">
        <is>
          <t>-</t>
        </is>
      </c>
      <c r="F134" s="332" t="n">
        <v>105000</v>
      </c>
      <c r="G134" s="314" t="inlineStr">
        <is>
          <t>IDR</t>
        </is>
      </c>
      <c r="H134" s="346" t="n">
        <v>1</v>
      </c>
      <c r="I134" s="319">
        <f>$H134*$F134</f>
        <v/>
      </c>
      <c r="J134" s="329" t="n">
        <v>105000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45358</v>
      </c>
      <c r="C135" s="314" t="n">
        <v>6</v>
      </c>
      <c r="D135" s="370" t="inlineStr">
        <is>
          <t>Laundry 30 days 1 Persons @ 50K IDR/day</t>
        </is>
      </c>
      <c r="E135" s="370" t="inlineStr">
        <is>
          <t>-</t>
        </is>
      </c>
      <c r="F135" s="332" t="n">
        <v>1500000</v>
      </c>
      <c r="G135" s="314" t="inlineStr">
        <is>
          <t>IDR</t>
        </is>
      </c>
      <c r="H135" s="346" t="n">
        <v>1</v>
      </c>
      <c r="I135" s="319" t="n"/>
      <c r="J135" s="329" t="n">
        <v>1500000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45358</v>
      </c>
      <c r="C136" s="314" t="n">
        <v>7</v>
      </c>
      <c r="D136" s="326" t="inlineStr">
        <is>
          <t>Meals 30 days 1 Persons @ 150K IDR/day</t>
        </is>
      </c>
      <c r="E136" s="326" t="inlineStr">
        <is>
          <t>-</t>
        </is>
      </c>
      <c r="F136" s="332" t="n">
        <v>4500000</v>
      </c>
      <c r="G136" s="314" t="inlineStr">
        <is>
          <t>IDR</t>
        </is>
      </c>
      <c r="H136" s="346" t="n">
        <v>1</v>
      </c>
      <c r="I136" s="319">
        <f>F136</f>
        <v/>
      </c>
      <c r="J136" s="329" t="n">
        <v>4500000</v>
      </c>
      <c r="K136" s="321" t="n"/>
      <c r="L136" s="321" t="n"/>
      <c r="M136" s="321" t="n"/>
      <c r="N136" s="321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45358</v>
      </c>
      <c r="C137" s="314" t="n">
        <v>8</v>
      </c>
      <c r="D137" s="370" t="inlineStr">
        <is>
          <t>Tunjangan Lapangan (Training) untuk 27 days</t>
        </is>
      </c>
      <c r="E137" s="370" t="inlineStr">
        <is>
          <t>-</t>
        </is>
      </c>
      <c r="F137" s="332" t="n">
        <v>11705250</v>
      </c>
      <c r="G137" s="314" t="inlineStr">
        <is>
          <t>USD</t>
        </is>
      </c>
      <c r="H137" s="346" t="n">
        <v>15607</v>
      </c>
      <c r="I137" s="319" t="n"/>
      <c r="J137" s="329" t="n">
        <v>11705250</v>
      </c>
      <c r="K137" s="321" t="n"/>
      <c r="L137" s="321" t="n"/>
      <c r="M137" s="321" t="n"/>
      <c r="N137" s="321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t="15.5" customHeight="1" s="297">
      <c r="B138" s="333" t="n">
        <v>45324</v>
      </c>
      <c r="C138" s="314" t="n">
        <v>7</v>
      </c>
      <c r="D138" s="315" t="inlineStr">
        <is>
          <t>Pembelian Barang</t>
        </is>
      </c>
      <c r="E138" s="316" t="n"/>
      <c r="F138" s="351" t="n">
        <v>499940</v>
      </c>
      <c r="G138" s="314" t="inlineStr">
        <is>
          <t>IDR</t>
        </is>
      </c>
      <c r="H138" s="314" t="n">
        <v>1</v>
      </c>
      <c r="I138" s="319" t="n"/>
      <c r="J138" s="320" t="n"/>
      <c r="K138" s="321" t="n"/>
      <c r="L138" s="321" t="n"/>
      <c r="M138" s="321" t="n"/>
      <c r="N138" s="320">
        <f>F138</f>
        <v/>
      </c>
      <c r="O138" s="321" t="n"/>
      <c r="P138" s="321" t="n"/>
      <c r="Q138" s="321" t="n"/>
      <c r="R138" s="322" t="n"/>
      <c r="S138" s="322" t="n"/>
      <c r="T138" s="322" t="n"/>
      <c r="U138" s="322" t="n"/>
      <c r="V138" s="322" t="n"/>
      <c r="W138" s="322" t="n"/>
      <c r="X138" s="322" t="n"/>
    </row>
    <row r="139" ht="15.5" customHeight="1" s="297">
      <c r="B139" s="333" t="n">
        <v>45324</v>
      </c>
      <c r="C139" s="314" t="n">
        <v>9</v>
      </c>
      <c r="D139" s="316" t="inlineStr">
        <is>
          <t>Safety Shoes</t>
        </is>
      </c>
      <c r="E139" s="316" t="inlineStr">
        <is>
          <t>-</t>
        </is>
      </c>
      <c r="F139" s="332" t="n">
        <v>499940</v>
      </c>
      <c r="G139" s="314" t="inlineStr">
        <is>
          <t>IDR</t>
        </is>
      </c>
      <c r="H139" s="346" t="n">
        <v>1</v>
      </c>
      <c r="I139" s="321" t="n"/>
      <c r="J139" s="320" t="n"/>
      <c r="K139" s="321" t="n"/>
      <c r="L139" s="321" t="n"/>
      <c r="M139" s="319" t="n"/>
      <c r="N139" s="329" t="n">
        <v>499940</v>
      </c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t="15.5" customHeight="1" s="297">
      <c r="B140" s="333" t="n">
        <v>45354</v>
      </c>
      <c r="C140" s="314" t="n">
        <v>10</v>
      </c>
      <c r="D140" s="316" t="inlineStr">
        <is>
          <t>Internet Data</t>
        </is>
      </c>
      <c r="E140" s="316" t="inlineStr">
        <is>
          <t>-</t>
        </is>
      </c>
      <c r="F140" s="332" t="n">
        <v>70000</v>
      </c>
      <c r="G140" s="314" t="inlineStr">
        <is>
          <t>IDR</t>
        </is>
      </c>
      <c r="H140" s="346" t="n">
        <v>1</v>
      </c>
      <c r="I140" s="320" t="n"/>
      <c r="J140" s="320" t="n"/>
      <c r="K140" s="320" t="n"/>
      <c r="L140" s="320" t="n"/>
      <c r="M140" s="320" t="n"/>
      <c r="N140" s="329" t="n">
        <v>70000</v>
      </c>
      <c r="O140" s="320" t="n"/>
      <c r="P140" s="320" t="n"/>
      <c r="Q140" s="320" t="n"/>
      <c r="R140" s="322" t="n"/>
      <c r="S140" s="322" t="n"/>
      <c r="T140" s="322" t="n"/>
      <c r="U140" s="322" t="n"/>
      <c r="V140" s="322" t="n"/>
      <c r="W140" s="322" t="n"/>
      <c r="X140" s="322" t="n"/>
    </row>
    <row r="141" ht="15.5" customHeight="1" s="297">
      <c r="B141" s="333" t="n">
        <v>45358</v>
      </c>
      <c r="C141" s="314" t="n">
        <v>11</v>
      </c>
      <c r="D141" s="370" t="inlineStr">
        <is>
          <t>Extra Baggage</t>
        </is>
      </c>
      <c r="E141" s="370" t="inlineStr">
        <is>
          <t>-</t>
        </is>
      </c>
      <c r="F141" s="332" t="n">
        <v>540000</v>
      </c>
      <c r="G141" s="314" t="inlineStr">
        <is>
          <t>IDR</t>
        </is>
      </c>
      <c r="H141" s="346" t="n">
        <v>1</v>
      </c>
      <c r="I141" s="320" t="n"/>
      <c r="J141" s="320" t="n"/>
      <c r="K141" s="321" t="n"/>
      <c r="L141" s="321" t="n"/>
      <c r="M141" s="321" t="n"/>
      <c r="N141" s="329" t="n">
        <v>540000</v>
      </c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t="15.5" customHeight="1" s="297">
      <c r="B142" s="361" t="inlineStr">
        <is>
          <t>Expense#3</t>
        </is>
      </c>
      <c r="C142" s="362" t="inlineStr">
        <is>
          <t>:</t>
        </is>
      </c>
      <c r="D142" s="363" t="inlineStr">
        <is>
          <t>MPLT (SAKA-UjungPangkah field) GOWell - TGE _IC</t>
        </is>
      </c>
      <c r="E142" s="364" t="n"/>
      <c r="F142" s="365" t="n">
        <v>4500000</v>
      </c>
      <c r="G142" s="362" t="inlineStr">
        <is>
          <t>IDR</t>
        </is>
      </c>
      <c r="H142" s="362" t="n">
        <v>1</v>
      </c>
      <c r="I142" s="366">
        <f>F142</f>
        <v/>
      </c>
      <c r="J142" s="367" t="n"/>
      <c r="K142" s="368" t="n"/>
      <c r="L142" s="368" t="n"/>
      <c r="M142" s="368" t="n"/>
      <c r="N142" s="368" t="n"/>
      <c r="O142" s="368" t="n"/>
      <c r="P142" s="368" t="n"/>
      <c r="Q142" s="368" t="n"/>
      <c r="R142" s="369" t="n"/>
      <c r="S142" s="369" t="n"/>
      <c r="T142" s="369" t="n"/>
      <c r="U142" s="369" t="n"/>
      <c r="V142" s="369" t="n"/>
      <c r="W142" s="369" t="n"/>
      <c r="X142" s="369" t="n"/>
    </row>
    <row r="143" ht="15.5" customHeight="1" s="297">
      <c r="B143" s="333" t="n"/>
      <c r="C143" s="314" t="n"/>
      <c r="D143" s="330" t="inlineStr">
        <is>
          <t>Biaya Operasi</t>
        </is>
      </c>
      <c r="E143" s="370" t="n"/>
      <c r="F143" s="351" t="n"/>
      <c r="G143" s="314" t="n"/>
      <c r="H143" s="314" t="n"/>
      <c r="I143" s="320" t="n"/>
      <c r="J143" s="320" t="n"/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33" t="n">
        <v>45370</v>
      </c>
      <c r="C144" s="314" t="n">
        <v>1</v>
      </c>
      <c r="D144" s="326" t="inlineStr">
        <is>
          <t>Taxi Bintaro-CGK</t>
        </is>
      </c>
      <c r="E144" s="326" t="inlineStr">
        <is>
          <t>-</t>
        </is>
      </c>
      <c r="F144" s="332" t="n">
        <v>250000</v>
      </c>
      <c r="G144" s="314" t="inlineStr">
        <is>
          <t>IDR</t>
        </is>
      </c>
      <c r="H144" s="346" t="n">
        <v>1</v>
      </c>
      <c r="I144" s="320">
        <f>H144*F144</f>
        <v/>
      </c>
      <c r="J144" s="329" t="n">
        <v>250000</v>
      </c>
      <c r="K144" s="321" t="n"/>
      <c r="L144" s="321" t="n"/>
      <c r="M144" s="319" t="n"/>
      <c r="N144" s="321" t="n"/>
      <c r="O144" s="321" t="n"/>
      <c r="P144" s="321" t="n"/>
      <c r="Q144" s="321" t="n"/>
      <c r="R144" s="322" t="n"/>
      <c r="S144" s="322" t="n"/>
      <c r="T144" s="322" t="n"/>
      <c r="U144" s="322" t="n"/>
      <c r="V144" s="322" t="n"/>
      <c r="W144" s="322" t="n"/>
      <c r="X144" s="322" t="n"/>
    </row>
    <row r="145" ht="15.5" customHeight="1" s="297">
      <c r="B145" s="347" t="n">
        <v>45375</v>
      </c>
      <c r="C145" s="348" t="n">
        <v>2</v>
      </c>
      <c r="D145" s="349" t="inlineStr">
        <is>
          <t>Taxi CGK-Bintaro</t>
        </is>
      </c>
      <c r="E145" s="349" t="inlineStr">
        <is>
          <t>-</t>
        </is>
      </c>
      <c r="F145" s="337" t="n">
        <v>250000</v>
      </c>
      <c r="G145" s="314" t="inlineStr">
        <is>
          <t>IDR</t>
        </is>
      </c>
      <c r="H145" s="346" t="n">
        <v>1</v>
      </c>
      <c r="I145" s="320" t="n"/>
      <c r="J145" s="329" t="n">
        <v>250000</v>
      </c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45375</v>
      </c>
      <c r="C146" s="314" t="n">
        <v>3</v>
      </c>
      <c r="D146" s="350" t="inlineStr">
        <is>
          <t>Laundry 6 days 1 Persons @ 50K IDR/day</t>
        </is>
      </c>
      <c r="E146" s="350" t="inlineStr">
        <is>
          <t>-</t>
        </is>
      </c>
      <c r="F146" s="332" t="n">
        <v>300000</v>
      </c>
      <c r="G146" s="314" t="inlineStr">
        <is>
          <t>IDR</t>
        </is>
      </c>
      <c r="H146" s="346" t="n">
        <v>1</v>
      </c>
      <c r="I146" s="320" t="n"/>
      <c r="J146" s="329" t="n">
        <v>300000</v>
      </c>
      <c r="K146" s="321" t="n"/>
      <c r="L146" s="321" t="n"/>
      <c r="M146" s="319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>
        <v>45375</v>
      </c>
      <c r="C147" s="314" t="n">
        <v>4</v>
      </c>
      <c r="D147" s="326" t="inlineStr">
        <is>
          <t>Meals 6 days 1 Persons @ 150K IDR/day</t>
        </is>
      </c>
      <c r="E147" s="326" t="inlineStr">
        <is>
          <t>-</t>
        </is>
      </c>
      <c r="F147" s="332" t="n">
        <v>900000</v>
      </c>
      <c r="G147" s="314" t="inlineStr">
        <is>
          <t>IDR</t>
        </is>
      </c>
      <c r="H147" s="346" t="n">
        <v>1</v>
      </c>
      <c r="I147" s="319">
        <f>$H147*$F147</f>
        <v/>
      </c>
      <c r="J147" s="329" t="n">
        <v>900000</v>
      </c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45375</v>
      </c>
      <c r="C148" s="314" t="n">
        <v>5</v>
      </c>
      <c r="D148" s="326" t="inlineStr">
        <is>
          <t>Tunjangan Lapangan untuk 6 days</t>
        </is>
      </c>
      <c r="E148" s="326" t="inlineStr">
        <is>
          <t>-</t>
        </is>
      </c>
      <c r="F148" s="332" t="n">
        <v>9501000</v>
      </c>
      <c r="G148" s="314" t="inlineStr">
        <is>
          <t>USD</t>
        </is>
      </c>
      <c r="H148" s="346" t="n">
        <v>15835</v>
      </c>
      <c r="I148" s="319">
        <f>$H148*$F148</f>
        <v/>
      </c>
      <c r="J148" s="329" t="n">
        <v>9501000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61" t="inlineStr">
        <is>
          <t>Expense#4</t>
        </is>
      </c>
      <c r="C149" s="362" t="inlineStr">
        <is>
          <t>:</t>
        </is>
      </c>
      <c r="D149" s="363" t="inlineStr">
        <is>
          <t>Non project (3rd) _ Ivan Chairulsyah</t>
        </is>
      </c>
      <c r="E149" s="374" t="n"/>
      <c r="F149" s="365" t="n"/>
      <c r="G149" s="362" t="n"/>
      <c r="H149" s="362" t="n"/>
      <c r="I149" s="367" t="n"/>
      <c r="J149" s="367" t="n"/>
      <c r="K149" s="368" t="n"/>
      <c r="L149" s="368" t="n"/>
      <c r="M149" s="368" t="n"/>
      <c r="N149" s="368" t="n"/>
      <c r="O149" s="368" t="n"/>
      <c r="P149" s="368" t="n"/>
      <c r="Q149" s="368" t="n"/>
      <c r="R149" s="369" t="n"/>
      <c r="S149" s="369" t="n"/>
      <c r="T149" s="369" t="n"/>
      <c r="U149" s="369" t="n"/>
      <c r="V149" s="369" t="n"/>
      <c r="W149" s="369" t="n"/>
      <c r="X149" s="369" t="n"/>
    </row>
    <row r="150" ht="15.5" customHeight="1" s="297">
      <c r="B150" s="333" t="n">
        <v>45375</v>
      </c>
      <c r="C150" s="314" t="n">
        <v>12</v>
      </c>
      <c r="D150" s="330" t="inlineStr">
        <is>
          <t>Pembelian Barang</t>
        </is>
      </c>
      <c r="E150" s="326" t="n"/>
      <c r="F150" s="351" t="n">
        <v>300000</v>
      </c>
      <c r="G150" s="314" t="inlineStr">
        <is>
          <t>IDR</t>
        </is>
      </c>
      <c r="H150" s="314" t="n">
        <v>1</v>
      </c>
      <c r="I150" s="320">
        <f>F150</f>
        <v/>
      </c>
      <c r="J150" s="320" t="n"/>
      <c r="K150" s="321" t="n"/>
      <c r="L150" s="321" t="n"/>
      <c r="M150" s="321" t="n"/>
      <c r="N150" s="321" t="n"/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45354</v>
      </c>
      <c r="C151" s="314" t="n">
        <v>1</v>
      </c>
      <c r="D151" s="370" t="inlineStr">
        <is>
          <t>Send Tool from Bintaro to Gowell</t>
        </is>
      </c>
      <c r="E151" s="370" t="inlineStr">
        <is>
          <t>-</t>
        </is>
      </c>
      <c r="F151" s="332" t="n">
        <v>168732</v>
      </c>
      <c r="G151" s="314" t="inlineStr">
        <is>
          <t>IDR</t>
        </is>
      </c>
      <c r="H151" s="346" t="n">
        <v>1</v>
      </c>
      <c r="I151" s="320" t="n"/>
      <c r="J151" s="320" t="n"/>
      <c r="K151" s="321" t="n"/>
      <c r="L151" s="321" t="n"/>
      <c r="M151" s="321" t="n"/>
      <c r="N151" s="329" t="n">
        <v>168732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>
        <v>45369</v>
      </c>
      <c r="C152" s="314" t="n">
        <v>2</v>
      </c>
      <c r="D152" s="326" t="inlineStr">
        <is>
          <t>Buy Cable type C to A</t>
        </is>
      </c>
      <c r="E152" s="326" t="inlineStr">
        <is>
          <t>-</t>
        </is>
      </c>
      <c r="F152" s="332" t="n">
        <v>69009</v>
      </c>
      <c r="G152" s="314" t="inlineStr">
        <is>
          <t>IDR</t>
        </is>
      </c>
      <c r="H152" s="346" t="n">
        <v>1</v>
      </c>
      <c r="I152" s="320">
        <f>F152</f>
        <v/>
      </c>
      <c r="J152" s="320" t="n"/>
      <c r="K152" s="321" t="n"/>
      <c r="L152" s="321" t="n"/>
      <c r="M152" s="321" t="n"/>
      <c r="N152" s="329" t="n">
        <v>69009</v>
      </c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45369</v>
      </c>
      <c r="C153" s="314" t="n">
        <v>3</v>
      </c>
      <c r="D153" s="370" t="inlineStr">
        <is>
          <t>Buy Cable type C to C</t>
        </is>
      </c>
      <c r="E153" s="370" t="inlineStr">
        <is>
          <t>-</t>
        </is>
      </c>
      <c r="F153" s="332" t="n">
        <v>145800</v>
      </c>
      <c r="G153" s="314" t="inlineStr">
        <is>
          <t>IDR</t>
        </is>
      </c>
      <c r="H153" s="346" t="n">
        <v>1</v>
      </c>
      <c r="I153" s="321" t="n"/>
      <c r="J153" s="320" t="n"/>
      <c r="K153" s="321" t="n"/>
      <c r="L153" s="321" t="n"/>
      <c r="M153" s="319" t="n"/>
      <c r="N153" s="329" t="n">
        <v>145800</v>
      </c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>
        <v>45369</v>
      </c>
      <c r="C154" s="314" t="n">
        <v>4</v>
      </c>
      <c r="D154" s="326" t="inlineStr">
        <is>
          <t>Buy Jack 3 Pin Socket</t>
        </is>
      </c>
      <c r="E154" s="326" t="inlineStr">
        <is>
          <t>-</t>
        </is>
      </c>
      <c r="F154" s="332" t="n">
        <v>20891</v>
      </c>
      <c r="G154" s="314" t="inlineStr">
        <is>
          <t>IDR</t>
        </is>
      </c>
      <c r="H154" s="346" t="n">
        <v>1</v>
      </c>
      <c r="I154" s="320">
        <f>H154*F154</f>
        <v/>
      </c>
      <c r="J154" s="320" t="n"/>
      <c r="K154" s="321" t="n"/>
      <c r="L154" s="321" t="n"/>
      <c r="M154" s="321" t="n"/>
      <c r="N154" s="329" t="n">
        <v>20891</v>
      </c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47" t="n">
        <v>45369</v>
      </c>
      <c r="C155" s="348" t="n">
        <v>5</v>
      </c>
      <c r="D155" s="349" t="inlineStr">
        <is>
          <t>Buy Powerbank 2 ea 27kmah &amp; 52kmah</t>
        </is>
      </c>
      <c r="E155" s="349" t="inlineStr">
        <is>
          <t>-</t>
        </is>
      </c>
      <c r="F155" s="337" t="n">
        <v>3325760</v>
      </c>
      <c r="G155" s="314" t="inlineStr">
        <is>
          <t>IDR</t>
        </is>
      </c>
      <c r="H155" s="346" t="n">
        <v>1</v>
      </c>
      <c r="I155" s="320" t="n"/>
      <c r="J155" s="320" t="n"/>
      <c r="K155" s="321" t="n"/>
      <c r="L155" s="321" t="n"/>
      <c r="M155" s="319" t="n"/>
      <c r="N155" s="329" t="n">
        <v>3325760</v>
      </c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45369</v>
      </c>
      <c r="C156" s="314" t="n">
        <v>6</v>
      </c>
      <c r="D156" s="326" t="inlineStr">
        <is>
          <t>Buy Fluke-117</t>
        </is>
      </c>
      <c r="E156" s="326" t="inlineStr">
        <is>
          <t>-</t>
        </is>
      </c>
      <c r="F156" s="332" t="n">
        <v>4332000</v>
      </c>
      <c r="G156" s="314" t="inlineStr">
        <is>
          <t>IDR</t>
        </is>
      </c>
      <c r="H156" s="346" t="n">
        <v>1</v>
      </c>
      <c r="I156" s="320" t="n"/>
      <c r="J156" s="320" t="n"/>
      <c r="K156" s="321" t="n"/>
      <c r="L156" s="321" t="n"/>
      <c r="M156" s="319" t="n"/>
      <c r="N156" s="329" t="n">
        <v>4332000</v>
      </c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45369</v>
      </c>
      <c r="C157" s="314" t="n">
        <v>7</v>
      </c>
      <c r="D157" s="326" t="inlineStr">
        <is>
          <t>Buy SANWA YX360TRF</t>
        </is>
      </c>
      <c r="E157" s="326" t="inlineStr">
        <is>
          <t>-</t>
        </is>
      </c>
      <c r="F157" s="332" t="n">
        <v>455600</v>
      </c>
      <c r="G157" s="314" t="inlineStr">
        <is>
          <t>IDR</t>
        </is>
      </c>
      <c r="H157" s="346" t="n">
        <v>1</v>
      </c>
      <c r="I157" s="320" t="n"/>
      <c r="J157" s="320" t="n"/>
      <c r="K157" s="321" t="n"/>
      <c r="L157" s="321" t="n"/>
      <c r="M157" s="319" t="n"/>
      <c r="N157" s="329" t="n">
        <v>455600</v>
      </c>
      <c r="O157" s="321" t="n"/>
      <c r="P157" s="321" t="n"/>
      <c r="Q157" s="321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>
        <v>45370</v>
      </c>
      <c r="C158" s="314" t="n">
        <v>8</v>
      </c>
      <c r="D158" s="326" t="inlineStr">
        <is>
          <t>Send Tool from Gowell to TGE</t>
        </is>
      </c>
      <c r="E158" s="326" t="inlineStr">
        <is>
          <t>-</t>
        </is>
      </c>
      <c r="F158" s="332" t="n">
        <v>168732</v>
      </c>
      <c r="G158" s="314" t="inlineStr">
        <is>
          <t>IDR</t>
        </is>
      </c>
      <c r="H158" s="346" t="n">
        <v>1</v>
      </c>
      <c r="I158" s="320" t="n"/>
      <c r="J158" s="320" t="n"/>
      <c r="K158" s="321" t="n"/>
      <c r="L158" s="321" t="n"/>
      <c r="M158" s="319" t="n"/>
      <c r="N158" s="329" t="n">
        <v>168732</v>
      </c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61" t="inlineStr">
        <is>
          <t>Expense#5</t>
        </is>
      </c>
      <c r="C159" s="362" t="inlineStr">
        <is>
          <t>:</t>
        </is>
      </c>
      <c r="D159" s="363" t="inlineStr">
        <is>
          <t>MCU RS PP _Titis Maulana</t>
        </is>
      </c>
      <c r="E159" s="364" t="n"/>
      <c r="F159" s="365" t="n">
        <v>3325760</v>
      </c>
      <c r="G159" s="362" t="inlineStr">
        <is>
          <t>IDR</t>
        </is>
      </c>
      <c r="H159" s="362" t="n">
        <v>1</v>
      </c>
      <c r="I159" s="367" t="n"/>
      <c r="J159" s="367" t="n"/>
      <c r="K159" s="368" t="n"/>
      <c r="L159" s="368" t="n"/>
      <c r="M159" s="366" t="n"/>
      <c r="N159" s="367">
        <f>F159</f>
        <v/>
      </c>
      <c r="O159" s="368" t="n"/>
      <c r="P159" s="368" t="n"/>
      <c r="Q159" s="368" t="n"/>
      <c r="R159" s="369" t="n"/>
      <c r="S159" s="369" t="n"/>
      <c r="T159" s="369" t="n"/>
      <c r="U159" s="369" t="n"/>
      <c r="V159" s="369" t="n"/>
      <c r="W159" s="369" t="n"/>
      <c r="X159" s="369" t="n"/>
    </row>
    <row r="160" ht="15.5" customHeight="1" s="297">
      <c r="B160" s="333" t="n">
        <v>45369</v>
      </c>
      <c r="C160" s="314" t="n">
        <v>4</v>
      </c>
      <c r="D160" s="330" t="inlineStr">
        <is>
          <t>Kesehatan</t>
        </is>
      </c>
      <c r="E160" s="326" t="n"/>
      <c r="F160" s="351" t="n">
        <v>4332000</v>
      </c>
      <c r="G160" s="314" t="inlineStr">
        <is>
          <t>IDR</t>
        </is>
      </c>
      <c r="H160" s="314" t="n">
        <v>1</v>
      </c>
      <c r="I160" s="320" t="n"/>
      <c r="J160" s="320" t="n"/>
      <c r="K160" s="321" t="n"/>
      <c r="L160" s="321" t="n"/>
      <c r="M160" s="321" t="n"/>
      <c r="N160" s="320">
        <f>F160</f>
        <v/>
      </c>
      <c r="O160" s="321" t="n"/>
      <c r="P160" s="321" t="n"/>
      <c r="Q160" s="321" t="n"/>
      <c r="R160" s="322" t="n"/>
      <c r="S160" s="322" t="n"/>
      <c r="T160" s="322" t="n"/>
      <c r="U160" s="322" t="n"/>
      <c r="V160" s="322" t="n"/>
      <c r="W160" s="322" t="n"/>
      <c r="X160" s="322" t="n"/>
    </row>
    <row r="161" ht="15.5" customHeight="1" s="297">
      <c r="B161" s="333" t="n">
        <v>45384</v>
      </c>
      <c r="C161" s="314" t="n">
        <v>1</v>
      </c>
      <c r="D161" s="326" t="inlineStr">
        <is>
          <t>MCU RS PP</t>
        </is>
      </c>
      <c r="E161" s="326" t="inlineStr">
        <is>
          <t>-</t>
        </is>
      </c>
      <c r="F161" s="332" t="n">
        <v>5407000</v>
      </c>
      <c r="G161" s="314" t="inlineStr">
        <is>
          <t>IDR</t>
        </is>
      </c>
      <c r="H161" s="346" t="n">
        <v>1</v>
      </c>
      <c r="I161" s="320" t="n"/>
      <c r="J161" s="320" t="n"/>
      <c r="K161" s="321" t="n"/>
      <c r="L161" s="321" t="n"/>
      <c r="M161" s="319" t="n"/>
      <c r="N161" s="320">
        <f>F161</f>
        <v/>
      </c>
      <c r="O161" s="321" t="n"/>
      <c r="P161" s="329" t="n">
        <v>5407000</v>
      </c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61" t="inlineStr">
        <is>
          <t>Expense#6</t>
        </is>
      </c>
      <c r="C162" s="362" t="inlineStr">
        <is>
          <t>:</t>
        </is>
      </c>
      <c r="D162" s="363" t="inlineStr">
        <is>
          <t>MPLT (SAKA-UjungPangkah field) by TGE - GOWell project_IC</t>
        </is>
      </c>
      <c r="E162" s="364" t="n"/>
      <c r="F162" s="365" t="n">
        <v>168732</v>
      </c>
      <c r="G162" s="362" t="inlineStr">
        <is>
          <t>IDR</t>
        </is>
      </c>
      <c r="H162" s="362" t="n">
        <v>1</v>
      </c>
      <c r="I162" s="367" t="n"/>
      <c r="J162" s="367" t="n"/>
      <c r="K162" s="367" t="n"/>
      <c r="L162" s="367" t="n"/>
      <c r="M162" s="367" t="n"/>
      <c r="N162" s="367">
        <f>F162</f>
        <v/>
      </c>
      <c r="O162" s="367" t="n"/>
      <c r="P162" s="367" t="n"/>
      <c r="Q162" s="367" t="n"/>
      <c r="R162" s="369" t="n"/>
      <c r="S162" s="369" t="n"/>
      <c r="T162" s="369" t="n"/>
      <c r="U162" s="369" t="n"/>
      <c r="V162" s="369" t="n"/>
      <c r="W162" s="369" t="n"/>
      <c r="X162" s="369" t="n"/>
    </row>
    <row r="163" ht="15.5" customHeight="1" s="297">
      <c r="B163" s="333" t="n">
        <v>45354</v>
      </c>
      <c r="C163" s="314" t="n">
        <v>6</v>
      </c>
      <c r="D163" s="330" t="inlineStr">
        <is>
          <t>Biaya Operasi</t>
        </is>
      </c>
      <c r="E163" s="326" t="n"/>
      <c r="F163" s="351" t="n">
        <v>168732</v>
      </c>
      <c r="G163" s="314" t="inlineStr">
        <is>
          <t>IDR</t>
        </is>
      </c>
      <c r="H163" s="314" t="n">
        <v>1</v>
      </c>
      <c r="I163" s="320" t="n"/>
      <c r="J163" s="320" t="n"/>
      <c r="K163" s="321" t="n"/>
      <c r="L163" s="321" t="n"/>
      <c r="M163" s="321" t="n"/>
      <c r="N163" s="320">
        <f>F163</f>
        <v/>
      </c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47" t="n">
        <v>45385</v>
      </c>
      <c r="C164" s="348" t="n">
        <v>1</v>
      </c>
      <c r="D164" s="349" t="inlineStr">
        <is>
          <t>Send DTR Bintaro - Gowell</t>
        </is>
      </c>
      <c r="E164" s="349" t="inlineStr">
        <is>
          <t>-</t>
        </is>
      </c>
      <c r="F164" s="337" t="n">
        <v>38121</v>
      </c>
      <c r="G164" s="314" t="inlineStr">
        <is>
          <t>IDR</t>
        </is>
      </c>
      <c r="H164" s="346" t="n">
        <v>1</v>
      </c>
      <c r="I164" s="320" t="n"/>
      <c r="J164" s="329" t="n">
        <v>38121</v>
      </c>
      <c r="K164" s="321" t="n"/>
      <c r="L164" s="321" t="n"/>
      <c r="M164" s="321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45398</v>
      </c>
      <c r="C165" s="314" t="n">
        <v>2</v>
      </c>
      <c r="D165" s="326" t="inlineStr">
        <is>
          <t>Taxi Bintaro-CGK</t>
        </is>
      </c>
      <c r="E165" s="326" t="inlineStr">
        <is>
          <t>-</t>
        </is>
      </c>
      <c r="F165" s="323" t="n">
        <v>250000</v>
      </c>
      <c r="G165" s="314" t="inlineStr">
        <is>
          <t>IDR</t>
        </is>
      </c>
      <c r="H165" s="346" t="n">
        <v>1</v>
      </c>
      <c r="I165" s="320" t="n"/>
      <c r="J165" s="329" t="n">
        <v>250000</v>
      </c>
      <c r="K165" s="321" t="n"/>
      <c r="L165" s="321" t="n"/>
      <c r="M165" s="321" t="n"/>
      <c r="N165" s="321" t="n"/>
      <c r="O165" s="321" t="n"/>
      <c r="P165" s="320">
        <f>F165</f>
        <v/>
      </c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47" t="n">
        <v>45398</v>
      </c>
      <c r="C166" s="348" t="n">
        <v>3</v>
      </c>
      <c r="D166" s="349" t="inlineStr">
        <is>
          <t>Send QPS Gowell - TGE</t>
        </is>
      </c>
      <c r="E166" s="349" t="inlineStr">
        <is>
          <t>-</t>
        </is>
      </c>
      <c r="F166" s="337" t="n">
        <v>105879</v>
      </c>
      <c r="G166" s="314" t="inlineStr">
        <is>
          <t>IDR</t>
        </is>
      </c>
      <c r="H166" s="346" t="n">
        <v>1</v>
      </c>
      <c r="I166" s="320" t="n"/>
      <c r="J166" s="329" t="n">
        <v>105879</v>
      </c>
      <c r="K166" s="321" t="n"/>
      <c r="L166" s="321" t="n"/>
      <c r="M166" s="320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45402</v>
      </c>
      <c r="C167" s="314" t="n">
        <v>4</v>
      </c>
      <c r="D167" s="350" t="inlineStr">
        <is>
          <t>Taxi CGK-Bintaro</t>
        </is>
      </c>
      <c r="E167" s="350" t="inlineStr">
        <is>
          <t>-</t>
        </is>
      </c>
      <c r="F167" s="332" t="n">
        <v>250000</v>
      </c>
      <c r="G167" s="314" t="inlineStr">
        <is>
          <t>IDR</t>
        </is>
      </c>
      <c r="H167" s="346" t="n">
        <v>1</v>
      </c>
      <c r="I167" s="320" t="n"/>
      <c r="J167" s="329" t="n">
        <v>250000</v>
      </c>
      <c r="K167" s="321" t="n"/>
      <c r="L167" s="321" t="n"/>
      <c r="M167" s="320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>
        <v>45402</v>
      </c>
      <c r="C168" s="314" t="n">
        <v>5</v>
      </c>
      <c r="D168" s="326" t="inlineStr">
        <is>
          <t>Laundry 5 days 1 Persons @ 50K IDR/day</t>
        </is>
      </c>
      <c r="E168" s="326" t="inlineStr">
        <is>
          <t>-</t>
        </is>
      </c>
      <c r="F168" s="332" t="n">
        <v>250000</v>
      </c>
      <c r="G168" s="314" t="inlineStr">
        <is>
          <t>IDR</t>
        </is>
      </c>
      <c r="H168" s="346" t="n">
        <v>1</v>
      </c>
      <c r="I168" s="319">
        <f>$H168*$F168</f>
        <v/>
      </c>
      <c r="J168" s="329" t="n">
        <v>250000</v>
      </c>
      <c r="K168" s="321" t="n"/>
      <c r="L168" s="321" t="n"/>
      <c r="M168" s="320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45402</v>
      </c>
      <c r="C169" s="314" t="n">
        <v>6</v>
      </c>
      <c r="D169" s="326" t="inlineStr">
        <is>
          <t>Meals 5 days 1 Persons @ 150K IDR/day</t>
        </is>
      </c>
      <c r="E169" s="326" t="inlineStr">
        <is>
          <t>-</t>
        </is>
      </c>
      <c r="F169" s="332" t="n">
        <v>750000</v>
      </c>
      <c r="G169" s="314" t="inlineStr">
        <is>
          <t>IDR</t>
        </is>
      </c>
      <c r="H169" s="346" t="n">
        <v>1</v>
      </c>
      <c r="I169" s="319">
        <f>$H169*$F169</f>
        <v/>
      </c>
      <c r="J169" s="329" t="n">
        <v>750000</v>
      </c>
      <c r="K169" s="321" t="n"/>
      <c r="L169" s="321" t="n"/>
      <c r="M169" s="320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>
        <v>45402</v>
      </c>
      <c r="C170" s="314" t="n">
        <v>7</v>
      </c>
      <c r="D170" s="370" t="inlineStr">
        <is>
          <t>Crews' Food</t>
        </is>
      </c>
      <c r="E170" s="370" t="inlineStr">
        <is>
          <t>-</t>
        </is>
      </c>
      <c r="F170" s="332" t="n">
        <v>160000</v>
      </c>
      <c r="G170" s="314" t="inlineStr">
        <is>
          <t>IDR</t>
        </is>
      </c>
      <c r="H170" s="346" t="n">
        <v>1</v>
      </c>
      <c r="I170" s="320" t="n"/>
      <c r="J170" s="329" t="n">
        <v>160000</v>
      </c>
      <c r="K170" s="321" t="n"/>
      <c r="L170" s="321" t="n"/>
      <c r="M170" s="320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45403</v>
      </c>
      <c r="C171" s="314" t="n">
        <v>8</v>
      </c>
      <c r="D171" s="326" t="inlineStr">
        <is>
          <t>Send ALFA Bintaro - Andara</t>
        </is>
      </c>
      <c r="E171" s="326" t="inlineStr">
        <is>
          <t>-</t>
        </is>
      </c>
      <c r="F171" s="332" t="n">
        <v>39654</v>
      </c>
      <c r="G171" s="314" t="inlineStr">
        <is>
          <t>IDR</t>
        </is>
      </c>
      <c r="H171" s="346" t="n">
        <v>1</v>
      </c>
      <c r="I171" s="320">
        <f>F171</f>
        <v/>
      </c>
      <c r="J171" s="329" t="n">
        <v>39654</v>
      </c>
      <c r="K171" s="321" t="n"/>
      <c r="L171" s="321" t="n"/>
      <c r="M171" s="320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33" t="n">
        <v>45403</v>
      </c>
      <c r="C172" s="314" t="n">
        <v>9</v>
      </c>
      <c r="D172" s="370" t="inlineStr">
        <is>
          <t>Send HPTC Bintaro - Andara</t>
        </is>
      </c>
      <c r="E172" s="370" t="inlineStr">
        <is>
          <t>-</t>
        </is>
      </c>
      <c r="F172" s="332" t="n">
        <v>39654</v>
      </c>
      <c r="G172" s="314" t="inlineStr">
        <is>
          <t>IDR</t>
        </is>
      </c>
      <c r="H172" s="346" t="n">
        <v>1</v>
      </c>
      <c r="I172" s="320" t="n"/>
      <c r="J172" s="329" t="n">
        <v>39654</v>
      </c>
      <c r="K172" s="321" t="n"/>
      <c r="L172" s="321" t="n"/>
      <c r="M172" s="320" t="n"/>
      <c r="N172" s="321" t="n"/>
      <c r="O172" s="321" t="n"/>
      <c r="P172" s="321" t="n"/>
      <c r="Q172" s="321" t="n"/>
      <c r="R172" s="322" t="n"/>
      <c r="S172" s="322" t="n"/>
      <c r="T172" s="322" t="n"/>
      <c r="U172" s="322" t="n"/>
      <c r="V172" s="322" t="n"/>
      <c r="W172" s="322" t="n"/>
      <c r="X172" s="322" t="n"/>
    </row>
    <row r="173" ht="15.5" customHeight="1" s="297">
      <c r="B173" s="333" t="n">
        <v>45405</v>
      </c>
      <c r="C173" s="314" t="n">
        <v>10</v>
      </c>
      <c r="D173" s="326" t="inlineStr">
        <is>
          <t>Send BA Bintaro - TGE</t>
        </is>
      </c>
      <c r="E173" s="326" t="inlineStr">
        <is>
          <t>-</t>
        </is>
      </c>
      <c r="F173" s="332" t="n">
        <v>18000</v>
      </c>
      <c r="G173" s="314" t="inlineStr">
        <is>
          <t>IDR</t>
        </is>
      </c>
      <c r="H173" s="346" t="n">
        <v>1</v>
      </c>
      <c r="I173" s="320">
        <f>F173</f>
        <v/>
      </c>
      <c r="J173" s="329" t="n">
        <v>18000</v>
      </c>
      <c r="K173" s="321" t="n"/>
      <c r="L173" s="321" t="n"/>
      <c r="M173" s="320" t="n"/>
      <c r="N173" s="321" t="n"/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45407</v>
      </c>
      <c r="C174" s="314" t="n">
        <v>11</v>
      </c>
      <c r="D174" s="370" t="inlineStr">
        <is>
          <t>Send MPLT TGE - Gowell</t>
        </is>
      </c>
      <c r="E174" s="370" t="inlineStr">
        <is>
          <t>-</t>
        </is>
      </c>
      <c r="F174" s="332" t="n">
        <v>167297</v>
      </c>
      <c r="G174" s="314" t="inlineStr">
        <is>
          <t>IDR</t>
        </is>
      </c>
      <c r="H174" s="346" t="n">
        <v>1</v>
      </c>
      <c r="I174" s="320" t="n"/>
      <c r="J174" s="329" t="n">
        <v>167297</v>
      </c>
      <c r="K174" s="321" t="n"/>
      <c r="L174" s="321" t="n"/>
      <c r="M174" s="320" t="n"/>
      <c r="N174" s="321" t="n"/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61" t="inlineStr">
        <is>
          <t>Expense#7</t>
        </is>
      </c>
      <c r="C175" s="362" t="inlineStr">
        <is>
          <t>:</t>
        </is>
      </c>
      <c r="D175" s="363" t="inlineStr">
        <is>
          <t>PLT SRO_ TGB-33 (Jatibarang Field) Elnusa _ IC</t>
        </is>
      </c>
      <c r="E175" s="364" t="n"/>
      <c r="F175" s="365" t="n">
        <v>38121</v>
      </c>
      <c r="G175" s="362" t="inlineStr">
        <is>
          <t>IDR</t>
        </is>
      </c>
      <c r="H175" s="362" t="n">
        <v>1</v>
      </c>
      <c r="I175" s="366">
        <f>$H175*$F175</f>
        <v/>
      </c>
      <c r="J175" s="367" t="n"/>
      <c r="K175" s="368" t="n"/>
      <c r="L175" s="368" t="n"/>
      <c r="M175" s="366" t="n"/>
      <c r="N175" s="368" t="n"/>
      <c r="O175" s="368" t="n"/>
      <c r="P175" s="368" t="n"/>
      <c r="Q175" s="368" t="n"/>
      <c r="R175" s="369" t="n"/>
      <c r="S175" s="369" t="n"/>
      <c r="T175" s="369" t="n"/>
      <c r="U175" s="369" t="n"/>
      <c r="V175" s="369" t="n"/>
      <c r="W175" s="369" t="n"/>
      <c r="X175" s="369" t="n"/>
    </row>
    <row r="176" ht="15.5" customHeight="1" s="297">
      <c r="B176" s="333" t="n">
        <v>45398</v>
      </c>
      <c r="C176" s="314" t="n">
        <v>6</v>
      </c>
      <c r="D176" s="330" t="inlineStr">
        <is>
          <t>Biaya Operasi</t>
        </is>
      </c>
      <c r="E176" s="326" t="n"/>
      <c r="F176" s="351" t="n">
        <v>105879</v>
      </c>
      <c r="G176" s="314" t="inlineStr">
        <is>
          <t>IDR</t>
        </is>
      </c>
      <c r="H176" s="314" t="n">
        <v>1</v>
      </c>
      <c r="I176" s="319">
        <f>$H176*$F176</f>
        <v/>
      </c>
      <c r="J176" s="320" t="n"/>
      <c r="K176" s="321" t="n"/>
      <c r="L176" s="321" t="n"/>
      <c r="M176" s="319" t="n"/>
      <c r="N176" s="321" t="n"/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45408</v>
      </c>
      <c r="C177" s="314" t="n">
        <v>1</v>
      </c>
      <c r="D177" s="326" t="inlineStr">
        <is>
          <t>Fuels</t>
        </is>
      </c>
      <c r="E177" s="326" t="inlineStr">
        <is>
          <t>-</t>
        </is>
      </c>
      <c r="F177" s="332" t="n">
        <v>284308</v>
      </c>
      <c r="G177" s="314" t="inlineStr">
        <is>
          <t>IDR</t>
        </is>
      </c>
      <c r="H177" s="346" t="n">
        <v>1</v>
      </c>
      <c r="I177" s="319">
        <f>$H177*$F177</f>
        <v/>
      </c>
      <c r="J177" s="329" t="n">
        <v>284308</v>
      </c>
      <c r="K177" s="321" t="n"/>
      <c r="L177" s="321" t="n"/>
      <c r="M177" s="321" t="n"/>
      <c r="N177" s="321" t="n"/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45410</v>
      </c>
      <c r="C178" s="314" t="n">
        <v>2</v>
      </c>
      <c r="D178" s="326" t="inlineStr">
        <is>
          <t>Toll</t>
        </is>
      </c>
      <c r="E178" s="326" t="inlineStr">
        <is>
          <t>-</t>
        </is>
      </c>
      <c r="F178" s="332" t="n">
        <v>298000</v>
      </c>
      <c r="G178" s="314" t="inlineStr">
        <is>
          <t>IDR</t>
        </is>
      </c>
      <c r="H178" s="346" t="n">
        <v>1</v>
      </c>
      <c r="I178" s="319">
        <f>$H178*$F178</f>
        <v/>
      </c>
      <c r="J178" s="329" t="n">
        <v>298000</v>
      </c>
      <c r="K178" s="321" t="n"/>
      <c r="L178" s="321" t="n"/>
      <c r="M178" s="319" t="n"/>
      <c r="N178" s="321" t="n"/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45410</v>
      </c>
      <c r="C179" s="314" t="n">
        <v>3</v>
      </c>
      <c r="D179" s="326" t="inlineStr">
        <is>
          <t>Hotel 2 days</t>
        </is>
      </c>
      <c r="E179" s="326" t="inlineStr">
        <is>
          <t>-</t>
        </is>
      </c>
      <c r="F179" s="332" t="n">
        <v>1357481</v>
      </c>
      <c r="G179" s="314" t="inlineStr">
        <is>
          <t>IDR</t>
        </is>
      </c>
      <c r="H179" s="346" t="n">
        <v>1</v>
      </c>
      <c r="I179" s="319">
        <f>$H179*$F179</f>
        <v/>
      </c>
      <c r="J179" s="329" t="n">
        <v>1357481</v>
      </c>
      <c r="K179" s="321" t="n"/>
      <c r="L179" s="321" t="n"/>
      <c r="M179" s="321" t="n"/>
      <c r="N179" s="321" t="n"/>
      <c r="O179" s="321" t="n"/>
      <c r="P179" s="321" t="n"/>
      <c r="Q179" s="321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45410</v>
      </c>
      <c r="C180" s="314" t="n">
        <v>4</v>
      </c>
      <c r="D180" s="326" t="inlineStr">
        <is>
          <t>Laundry 2 days</t>
        </is>
      </c>
      <c r="E180" s="326" t="inlineStr">
        <is>
          <t>-</t>
        </is>
      </c>
      <c r="F180" s="332" t="n">
        <v>100000</v>
      </c>
      <c r="G180" s="314" t="inlineStr">
        <is>
          <t>IDR</t>
        </is>
      </c>
      <c r="H180" s="346" t="n">
        <v>1</v>
      </c>
      <c r="I180" s="319">
        <f>$H180*$F180</f>
        <v/>
      </c>
      <c r="J180" s="329" t="n">
        <v>100000</v>
      </c>
      <c r="K180" s="321" t="n"/>
      <c r="L180" s="321" t="n"/>
      <c r="M180" s="321" t="n"/>
      <c r="N180" s="319" t="n"/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33" t="n">
        <v>45410</v>
      </c>
      <c r="C181" s="314" t="n">
        <v>5</v>
      </c>
      <c r="D181" s="370" t="inlineStr">
        <is>
          <t>Meals 2 days 1 Persons @ 150K IDR/day</t>
        </is>
      </c>
      <c r="E181" s="370" t="inlineStr">
        <is>
          <t>-</t>
        </is>
      </c>
      <c r="F181" s="332" t="n">
        <v>300000</v>
      </c>
      <c r="G181" s="314" t="inlineStr">
        <is>
          <t>IDR</t>
        </is>
      </c>
      <c r="H181" s="346" t="n">
        <v>1</v>
      </c>
      <c r="I181" s="321" t="n"/>
      <c r="J181" s="329" t="n">
        <v>300000</v>
      </c>
      <c r="K181" s="321" t="n"/>
      <c r="L181" s="321" t="n"/>
      <c r="M181" s="321" t="n"/>
      <c r="N181" s="321" t="n"/>
      <c r="O181" s="321" t="n"/>
      <c r="P181" s="321" t="n"/>
      <c r="Q181" s="321" t="n"/>
      <c r="R181" s="322" t="n"/>
      <c r="S181" s="322" t="n"/>
      <c r="T181" s="322" t="n"/>
      <c r="U181" s="322" t="n"/>
      <c r="V181" s="322" t="n"/>
      <c r="W181" s="322" t="n"/>
      <c r="X181" s="322" t="n"/>
    </row>
    <row r="182" ht="15.5" customHeight="1" s="297">
      <c r="B182" s="333" t="n">
        <v>45410</v>
      </c>
      <c r="C182" s="314" t="n">
        <v>6</v>
      </c>
      <c r="D182" s="326" t="inlineStr">
        <is>
          <t>Tunjangan Lapangan for 2 days</t>
        </is>
      </c>
      <c r="E182" s="326" t="inlineStr">
        <is>
          <t>-</t>
        </is>
      </c>
      <c r="F182" s="332" t="n">
        <v>3251400</v>
      </c>
      <c r="G182" s="314" t="inlineStr">
        <is>
          <t>USD</t>
        </is>
      </c>
      <c r="H182" s="346" t="n">
        <v>16257</v>
      </c>
      <c r="I182" s="319">
        <f>F182</f>
        <v/>
      </c>
      <c r="J182" s="329" t="n">
        <v>3251400</v>
      </c>
      <c r="K182" s="321" t="n"/>
      <c r="L182" s="321" t="n"/>
      <c r="M182" s="321" t="n"/>
      <c r="N182" s="321" t="n"/>
      <c r="O182" s="321" t="n"/>
      <c r="P182" s="321" t="n"/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61" t="inlineStr">
        <is>
          <t>Expense#8</t>
        </is>
      </c>
      <c r="C183" s="362" t="inlineStr">
        <is>
          <t>:</t>
        </is>
      </c>
      <c r="D183" s="363" t="inlineStr">
        <is>
          <t>Training BST_ PHR-zona 4 (Dwiyanto) (Dwi_Febri dan Ilham)</t>
        </is>
      </c>
      <c r="E183" s="374" t="n"/>
      <c r="F183" s="365" t="n"/>
      <c r="G183" s="362" t="n"/>
      <c r="H183" s="362" t="n"/>
      <c r="I183" s="375" t="n"/>
      <c r="J183" s="368" t="n"/>
      <c r="K183" s="368" t="n"/>
      <c r="L183" s="368" t="n"/>
      <c r="M183" s="368" t="n"/>
      <c r="N183" s="368" t="n"/>
      <c r="O183" s="368" t="n"/>
      <c r="P183" s="368" t="n"/>
      <c r="Q183" s="368" t="n"/>
      <c r="R183" s="369" t="n"/>
      <c r="S183" s="369" t="n"/>
      <c r="T183" s="369" t="n"/>
      <c r="U183" s="369" t="n"/>
      <c r="V183" s="369" t="n"/>
      <c r="W183" s="369" t="n"/>
      <c r="X183" s="369" t="n"/>
    </row>
    <row r="184" ht="15.5" customHeight="1" s="297">
      <c r="B184" s="333" t="n"/>
      <c r="C184" s="314" t="n">
        <v>1</v>
      </c>
      <c r="D184" s="330" t="inlineStr">
        <is>
          <t>Biaya Operasi</t>
        </is>
      </c>
      <c r="E184" s="326" t="n"/>
      <c r="F184" s="351" t="n">
        <v>500</v>
      </c>
      <c r="G184" s="314" t="inlineStr">
        <is>
          <t>USD</t>
        </is>
      </c>
      <c r="H184" s="376" t="n">
        <v>16207</v>
      </c>
      <c r="I184" s="320">
        <f>H184*F184</f>
        <v/>
      </c>
      <c r="J184" s="321" t="n"/>
      <c r="K184" s="321" t="n"/>
      <c r="L184" s="321" t="n"/>
      <c r="M184" s="321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47" t="n">
        <v>45418</v>
      </c>
      <c r="C185" s="348" t="n">
        <v>1</v>
      </c>
      <c r="D185" s="349" t="inlineStr">
        <is>
          <t>Jakarta - Palembang - Jakarta</t>
        </is>
      </c>
      <c r="E185" s="349" t="inlineStr">
        <is>
          <t>-</t>
        </is>
      </c>
      <c r="F185" s="337" t="n">
        <v>1387800</v>
      </c>
      <c r="G185" s="314" t="inlineStr">
        <is>
          <t>IDR</t>
        </is>
      </c>
      <c r="H185" s="346" t="n">
        <v>1</v>
      </c>
      <c r="I185" s="320" t="n"/>
      <c r="J185" s="329" t="n">
        <v>1387800</v>
      </c>
      <c r="K185" s="321" t="n"/>
      <c r="L185" s="321" t="n"/>
      <c r="M185" s="321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13" t="n">
        <v>45419</v>
      </c>
      <c r="C186" s="314" t="n">
        <v>2</v>
      </c>
      <c r="D186" s="340" t="inlineStr">
        <is>
          <t>Taxi + Tol to Airport Jakarta</t>
        </is>
      </c>
      <c r="E186" s="340" t="inlineStr">
        <is>
          <t>-</t>
        </is>
      </c>
      <c r="F186" s="332" t="n">
        <v>234140</v>
      </c>
      <c r="G186" s="314" t="inlineStr">
        <is>
          <t>IDR</t>
        </is>
      </c>
      <c r="H186" s="346" t="n">
        <v>1</v>
      </c>
      <c r="I186" s="321" t="n"/>
      <c r="J186" s="329" t="n">
        <v>234140</v>
      </c>
      <c r="K186" s="321" t="n"/>
      <c r="L186" s="321" t="n"/>
      <c r="M186" s="319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>
        <v>45419</v>
      </c>
      <c r="C187" s="314" t="n">
        <v>3</v>
      </c>
      <c r="D187" s="326" t="inlineStr">
        <is>
          <t>Airport park + fuel + tol Indralaya</t>
        </is>
      </c>
      <c r="E187" s="326" t="inlineStr">
        <is>
          <t>-</t>
        </is>
      </c>
      <c r="F187" s="332" t="n">
        <v>232000</v>
      </c>
      <c r="G187" s="314" t="inlineStr">
        <is>
          <t>IDR</t>
        </is>
      </c>
      <c r="H187" s="346" t="n">
        <v>1</v>
      </c>
      <c r="I187" s="319">
        <f>$H187*$F187</f>
        <v/>
      </c>
      <c r="J187" s="329" t="n">
        <v>232000</v>
      </c>
      <c r="K187" s="321" t="n"/>
      <c r="L187" s="321" t="n"/>
      <c r="M187" s="319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45419</v>
      </c>
      <c r="C188" s="314" t="n">
        <v>4</v>
      </c>
      <c r="D188" s="326" t="inlineStr">
        <is>
          <t>Dinner (Dwi, Febri, Ilham)</t>
        </is>
      </c>
      <c r="E188" s="326" t="inlineStr">
        <is>
          <t>-</t>
        </is>
      </c>
      <c r="F188" s="332" t="n">
        <v>103400</v>
      </c>
      <c r="G188" s="314" t="inlineStr">
        <is>
          <t>IDR</t>
        </is>
      </c>
      <c r="H188" s="346" t="n">
        <v>1</v>
      </c>
      <c r="I188" s="319">
        <f>$H188*$F188</f>
        <v/>
      </c>
      <c r="J188" s="329" t="n">
        <v>103400</v>
      </c>
      <c r="K188" s="321" t="n"/>
      <c r="L188" s="321" t="n"/>
      <c r="M188" s="321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>
        <v>45420</v>
      </c>
      <c r="C189" s="314" t="n">
        <v>5</v>
      </c>
      <c r="D189" s="370" t="inlineStr">
        <is>
          <t>Car Rental</t>
        </is>
      </c>
      <c r="E189" s="370" t="inlineStr">
        <is>
          <t>-</t>
        </is>
      </c>
      <c r="F189" s="332" t="n">
        <v>600000</v>
      </c>
      <c r="G189" s="314" t="inlineStr">
        <is>
          <t>IDR</t>
        </is>
      </c>
      <c r="H189" s="346" t="n">
        <v>1</v>
      </c>
      <c r="I189" s="320" t="n"/>
      <c r="J189" s="329" t="n">
        <v>600000</v>
      </c>
      <c r="K189" s="321" t="n"/>
      <c r="L189" s="321" t="n"/>
      <c r="M189" s="321" t="n"/>
      <c r="N189" s="319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45420</v>
      </c>
      <c r="C190" s="314" t="n">
        <v>6</v>
      </c>
      <c r="D190" s="326" t="inlineStr">
        <is>
          <t>Tol Indralaya</t>
        </is>
      </c>
      <c r="E190" s="326" t="inlineStr">
        <is>
          <t>-</t>
        </is>
      </c>
      <c r="F190" s="332" t="n">
        <v>27000</v>
      </c>
      <c r="G190" s="314" t="inlineStr">
        <is>
          <t>IDR</t>
        </is>
      </c>
      <c r="H190" s="346" t="n">
        <v>1</v>
      </c>
      <c r="I190" s="319">
        <f>F190</f>
        <v/>
      </c>
      <c r="J190" s="329" t="n">
        <v>27000</v>
      </c>
      <c r="K190" s="321" t="n"/>
      <c r="L190" s="321" t="n"/>
      <c r="M190" s="321" t="n"/>
      <c r="N190" s="319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>
        <v>45420</v>
      </c>
      <c r="C191" s="314" t="n">
        <v>7</v>
      </c>
      <c r="D191" s="326" t="inlineStr">
        <is>
          <t>Hotel</t>
        </is>
      </c>
      <c r="E191" s="326" t="inlineStr">
        <is>
          <t>-</t>
        </is>
      </c>
      <c r="F191" s="332" t="n">
        <v>360000</v>
      </c>
      <c r="G191" s="314" t="inlineStr">
        <is>
          <t>IDR</t>
        </is>
      </c>
      <c r="H191" s="346" t="n">
        <v>1</v>
      </c>
      <c r="I191" s="319">
        <f>F191</f>
        <v/>
      </c>
      <c r="J191" s="329" t="n">
        <v>360000</v>
      </c>
      <c r="K191" s="321" t="n"/>
      <c r="L191" s="321" t="n"/>
      <c r="M191" s="321" t="n"/>
      <c r="N191" s="319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45421</v>
      </c>
      <c r="C192" s="314" t="n">
        <v>8</v>
      </c>
      <c r="D192" s="370" t="inlineStr">
        <is>
          <t>Tol + Taxi From Airport Jakarta</t>
        </is>
      </c>
      <c r="E192" s="370" t="inlineStr">
        <is>
          <t>-</t>
        </is>
      </c>
      <c r="F192" s="332" t="n">
        <v>276900</v>
      </c>
      <c r="G192" s="314" t="inlineStr">
        <is>
          <t>IDR</t>
        </is>
      </c>
      <c r="H192" s="346" t="n">
        <v>1</v>
      </c>
      <c r="I192" s="319" t="n"/>
      <c r="J192" s="329" t="n">
        <v>276900</v>
      </c>
      <c r="K192" s="321" t="n"/>
      <c r="L192" s="321" t="n"/>
      <c r="M192" s="321" t="n"/>
      <c r="N192" s="319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61" t="inlineStr">
        <is>
          <t>Expense#9</t>
        </is>
      </c>
      <c r="C193" s="362" t="inlineStr">
        <is>
          <t>:</t>
        </is>
      </c>
      <c r="D193" s="363" t="inlineStr">
        <is>
          <t>MFC and ALFA Memory (Jatibarang Field) TGB-033_Elnusa_ AC</t>
        </is>
      </c>
      <c r="E193" s="364" t="n"/>
      <c r="F193" s="365" t="n">
        <v>300000</v>
      </c>
      <c r="G193" s="362" t="inlineStr">
        <is>
          <t>IDR</t>
        </is>
      </c>
      <c r="H193" s="362" t="n">
        <v>1</v>
      </c>
      <c r="I193" s="366">
        <f>F193</f>
        <v/>
      </c>
      <c r="J193" s="367" t="n"/>
      <c r="K193" s="368" t="n"/>
      <c r="L193" s="368" t="n"/>
      <c r="M193" s="368" t="n"/>
      <c r="N193" s="366" t="n"/>
      <c r="O193" s="368" t="n"/>
      <c r="P193" s="368" t="n"/>
      <c r="Q193" s="368" t="n"/>
      <c r="R193" s="369" t="n"/>
      <c r="S193" s="369" t="n"/>
      <c r="T193" s="369" t="n"/>
      <c r="U193" s="369" t="n"/>
      <c r="V193" s="369" t="n"/>
      <c r="W193" s="369" t="n"/>
      <c r="X193" s="369" t="n"/>
    </row>
    <row r="194" ht="15.5" customHeight="1" s="297">
      <c r="B194" s="333" t="n"/>
      <c r="C194" s="314" t="n"/>
      <c r="D194" s="330" t="inlineStr">
        <is>
          <t>Biaya Operasi</t>
        </is>
      </c>
      <c r="E194" s="370" t="n"/>
      <c r="F194" s="351" t="n"/>
      <c r="G194" s="314" t="n"/>
      <c r="H194" s="314" t="n"/>
      <c r="I194" s="321" t="n"/>
      <c r="J194" s="320" t="n"/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45403</v>
      </c>
      <c r="C195" s="314" t="n">
        <v>1</v>
      </c>
      <c r="D195" s="326" t="inlineStr">
        <is>
          <t>Train (Jati barang - Jati Negara)</t>
        </is>
      </c>
      <c r="E195" s="326" t="inlineStr">
        <is>
          <t>-</t>
        </is>
      </c>
      <c r="F195" s="332" t="n">
        <v>255500</v>
      </c>
      <c r="G195" s="314" t="inlineStr">
        <is>
          <t>IDR</t>
        </is>
      </c>
      <c r="H195" s="346" t="n">
        <v>1</v>
      </c>
      <c r="I195" s="320">
        <f>H195*F195</f>
        <v/>
      </c>
      <c r="J195" s="329" t="n">
        <v>255500</v>
      </c>
      <c r="K195" s="321" t="n"/>
      <c r="L195" s="321" t="n"/>
      <c r="M195" s="321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47" t="n">
        <v>45403</v>
      </c>
      <c r="C196" s="348" t="n">
        <v>2</v>
      </c>
      <c r="D196" s="349" t="inlineStr">
        <is>
          <t>Taksi</t>
        </is>
      </c>
      <c r="E196" s="349" t="inlineStr">
        <is>
          <t>-</t>
        </is>
      </c>
      <c r="F196" s="337" t="n">
        <v>150000</v>
      </c>
      <c r="G196" s="314" t="inlineStr">
        <is>
          <t>IDR</t>
        </is>
      </c>
      <c r="H196" s="346" t="n">
        <v>1</v>
      </c>
      <c r="I196" s="321" t="n"/>
      <c r="J196" s="329" t="n">
        <v>150000</v>
      </c>
      <c r="K196" s="321" t="n"/>
      <c r="L196" s="321" t="n"/>
      <c r="M196" s="319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13" t="n">
        <v>45403</v>
      </c>
      <c r="C197" s="314" t="n">
        <v>3</v>
      </c>
      <c r="D197" s="350" t="inlineStr">
        <is>
          <t>Laundry 3 days @ Rp. 50.000</t>
        </is>
      </c>
      <c r="E197" s="350" t="inlineStr">
        <is>
          <t>-</t>
        </is>
      </c>
      <c r="F197" s="323" t="n">
        <v>150000</v>
      </c>
      <c r="G197" s="314" t="inlineStr">
        <is>
          <t>IDR</t>
        </is>
      </c>
      <c r="H197" s="346" t="n">
        <v>1</v>
      </c>
      <c r="I197" s="320" t="n"/>
      <c r="J197" s="329" t="n">
        <v>150000</v>
      </c>
      <c r="K197" s="321" t="n"/>
      <c r="L197" s="321" t="n"/>
      <c r="M197" s="320" t="n"/>
      <c r="N197" s="321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t="15.5" customHeight="1" s="297">
      <c r="B198" s="333" t="n">
        <v>45403</v>
      </c>
      <c r="C198" s="314" t="n">
        <v>4</v>
      </c>
      <c r="D198" s="316" t="inlineStr">
        <is>
          <t>Uang makan utk 3 hari (19-21 apr-24) @150.000</t>
        </is>
      </c>
      <c r="E198" s="316" t="inlineStr">
        <is>
          <t>-</t>
        </is>
      </c>
      <c r="F198" s="323" t="n">
        <v>450000</v>
      </c>
      <c r="G198" s="314" t="inlineStr">
        <is>
          <t>IDR</t>
        </is>
      </c>
      <c r="H198" s="346" t="n">
        <v>1</v>
      </c>
      <c r="I198" s="319">
        <f>$H198*$F198</f>
        <v/>
      </c>
      <c r="J198" s="329" t="n">
        <v>450000</v>
      </c>
      <c r="K198" s="321" t="n"/>
      <c r="L198" s="321" t="n"/>
      <c r="M198" s="319" t="n"/>
      <c r="N198" s="321" t="n"/>
      <c r="O198" s="321" t="n"/>
      <c r="P198" s="321" t="n"/>
      <c r="Q198" s="321" t="n"/>
      <c r="R198" s="322" t="n"/>
      <c r="S198" s="322" t="n"/>
      <c r="T198" s="322" t="n"/>
      <c r="U198" s="322" t="n"/>
      <c r="V198" s="322" t="n"/>
      <c r="W198" s="322" t="n"/>
      <c r="X198" s="322" t="n"/>
    </row>
    <row r="199" ht="15.5" customHeight="1" s="297">
      <c r="B199" s="333" t="n">
        <v>45403</v>
      </c>
      <c r="C199" s="314" t="n">
        <v>5</v>
      </c>
      <c r="D199" s="350" t="inlineStr">
        <is>
          <t>Tunajngan lapangan for 3 days (19-21 apr24) Anevril</t>
        </is>
      </c>
      <c r="E199" s="350" t="inlineStr">
        <is>
          <t>-</t>
        </is>
      </c>
      <c r="F199" s="323" t="n">
        <v>4815300</v>
      </c>
      <c r="G199" s="314" t="inlineStr">
        <is>
          <t>USD</t>
        </is>
      </c>
      <c r="H199" s="346" t="n">
        <v>16051</v>
      </c>
      <c r="I199" s="320" t="n"/>
      <c r="J199" s="329" t="n">
        <v>4815300</v>
      </c>
      <c r="K199" s="321" t="n"/>
      <c r="L199" s="321" t="n"/>
      <c r="M199" s="320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t="15.5" customHeight="1" s="297">
      <c r="B200" s="377" t="n">
        <v>45420</v>
      </c>
      <c r="C200" s="314" t="n">
        <v>6</v>
      </c>
      <c r="D200" s="326" t="inlineStr">
        <is>
          <t>Dinner (Dwi, Febri, Ilham)</t>
        </is>
      </c>
      <c r="E200" s="326" t="inlineStr">
        <is>
          <t>-</t>
        </is>
      </c>
      <c r="F200" s="323" t="n">
        <v>128000</v>
      </c>
      <c r="G200" s="314" t="inlineStr">
        <is>
          <t>IDR</t>
        </is>
      </c>
      <c r="H200" s="346" t="n">
        <v>1</v>
      </c>
      <c r="I200" s="319">
        <f>$H200*$F200</f>
        <v/>
      </c>
      <c r="J200" s="329" t="n">
        <v>128000</v>
      </c>
      <c r="K200" s="321" t="n"/>
      <c r="L200" s="321" t="n"/>
      <c r="M200" s="319" t="n"/>
      <c r="N200" s="321" t="n"/>
      <c r="O200" s="321" t="n"/>
      <c r="P200" s="321" t="n"/>
      <c r="Q200" s="321" t="n"/>
      <c r="R200" s="322" t="n"/>
      <c r="S200" s="322" t="n"/>
      <c r="T200" s="322" t="n"/>
      <c r="U200" s="322" t="n"/>
      <c r="V200" s="322" t="n"/>
      <c r="W200" s="322" t="n"/>
      <c r="X200" s="322" t="n"/>
    </row>
    <row r="201" ht="15.5" customHeight="1" s="297">
      <c r="B201" s="361" t="inlineStr">
        <is>
          <t>Expense#10</t>
        </is>
      </c>
      <c r="C201" s="362" t="inlineStr">
        <is>
          <t>:</t>
        </is>
      </c>
      <c r="D201" s="363" t="inlineStr">
        <is>
          <t>ALFA+PLT (TGB-033 Zona 7) Elnusa_TMA</t>
        </is>
      </c>
      <c r="E201" s="364" t="n"/>
      <c r="F201" s="378">
        <f>5000+200000+27000</f>
        <v/>
      </c>
      <c r="G201" s="362" t="inlineStr">
        <is>
          <t>IDR</t>
        </is>
      </c>
      <c r="H201" s="362" t="n">
        <v>1</v>
      </c>
      <c r="I201" s="366">
        <f>$H201*$F201</f>
        <v/>
      </c>
      <c r="J201" s="368" t="n"/>
      <c r="K201" s="368" t="n"/>
      <c r="L201" s="368" t="n"/>
      <c r="M201" s="368" t="n"/>
      <c r="N201" s="368" t="n"/>
      <c r="O201" s="368" t="n"/>
      <c r="P201" s="368" t="n"/>
      <c r="Q201" s="368" t="n"/>
      <c r="R201" s="369" t="n"/>
      <c r="S201" s="369" t="n"/>
      <c r="T201" s="369" t="n"/>
      <c r="U201" s="369" t="n"/>
      <c r="V201" s="369" t="n"/>
      <c r="W201" s="369" t="n"/>
      <c r="X201" s="369" t="n"/>
    </row>
    <row r="202" ht="15.5" customHeight="1" s="297">
      <c r="B202" s="333" t="n">
        <v>45420</v>
      </c>
      <c r="C202" s="314" t="n">
        <v>4</v>
      </c>
      <c r="D202" s="330" t="inlineStr">
        <is>
          <t>Allowance</t>
        </is>
      </c>
      <c r="E202" s="326" t="n"/>
      <c r="F202" s="317">
        <f>1.5*400000</f>
        <v/>
      </c>
      <c r="G202" s="314" t="inlineStr">
        <is>
          <t>IDR</t>
        </is>
      </c>
      <c r="H202" s="314" t="n">
        <v>1</v>
      </c>
      <c r="I202" s="319">
        <f>$H202*$F202</f>
        <v/>
      </c>
      <c r="J202" s="320" t="n"/>
      <c r="K202" s="321" t="n"/>
      <c r="L202" s="321" t="n"/>
      <c r="M202" s="321" t="n"/>
      <c r="N202" s="321" t="n"/>
      <c r="O202" s="321" t="n"/>
      <c r="P202" s="321" t="n"/>
      <c r="Q202" s="321" t="n"/>
      <c r="R202" s="322" t="n"/>
      <c r="S202" s="322" t="n"/>
      <c r="T202" s="322" t="n"/>
      <c r="U202" s="322" t="n"/>
      <c r="V202" s="322" t="n"/>
      <c r="W202" s="322" t="n"/>
      <c r="X202" s="322" t="n"/>
    </row>
    <row r="203" ht="15.5" customHeight="1" s="297">
      <c r="B203" s="333" t="n">
        <v>45407</v>
      </c>
      <c r="C203" s="314" t="n">
        <v>1</v>
      </c>
      <c r="D203" s="326" t="inlineStr">
        <is>
          <t>Field Bonus for 7 days (25$/Day)</t>
        </is>
      </c>
      <c r="E203" s="326" t="inlineStr">
        <is>
          <t>-</t>
        </is>
      </c>
      <c r="F203" s="323" t="n">
        <v>1203813.75</v>
      </c>
      <c r="G203" s="314" t="inlineStr">
        <is>
          <t>USD</t>
        </is>
      </c>
      <c r="H203" s="346" t="n">
        <v>16050.85</v>
      </c>
      <c r="I203" s="325" t="n">
        <v>1203813.75</v>
      </c>
      <c r="J203" s="320" t="n"/>
      <c r="K203" s="321" t="n"/>
      <c r="L203" s="321" t="n"/>
      <c r="M203" s="321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45421</v>
      </c>
      <c r="C204" s="314" t="n">
        <v>6</v>
      </c>
      <c r="D204" s="330" t="inlineStr">
        <is>
          <t>Biaya Operasi</t>
        </is>
      </c>
      <c r="E204" s="326" t="n"/>
      <c r="F204" s="317">
        <f>55000+221900</f>
        <v/>
      </c>
      <c r="G204" s="314" t="inlineStr">
        <is>
          <t>IDR</t>
        </is>
      </c>
      <c r="H204" s="314" t="n">
        <v>1</v>
      </c>
      <c r="I204" s="319">
        <f>$H204*$F204</f>
        <v/>
      </c>
      <c r="J204" s="320" t="n"/>
      <c r="K204" s="321" t="n"/>
      <c r="L204" s="321" t="n"/>
      <c r="M204" s="321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45407</v>
      </c>
      <c r="C205" s="314" t="n">
        <v>2</v>
      </c>
      <c r="D205" s="370" t="inlineStr">
        <is>
          <t>Hotel 25 Apr - 27 Apr &amp; 29 Apr- 2 May 2024 (6 days)</t>
        </is>
      </c>
      <c r="E205" s="370" t="inlineStr">
        <is>
          <t>-</t>
        </is>
      </c>
      <c r="F205" s="323" t="n">
        <v>3292802</v>
      </c>
      <c r="G205" s="314" t="inlineStr">
        <is>
          <t>IDR</t>
        </is>
      </c>
      <c r="H205" s="346" t="n">
        <v>1</v>
      </c>
      <c r="I205" s="319" t="n"/>
      <c r="J205" s="329" t="n">
        <v>3292802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>
        <v>45407</v>
      </c>
      <c r="C206" s="314" t="n">
        <v>3</v>
      </c>
      <c r="D206" s="326" t="inlineStr">
        <is>
          <t>Laundry 7 days 1 Persons @ 50K IDR/day</t>
        </is>
      </c>
      <c r="E206" s="326" t="inlineStr">
        <is>
          <t>-</t>
        </is>
      </c>
      <c r="F206" s="323" t="n">
        <v>350000</v>
      </c>
      <c r="G206" s="314" t="inlineStr">
        <is>
          <t>IDR</t>
        </is>
      </c>
      <c r="H206" s="346" t="n">
        <v>1</v>
      </c>
      <c r="I206" s="379">
        <f>F206</f>
        <v/>
      </c>
      <c r="J206" s="329" t="n">
        <v>350000</v>
      </c>
      <c r="K206" s="321" t="n"/>
      <c r="L206" s="321" t="n"/>
      <c r="M206" s="321" t="n"/>
      <c r="N206" s="321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45407</v>
      </c>
      <c r="C207" s="314" t="n">
        <v>4</v>
      </c>
      <c r="D207" s="370" t="inlineStr">
        <is>
          <t>Crew's Operational</t>
        </is>
      </c>
      <c r="E207" s="370" t="inlineStr">
        <is>
          <t>-</t>
        </is>
      </c>
      <c r="F207" s="323" t="n">
        <v>657000</v>
      </c>
      <c r="G207" s="314" t="inlineStr">
        <is>
          <t>IDR</t>
        </is>
      </c>
      <c r="H207" s="346" t="n">
        <v>1</v>
      </c>
      <c r="I207" s="379" t="n"/>
      <c r="J207" s="329" t="n">
        <v>657000</v>
      </c>
      <c r="K207" s="321" t="n"/>
      <c r="L207" s="321" t="n"/>
      <c r="M207" s="321" t="n"/>
      <c r="N207" s="321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45407</v>
      </c>
      <c r="C208" s="314" t="n">
        <v>5</v>
      </c>
      <c r="D208" s="326" t="inlineStr">
        <is>
          <t>Meals 7 days 1 Persons @ 150K IDR/day</t>
        </is>
      </c>
      <c r="E208" s="326" t="inlineStr">
        <is>
          <t>-</t>
        </is>
      </c>
      <c r="F208" s="323" t="n">
        <v>1050000</v>
      </c>
      <c r="G208" s="314" t="inlineStr">
        <is>
          <t>IDR</t>
        </is>
      </c>
      <c r="H208" s="346" t="n">
        <v>1</v>
      </c>
      <c r="I208" s="320">
        <f>F208</f>
        <v/>
      </c>
      <c r="J208" s="329" t="n">
        <v>1050000</v>
      </c>
      <c r="K208" s="321" t="n"/>
      <c r="L208" s="321" t="n"/>
      <c r="M208" s="321" t="n"/>
      <c r="N208" s="321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47" t="n">
        <v>45407</v>
      </c>
      <c r="C209" s="348" t="n">
        <v>6</v>
      </c>
      <c r="D209" s="349" t="inlineStr">
        <is>
          <t>Field Bonus for 4 days 29 April-2 May 2024 (100$/Day</t>
        </is>
      </c>
      <c r="E209" s="349" t="inlineStr">
        <is>
          <t>-</t>
        </is>
      </c>
      <c r="F209" s="323" t="n">
        <v>6420340</v>
      </c>
      <c r="G209" s="314" t="inlineStr">
        <is>
          <t>USD</t>
        </is>
      </c>
      <c r="H209" s="346" t="n">
        <v>16050.85</v>
      </c>
      <c r="I209" s="321" t="n"/>
      <c r="J209" s="329" t="n">
        <v>6420340</v>
      </c>
      <c r="K209" s="321" t="n"/>
      <c r="L209" s="321" t="n"/>
      <c r="M209" s="321" t="n"/>
      <c r="N209" s="321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45411</v>
      </c>
      <c r="C210" s="314" t="n">
        <v>7</v>
      </c>
      <c r="D210" s="350" t="inlineStr">
        <is>
          <t>Internet Data</t>
        </is>
      </c>
      <c r="E210" s="350" t="inlineStr">
        <is>
          <t>-</t>
        </is>
      </c>
      <c r="F210" s="323" t="n">
        <v>75000</v>
      </c>
      <c r="G210" s="314" t="inlineStr">
        <is>
          <t>IDR</t>
        </is>
      </c>
      <c r="H210" s="346" t="n">
        <v>1</v>
      </c>
      <c r="I210" s="321" t="n"/>
      <c r="J210" s="329" t="n">
        <v>75000</v>
      </c>
      <c r="K210" s="321" t="n"/>
      <c r="L210" s="321" t="n"/>
      <c r="M210" s="321" t="n"/>
      <c r="N210" s="321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>
        <v>45403</v>
      </c>
      <c r="C211" s="314" t="n">
        <v>1</v>
      </c>
      <c r="D211" s="330" t="inlineStr">
        <is>
          <t>Pembelian Barang</t>
        </is>
      </c>
      <c r="E211" s="326" t="n"/>
      <c r="F211" s="317" t="n">
        <v>255500</v>
      </c>
      <c r="G211" s="314" t="inlineStr">
        <is>
          <t>IDR</t>
        </is>
      </c>
      <c r="H211" s="314" t="n">
        <v>1</v>
      </c>
      <c r="I211" s="319">
        <f>$H211*$F211</f>
        <v/>
      </c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45401</v>
      </c>
      <c r="C212" s="314" t="n">
        <v>8</v>
      </c>
      <c r="D212" s="326" t="inlineStr">
        <is>
          <t>Tekiro Kunci L, Tekiro Tang, Obeng Set</t>
        </is>
      </c>
      <c r="E212" s="326" t="inlineStr">
        <is>
          <t>-</t>
        </is>
      </c>
      <c r="F212" s="323" t="n">
        <v>349000</v>
      </c>
      <c r="G212" s="314" t="inlineStr">
        <is>
          <t>IDR</t>
        </is>
      </c>
      <c r="H212" s="346" t="n">
        <v>1</v>
      </c>
      <c r="I212" s="319">
        <f>$H212*$F212</f>
        <v/>
      </c>
      <c r="J212" s="320" t="n"/>
      <c r="K212" s="321" t="n"/>
      <c r="L212" s="321" t="n"/>
      <c r="M212" s="321" t="n"/>
      <c r="N212" s="329" t="n">
        <v>349000</v>
      </c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61" t="inlineStr">
        <is>
          <t>Expense#11</t>
        </is>
      </c>
      <c r="C213" s="362" t="inlineStr">
        <is>
          <t>:</t>
        </is>
      </c>
      <c r="D213" s="363" t="inlineStr">
        <is>
          <t>ALFA+MFC (TGB-033 Zona 7) Elnusa_TMA</t>
        </is>
      </c>
      <c r="E213" s="374" t="n"/>
      <c r="F213" s="378" t="n"/>
      <c r="G213" s="362" t="n"/>
      <c r="H213" s="362" t="n"/>
      <c r="I213" s="367" t="n"/>
      <c r="J213" s="367" t="n"/>
      <c r="K213" s="368" t="n"/>
      <c r="L213" s="368" t="n"/>
      <c r="M213" s="368" t="n"/>
      <c r="N213" s="368" t="n"/>
      <c r="O213" s="368" t="n"/>
      <c r="P213" s="368" t="n"/>
      <c r="Q213" s="368" t="n"/>
      <c r="R213" s="369" t="n"/>
      <c r="S213" s="369" t="n"/>
      <c r="T213" s="369" t="n"/>
      <c r="U213" s="369" t="n"/>
      <c r="V213" s="369" t="n"/>
      <c r="W213" s="369" t="n"/>
      <c r="X213" s="369" t="n"/>
    </row>
    <row r="214" ht="15.5" customHeight="1" s="297">
      <c r="B214" s="333" t="n">
        <v>45403</v>
      </c>
      <c r="C214" s="314" t="n">
        <v>3</v>
      </c>
      <c r="D214" s="330" t="inlineStr">
        <is>
          <t>Biaya Operasi</t>
        </is>
      </c>
      <c r="E214" s="326" t="n"/>
      <c r="F214" s="317" t="n">
        <v>150000</v>
      </c>
      <c r="G214" s="314" t="inlineStr">
        <is>
          <t>IDR</t>
        </is>
      </c>
      <c r="H214" s="314" t="n">
        <v>1</v>
      </c>
      <c r="I214" s="320">
        <f>F214</f>
        <v/>
      </c>
      <c r="J214" s="320" t="n"/>
      <c r="K214" s="321" t="n"/>
      <c r="L214" s="321" t="n"/>
      <c r="M214" s="321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45401</v>
      </c>
      <c r="C215" s="314" t="n">
        <v>1</v>
      </c>
      <c r="D215" s="370" t="inlineStr">
        <is>
          <t>Hotel 19 Apr-22 Apr 2024 (3 days)</t>
        </is>
      </c>
      <c r="E215" s="370" t="inlineStr">
        <is>
          <t>-</t>
        </is>
      </c>
      <c r="F215" s="323" t="n">
        <v>1950000</v>
      </c>
      <c r="G215" s="314" t="inlineStr">
        <is>
          <t>IDR</t>
        </is>
      </c>
      <c r="H215" s="346" t="n">
        <v>1</v>
      </c>
      <c r="I215" s="320" t="n"/>
      <c r="J215" s="329" t="n">
        <v>1950000</v>
      </c>
      <c r="K215" s="321" t="n"/>
      <c r="L215" s="321" t="n"/>
      <c r="M215" s="321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>
        <v>45401</v>
      </c>
      <c r="C216" s="314" t="n">
        <v>2</v>
      </c>
      <c r="D216" s="326" t="inlineStr">
        <is>
          <t>Laundry 4 days 1 Persons @ 50K IDR/day</t>
        </is>
      </c>
      <c r="E216" s="326" t="inlineStr">
        <is>
          <t>-</t>
        </is>
      </c>
      <c r="F216" s="323" t="n">
        <v>200000</v>
      </c>
      <c r="G216" s="314" t="inlineStr">
        <is>
          <t>IDR</t>
        </is>
      </c>
      <c r="H216" s="346" t="n">
        <v>1</v>
      </c>
      <c r="I216" s="320">
        <f>F216</f>
        <v/>
      </c>
      <c r="J216" s="329" t="n">
        <v>200000</v>
      </c>
      <c r="K216" s="321" t="n"/>
      <c r="L216" s="321" t="n"/>
      <c r="M216" s="321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33" t="n">
        <v>45401</v>
      </c>
      <c r="C217" s="314" t="n">
        <v>3</v>
      </c>
      <c r="D217" s="370" t="inlineStr">
        <is>
          <t>Battery A2</t>
        </is>
      </c>
      <c r="E217" s="370" t="inlineStr">
        <is>
          <t>-</t>
        </is>
      </c>
      <c r="F217" s="323" t="n">
        <v>101800</v>
      </c>
      <c r="G217" s="314" t="inlineStr">
        <is>
          <t>IDR</t>
        </is>
      </c>
      <c r="H217" s="346" t="n">
        <v>1</v>
      </c>
      <c r="I217" s="320" t="n"/>
      <c r="J217" s="329" t="n">
        <v>101800</v>
      </c>
      <c r="K217" s="321" t="n"/>
      <c r="L217" s="321" t="n"/>
      <c r="M217" s="321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45401</v>
      </c>
      <c r="C218" s="314" t="n">
        <v>4</v>
      </c>
      <c r="D218" s="326" t="inlineStr">
        <is>
          <t>Crew's Operational</t>
        </is>
      </c>
      <c r="E218" s="326" t="inlineStr">
        <is>
          <t>-</t>
        </is>
      </c>
      <c r="F218" s="323" t="n">
        <v>481900</v>
      </c>
      <c r="G218" s="314" t="inlineStr">
        <is>
          <t>IDR</t>
        </is>
      </c>
      <c r="H218" s="346" t="n">
        <v>1</v>
      </c>
      <c r="I218" s="320">
        <f>H218*F218</f>
        <v/>
      </c>
      <c r="J218" s="329" t="n">
        <v>481900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45401</v>
      </c>
      <c r="C219" s="314" t="n">
        <v>5</v>
      </c>
      <c r="D219" s="326" t="inlineStr">
        <is>
          <t>Meals 4 days 1 Persons @ 150K IDR/day</t>
        </is>
      </c>
      <c r="E219" s="326" t="inlineStr">
        <is>
          <t>-</t>
        </is>
      </c>
      <c r="F219" s="323" t="n">
        <v>600000</v>
      </c>
      <c r="G219" s="314" t="inlineStr">
        <is>
          <t>IDR</t>
        </is>
      </c>
      <c r="H219" s="346" t="n">
        <v>1</v>
      </c>
      <c r="I219" s="320">
        <f>F219</f>
        <v/>
      </c>
      <c r="J219" s="329" t="n">
        <v>600000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47" t="n">
        <v>45401</v>
      </c>
      <c r="C220" s="348" t="n">
        <v>6</v>
      </c>
      <c r="D220" s="349" t="inlineStr">
        <is>
          <t>Field Bonus for 4 days (25$/Day)</t>
        </is>
      </c>
      <c r="E220" s="349" t="inlineStr">
        <is>
          <t>-</t>
        </is>
      </c>
      <c r="F220" s="323" t="n">
        <v>1605085</v>
      </c>
      <c r="G220" s="314" t="inlineStr">
        <is>
          <t>USD</t>
        </is>
      </c>
      <c r="H220" s="346" t="n">
        <v>16050.85</v>
      </c>
      <c r="I220" s="321" t="n"/>
      <c r="J220" s="329" t="n">
        <v>1605085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45404</v>
      </c>
      <c r="C221" s="314" t="n">
        <v>7</v>
      </c>
      <c r="D221" s="370" t="inlineStr">
        <is>
          <t>Taxi Bintaro-Wisma Mas</t>
        </is>
      </c>
      <c r="E221" s="370" t="inlineStr">
        <is>
          <t>-</t>
        </is>
      </c>
      <c r="F221" s="323" t="n">
        <v>78500</v>
      </c>
      <c r="G221" s="316" t="inlineStr">
        <is>
          <t>IDR</t>
        </is>
      </c>
      <c r="H221" s="380" t="n">
        <v>1</v>
      </c>
      <c r="I221" s="321" t="n"/>
      <c r="J221" s="329" t="n">
        <v>78500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61" t="inlineStr">
        <is>
          <t>Expense#12</t>
        </is>
      </c>
      <c r="C222" s="362" t="inlineStr">
        <is>
          <t>:</t>
        </is>
      </c>
      <c r="D222" s="363" t="inlineStr">
        <is>
          <t>BOSIET Training -_TMA</t>
        </is>
      </c>
      <c r="E222" s="364" t="n"/>
      <c r="F222" s="378" t="n">
        <v>3292802</v>
      </c>
      <c r="G222" s="381" t="inlineStr">
        <is>
          <t>IDR</t>
        </is>
      </c>
      <c r="H222" s="362" t="n">
        <v>1</v>
      </c>
      <c r="I222" s="366">
        <f>$F222*$H222</f>
        <v/>
      </c>
      <c r="J222" s="367" t="n"/>
      <c r="K222" s="368" t="n"/>
      <c r="L222" s="368" t="n"/>
      <c r="M222" s="368" t="n"/>
      <c r="N222" s="368" t="n"/>
      <c r="O222" s="368" t="n"/>
      <c r="P222" s="368" t="n"/>
      <c r="Q222" s="368" t="n"/>
      <c r="R222" s="369" t="n"/>
      <c r="S222" s="369" t="n"/>
      <c r="T222" s="369" t="n"/>
      <c r="U222" s="369" t="n"/>
      <c r="V222" s="369" t="n"/>
      <c r="W222" s="369" t="n"/>
      <c r="X222" s="369" t="n"/>
    </row>
    <row r="223" ht="15.5" customHeight="1" s="297">
      <c r="B223" s="333" t="n">
        <v>45407</v>
      </c>
      <c r="C223" s="314" t="n">
        <v>2</v>
      </c>
      <c r="D223" s="330" t="inlineStr">
        <is>
          <t>Biaya Operasi</t>
        </is>
      </c>
      <c r="E223" s="326" t="n"/>
      <c r="F223" s="317" t="n">
        <v>350000</v>
      </c>
      <c r="G223" s="316" t="inlineStr">
        <is>
          <t>IDR</t>
        </is>
      </c>
      <c r="H223" s="314" t="n">
        <v>1</v>
      </c>
      <c r="I223" s="319">
        <f>$F223*$H223</f>
        <v/>
      </c>
      <c r="J223" s="320" t="n"/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t="15.5" customHeight="1" s="297">
      <c r="B224" s="333" t="n">
        <v>45429</v>
      </c>
      <c r="C224" s="314" t="n">
        <v>1</v>
      </c>
      <c r="D224" s="370" t="inlineStr">
        <is>
          <t>BOSIET Training</t>
        </is>
      </c>
      <c r="E224" s="370" t="inlineStr">
        <is>
          <t>-</t>
        </is>
      </c>
      <c r="F224" s="323" t="n">
        <v>9693878</v>
      </c>
      <c r="G224" s="316" t="inlineStr">
        <is>
          <t>IDR</t>
        </is>
      </c>
      <c r="H224" s="346" t="n">
        <v>1</v>
      </c>
      <c r="I224" s="320" t="n"/>
      <c r="J224" s="329" t="n">
        <v>9693878</v>
      </c>
      <c r="K224" s="321" t="n"/>
      <c r="L224" s="321" t="n"/>
      <c r="M224" s="321" t="n"/>
      <c r="N224" s="321" t="n"/>
      <c r="O224" s="321" t="n"/>
      <c r="P224" s="321" t="n"/>
      <c r="Q224" s="321" t="n"/>
      <c r="R224" s="322" t="n"/>
      <c r="S224" s="322" t="n"/>
      <c r="T224" s="322" t="n"/>
      <c r="U224" s="322" t="n"/>
      <c r="V224" s="322" t="n"/>
      <c r="W224" s="322" t="n"/>
      <c r="X224" s="322" t="n"/>
    </row>
    <row r="225" ht="15.5" customHeight="1" s="297">
      <c r="B225" s="361" t="inlineStr">
        <is>
          <t>Expense#13</t>
        </is>
      </c>
      <c r="C225" s="362" t="inlineStr">
        <is>
          <t>:</t>
        </is>
      </c>
      <c r="D225" s="372" t="inlineStr">
        <is>
          <t>Non Trip MCU Dwiyanto</t>
        </is>
      </c>
      <c r="E225" s="381" t="n"/>
      <c r="F225" s="378" t="n">
        <v>349000</v>
      </c>
      <c r="G225" s="381" t="inlineStr">
        <is>
          <t>IDR</t>
        </is>
      </c>
      <c r="H225" s="362" t="n">
        <v>1</v>
      </c>
      <c r="I225" s="367" t="n"/>
      <c r="J225" s="367" t="n"/>
      <c r="K225" s="368" t="n"/>
      <c r="L225" s="368" t="n"/>
      <c r="M225" s="368" t="n"/>
      <c r="N225" s="366">
        <f>$F225*$H225</f>
        <v/>
      </c>
      <c r="O225" s="368" t="n"/>
      <c r="P225" s="368" t="n"/>
      <c r="Q225" s="368" t="n"/>
      <c r="R225" s="369" t="n"/>
      <c r="S225" s="369" t="n"/>
      <c r="T225" s="369" t="n"/>
      <c r="U225" s="369" t="n"/>
      <c r="V225" s="369" t="n"/>
      <c r="W225" s="369" t="n"/>
      <c r="X225" s="369" t="n"/>
    </row>
    <row r="226" ht="15.5" customHeight="1" s="297">
      <c r="B226" s="333" t="n">
        <v>45411</v>
      </c>
      <c r="C226" s="314" t="n">
        <v>4</v>
      </c>
      <c r="D226" s="315" t="inlineStr">
        <is>
          <t>Kesehatan</t>
        </is>
      </c>
      <c r="E226" s="316" t="n"/>
      <c r="F226" s="317" t="n">
        <v>75000</v>
      </c>
      <c r="G226" s="316" t="inlineStr">
        <is>
          <t>IDR</t>
        </is>
      </c>
      <c r="H226" s="314" t="n">
        <v>1</v>
      </c>
      <c r="I226" s="319">
        <f>$F226*$H226</f>
        <v/>
      </c>
      <c r="J226" s="320" t="n"/>
      <c r="K226" s="321" t="n"/>
      <c r="L226" s="321" t="n"/>
      <c r="M226" s="321" t="n"/>
      <c r="N226" s="321" t="n"/>
      <c r="O226" s="321" t="n"/>
      <c r="P226" s="321" t="n"/>
      <c r="Q226" s="321" t="n"/>
      <c r="R226" s="322" t="n"/>
      <c r="S226" s="322" t="n"/>
      <c r="T226" s="322" t="n"/>
      <c r="U226" s="322" t="n"/>
      <c r="V226" s="322" t="n"/>
      <c r="W226" s="322" t="n"/>
      <c r="X226" s="322" t="n"/>
    </row>
    <row r="227" ht="15.5" customHeight="1" s="297">
      <c r="B227" s="333" t="n">
        <v>45432</v>
      </c>
      <c r="C227" s="314" t="n">
        <v>1</v>
      </c>
      <c r="D227" s="370" t="inlineStr">
        <is>
          <t>MCU Paket Umum Basic 1</t>
        </is>
      </c>
      <c r="E227" s="370" t="inlineStr">
        <is>
          <t>-</t>
        </is>
      </c>
      <c r="F227" s="323" t="n">
        <v>5322000</v>
      </c>
      <c r="G227" s="316" t="inlineStr">
        <is>
          <t>IDR</t>
        </is>
      </c>
      <c r="H227" s="346" t="n">
        <v>1</v>
      </c>
      <c r="I227" s="320" t="n"/>
      <c r="J227" s="320" t="n"/>
      <c r="K227" s="321" t="n"/>
      <c r="L227" s="321" t="n"/>
      <c r="M227" s="321" t="n"/>
      <c r="N227" s="321" t="n"/>
      <c r="O227" s="321" t="n"/>
      <c r="P227" s="329" t="n">
        <v>5322000</v>
      </c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45407</v>
      </c>
      <c r="C228" s="314" t="n">
        <v>5</v>
      </c>
      <c r="D228" s="330" t="inlineStr">
        <is>
          <t>Pembelian Barang</t>
        </is>
      </c>
      <c r="E228" s="326" t="n"/>
      <c r="F228" s="339" t="n">
        <v>657000</v>
      </c>
      <c r="G228" s="316" t="inlineStr">
        <is>
          <t>IDR</t>
        </is>
      </c>
      <c r="H228" s="314" t="n">
        <v>1</v>
      </c>
      <c r="I228" s="319">
        <f>$F228*$H228</f>
        <v/>
      </c>
      <c r="J228" s="320" t="n"/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45433</v>
      </c>
      <c r="C229" s="314" t="n">
        <v>2</v>
      </c>
      <c r="D229" s="370" t="inlineStr">
        <is>
          <t>Safety shoes</t>
        </is>
      </c>
      <c r="E229" s="370" t="inlineStr">
        <is>
          <t>-</t>
        </is>
      </c>
      <c r="F229" s="323" t="n">
        <v>2402000</v>
      </c>
      <c r="G229" s="316" t="inlineStr">
        <is>
          <t>IDR</t>
        </is>
      </c>
      <c r="H229" s="346" t="n">
        <v>1</v>
      </c>
      <c r="I229" s="320" t="n"/>
      <c r="J229" s="320" t="n"/>
      <c r="K229" s="321" t="n"/>
      <c r="L229" s="321" t="n"/>
      <c r="M229" s="321" t="n"/>
      <c r="N229" s="329" t="n">
        <v>2402000</v>
      </c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61" t="inlineStr">
        <is>
          <t>Expense#14</t>
        </is>
      </c>
      <c r="C230" s="362" t="inlineStr">
        <is>
          <t>:</t>
        </is>
      </c>
      <c r="D230" s="363" t="inlineStr">
        <is>
          <t>Non project _ MCU - Ilham BR</t>
        </is>
      </c>
      <c r="E230" s="364" t="n"/>
      <c r="F230" s="378" t="n">
        <v>1050000</v>
      </c>
      <c r="G230" s="381" t="inlineStr">
        <is>
          <t>IDR</t>
        </is>
      </c>
      <c r="H230" s="362" t="n">
        <v>1</v>
      </c>
      <c r="I230" s="366">
        <f>$F230*$H230</f>
        <v/>
      </c>
      <c r="J230" s="368" t="n"/>
      <c r="K230" s="368" t="n"/>
      <c r="L230" s="368" t="n"/>
      <c r="M230" s="368" t="n"/>
      <c r="N230" s="368" t="n"/>
      <c r="O230" s="368" t="n"/>
      <c r="P230" s="368" t="n"/>
      <c r="Q230" s="368" t="n"/>
      <c r="R230" s="369" t="n"/>
      <c r="S230" s="369" t="n"/>
      <c r="T230" s="369" t="n"/>
      <c r="U230" s="369" t="n"/>
      <c r="V230" s="369" t="n"/>
      <c r="W230" s="369" t="n"/>
      <c r="X230" s="369" t="n"/>
    </row>
    <row r="231" ht="15.5" customHeight="1" s="297">
      <c r="B231" s="333" t="n"/>
      <c r="C231" s="314" t="n"/>
      <c r="D231" s="330" t="inlineStr">
        <is>
          <t>Kesehatan</t>
        </is>
      </c>
      <c r="E231" s="370" t="n"/>
      <c r="F231" s="317" t="n"/>
      <c r="G231" s="316" t="n"/>
      <c r="H231" s="314" t="n"/>
      <c r="I231" s="320" t="n"/>
      <c r="J231" s="320" t="n"/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>
        <v>45432</v>
      </c>
      <c r="C232" s="314" t="n">
        <v>1</v>
      </c>
      <c r="D232" s="326" t="inlineStr">
        <is>
          <t>Biaya MCU</t>
        </is>
      </c>
      <c r="E232" s="326" t="inlineStr">
        <is>
          <t>-</t>
        </is>
      </c>
      <c r="F232" s="323" t="n">
        <v>5407000</v>
      </c>
      <c r="G232" s="316" t="inlineStr">
        <is>
          <t>IDR</t>
        </is>
      </c>
      <c r="H232" s="346" t="n">
        <v>1</v>
      </c>
      <c r="I232" s="319" t="n"/>
      <c r="J232" s="320" t="n"/>
      <c r="K232" s="321" t="n"/>
      <c r="L232" s="321" t="n"/>
      <c r="M232" s="321" t="n"/>
      <c r="N232" s="321" t="n"/>
      <c r="O232" s="321" t="n"/>
      <c r="P232" s="329" t="n">
        <v>5407000</v>
      </c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61" t="inlineStr">
        <is>
          <t>Expense#15</t>
        </is>
      </c>
      <c r="C233" s="362" t="inlineStr">
        <is>
          <t>:</t>
        </is>
      </c>
      <c r="D233" s="363" t="inlineStr">
        <is>
          <t>ALFA Job - Jrk-193 _ OJT_ Ilham BR</t>
        </is>
      </c>
      <c r="E233" s="364" t="n"/>
      <c r="F233" s="378" t="n">
        <v>400</v>
      </c>
      <c r="G233" s="381" t="inlineStr">
        <is>
          <t>USD</t>
        </is>
      </c>
      <c r="H233" s="382" t="n">
        <v>16050.85</v>
      </c>
      <c r="I233" s="366">
        <f>$F233*$H233</f>
        <v/>
      </c>
      <c r="J233" s="367" t="n"/>
      <c r="K233" s="368" t="n"/>
      <c r="L233" s="368" t="n"/>
      <c r="M233" s="368" t="n"/>
      <c r="N233" s="368" t="n"/>
      <c r="O233" s="368" t="n"/>
      <c r="P233" s="368" t="n"/>
      <c r="Q233" s="368" t="n"/>
      <c r="R233" s="369" t="n"/>
      <c r="S233" s="369" t="n"/>
      <c r="T233" s="369" t="n"/>
      <c r="U233" s="369" t="n"/>
      <c r="V233" s="369" t="n"/>
      <c r="W233" s="369" t="n"/>
      <c r="X233" s="369" t="n"/>
    </row>
    <row r="234" ht="15.5" customHeight="1" s="297">
      <c r="B234" s="321" t="inlineStr">
        <is>
          <t>Expense#11</t>
        </is>
      </c>
      <c r="C234" s="348" t="inlineStr">
        <is>
          <t>:</t>
        </is>
      </c>
      <c r="D234" s="383" t="inlineStr">
        <is>
          <t>Biaya Operasi</t>
        </is>
      </c>
      <c r="E234" s="349" t="n"/>
      <c r="F234" s="317" t="n"/>
      <c r="G234" s="314" t="n"/>
      <c r="H234" s="314" t="n"/>
      <c r="I234" s="321" t="n"/>
      <c r="J234" s="321" t="n"/>
      <c r="K234" s="321" t="n"/>
      <c r="L234" s="321" t="n"/>
      <c r="M234" s="321" t="n"/>
      <c r="N234" s="321" t="n"/>
      <c r="O234" s="321" t="n"/>
      <c r="P234" s="321" t="n"/>
      <c r="Q234" s="321" t="n"/>
      <c r="R234" s="322" t="n"/>
      <c r="S234" s="322" t="n"/>
      <c r="T234" s="322" t="n"/>
      <c r="U234" s="322" t="n"/>
      <c r="V234" s="322" t="n"/>
      <c r="W234" s="322" t="n"/>
      <c r="X234" s="322" t="n"/>
    </row>
    <row r="235" ht="15.5" customHeight="1" s="297">
      <c r="B235" s="333" t="n">
        <v>45433</v>
      </c>
      <c r="C235" s="314" t="n">
        <v>1</v>
      </c>
      <c r="D235" s="370" t="inlineStr">
        <is>
          <t>Tiket Pesawat Citilink (CGK-PLM 25 Mei 2024)</t>
        </is>
      </c>
      <c r="E235" s="370" t="inlineStr">
        <is>
          <t>-</t>
        </is>
      </c>
      <c r="F235" s="323" t="n">
        <v>773238</v>
      </c>
      <c r="G235" s="316" t="inlineStr">
        <is>
          <t>IDR</t>
        </is>
      </c>
      <c r="H235" s="380" t="n">
        <v>1</v>
      </c>
      <c r="I235" s="321" t="n"/>
      <c r="J235" s="329" t="n">
        <v>773238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45436</v>
      </c>
      <c r="C236" s="314" t="n">
        <v>2</v>
      </c>
      <c r="D236" s="326" t="inlineStr">
        <is>
          <t>Reschedule Tiket Pesawat dari Citilink ke Super Air Jet (CGK-PLg)</t>
        </is>
      </c>
      <c r="E236" s="326" t="inlineStr">
        <is>
          <t>-</t>
        </is>
      </c>
      <c r="F236" s="323" t="n">
        <v>296853</v>
      </c>
      <c r="G236" s="316" t="inlineStr">
        <is>
          <t>IDR</t>
        </is>
      </c>
      <c r="H236" s="380" t="n">
        <v>1</v>
      </c>
      <c r="I236" s="319">
        <f>$F236*$H236</f>
        <v/>
      </c>
      <c r="J236" s="329" t="n">
        <v>296853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33" t="n">
        <v>45436</v>
      </c>
      <c r="C237" s="314" t="n">
        <v>3</v>
      </c>
      <c r="D237" s="326" t="inlineStr">
        <is>
          <t>Taxi + Tol To Airport CGK</t>
        </is>
      </c>
      <c r="E237" s="326" t="inlineStr">
        <is>
          <t>-</t>
        </is>
      </c>
      <c r="F237" s="323" t="n">
        <v>250000</v>
      </c>
      <c r="G237" s="316" t="inlineStr">
        <is>
          <t>IDR</t>
        </is>
      </c>
      <c r="H237" s="380" t="n">
        <v>1</v>
      </c>
      <c r="I237" s="319">
        <f>$F237*$H237</f>
        <v/>
      </c>
      <c r="J237" s="329" t="n">
        <v>250000</v>
      </c>
      <c r="K237" s="321" t="n"/>
      <c r="L237" s="321" t="n"/>
      <c r="M237" s="321" t="n"/>
      <c r="N237" s="321" t="n"/>
      <c r="O237" s="321" t="n"/>
      <c r="P237" s="321" t="n"/>
      <c r="Q237" s="321" t="n"/>
      <c r="R237" s="322" t="n"/>
      <c r="S237" s="322" t="n"/>
      <c r="T237" s="322" t="n"/>
      <c r="U237" s="322" t="n"/>
      <c r="V237" s="322" t="n"/>
      <c r="W237" s="322" t="n"/>
      <c r="X237" s="322" t="n"/>
    </row>
    <row r="238" ht="15.5" customHeight="1" s="297">
      <c r="B238" s="333" t="n">
        <v>45437</v>
      </c>
      <c r="C238" s="314" t="n">
        <v>4</v>
      </c>
      <c r="D238" s="370" t="inlineStr">
        <is>
          <t>Uang makan (25 - 30 May 2024)</t>
        </is>
      </c>
      <c r="E238" s="370" t="inlineStr">
        <is>
          <t>-</t>
        </is>
      </c>
      <c r="F238" s="323" t="n">
        <v>900000</v>
      </c>
      <c r="G238" s="316" t="inlineStr">
        <is>
          <t>IDR</t>
        </is>
      </c>
      <c r="H238" s="380" t="n">
        <v>1</v>
      </c>
      <c r="I238" s="320" t="n"/>
      <c r="J238" s="329" t="n">
        <v>900000</v>
      </c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45437</v>
      </c>
      <c r="C239" s="314" t="n">
        <v>5</v>
      </c>
      <c r="D239" s="316" t="inlineStr">
        <is>
          <t>Tunjangan Lapangan JRK-193 (25 - 30 May 2024)</t>
        </is>
      </c>
      <c r="E239" s="316" t="inlineStr">
        <is>
          <t>-</t>
        </is>
      </c>
      <c r="F239" s="323" t="n">
        <v>2430000</v>
      </c>
      <c r="G239" s="316" t="inlineStr">
        <is>
          <t>$</t>
        </is>
      </c>
      <c r="H239" s="380" t="n">
        <v>16200</v>
      </c>
      <c r="I239" s="319">
        <f>$F239*$H239</f>
        <v/>
      </c>
      <c r="J239" s="329" t="n">
        <v>2430000</v>
      </c>
      <c r="K239" s="321" t="n"/>
      <c r="L239" s="321" t="n"/>
      <c r="M239" s="321" t="n"/>
      <c r="N239" s="319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61" t="inlineStr">
        <is>
          <t>Expense#16</t>
        </is>
      </c>
      <c r="C240" s="362" t="inlineStr">
        <is>
          <t>:</t>
        </is>
      </c>
      <c r="D240" s="363" t="inlineStr">
        <is>
          <t>ALFA job - JRK-193 OJT - Dwiyanto S</t>
        </is>
      </c>
      <c r="E240" s="374" t="n"/>
      <c r="F240" s="378" t="n"/>
      <c r="G240" s="381" t="n"/>
      <c r="H240" s="381" t="n"/>
      <c r="I240" s="366">
        <f>$F240*$H240</f>
        <v/>
      </c>
      <c r="J240" s="367" t="n"/>
      <c r="K240" s="368" t="n"/>
      <c r="L240" s="368" t="n"/>
      <c r="M240" s="368" t="n"/>
      <c r="N240" s="368" t="n"/>
      <c r="O240" s="368" t="n"/>
      <c r="P240" s="368" t="n"/>
      <c r="Q240" s="368" t="n"/>
      <c r="R240" s="369" t="n"/>
      <c r="S240" s="369" t="n"/>
      <c r="T240" s="369" t="n"/>
      <c r="U240" s="369" t="n"/>
      <c r="V240" s="369" t="n"/>
      <c r="W240" s="369" t="n"/>
      <c r="X240" s="369" t="n"/>
    </row>
    <row r="241" ht="15.5" customHeight="1" s="297">
      <c r="B241" s="333" t="n">
        <v>45401</v>
      </c>
      <c r="C241" s="314" t="n">
        <v>4</v>
      </c>
      <c r="D241" s="330" t="inlineStr">
        <is>
          <t>Biaya Operasi</t>
        </is>
      </c>
      <c r="E241" s="326" t="n"/>
      <c r="F241" s="339" t="n">
        <v>481900</v>
      </c>
      <c r="G241" s="316" t="inlineStr">
        <is>
          <t>IDR</t>
        </is>
      </c>
      <c r="H241" s="316" t="n">
        <v>1</v>
      </c>
      <c r="I241" s="319">
        <f>$F241*$H241</f>
        <v/>
      </c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45437</v>
      </c>
      <c r="C242" s="314" t="n">
        <v>1</v>
      </c>
      <c r="D242" s="370" t="inlineStr">
        <is>
          <t>Taxi + Tol to Airport Jakarta</t>
        </is>
      </c>
      <c r="E242" s="370" t="inlineStr">
        <is>
          <t>-</t>
        </is>
      </c>
      <c r="F242" s="323" t="n">
        <v>232520</v>
      </c>
      <c r="G242" s="316" t="inlineStr">
        <is>
          <t>IDR</t>
        </is>
      </c>
      <c r="H242" s="380" t="n">
        <v>1</v>
      </c>
      <c r="I242" s="319">
        <f>$F242*$H242</f>
        <v/>
      </c>
      <c r="J242" s="329" t="n">
        <v>232520</v>
      </c>
      <c r="K242" s="321" t="n"/>
      <c r="L242" s="321" t="n"/>
      <c r="M242" s="321" t="n"/>
      <c r="N242" s="321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45437</v>
      </c>
      <c r="C243" s="314" t="n">
        <v>2</v>
      </c>
      <c r="D243" s="326" t="inlineStr">
        <is>
          <t>fuel + tol PLM-Prabu</t>
        </is>
      </c>
      <c r="E243" s="326" t="inlineStr">
        <is>
          <t>-</t>
        </is>
      </c>
      <c r="F243" s="323" t="n">
        <v>312000</v>
      </c>
      <c r="G243" s="316" t="inlineStr">
        <is>
          <t>IDR</t>
        </is>
      </c>
      <c r="H243" s="380" t="n">
        <v>1</v>
      </c>
      <c r="I243" s="319">
        <f>$F243*$H243</f>
        <v/>
      </c>
      <c r="J243" s="329" t="n">
        <v>312000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>
        <v>45437</v>
      </c>
      <c r="C244" s="314" t="n">
        <v>3</v>
      </c>
      <c r="D244" s="370" t="inlineStr">
        <is>
          <t>Uang Makan (25 - 30 May 2024)</t>
        </is>
      </c>
      <c r="E244" s="370" t="inlineStr">
        <is>
          <t>-</t>
        </is>
      </c>
      <c r="F244" s="323" t="n">
        <v>900000</v>
      </c>
      <c r="G244" s="316" t="inlineStr">
        <is>
          <t>IDR</t>
        </is>
      </c>
      <c r="H244" s="380" t="n">
        <v>1</v>
      </c>
      <c r="I244" s="319">
        <f>$F244*$H244</f>
        <v/>
      </c>
      <c r="J244" s="329" t="n">
        <v>900000</v>
      </c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45437</v>
      </c>
      <c r="C245" s="314" t="n">
        <v>4</v>
      </c>
      <c r="D245" s="326" t="inlineStr">
        <is>
          <t>Laundry (25 - 30 May 2024)</t>
        </is>
      </c>
      <c r="E245" s="326" t="inlineStr">
        <is>
          <t>-</t>
        </is>
      </c>
      <c r="F245" s="323" t="n">
        <v>300000</v>
      </c>
      <c r="G245" s="316" t="inlineStr">
        <is>
          <t>IDR</t>
        </is>
      </c>
      <c r="H245" s="380" t="n">
        <v>1</v>
      </c>
      <c r="I245" s="319">
        <f>$H245*$F245</f>
        <v/>
      </c>
      <c r="J245" s="329" t="n">
        <v>300000</v>
      </c>
      <c r="K245" s="321" t="n"/>
      <c r="L245" s="321" t="n"/>
      <c r="M245" s="321" t="n"/>
      <c r="N245" s="321" t="n"/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>
        <v>45437</v>
      </c>
      <c r="C246" s="314" t="n">
        <v>5</v>
      </c>
      <c r="D246" s="370" t="inlineStr">
        <is>
          <t>Tunjangan Lapangan JRK-193 (25 - 30 May 2024). 1US$=16.200</t>
        </is>
      </c>
      <c r="E246" s="370" t="inlineStr">
        <is>
          <t>-</t>
        </is>
      </c>
      <c r="F246" s="323" t="n">
        <v>150</v>
      </c>
      <c r="G246" s="316" t="inlineStr">
        <is>
          <t>IDR</t>
        </is>
      </c>
      <c r="H246" s="380" t="n">
        <v>16200</v>
      </c>
      <c r="I246" s="319" t="n"/>
      <c r="J246" s="329" t="n">
        <v>150</v>
      </c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45401</v>
      </c>
      <c r="C247" s="314" t="n">
        <v>7</v>
      </c>
      <c r="D247" s="330" t="inlineStr">
        <is>
          <t>Pembelian Barang</t>
        </is>
      </c>
      <c r="E247" s="326" t="n"/>
      <c r="F247" s="317">
        <f>4*25</f>
        <v/>
      </c>
      <c r="G247" s="316" t="inlineStr">
        <is>
          <t>USD</t>
        </is>
      </c>
      <c r="H247" s="337" t="n">
        <v>16050.85</v>
      </c>
      <c r="I247" s="319">
        <f>$F247*$H247</f>
        <v/>
      </c>
      <c r="J247" s="320" t="n"/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t="15.5" customHeight="1" s="297">
      <c r="B248" s="347" t="n">
        <v>45437</v>
      </c>
      <c r="C248" s="348" t="n">
        <v>6</v>
      </c>
      <c r="D248" s="349" t="inlineStr">
        <is>
          <t>Wrapping Alfa Box</t>
        </is>
      </c>
      <c r="E248" s="349" t="inlineStr">
        <is>
          <t>-</t>
        </is>
      </c>
      <c r="F248" s="337" t="n">
        <v>80000</v>
      </c>
      <c r="G248" s="314" t="inlineStr">
        <is>
          <t>IDR</t>
        </is>
      </c>
      <c r="H248" s="346" t="n">
        <v>1</v>
      </c>
      <c r="I248" s="320" t="n"/>
      <c r="J248" s="320" t="n"/>
      <c r="K248" s="321" t="n"/>
      <c r="L248" s="321" t="n"/>
      <c r="M248" s="321" t="n"/>
      <c r="N248" s="329" t="n">
        <v>80000</v>
      </c>
      <c r="O248" s="321" t="n"/>
      <c r="P248" s="321" t="n"/>
      <c r="Q248" s="321" t="n"/>
      <c r="R248" s="322" t="n"/>
      <c r="S248" s="322" t="n"/>
      <c r="T248" s="322" t="n"/>
      <c r="U248" s="322" t="n"/>
      <c r="V248" s="322" t="n"/>
      <c r="W248" s="322" t="n"/>
      <c r="X248" s="322" t="n"/>
    </row>
    <row r="249" ht="15.5" customHeight="1" s="297">
      <c r="B249" s="333" t="n">
        <v>45439</v>
      </c>
      <c r="C249" s="314" t="n">
        <v>7</v>
      </c>
      <c r="D249" s="326" t="inlineStr">
        <is>
          <t>Hand gloves</t>
        </is>
      </c>
      <c r="E249" s="326" t="inlineStr">
        <is>
          <t>-</t>
        </is>
      </c>
      <c r="F249" s="323" t="n">
        <v>21900</v>
      </c>
      <c r="G249" s="314" t="inlineStr">
        <is>
          <t>IDR</t>
        </is>
      </c>
      <c r="H249" s="346" t="n">
        <v>1</v>
      </c>
      <c r="I249" s="319">
        <f>$F249*$H249</f>
        <v/>
      </c>
      <c r="J249" s="320" t="n"/>
      <c r="K249" s="321" t="n"/>
      <c r="L249" s="321" t="n"/>
      <c r="M249" s="321" t="n"/>
      <c r="N249" s="329" t="n">
        <v>21900</v>
      </c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47" t="n">
        <v>45443</v>
      </c>
      <c r="C250" s="348" t="n">
        <v>8</v>
      </c>
      <c r="D250" s="349" t="inlineStr">
        <is>
          <t>Allen key, pliers, screwdrivers</t>
        </is>
      </c>
      <c r="E250" s="349" t="inlineStr">
        <is>
          <t>-</t>
        </is>
      </c>
      <c r="F250" s="337" t="n">
        <v>268000</v>
      </c>
      <c r="G250" s="314" t="inlineStr">
        <is>
          <t>IDR</t>
        </is>
      </c>
      <c r="H250" s="346" t="n">
        <v>1</v>
      </c>
      <c r="I250" s="320" t="n"/>
      <c r="J250" s="320" t="n"/>
      <c r="K250" s="321" t="n"/>
      <c r="L250" s="321" t="n"/>
      <c r="M250" s="321" t="n"/>
      <c r="N250" s="329" t="n">
        <v>268000</v>
      </c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71" t="inlineStr">
        <is>
          <t>Expense#17</t>
        </is>
      </c>
      <c r="C251" s="362" t="inlineStr">
        <is>
          <t>:</t>
        </is>
      </c>
      <c r="D251" s="372" t="inlineStr">
        <is>
          <t>ALFA JRK-193 - project SI_ TMA</t>
        </is>
      </c>
      <c r="E251" s="381" t="n"/>
      <c r="F251" s="378" t="n">
        <v>5322000</v>
      </c>
      <c r="G251" s="362" t="inlineStr">
        <is>
          <t>IDR</t>
        </is>
      </c>
      <c r="H251" s="362" t="n">
        <v>1</v>
      </c>
      <c r="I251" s="367" t="n"/>
      <c r="J251" s="367" t="n"/>
      <c r="K251" s="368" t="n"/>
      <c r="L251" s="368" t="n"/>
      <c r="M251" s="368" t="n"/>
      <c r="N251" s="368" t="n"/>
      <c r="O251" s="368" t="n"/>
      <c r="P251" s="367">
        <f>F251</f>
        <v/>
      </c>
      <c r="Q251" s="368" t="n"/>
      <c r="R251" s="369" t="n"/>
      <c r="S251" s="369" t="n"/>
      <c r="T251" s="369" t="n"/>
      <c r="U251" s="369" t="n"/>
      <c r="V251" s="369" t="n"/>
      <c r="W251" s="369" t="n"/>
      <c r="X251" s="369" t="n"/>
    </row>
    <row r="252" ht="15.5" customHeight="1" s="297">
      <c r="B252" s="313" t="n">
        <v>45433</v>
      </c>
      <c r="C252" s="314" t="n">
        <v>2</v>
      </c>
      <c r="D252" s="315" t="inlineStr">
        <is>
          <t>Biaya Operasi</t>
        </is>
      </c>
      <c r="E252" s="316" t="n"/>
      <c r="F252" s="317" t="n">
        <v>2402000</v>
      </c>
      <c r="G252" s="314" t="inlineStr">
        <is>
          <t>IDR</t>
        </is>
      </c>
      <c r="H252" s="314" t="n">
        <v>1</v>
      </c>
      <c r="I252" s="320" t="n"/>
      <c r="J252" s="320" t="n"/>
      <c r="K252" s="321" t="n"/>
      <c r="L252" s="321" t="n"/>
      <c r="M252" s="321" t="n"/>
      <c r="N252" s="320">
        <f>F252</f>
        <v/>
      </c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47" t="n">
        <v>45437</v>
      </c>
      <c r="C253" s="348" t="n">
        <v>1</v>
      </c>
      <c r="D253" s="384" t="inlineStr">
        <is>
          <t>Hotel 24 May - 30 May (6 days)</t>
        </is>
      </c>
      <c r="E253" s="384" t="inlineStr">
        <is>
          <t>-</t>
        </is>
      </c>
      <c r="F253" s="337" t="n">
        <v>1650000</v>
      </c>
      <c r="G253" s="314" t="inlineStr">
        <is>
          <t>IDR</t>
        </is>
      </c>
      <c r="H253" s="346" t="n">
        <v>1</v>
      </c>
      <c r="I253" s="321" t="n"/>
      <c r="J253" s="329" t="n">
        <v>1650000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13" t="n">
        <v>45437</v>
      </c>
      <c r="C254" s="314" t="n">
        <v>2</v>
      </c>
      <c r="D254" s="316" t="inlineStr">
        <is>
          <t>Laundry 6 days 1 Persons @ 50K IDR/day</t>
        </is>
      </c>
      <c r="E254" s="316" t="inlineStr">
        <is>
          <t>-</t>
        </is>
      </c>
      <c r="F254" s="323" t="n">
        <v>300000</v>
      </c>
      <c r="G254" s="314" t="inlineStr">
        <is>
          <t>IDR</t>
        </is>
      </c>
      <c r="H254" s="346" t="n">
        <v>1</v>
      </c>
      <c r="I254" s="319" t="n"/>
      <c r="J254" s="329" t="n">
        <v>300000</v>
      </c>
      <c r="K254" s="321" t="n"/>
      <c r="L254" s="321" t="n"/>
      <c r="M254" s="321" t="n"/>
      <c r="N254" s="321" t="n"/>
      <c r="O254" s="321" t="n"/>
      <c r="P254" s="320">
        <f>F254</f>
        <v/>
      </c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47" t="n">
        <v>45437</v>
      </c>
      <c r="C255" s="348" t="n">
        <v>3</v>
      </c>
      <c r="D255" s="349" t="inlineStr">
        <is>
          <t>Airplane Ticket CGK-PLM (2 Person)</t>
        </is>
      </c>
      <c r="E255" s="349" t="inlineStr">
        <is>
          <t>-</t>
        </is>
      </c>
      <c r="F255" s="337" t="n">
        <v>1418800</v>
      </c>
      <c r="G255" s="314" t="inlineStr">
        <is>
          <t>IDR</t>
        </is>
      </c>
      <c r="H255" s="346" t="n">
        <v>1</v>
      </c>
      <c r="I255" s="319" t="n"/>
      <c r="J255" s="329" t="n">
        <v>1418800</v>
      </c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45437</v>
      </c>
      <c r="C256" s="314" t="n">
        <v>4</v>
      </c>
      <c r="D256" s="326" t="inlineStr">
        <is>
          <t>Taxi Pondok Cabe-CGK</t>
        </is>
      </c>
      <c r="E256" s="326" t="inlineStr">
        <is>
          <t>-</t>
        </is>
      </c>
      <c r="F256" s="323" t="n">
        <v>166000</v>
      </c>
      <c r="G256" s="314" t="inlineStr">
        <is>
          <t>IDR</t>
        </is>
      </c>
      <c r="H256" s="346" t="n">
        <v>1</v>
      </c>
      <c r="I256" s="319">
        <f>$H256*$F256</f>
        <v/>
      </c>
      <c r="J256" s="329" t="n">
        <v>166000</v>
      </c>
      <c r="K256" s="321" t="n"/>
      <c r="L256" s="321" t="n"/>
      <c r="M256" s="321" t="n"/>
      <c r="N256" s="321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>
        <v>45437</v>
      </c>
      <c r="C257" s="314" t="n">
        <v>5</v>
      </c>
      <c r="D257" s="385" t="inlineStr">
        <is>
          <t>Toll (Pondok Cabe-CGK)</t>
        </is>
      </c>
      <c r="E257" s="385" t="inlineStr">
        <is>
          <t>-</t>
        </is>
      </c>
      <c r="F257" s="323" t="n">
        <v>60000</v>
      </c>
      <c r="G257" s="314" t="inlineStr">
        <is>
          <t>IDR</t>
        </is>
      </c>
      <c r="H257" s="346" t="n">
        <v>1</v>
      </c>
      <c r="I257" s="319">
        <f>$H257*$F257</f>
        <v/>
      </c>
      <c r="J257" s="329" t="n">
        <v>60000</v>
      </c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45437</v>
      </c>
      <c r="C258" s="314" t="n">
        <v>6</v>
      </c>
      <c r="D258" s="326" t="inlineStr">
        <is>
          <t>Rent Car 6 Days</t>
        </is>
      </c>
      <c r="E258" s="326" t="inlineStr">
        <is>
          <t>-</t>
        </is>
      </c>
      <c r="F258" s="323" t="n">
        <v>2900000</v>
      </c>
      <c r="G258" s="314" t="inlineStr">
        <is>
          <t>IDR</t>
        </is>
      </c>
      <c r="H258" s="346" t="n">
        <v>1</v>
      </c>
      <c r="I258" s="319">
        <f>$H258*$F258</f>
        <v/>
      </c>
      <c r="J258" s="329" t="n">
        <v>2900000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>
        <v>45437</v>
      </c>
      <c r="C259" s="314" t="n">
        <v>7</v>
      </c>
      <c r="D259" s="386" t="inlineStr">
        <is>
          <t>Gasoline</t>
        </is>
      </c>
      <c r="E259" s="386" t="inlineStr">
        <is>
          <t>-</t>
        </is>
      </c>
      <c r="F259" s="323" t="n">
        <v>400000</v>
      </c>
      <c r="G259" s="314" t="inlineStr">
        <is>
          <t>IDR</t>
        </is>
      </c>
      <c r="H259" s="346" t="n">
        <v>1</v>
      </c>
      <c r="I259" s="320" t="n"/>
      <c r="J259" s="329" t="n">
        <v>400000</v>
      </c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45437</v>
      </c>
      <c r="C260" s="314" t="n">
        <v>8</v>
      </c>
      <c r="D260" s="326" t="inlineStr">
        <is>
          <t>Meal Crew's Operational</t>
        </is>
      </c>
      <c r="E260" s="326" t="inlineStr">
        <is>
          <t>-</t>
        </is>
      </c>
      <c r="F260" s="323" t="n">
        <v>709300</v>
      </c>
      <c r="G260" s="314" t="inlineStr">
        <is>
          <t>IDR</t>
        </is>
      </c>
      <c r="H260" s="346" t="n">
        <v>1</v>
      </c>
      <c r="I260" s="319">
        <f>F260</f>
        <v/>
      </c>
      <c r="J260" s="329" t="n">
        <v>709300</v>
      </c>
      <c r="K260" s="321" t="n"/>
      <c r="L260" s="321" t="n"/>
      <c r="M260" s="319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>
        <v>45437</v>
      </c>
      <c r="C261" s="314" t="n">
        <v>9</v>
      </c>
      <c r="D261" s="326" t="inlineStr">
        <is>
          <t>Meals 7 days 1 Persons @ 150K IDR/day</t>
        </is>
      </c>
      <c r="E261" s="326" t="inlineStr">
        <is>
          <t>-</t>
        </is>
      </c>
      <c r="F261" s="323" t="n">
        <v>900000</v>
      </c>
      <c r="G261" s="314" t="inlineStr">
        <is>
          <t>IDR</t>
        </is>
      </c>
      <c r="H261" s="346" t="n">
        <v>1</v>
      </c>
      <c r="I261" s="319">
        <f>F261</f>
        <v/>
      </c>
      <c r="J261" s="329" t="n">
        <v>900000</v>
      </c>
      <c r="K261" s="321" t="n"/>
      <c r="L261" s="321" t="n"/>
      <c r="M261" s="319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45437</v>
      </c>
      <c r="C262" s="314" t="n">
        <v>10</v>
      </c>
      <c r="D262" s="386" t="inlineStr">
        <is>
          <t>Tunjangan Lapangan for 6 days</t>
        </is>
      </c>
      <c r="E262" s="386" t="inlineStr">
        <is>
          <t>-</t>
        </is>
      </c>
      <c r="F262" s="323" t="n">
        <v>9717600</v>
      </c>
      <c r="G262" s="314" t="inlineStr">
        <is>
          <t>USD</t>
        </is>
      </c>
      <c r="H262" s="346" t="n">
        <v>16196</v>
      </c>
      <c r="I262" s="319" t="n"/>
      <c r="J262" s="329" t="n">
        <v>9717600</v>
      </c>
      <c r="K262" s="321" t="n"/>
      <c r="L262" s="321" t="n"/>
      <c r="M262" s="319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t="15.5" customHeight="1" s="297">
      <c r="B263" s="333" t="n">
        <v>45442</v>
      </c>
      <c r="C263" s="314" t="n">
        <v>11</v>
      </c>
      <c r="D263" s="385" t="inlineStr">
        <is>
          <t>Taxi CGK-Pondok Cabe (inc Toll+Parking)</t>
        </is>
      </c>
      <c r="E263" s="385" t="inlineStr">
        <is>
          <t>-</t>
        </is>
      </c>
      <c r="F263" s="387" t="n">
        <v>300000</v>
      </c>
      <c r="G263" s="318" t="inlineStr">
        <is>
          <t>IDR</t>
        </is>
      </c>
      <c r="H263" s="324" t="n">
        <v>1</v>
      </c>
      <c r="I263" s="320">
        <f>H263*F263</f>
        <v/>
      </c>
      <c r="J263" s="329" t="n">
        <v>300000</v>
      </c>
      <c r="K263" s="321" t="n"/>
      <c r="L263" s="321" t="n"/>
      <c r="M263" s="321" t="n"/>
      <c r="N263" s="321" t="n"/>
      <c r="O263" s="321" t="n"/>
      <c r="P263" s="321" t="n"/>
      <c r="Q263" s="321" t="n"/>
      <c r="R263" s="322" t="n"/>
      <c r="S263" s="322" t="n"/>
      <c r="T263" s="322" t="n"/>
      <c r="U263" s="322" t="n"/>
      <c r="V263" s="322" t="n"/>
      <c r="W263" s="322" t="n"/>
      <c r="X263" s="322" t="n"/>
    </row>
    <row r="264" ht="15.5" customHeight="1" s="297">
      <c r="B264" s="347" t="n">
        <v>45442</v>
      </c>
      <c r="C264" s="348" t="n">
        <v>12</v>
      </c>
      <c r="D264" s="349" t="inlineStr">
        <is>
          <t>Airplane Ticket PLM-CGK (2 Person)</t>
        </is>
      </c>
      <c r="E264" s="349" t="inlineStr">
        <is>
          <t>-</t>
        </is>
      </c>
      <c r="F264" s="337" t="n">
        <v>1326410</v>
      </c>
      <c r="G264" s="314" t="inlineStr">
        <is>
          <t>IDR</t>
        </is>
      </c>
      <c r="H264" s="346" t="n">
        <v>1</v>
      </c>
      <c r="I264" s="321" t="n"/>
      <c r="J264" s="329" t="n">
        <v>1326410</v>
      </c>
      <c r="K264" s="321" t="n"/>
      <c r="L264" s="321" t="n"/>
      <c r="M264" s="319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61" t="inlineStr">
        <is>
          <t>Expense#18</t>
        </is>
      </c>
      <c r="C265" s="362" t="inlineStr">
        <is>
          <t>:</t>
        </is>
      </c>
      <c r="D265" s="372" t="inlineStr">
        <is>
          <t>Non Trip - BOSIET Training - DS</t>
        </is>
      </c>
      <c r="E265" s="373" t="n"/>
      <c r="F265" s="378" t="n"/>
      <c r="G265" s="362" t="n"/>
      <c r="H265" s="362" t="n"/>
      <c r="I265" s="367" t="n"/>
      <c r="J265" s="367" t="n"/>
      <c r="K265" s="368" t="n"/>
      <c r="L265" s="368" t="n"/>
      <c r="M265" s="368" t="n"/>
      <c r="N265" s="368" t="n"/>
      <c r="O265" s="368" t="n"/>
      <c r="P265" s="368" t="n"/>
      <c r="Q265" s="368" t="n"/>
      <c r="R265" s="369" t="n"/>
      <c r="S265" s="369" t="n"/>
      <c r="T265" s="369" t="n"/>
      <c r="U265" s="369" t="n"/>
      <c r="V265" s="369" t="n"/>
      <c r="W265" s="369" t="n"/>
      <c r="X265" s="369" t="n"/>
    </row>
    <row r="266" ht="15.5" customHeight="1" s="297">
      <c r="B266" s="377" t="n">
        <v>45437</v>
      </c>
      <c r="C266" s="314" t="n">
        <v>1</v>
      </c>
      <c r="D266" s="330" t="inlineStr">
        <is>
          <t>Biaya Operasi</t>
        </is>
      </c>
      <c r="E266" s="326" t="n"/>
      <c r="F266" s="317">
        <f>48000+7000+177520</f>
        <v/>
      </c>
      <c r="G266" s="314" t="inlineStr">
        <is>
          <t>IDR</t>
        </is>
      </c>
      <c r="H266" s="314" t="n">
        <v>1</v>
      </c>
      <c r="I266" s="319">
        <f>$H266*$F266</f>
        <v/>
      </c>
      <c r="J266" s="320" t="n"/>
      <c r="K266" s="321" t="n"/>
      <c r="L266" s="321" t="n"/>
      <c r="M266" s="321" t="n"/>
      <c r="N266" s="319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33" t="n">
        <v>45448</v>
      </c>
      <c r="C267" s="314" t="n">
        <v>1</v>
      </c>
      <c r="D267" s="326" t="inlineStr">
        <is>
          <t>Personal Car from Home to PT. LTJ (converted) DAY-1</t>
        </is>
      </c>
      <c r="E267" s="326" t="inlineStr">
        <is>
          <t>-</t>
        </is>
      </c>
      <c r="F267" s="323" t="n">
        <v>233000</v>
      </c>
      <c r="G267" s="314" t="inlineStr">
        <is>
          <t>IDR</t>
        </is>
      </c>
      <c r="H267" s="346" t="n">
        <v>1</v>
      </c>
      <c r="I267" s="319">
        <f>$H267*$F267</f>
        <v/>
      </c>
      <c r="J267" s="329" t="n">
        <v>233000</v>
      </c>
      <c r="K267" s="321" t="n"/>
      <c r="L267" s="321" t="n"/>
      <c r="M267" s="321" t="n"/>
      <c r="N267" s="319" t="n"/>
      <c r="O267" s="321" t="n"/>
      <c r="P267" s="321" t="n"/>
      <c r="Q267" s="321" t="n"/>
      <c r="R267" s="322" t="n"/>
      <c r="S267" s="322" t="n"/>
      <c r="T267" s="322" t="n"/>
      <c r="U267" s="322" t="n"/>
      <c r="V267" s="322" t="n"/>
      <c r="W267" s="322" t="n"/>
      <c r="X267" s="322" t="n"/>
    </row>
    <row r="268" ht="15.5" customHeight="1" s="297">
      <c r="B268" s="333" t="n">
        <v>45449</v>
      </c>
      <c r="C268" s="314" t="n">
        <v>2</v>
      </c>
      <c r="D268" s="326" t="inlineStr">
        <is>
          <t>Transport DAY - 2 BOSIET</t>
        </is>
      </c>
      <c r="E268" s="326" t="inlineStr">
        <is>
          <t>-</t>
        </is>
      </c>
      <c r="F268" s="323" t="n">
        <v>73000</v>
      </c>
      <c r="G268" s="314" t="inlineStr">
        <is>
          <t>IDR</t>
        </is>
      </c>
      <c r="H268" s="346" t="n">
        <v>1</v>
      </c>
      <c r="I268" s="319" t="n"/>
      <c r="J268" s="329" t="n">
        <v>73000</v>
      </c>
      <c r="K268" s="321" t="n"/>
      <c r="L268" s="321" t="n"/>
      <c r="M268" s="321" t="n"/>
      <c r="N268" s="319" t="n"/>
      <c r="O268" s="321" t="n"/>
      <c r="P268" s="321" t="n"/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33" t="n">
        <v>45450</v>
      </c>
      <c r="C269" s="314" t="n">
        <v>3</v>
      </c>
      <c r="D269" s="370" t="inlineStr">
        <is>
          <t>BOSIET 5 - 7 June 2024</t>
        </is>
      </c>
      <c r="E269" s="370" t="inlineStr">
        <is>
          <t>-</t>
        </is>
      </c>
      <c r="F269" s="323" t="n">
        <v>9693878</v>
      </c>
      <c r="G269" s="314" t="inlineStr">
        <is>
          <t>IDR</t>
        </is>
      </c>
      <c r="H269" s="346" t="n">
        <v>1</v>
      </c>
      <c r="I269" s="319" t="n"/>
      <c r="J269" s="329" t="n">
        <v>9693878</v>
      </c>
      <c r="K269" s="321" t="n"/>
      <c r="L269" s="321" t="n"/>
      <c r="M269" s="321" t="n"/>
      <c r="N269" s="319" t="n"/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33" t="n">
        <v>45450</v>
      </c>
      <c r="C270" s="314" t="n">
        <v>4</v>
      </c>
      <c r="D270" s="316" t="inlineStr">
        <is>
          <t>Transport DAY - 3 BOSIET</t>
        </is>
      </c>
      <c r="E270" s="316" t="inlineStr">
        <is>
          <t>-</t>
        </is>
      </c>
      <c r="F270" s="323" t="n">
        <v>59000</v>
      </c>
      <c r="G270" s="314" t="inlineStr">
        <is>
          <t>IDR</t>
        </is>
      </c>
      <c r="H270" s="346" t="n">
        <v>1</v>
      </c>
      <c r="I270" s="319" t="n"/>
      <c r="J270" s="329" t="n">
        <v>59000</v>
      </c>
      <c r="K270" s="321" t="n"/>
      <c r="L270" s="321" t="n"/>
      <c r="M270" s="321" t="n"/>
      <c r="N270" s="319">
        <f>F270</f>
        <v/>
      </c>
      <c r="O270" s="321" t="n"/>
      <c r="P270" s="321" t="n"/>
      <c r="Q270" s="321" t="n"/>
      <c r="R270" s="322" t="n"/>
      <c r="S270" s="322" t="n"/>
      <c r="T270" s="322" t="n"/>
      <c r="U270" s="322" t="n"/>
      <c r="V270" s="322" t="n"/>
      <c r="W270" s="322" t="n"/>
      <c r="X270" s="322" t="n"/>
    </row>
    <row r="271" ht="15.5" customHeight="1" s="297">
      <c r="B271" s="361" t="inlineStr">
        <is>
          <t>Expense#19</t>
        </is>
      </c>
      <c r="C271" s="362" t="inlineStr">
        <is>
          <t>:</t>
        </is>
      </c>
      <c r="D271" s="363" t="inlineStr">
        <is>
          <t>ALFA JRK-163 (Pending job) - TMA</t>
        </is>
      </c>
      <c r="E271" s="374" t="n"/>
      <c r="F271" s="378" t="n"/>
      <c r="G271" s="362" t="n"/>
      <c r="H271" s="362" t="n"/>
      <c r="I271" s="366" t="n"/>
      <c r="J271" s="367" t="n"/>
      <c r="K271" s="368" t="n"/>
      <c r="L271" s="368" t="n"/>
      <c r="M271" s="368" t="n"/>
      <c r="N271" s="366" t="n"/>
      <c r="O271" s="368" t="n"/>
      <c r="P271" s="368" t="n"/>
      <c r="Q271" s="368" t="n"/>
      <c r="R271" s="369" t="n"/>
      <c r="S271" s="369" t="n"/>
      <c r="T271" s="369" t="n"/>
      <c r="U271" s="369" t="n"/>
      <c r="V271" s="369" t="n"/>
      <c r="W271" s="369" t="n"/>
      <c r="X271" s="369" t="n"/>
    </row>
    <row r="272" ht="15.5" customHeight="1" s="297">
      <c r="B272" s="333" t="n">
        <v>45437</v>
      </c>
      <c r="C272" s="314" t="n">
        <v>3</v>
      </c>
      <c r="D272" s="388" t="inlineStr">
        <is>
          <t>Biaya Operasi</t>
        </is>
      </c>
      <c r="E272" s="389" t="n"/>
      <c r="F272" s="317" t="n">
        <v>80000</v>
      </c>
      <c r="G272" s="314" t="inlineStr">
        <is>
          <t>IDR</t>
        </is>
      </c>
      <c r="H272" s="314" t="n">
        <v>1</v>
      </c>
      <c r="I272" s="319" t="n"/>
      <c r="J272" s="320" t="n"/>
      <c r="K272" s="321" t="n"/>
      <c r="L272" s="321" t="n"/>
      <c r="M272" s="321" t="n"/>
      <c r="N272" s="319">
        <f>F272</f>
        <v/>
      </c>
      <c r="O272" s="321" t="n"/>
      <c r="P272" s="321" t="n"/>
      <c r="Q272" s="321" t="n"/>
      <c r="R272" s="322" t="n"/>
      <c r="S272" s="322" t="n"/>
      <c r="T272" s="322" t="n"/>
      <c r="U272" s="322" t="n"/>
      <c r="V272" s="322" t="n"/>
      <c r="W272" s="322" t="n"/>
      <c r="X272" s="322" t="n"/>
    </row>
    <row r="273" ht="15.5" customHeight="1" s="297">
      <c r="B273" s="333" t="n">
        <v>45428</v>
      </c>
      <c r="C273" s="314" t="n">
        <v>1</v>
      </c>
      <c r="D273" s="326" t="inlineStr">
        <is>
          <t>Hotel 16 June - 19 June (3 days)</t>
        </is>
      </c>
      <c r="E273" s="326" t="inlineStr">
        <is>
          <t>-</t>
        </is>
      </c>
      <c r="F273" s="323" t="n">
        <v>720000</v>
      </c>
      <c r="G273" s="314" t="inlineStr">
        <is>
          <t>IDR</t>
        </is>
      </c>
      <c r="H273" s="346" t="n">
        <v>1</v>
      </c>
      <c r="I273" s="320" t="n"/>
      <c r="J273" s="329" t="n">
        <v>720000</v>
      </c>
      <c r="K273" s="321" t="n"/>
      <c r="L273" s="321" t="n"/>
      <c r="M273" s="321" t="n"/>
      <c r="N273" s="319">
        <f>F273</f>
        <v/>
      </c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45428</v>
      </c>
      <c r="C274" s="314" t="n">
        <v>2</v>
      </c>
      <c r="D274" s="370" t="inlineStr">
        <is>
          <t>Laundry 4 days 1 Persons @ 50K IDR/day</t>
        </is>
      </c>
      <c r="E274" s="370" t="inlineStr">
        <is>
          <t>-</t>
        </is>
      </c>
      <c r="F274" s="323" t="n">
        <v>200000</v>
      </c>
      <c r="G274" s="314" t="inlineStr">
        <is>
          <t>IDR</t>
        </is>
      </c>
      <c r="H274" s="346" t="n">
        <v>1</v>
      </c>
      <c r="I274" s="320" t="n"/>
      <c r="J274" s="329" t="n">
        <v>200000</v>
      </c>
      <c r="K274" s="321" t="n"/>
      <c r="L274" s="321" t="n"/>
      <c r="M274" s="319" t="n"/>
      <c r="N274" s="319">
        <f>F274</f>
        <v/>
      </c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45428</v>
      </c>
      <c r="C275" s="314" t="n">
        <v>3</v>
      </c>
      <c r="D275" s="326" t="inlineStr">
        <is>
          <t>Airplane Ticket CGK-PLM</t>
        </is>
      </c>
      <c r="E275" s="326" t="inlineStr">
        <is>
          <t>-</t>
        </is>
      </c>
      <c r="F275" s="323" t="n">
        <v>995500</v>
      </c>
      <c r="G275" s="314" t="inlineStr">
        <is>
          <t>IDR</t>
        </is>
      </c>
      <c r="H275" s="346" t="n">
        <v>1</v>
      </c>
      <c r="I275" s="320">
        <f>F275</f>
        <v/>
      </c>
      <c r="J275" s="329" t="n">
        <v>995500</v>
      </c>
      <c r="K275" s="321" t="n"/>
      <c r="L275" s="321" t="n"/>
      <c r="M275" s="319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>
        <v>45428</v>
      </c>
      <c r="C276" s="314" t="n">
        <v>4</v>
      </c>
      <c r="D276" s="370" t="inlineStr">
        <is>
          <t>Taxi Pondok Cabe-CGK</t>
        </is>
      </c>
      <c r="E276" s="370" t="inlineStr">
        <is>
          <t>-</t>
        </is>
      </c>
      <c r="F276" s="323" t="n">
        <v>273500</v>
      </c>
      <c r="G276" s="314" t="inlineStr">
        <is>
          <t>IDR</t>
        </is>
      </c>
      <c r="H276" s="346" t="n">
        <v>1</v>
      </c>
      <c r="I276" s="320" t="n"/>
      <c r="J276" s="329" t="n">
        <v>273500</v>
      </c>
      <c r="K276" s="321" t="n"/>
      <c r="L276" s="321" t="n"/>
      <c r="M276" s="319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45428</v>
      </c>
      <c r="C277" s="314" t="n">
        <v>5</v>
      </c>
      <c r="D277" s="326" t="inlineStr">
        <is>
          <t>Toll Prabumulih (PP)</t>
        </is>
      </c>
      <c r="E277" s="326" t="inlineStr">
        <is>
          <t>-</t>
        </is>
      </c>
      <c r="F277" s="323" t="n">
        <v>224000</v>
      </c>
      <c r="G277" s="314" t="inlineStr">
        <is>
          <t>IDR</t>
        </is>
      </c>
      <c r="H277" s="346" t="n">
        <v>1</v>
      </c>
      <c r="I277" s="320">
        <f>F277</f>
        <v/>
      </c>
      <c r="J277" s="329" t="n">
        <v>224000</v>
      </c>
      <c r="K277" s="321" t="n"/>
      <c r="L277" s="321" t="n"/>
      <c r="M277" s="320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>
        <v>45428</v>
      </c>
      <c r="C278" s="314" t="n">
        <v>6</v>
      </c>
      <c r="D278" s="370" t="inlineStr">
        <is>
          <t>Rent Car 4 Days</t>
        </is>
      </c>
      <c r="E278" s="370" t="inlineStr">
        <is>
          <t>-</t>
        </is>
      </c>
      <c r="F278" s="323" t="n">
        <v>2000000</v>
      </c>
      <c r="G278" s="314" t="inlineStr">
        <is>
          <t>IDR</t>
        </is>
      </c>
      <c r="H278" s="346" t="n">
        <v>1</v>
      </c>
      <c r="I278" s="320" t="n"/>
      <c r="J278" s="329" t="n">
        <v>2000000</v>
      </c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t="15.5" customHeight="1" s="297">
      <c r="B279" s="333" t="n">
        <v>45428</v>
      </c>
      <c r="C279" s="314" t="n">
        <v>7</v>
      </c>
      <c r="D279" s="385" t="inlineStr">
        <is>
          <t>Gasoline</t>
        </is>
      </c>
      <c r="E279" s="385" t="inlineStr">
        <is>
          <t>-</t>
        </is>
      </c>
      <c r="F279" s="323" t="n">
        <v>330000</v>
      </c>
      <c r="G279" s="314" t="inlineStr">
        <is>
          <t>IDR</t>
        </is>
      </c>
      <c r="H279" s="346" t="n">
        <v>1</v>
      </c>
      <c r="I279" s="320">
        <f>H279*F279</f>
        <v/>
      </c>
      <c r="J279" s="329" t="n">
        <v>330000</v>
      </c>
      <c r="K279" s="321" t="n"/>
      <c r="L279" s="321" t="n"/>
      <c r="M279" s="320" t="n"/>
      <c r="N279" s="321" t="n"/>
      <c r="O279" s="321" t="n"/>
      <c r="P279" s="321" t="n"/>
      <c r="Q279" s="321" t="n"/>
      <c r="R279" s="322" t="n"/>
      <c r="S279" s="322" t="n"/>
      <c r="T279" s="322" t="n"/>
      <c r="U279" s="322" t="n"/>
      <c r="V279" s="322" t="n"/>
      <c r="W279" s="322" t="n"/>
      <c r="X279" s="322" t="n"/>
    </row>
    <row r="280" ht="15.5" customHeight="1" s="297">
      <c r="B280" s="347" t="n">
        <v>45428</v>
      </c>
      <c r="C280" s="348" t="n">
        <v>8</v>
      </c>
      <c r="D280" s="384" t="inlineStr">
        <is>
          <t>Taxi HLP-Pondok Cabe (inc Toll+Parking)</t>
        </is>
      </c>
      <c r="E280" s="384" t="inlineStr">
        <is>
          <t>-</t>
        </is>
      </c>
      <c r="F280" s="337" t="n">
        <v>270000</v>
      </c>
      <c r="G280" s="314" t="inlineStr">
        <is>
          <t>IDR</t>
        </is>
      </c>
      <c r="H280" s="346" t="n">
        <v>1</v>
      </c>
      <c r="I280" s="320" t="n"/>
      <c r="J280" s="329" t="n">
        <v>270000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33" t="n">
        <v>45428</v>
      </c>
      <c r="C281" s="314" t="n">
        <v>9</v>
      </c>
      <c r="D281" s="370" t="inlineStr">
        <is>
          <t>Airplane Ticket PLM-HLP</t>
        </is>
      </c>
      <c r="E281" s="370" t="inlineStr">
        <is>
          <t>-</t>
        </is>
      </c>
      <c r="F281" s="332" t="n">
        <v>1004000</v>
      </c>
      <c r="G281" s="314" t="inlineStr">
        <is>
          <t>IDR</t>
        </is>
      </c>
      <c r="H281" s="346" t="n">
        <v>1</v>
      </c>
      <c r="I281" s="320" t="n"/>
      <c r="J281" s="329" t="n">
        <v>1004000</v>
      </c>
      <c r="K281" s="321" t="n"/>
      <c r="L281" s="321" t="n"/>
      <c r="M281" s="321" t="n"/>
      <c r="N281" s="321" t="n"/>
      <c r="O281" s="321" t="n"/>
      <c r="P281" s="321" t="n"/>
      <c r="Q281" s="321" t="n"/>
      <c r="R281" s="322" t="n"/>
      <c r="S281" s="322" t="n"/>
      <c r="T281" s="322" t="n"/>
      <c r="U281" s="322" t="n"/>
      <c r="V281" s="322" t="n"/>
      <c r="W281" s="322" t="n"/>
      <c r="X281" s="322" t="n"/>
    </row>
    <row r="282" ht="15.5" customHeight="1" s="297">
      <c r="B282" s="333" t="n">
        <v>45428</v>
      </c>
      <c r="C282" s="314" t="n">
        <v>10</v>
      </c>
      <c r="D282" s="326" t="inlineStr">
        <is>
          <t>Meals 4 days 1 Persons @ 150K IDR/day</t>
        </is>
      </c>
      <c r="E282" s="326" t="inlineStr">
        <is>
          <t>-</t>
        </is>
      </c>
      <c r="F282" s="332" t="n">
        <v>600000</v>
      </c>
      <c r="G282" s="314" t="inlineStr">
        <is>
          <t>IDR</t>
        </is>
      </c>
      <c r="H282" s="346" t="n">
        <v>1</v>
      </c>
      <c r="I282" s="320">
        <f>F282</f>
        <v/>
      </c>
      <c r="J282" s="329" t="n">
        <v>600000</v>
      </c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33" t="n">
        <v>45428</v>
      </c>
      <c r="C283" s="314" t="n">
        <v>11</v>
      </c>
      <c r="D283" s="326" t="inlineStr">
        <is>
          <t>Tunjangan Lapangan for 4 days</t>
        </is>
      </c>
      <c r="E283" s="326" t="inlineStr">
        <is>
          <t>-</t>
        </is>
      </c>
      <c r="F283" s="332" t="n">
        <v>6551200</v>
      </c>
      <c r="G283" s="314" t="inlineStr">
        <is>
          <t>USD</t>
        </is>
      </c>
      <c r="H283" s="346" t="n">
        <v>16378</v>
      </c>
      <c r="I283" s="320">
        <f>F283</f>
        <v/>
      </c>
      <c r="J283" s="329" t="n">
        <v>6551200</v>
      </c>
      <c r="K283" s="321" t="n"/>
      <c r="L283" s="321" t="n"/>
      <c r="M283" s="321" t="n"/>
      <c r="N283" s="321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/>
      <c r="C284" s="314" t="n"/>
      <c r="D284" s="330" t="inlineStr">
        <is>
          <t>Pembelian Barang</t>
        </is>
      </c>
      <c r="E284" s="370" t="n"/>
      <c r="F284" s="351" t="n"/>
      <c r="G284" s="314" t="n"/>
      <c r="H284" s="314" t="n"/>
      <c r="I284" s="320" t="n"/>
      <c r="J284" s="320" t="n"/>
      <c r="K284" s="321" t="n"/>
      <c r="L284" s="321" t="n"/>
      <c r="M284" s="321" t="n"/>
      <c r="N284" s="321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45428</v>
      </c>
      <c r="C285" s="314" t="n">
        <v>12</v>
      </c>
      <c r="D285" s="326" t="inlineStr">
        <is>
          <t>Uneed Power Station</t>
        </is>
      </c>
      <c r="E285" s="326" t="inlineStr">
        <is>
          <t>-</t>
        </is>
      </c>
      <c r="F285" s="332" t="n">
        <v>2371000</v>
      </c>
      <c r="G285" s="314" t="inlineStr">
        <is>
          <t>IDR</t>
        </is>
      </c>
      <c r="H285" s="346" t="n">
        <v>1</v>
      </c>
      <c r="I285" s="319">
        <f>$H285*$F285</f>
        <v/>
      </c>
      <c r="J285" s="320" t="n"/>
      <c r="K285" s="321" t="n"/>
      <c r="L285" s="321" t="n"/>
      <c r="M285" s="321" t="n"/>
      <c r="N285" s="329" t="n">
        <v>2371000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61" t="inlineStr">
        <is>
          <t>Expense#20</t>
        </is>
      </c>
      <c r="C286" s="362" t="inlineStr">
        <is>
          <t>:</t>
        </is>
      </c>
      <c r="D286" s="363" t="inlineStr">
        <is>
          <t>Preparation TIS Petroleum - TMA</t>
        </is>
      </c>
      <c r="E286" s="364" t="n"/>
      <c r="F286" s="365" t="n">
        <v>166000</v>
      </c>
      <c r="G286" s="362" t="inlineStr">
        <is>
          <t>IDR</t>
        </is>
      </c>
      <c r="H286" s="362" t="n">
        <v>1</v>
      </c>
      <c r="I286" s="366">
        <f>$H286*$F286</f>
        <v/>
      </c>
      <c r="J286" s="367" t="n"/>
      <c r="K286" s="368" t="n"/>
      <c r="L286" s="368" t="n"/>
      <c r="M286" s="368" t="n"/>
      <c r="N286" s="368" t="n"/>
      <c r="O286" s="368" t="n"/>
      <c r="P286" s="368" t="n"/>
      <c r="Q286" s="368" t="n"/>
      <c r="R286" s="369" t="n"/>
      <c r="S286" s="369" t="n"/>
      <c r="T286" s="369" t="n"/>
      <c r="U286" s="369" t="n"/>
      <c r="V286" s="369" t="n"/>
      <c r="W286" s="369" t="n"/>
      <c r="X286" s="369" t="n"/>
    </row>
    <row r="287" ht="15.5" customHeight="1" s="297">
      <c r="B287" s="333" t="n">
        <v>45437</v>
      </c>
      <c r="C287" s="314" t="n">
        <v>5</v>
      </c>
      <c r="D287" s="330" t="inlineStr">
        <is>
          <t>Biaya Operasi</t>
        </is>
      </c>
      <c r="E287" s="326" t="n"/>
      <c r="F287" s="351" t="n">
        <v>60000</v>
      </c>
      <c r="G287" s="314" t="inlineStr">
        <is>
          <t>IDR</t>
        </is>
      </c>
      <c r="H287" s="314" t="n">
        <v>1</v>
      </c>
      <c r="I287" s="319">
        <f>$H287*$F287</f>
        <v/>
      </c>
      <c r="J287" s="320" t="n"/>
      <c r="K287" s="321" t="n"/>
      <c r="L287" s="321" t="n"/>
      <c r="M287" s="321" t="n"/>
      <c r="N287" s="321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>
        <v>45478</v>
      </c>
      <c r="C288" s="314" t="n">
        <v>1</v>
      </c>
      <c r="D288" s="326" t="inlineStr">
        <is>
          <t>Lalamove Gowell-Bogor-Gowell</t>
        </is>
      </c>
      <c r="E288" s="326" t="inlineStr">
        <is>
          <t>-</t>
        </is>
      </c>
      <c r="F288" s="332" t="n">
        <v>594804</v>
      </c>
      <c r="G288" s="314" t="inlineStr">
        <is>
          <t>IDR</t>
        </is>
      </c>
      <c r="H288" s="346" t="n">
        <v>1</v>
      </c>
      <c r="I288" s="319">
        <f>$H288*$F288</f>
        <v/>
      </c>
      <c r="J288" s="329" t="n">
        <v>594804</v>
      </c>
      <c r="K288" s="321" t="n"/>
      <c r="L288" s="321" t="n"/>
      <c r="M288" s="321" t="n"/>
      <c r="N288" s="321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7</v>
      </c>
      <c r="D289" s="315" t="inlineStr">
        <is>
          <t>Pembelian Barang</t>
        </is>
      </c>
      <c r="E289" s="316" t="n"/>
      <c r="F289" s="351" t="n">
        <v>400000</v>
      </c>
      <c r="G289" s="314" t="inlineStr">
        <is>
          <t>IDR</t>
        </is>
      </c>
      <c r="H289" s="314" t="n">
        <v>1</v>
      </c>
      <c r="I289" s="319">
        <f>$H289*$F289</f>
        <v/>
      </c>
      <c r="J289" s="320" t="n"/>
      <c r="K289" s="321" t="n"/>
      <c r="L289" s="321" t="n"/>
      <c r="M289" s="321" t="n"/>
      <c r="N289" s="321" t="n"/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45483</v>
      </c>
      <c r="C290" s="314" t="n">
        <v>2</v>
      </c>
      <c r="D290" s="316" t="inlineStr">
        <is>
          <t>Pin Punch</t>
        </is>
      </c>
      <c r="E290" s="316" t="inlineStr">
        <is>
          <t>-</t>
        </is>
      </c>
      <c r="F290" s="332" t="n">
        <v>381960</v>
      </c>
      <c r="G290" s="314" t="inlineStr">
        <is>
          <t>IDR</t>
        </is>
      </c>
      <c r="H290" s="346" t="n">
        <v>1</v>
      </c>
      <c r="I290" s="319">
        <f>$H290*$F290</f>
        <v/>
      </c>
      <c r="J290" s="320" t="n"/>
      <c r="K290" s="321" t="n"/>
      <c r="L290" s="321" t="n"/>
      <c r="M290" s="321" t="n"/>
      <c r="N290" s="329" t="n">
        <v>381960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>
        <v>45483</v>
      </c>
      <c r="C291" s="314" t="n">
        <v>3</v>
      </c>
      <c r="D291" s="326" t="inlineStr">
        <is>
          <t>Hardcase Custom</t>
        </is>
      </c>
      <c r="E291" s="326" t="inlineStr">
        <is>
          <t>-</t>
        </is>
      </c>
      <c r="F291" s="332" t="n">
        <v>3595000</v>
      </c>
      <c r="G291" s="314" t="inlineStr">
        <is>
          <t>IDR</t>
        </is>
      </c>
      <c r="H291" s="346" t="n">
        <v>1</v>
      </c>
      <c r="I291" s="319">
        <f>$H291*$F291</f>
        <v/>
      </c>
      <c r="J291" s="320" t="n"/>
      <c r="K291" s="321" t="n"/>
      <c r="L291" s="321" t="n"/>
      <c r="M291" s="321" t="n"/>
      <c r="N291" s="329" t="n">
        <v>3595000</v>
      </c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61" t="inlineStr">
        <is>
          <t>Expense#21</t>
        </is>
      </c>
      <c r="C292" s="390" t="inlineStr">
        <is>
          <t>:</t>
        </is>
      </c>
      <c r="D292" s="363" t="inlineStr">
        <is>
          <t>Delivery Tools Sonoecho (KL) - TMA</t>
        </is>
      </c>
      <c r="E292" s="374" t="n"/>
      <c r="F292" s="365" t="n"/>
      <c r="G292" s="362" t="n"/>
      <c r="H292" s="362" t="n"/>
      <c r="I292" s="367" t="n"/>
      <c r="J292" s="367" t="n"/>
      <c r="K292" s="368" t="n"/>
      <c r="L292" s="368" t="n"/>
      <c r="M292" s="368" t="n"/>
      <c r="N292" s="368" t="n"/>
      <c r="O292" s="368" t="n"/>
      <c r="P292" s="368" t="n"/>
      <c r="Q292" s="368" t="n"/>
      <c r="R292" s="369" t="n"/>
      <c r="S292" s="369" t="n"/>
      <c r="T292" s="369" t="n"/>
      <c r="U292" s="369" t="n"/>
      <c r="V292" s="369" t="n"/>
      <c r="W292" s="369" t="n"/>
      <c r="X292" s="369" t="n"/>
    </row>
    <row r="293" ht="15.5" customHeight="1" s="297">
      <c r="B293" s="333" t="n">
        <v>45437</v>
      </c>
      <c r="C293" s="314" t="n">
        <v>9</v>
      </c>
      <c r="D293" s="330" t="inlineStr">
        <is>
          <t>Biaya Operasi</t>
        </is>
      </c>
      <c r="E293" s="326" t="n"/>
      <c r="F293" s="339" t="n">
        <v>709300</v>
      </c>
      <c r="G293" s="314" t="inlineStr">
        <is>
          <t>IDR</t>
        </is>
      </c>
      <c r="H293" s="314" t="n">
        <v>1</v>
      </c>
      <c r="I293" s="320">
        <f>F293</f>
        <v/>
      </c>
      <c r="J293" s="320" t="n"/>
      <c r="K293" s="321" t="n"/>
      <c r="L293" s="321" t="n"/>
      <c r="M293" s="321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45481</v>
      </c>
      <c r="C294" s="389" t="n">
        <v>1</v>
      </c>
      <c r="D294" s="370" t="inlineStr">
        <is>
          <t>Hotel</t>
        </is>
      </c>
      <c r="E294" s="370" t="inlineStr">
        <is>
          <t>-</t>
        </is>
      </c>
      <c r="F294" s="332" t="n">
        <v>344305</v>
      </c>
      <c r="G294" s="314" t="inlineStr">
        <is>
          <t>IDR</t>
        </is>
      </c>
      <c r="H294" s="346" t="n">
        <v>1</v>
      </c>
      <c r="I294" s="320" t="n"/>
      <c r="J294" s="329" t="n">
        <v>344305</v>
      </c>
      <c r="K294" s="321" t="n"/>
      <c r="L294" s="321" t="n"/>
      <c r="M294" s="319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t="15.5" customHeight="1" s="297">
      <c r="B295" s="333" t="n">
        <v>45481</v>
      </c>
      <c r="C295" s="314" t="n">
        <v>2</v>
      </c>
      <c r="D295" s="326" t="inlineStr">
        <is>
          <t>Hotel Tax Foreigner</t>
        </is>
      </c>
      <c r="E295" s="326" t="inlineStr">
        <is>
          <t>-</t>
        </is>
      </c>
      <c r="F295" s="332" t="n">
        <v>34620</v>
      </c>
      <c r="G295" s="314" t="inlineStr">
        <is>
          <t>MYR</t>
        </is>
      </c>
      <c r="H295" s="346" t="n">
        <v>3462</v>
      </c>
      <c r="I295" s="320">
        <f>F295</f>
        <v/>
      </c>
      <c r="J295" s="329" t="n">
        <v>34620</v>
      </c>
      <c r="K295" s="321" t="n"/>
      <c r="L295" s="321" t="n"/>
      <c r="M295" s="319" t="n"/>
      <c r="N295" s="321" t="n"/>
      <c r="O295" s="321" t="n"/>
      <c r="P295" s="321" t="n"/>
      <c r="Q295" s="321" t="n"/>
      <c r="R295" s="322" t="n"/>
      <c r="S295" s="322" t="n"/>
      <c r="T295" s="322" t="n"/>
      <c r="U295" s="322" t="n"/>
      <c r="V295" s="322" t="n"/>
      <c r="W295" s="322" t="n"/>
      <c r="X295" s="322" t="n"/>
    </row>
    <row r="296" ht="15.5" customHeight="1" s="297">
      <c r="B296" s="333" t="n">
        <v>45481</v>
      </c>
      <c r="C296" s="389" t="n">
        <v>3</v>
      </c>
      <c r="D296" s="370" t="inlineStr">
        <is>
          <t>Airplane Ticket CGK-KLIA</t>
        </is>
      </c>
      <c r="E296" s="370" t="inlineStr">
        <is>
          <t>-</t>
        </is>
      </c>
      <c r="F296" s="332" t="n">
        <v>4912100</v>
      </c>
      <c r="G296" s="314" t="inlineStr">
        <is>
          <t>IDR</t>
        </is>
      </c>
      <c r="H296" s="346" t="n">
        <v>1</v>
      </c>
      <c r="I296" s="320" t="n"/>
      <c r="J296" s="329" t="n">
        <v>4912100</v>
      </c>
      <c r="K296" s="321" t="n"/>
      <c r="L296" s="321" t="n"/>
      <c r="M296" s="319" t="n"/>
      <c r="N296" s="321" t="n"/>
      <c r="O296" s="321" t="n"/>
      <c r="P296" s="321" t="n"/>
      <c r="Q296" s="321" t="n"/>
      <c r="R296" s="322" t="n"/>
      <c r="S296" s="322" t="n"/>
      <c r="T296" s="322" t="n"/>
      <c r="U296" s="322" t="n"/>
      <c r="V296" s="322" t="n"/>
      <c r="W296" s="322" t="n"/>
      <c r="X296" s="322" t="n"/>
    </row>
    <row r="297" ht="15.5" customHeight="1" s="297">
      <c r="B297" s="333" t="n">
        <v>45481</v>
      </c>
      <c r="C297" s="389" t="n">
        <v>4</v>
      </c>
      <c r="D297" s="326" t="inlineStr">
        <is>
          <t>Taxi Home - CGK</t>
        </is>
      </c>
      <c r="E297" s="326" t="inlineStr">
        <is>
          <t>-</t>
        </is>
      </c>
      <c r="F297" s="332" t="n">
        <v>250000</v>
      </c>
      <c r="G297" s="314" t="inlineStr">
        <is>
          <t>IDR</t>
        </is>
      </c>
      <c r="H297" s="346" t="n">
        <v>1</v>
      </c>
      <c r="I297" s="320">
        <f>H297*F297</f>
        <v/>
      </c>
      <c r="J297" s="329" t="n">
        <v>250000</v>
      </c>
      <c r="K297" s="321" t="n"/>
      <c r="L297" s="321" t="n"/>
      <c r="M297" s="319" t="n"/>
      <c r="N297" s="321" t="n"/>
      <c r="O297" s="321" t="n"/>
      <c r="P297" s="321" t="n"/>
      <c r="Q297" s="321" t="n"/>
      <c r="R297" s="322" t="n"/>
      <c r="S297" s="322" t="n"/>
      <c r="T297" s="322" t="n"/>
      <c r="U297" s="322" t="n"/>
      <c r="V297" s="322" t="n"/>
      <c r="W297" s="322" t="n"/>
      <c r="X297" s="322" t="n"/>
    </row>
    <row r="298" ht="15.5" customHeight="1" s="297">
      <c r="B298" s="347" t="n">
        <v>45481</v>
      </c>
      <c r="C298" s="348" t="n">
        <v>5</v>
      </c>
      <c r="D298" s="349" t="inlineStr">
        <is>
          <t>Taxi KLIA - Hotel</t>
        </is>
      </c>
      <c r="E298" s="349" t="inlineStr">
        <is>
          <t>-</t>
        </is>
      </c>
      <c r="F298" s="337" t="n">
        <v>249264</v>
      </c>
      <c r="G298" s="314" t="inlineStr">
        <is>
          <t>MYR</t>
        </is>
      </c>
      <c r="H298" s="346" t="n">
        <v>3462</v>
      </c>
      <c r="I298" s="321" t="n"/>
      <c r="J298" s="329" t="n">
        <v>249264</v>
      </c>
      <c r="K298" s="321" t="n"/>
      <c r="L298" s="321" t="n"/>
      <c r="M298" s="319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13" t="n">
        <v>45482</v>
      </c>
      <c r="C299" s="314" t="n">
        <v>6</v>
      </c>
      <c r="D299" s="350" t="inlineStr">
        <is>
          <t>Taxi Hyperseal - Hotel</t>
        </is>
      </c>
      <c r="E299" s="350" t="inlineStr">
        <is>
          <t>-</t>
        </is>
      </c>
      <c r="F299" s="323" t="n">
        <v>27696</v>
      </c>
      <c r="G299" s="314" t="inlineStr">
        <is>
          <t>MYR</t>
        </is>
      </c>
      <c r="H299" s="346" t="n">
        <v>3462</v>
      </c>
      <c r="I299" s="320" t="n"/>
      <c r="J299" s="329" t="n">
        <v>27696</v>
      </c>
      <c r="K299" s="321" t="n"/>
      <c r="L299" s="321" t="n"/>
      <c r="M299" s="320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13" t="n">
        <v>45482</v>
      </c>
      <c r="C300" s="314" t="n">
        <v>7</v>
      </c>
      <c r="D300" s="316" t="inlineStr">
        <is>
          <t>Taxi Hotel - KLIA</t>
        </is>
      </c>
      <c r="E300" s="316" t="inlineStr">
        <is>
          <t>-</t>
        </is>
      </c>
      <c r="F300" s="323" t="n">
        <v>283987.86</v>
      </c>
      <c r="G300" s="314" t="inlineStr">
        <is>
          <t>MYR</t>
        </is>
      </c>
      <c r="H300" s="346" t="n">
        <v>3462</v>
      </c>
      <c r="I300" s="319">
        <f>$F300*$H300</f>
        <v/>
      </c>
      <c r="J300" s="329" t="n">
        <v>283987.86</v>
      </c>
      <c r="K300" s="321" t="n"/>
      <c r="L300" s="321" t="n"/>
      <c r="M300" s="319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>
        <v>45482</v>
      </c>
      <c r="C301" s="314" t="n">
        <v>8</v>
      </c>
      <c r="D301" s="350" t="inlineStr">
        <is>
          <t>Taxi CGK - Home</t>
        </is>
      </c>
      <c r="E301" s="350" t="inlineStr">
        <is>
          <t>-</t>
        </is>
      </c>
      <c r="F301" s="323" t="n">
        <v>259120</v>
      </c>
      <c r="G301" s="314" t="inlineStr">
        <is>
          <t>IDR</t>
        </is>
      </c>
      <c r="H301" s="346" t="n">
        <v>1</v>
      </c>
      <c r="I301" s="320" t="n"/>
      <c r="J301" s="329" t="n">
        <v>259120</v>
      </c>
      <c r="K301" s="321" t="n"/>
      <c r="L301" s="321" t="n"/>
      <c r="M301" s="320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77" t="n">
        <v>45448</v>
      </c>
      <c r="C302" s="314" t="n">
        <v>2</v>
      </c>
      <c r="D302" s="391" t="inlineStr">
        <is>
          <t>Pembelian Barang</t>
        </is>
      </c>
      <c r="E302" s="385" t="n"/>
      <c r="F302" s="317">
        <f>120000+113000</f>
        <v/>
      </c>
      <c r="G302" s="314" t="inlineStr">
        <is>
          <t>IDR</t>
        </is>
      </c>
      <c r="H302" s="314" t="n">
        <v>1</v>
      </c>
      <c r="I302" s="319">
        <f>$H302*$F302</f>
        <v/>
      </c>
      <c r="J302" s="320" t="n"/>
      <c r="K302" s="321" t="n"/>
      <c r="L302" s="321" t="n"/>
      <c r="M302" s="319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77" t="n">
        <v>45483</v>
      </c>
      <c r="C303" s="314" t="n">
        <v>9</v>
      </c>
      <c r="D303" s="385" t="inlineStr">
        <is>
          <t>Asus Slate 13 (tablet asus)</t>
        </is>
      </c>
      <c r="E303" s="385" t="inlineStr">
        <is>
          <t>-</t>
        </is>
      </c>
      <c r="F303" s="323" t="n">
        <v>9778400</v>
      </c>
      <c r="G303" s="314" t="inlineStr">
        <is>
          <t>IDR</t>
        </is>
      </c>
      <c r="H303" s="346" t="n">
        <v>1</v>
      </c>
      <c r="I303" s="319">
        <f>$H303*$F303</f>
        <v/>
      </c>
      <c r="J303" s="320" t="n"/>
      <c r="K303" s="321" t="n"/>
      <c r="L303" s="321" t="n"/>
      <c r="M303" s="321" t="n"/>
      <c r="N303" s="329" t="n">
        <v>9778400</v>
      </c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45483</v>
      </c>
      <c r="C304" s="314" t="n">
        <v>10</v>
      </c>
      <c r="D304" s="326" t="inlineStr">
        <is>
          <t>OTG Type C</t>
        </is>
      </c>
      <c r="E304" s="326" t="inlineStr">
        <is>
          <t>-</t>
        </is>
      </c>
      <c r="F304" s="323" t="n">
        <v>163100</v>
      </c>
      <c r="G304" s="314" t="inlineStr">
        <is>
          <t>IDR</t>
        </is>
      </c>
      <c r="H304" s="346" t="n">
        <v>1</v>
      </c>
      <c r="I304" s="319">
        <f>$H304*$F304</f>
        <v/>
      </c>
      <c r="J304" s="320" t="n"/>
      <c r="K304" s="321" t="n"/>
      <c r="L304" s="321" t="n"/>
      <c r="M304" s="319" t="n"/>
      <c r="N304" s="329" t="n">
        <v>163100</v>
      </c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72" t="inlineStr">
        <is>
          <t>Expense#22</t>
        </is>
      </c>
      <c r="C305" s="392" t="inlineStr">
        <is>
          <t>:</t>
        </is>
      </c>
      <c r="D305" s="393" t="inlineStr">
        <is>
          <t>Non project ( MCU ulang )_ IBR</t>
        </is>
      </c>
      <c r="E305" s="394" t="n"/>
      <c r="F305" s="381" t="n"/>
      <c r="G305" s="362" t="n"/>
      <c r="H305" s="362" t="n"/>
      <c r="I305" s="368" t="n"/>
      <c r="J305" s="367" t="n"/>
      <c r="K305" s="368" t="n"/>
      <c r="L305" s="368" t="n"/>
      <c r="M305" s="368" t="n"/>
      <c r="N305" s="366" t="n"/>
      <c r="O305" s="368" t="n"/>
      <c r="P305" s="368" t="n"/>
      <c r="Q305" s="368" t="n"/>
      <c r="R305" s="369" t="n"/>
      <c r="S305" s="369" t="n"/>
      <c r="T305" s="369" t="n"/>
      <c r="U305" s="369" t="n"/>
      <c r="V305" s="369" t="n"/>
      <c r="W305" s="369" t="n"/>
      <c r="X305" s="369" t="n"/>
    </row>
    <row r="306" ht="15.5" customHeight="1" s="297">
      <c r="B306" s="333" t="n"/>
      <c r="C306" s="314" t="n"/>
      <c r="D306" s="330" t="inlineStr">
        <is>
          <t>Kesehatan</t>
        </is>
      </c>
      <c r="E306" s="370" t="n"/>
      <c r="F306" s="317" t="n"/>
      <c r="G306" s="314" t="n"/>
      <c r="H306" s="314" t="n"/>
      <c r="I306" s="379" t="n"/>
      <c r="J306" s="320" t="n"/>
      <c r="K306" s="320" t="n"/>
      <c r="L306" s="320" t="n"/>
      <c r="M306" s="320" t="n"/>
      <c r="N306" s="320" t="n"/>
      <c r="O306" s="320" t="n"/>
      <c r="P306" s="320" t="n"/>
      <c r="Q306" s="320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45446</v>
      </c>
      <c r="C307" s="314" t="n">
        <v>1</v>
      </c>
      <c r="D307" s="326" t="inlineStr">
        <is>
          <t>Konsultasi Spesialis Penyakit Dalam</t>
        </is>
      </c>
      <c r="E307" s="326" t="inlineStr">
        <is>
          <t>-</t>
        </is>
      </c>
      <c r="F307" s="323" t="n">
        <v>206000</v>
      </c>
      <c r="G307" s="314" t="inlineStr">
        <is>
          <t>IDR</t>
        </is>
      </c>
      <c r="H307" s="346" t="n">
        <v>1</v>
      </c>
      <c r="I307" s="379">
        <f>F307</f>
        <v/>
      </c>
      <c r="J307" s="320" t="n"/>
      <c r="K307" s="321" t="n"/>
      <c r="L307" s="321" t="n"/>
      <c r="M307" s="321" t="n"/>
      <c r="N307" s="321" t="n"/>
      <c r="O307" s="321" t="n"/>
      <c r="P307" s="329" t="n">
        <v>206000</v>
      </c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45446</v>
      </c>
      <c r="C308" s="314" t="n">
        <v>2</v>
      </c>
      <c r="D308" s="326" t="inlineStr">
        <is>
          <t>Unit Labolatorium</t>
        </is>
      </c>
      <c r="E308" s="326" t="inlineStr">
        <is>
          <t>-</t>
        </is>
      </c>
      <c r="F308" s="323" t="n">
        <v>1474000</v>
      </c>
      <c r="G308" s="314" t="inlineStr">
        <is>
          <t>IDR</t>
        </is>
      </c>
      <c r="H308" s="346" t="n">
        <v>1</v>
      </c>
      <c r="I308" s="319">
        <f>F308</f>
        <v/>
      </c>
      <c r="J308" s="320" t="n"/>
      <c r="K308" s="321" t="n"/>
      <c r="L308" s="321" t="n"/>
      <c r="M308" s="321" t="n"/>
      <c r="N308" s="321" t="n"/>
      <c r="O308" s="321" t="n"/>
      <c r="P308" s="329" t="n">
        <v>1474000</v>
      </c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>
        <v>45453</v>
      </c>
      <c r="C309" s="314" t="n">
        <v>3</v>
      </c>
      <c r="D309" s="370" t="inlineStr">
        <is>
          <t>Konsultasi Spesialis Penyakit Dalam</t>
        </is>
      </c>
      <c r="E309" s="370" t="inlineStr">
        <is>
          <t>-</t>
        </is>
      </c>
      <c r="F309" s="323" t="n">
        <v>206000</v>
      </c>
      <c r="G309" s="314" t="inlineStr">
        <is>
          <t>IDR</t>
        </is>
      </c>
      <c r="H309" s="346" t="n">
        <v>1</v>
      </c>
      <c r="I309" s="379" t="n"/>
      <c r="J309" s="320" t="n"/>
      <c r="K309" s="321" t="n"/>
      <c r="L309" s="321" t="n"/>
      <c r="M309" s="321" t="n"/>
      <c r="N309" s="321" t="n"/>
      <c r="O309" s="321" t="n"/>
      <c r="P309" s="329" t="n">
        <v>206000</v>
      </c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45453</v>
      </c>
      <c r="C310" s="314" t="n">
        <v>4</v>
      </c>
      <c r="D310" s="326" t="inlineStr">
        <is>
          <t>Farmasi</t>
        </is>
      </c>
      <c r="E310" s="326" t="inlineStr">
        <is>
          <t>-</t>
        </is>
      </c>
      <c r="F310" s="323" t="n">
        <v>109000</v>
      </c>
      <c r="G310" s="314" t="inlineStr">
        <is>
          <t>IDR</t>
        </is>
      </c>
      <c r="H310" s="346" t="n">
        <v>1</v>
      </c>
      <c r="I310" s="319">
        <f>$H310*$F310</f>
        <v/>
      </c>
      <c r="J310" s="320" t="n"/>
      <c r="K310" s="321" t="n"/>
      <c r="L310" s="321" t="n"/>
      <c r="M310" s="321" t="n"/>
      <c r="N310" s="321" t="n"/>
      <c r="O310" s="321" t="n"/>
      <c r="P310" s="329" t="n">
        <v>109000</v>
      </c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61" t="inlineStr">
        <is>
          <t>Expense#23</t>
        </is>
      </c>
      <c r="C311" s="362" t="inlineStr">
        <is>
          <t>:</t>
        </is>
      </c>
      <c r="D311" s="363" t="inlineStr">
        <is>
          <t>ALFA job - JRK-163 (Job)_undr Sijak_ DS</t>
        </is>
      </c>
      <c r="E311" s="364" t="n"/>
      <c r="F311" s="378" t="n">
        <v>273500</v>
      </c>
      <c r="G311" s="362" t="inlineStr">
        <is>
          <t>IDR</t>
        </is>
      </c>
      <c r="H311" s="362" t="n">
        <v>1</v>
      </c>
      <c r="I311" s="366">
        <f>$H311*$F311</f>
        <v/>
      </c>
      <c r="J311" s="367" t="n"/>
      <c r="K311" s="368" t="n"/>
      <c r="L311" s="368" t="n"/>
      <c r="M311" s="366" t="n"/>
      <c r="N311" s="368" t="n"/>
      <c r="O311" s="368" t="n"/>
      <c r="P311" s="368" t="n"/>
      <c r="Q311" s="368" t="n"/>
      <c r="R311" s="369" t="n"/>
      <c r="S311" s="369" t="n"/>
      <c r="T311" s="369" t="n"/>
      <c r="U311" s="369" t="n"/>
      <c r="V311" s="369" t="n"/>
      <c r="W311" s="369" t="n"/>
      <c r="X311" s="369" t="n"/>
    </row>
    <row r="312" ht="15.5" customHeight="1" s="297">
      <c r="B312" s="333" t="n">
        <v>45428</v>
      </c>
      <c r="C312" s="314" t="n">
        <v>5</v>
      </c>
      <c r="D312" s="330" t="inlineStr">
        <is>
          <t>Biaya Operasi</t>
        </is>
      </c>
      <c r="E312" s="326" t="n"/>
      <c r="F312" s="317" t="n">
        <v>224000</v>
      </c>
      <c r="G312" s="314" t="inlineStr">
        <is>
          <t>IDR</t>
        </is>
      </c>
      <c r="H312" s="314" t="n">
        <v>1</v>
      </c>
      <c r="I312" s="319">
        <f>$H312*$F312</f>
        <v/>
      </c>
      <c r="J312" s="320" t="n"/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t="15.5" customHeight="1" s="297">
      <c r="B313" s="333" t="n">
        <v>45494</v>
      </c>
      <c r="C313" s="314" t="n">
        <v>1</v>
      </c>
      <c r="D313" s="326" t="inlineStr">
        <is>
          <t>Jakarta - Palembang</t>
        </is>
      </c>
      <c r="E313" s="326" t="inlineStr">
        <is>
          <t>-</t>
        </is>
      </c>
      <c r="F313" s="323" t="n">
        <v>985367</v>
      </c>
      <c r="G313" s="314" t="inlineStr">
        <is>
          <t>IDR</t>
        </is>
      </c>
      <c r="H313" s="346" t="n">
        <v>1</v>
      </c>
      <c r="I313" s="319">
        <f>$H313*$F313</f>
        <v/>
      </c>
      <c r="J313" s="329" t="n">
        <v>985367</v>
      </c>
      <c r="K313" s="321" t="n"/>
      <c r="L313" s="321" t="n"/>
      <c r="M313" s="320" t="n"/>
      <c r="N313" s="321" t="n"/>
      <c r="O313" s="321" t="n"/>
      <c r="P313" s="321" t="n"/>
      <c r="Q313" s="321" t="n"/>
      <c r="R313" s="322" t="n"/>
      <c r="S313" s="322" t="n"/>
      <c r="T313" s="322" t="n"/>
      <c r="U313" s="322" t="n"/>
      <c r="V313" s="322" t="n"/>
      <c r="W313" s="322" t="n"/>
      <c r="X313" s="322" t="n"/>
    </row>
    <row r="314" ht="15.5" customHeight="1" s="297">
      <c r="B314" s="333" t="n">
        <v>45494</v>
      </c>
      <c r="C314" s="314" t="n">
        <v>2</v>
      </c>
      <c r="D314" s="316" t="inlineStr">
        <is>
          <t>Taxi + Tol to Airport Jakarta</t>
        </is>
      </c>
      <c r="E314" s="316" t="inlineStr">
        <is>
          <t>-</t>
        </is>
      </c>
      <c r="F314" s="323" t="n">
        <v>225520</v>
      </c>
      <c r="G314" s="314" t="inlineStr">
        <is>
          <t>IDR</t>
        </is>
      </c>
      <c r="H314" s="346" t="n">
        <v>1</v>
      </c>
      <c r="I314" s="319">
        <f>$H314*$F314</f>
        <v/>
      </c>
      <c r="J314" s="329" t="n">
        <v>225520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33" t="n">
        <v>45494</v>
      </c>
      <c r="C315" s="314" t="n">
        <v>3</v>
      </c>
      <c r="D315" s="316" t="inlineStr">
        <is>
          <t>fuel + tol PLM-Prabu</t>
        </is>
      </c>
      <c r="E315" s="316" t="inlineStr">
        <is>
          <t>-</t>
        </is>
      </c>
      <c r="F315" s="323" t="n">
        <v>292060</v>
      </c>
      <c r="G315" s="314" t="inlineStr">
        <is>
          <t>IDR</t>
        </is>
      </c>
      <c r="H315" s="346" t="n">
        <v>1</v>
      </c>
      <c r="I315" s="319">
        <f>$H315*$F315</f>
        <v/>
      </c>
      <c r="J315" s="329" t="n">
        <v>292060</v>
      </c>
      <c r="K315" s="321" t="n"/>
      <c r="L315" s="321" t="n"/>
      <c r="M315" s="319" t="n"/>
      <c r="N315" s="321" t="n"/>
      <c r="O315" s="321" t="n"/>
      <c r="P315" s="321" t="n"/>
      <c r="Q315" s="321" t="n"/>
      <c r="R315" s="322" t="n"/>
      <c r="S315" s="322" t="n"/>
      <c r="T315" s="322" t="n"/>
      <c r="U315" s="322" t="n"/>
      <c r="V315" s="322" t="n"/>
      <c r="W315" s="322" t="n"/>
      <c r="X315" s="322" t="n"/>
    </row>
    <row r="316" ht="15.5" customHeight="1" s="297">
      <c r="B316" s="333" t="n">
        <v>45494</v>
      </c>
      <c r="C316" s="314" t="n">
        <v>4</v>
      </c>
      <c r="D316" s="326" t="inlineStr">
        <is>
          <t>Jakarta - Palembang</t>
        </is>
      </c>
      <c r="E316" s="326" t="inlineStr">
        <is>
          <t>-</t>
        </is>
      </c>
      <c r="F316" s="323" t="n">
        <v>400000</v>
      </c>
      <c r="G316" s="314" t="inlineStr">
        <is>
          <t>IDR</t>
        </is>
      </c>
      <c r="H316" s="346" t="n">
        <v>1</v>
      </c>
      <c r="I316" s="319">
        <f>$H316*$F316</f>
        <v/>
      </c>
      <c r="J316" s="329" t="n">
        <v>400000</v>
      </c>
      <c r="K316" s="321" t="n"/>
      <c r="L316" s="321" t="n"/>
      <c r="M316" s="319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33" t="n">
        <v>45497</v>
      </c>
      <c r="C317" s="389" t="n">
        <v>5</v>
      </c>
      <c r="D317" s="370" t="inlineStr">
        <is>
          <t>fuel</t>
        </is>
      </c>
      <c r="E317" s="370" t="inlineStr">
        <is>
          <t>-</t>
        </is>
      </c>
      <c r="F317" s="323" t="n">
        <v>190430</v>
      </c>
      <c r="G317" s="314" t="inlineStr">
        <is>
          <t>IDR</t>
        </is>
      </c>
      <c r="H317" s="346" t="n">
        <v>1</v>
      </c>
      <c r="I317" s="320" t="n"/>
      <c r="J317" s="329" t="n">
        <v>190430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>
        <v>45500</v>
      </c>
      <c r="C318" s="314" t="n">
        <v>6</v>
      </c>
      <c r="D318" s="326" t="inlineStr">
        <is>
          <t>Palembang - Jakarta + Extra Bagage</t>
        </is>
      </c>
      <c r="E318" s="326" t="inlineStr">
        <is>
          <t>-</t>
        </is>
      </c>
      <c r="F318" s="337" t="n">
        <v>1175717</v>
      </c>
      <c r="G318" s="314" t="inlineStr">
        <is>
          <t>IDR</t>
        </is>
      </c>
      <c r="H318" s="346" t="n">
        <v>1</v>
      </c>
      <c r="I318" s="320" t="n"/>
      <c r="J318" s="329" t="n">
        <v>1175717</v>
      </c>
      <c r="K318" s="321" t="n"/>
      <c r="L318" s="321" t="n"/>
      <c r="M318" s="319" t="n"/>
      <c r="N318" s="320">
        <f>F318</f>
        <v/>
      </c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33" t="n">
        <v>45500</v>
      </c>
      <c r="C319" s="389" t="n">
        <v>7</v>
      </c>
      <c r="D319" s="370" t="inlineStr">
        <is>
          <t>Tol Prabu - PLM + Fuel</t>
        </is>
      </c>
      <c r="E319" s="370" t="inlineStr">
        <is>
          <t>-</t>
        </is>
      </c>
      <c r="F319" s="323" t="n">
        <v>262000</v>
      </c>
      <c r="G319" s="314" t="inlineStr">
        <is>
          <t>IDR</t>
        </is>
      </c>
      <c r="H319" s="346" t="n">
        <v>1</v>
      </c>
      <c r="I319" s="320" t="n"/>
      <c r="J319" s="329" t="n">
        <v>262000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33" t="n">
        <v>45500</v>
      </c>
      <c r="C320" s="314" t="n">
        <v>8</v>
      </c>
      <c r="D320" s="326" t="inlineStr">
        <is>
          <t>Tol + Taxi From Airport Jakarta</t>
        </is>
      </c>
      <c r="E320" s="326" t="inlineStr">
        <is>
          <t>-</t>
        </is>
      </c>
      <c r="F320" s="323" t="n">
        <v>235000</v>
      </c>
      <c r="G320" s="314" t="inlineStr">
        <is>
          <t>IDR</t>
        </is>
      </c>
      <c r="H320" s="346" t="n">
        <v>1</v>
      </c>
      <c r="I320" s="320">
        <f>F320</f>
        <v/>
      </c>
      <c r="J320" s="329" t="n">
        <v>235000</v>
      </c>
      <c r="K320" s="321" t="n"/>
      <c r="L320" s="321" t="n"/>
      <c r="M320" s="319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45500</v>
      </c>
      <c r="C321" s="389" t="n">
        <v>9</v>
      </c>
      <c r="D321" s="370" t="inlineStr">
        <is>
          <t>Car rental 21 - 27 Jul 2024</t>
        </is>
      </c>
      <c r="E321" s="370" t="inlineStr">
        <is>
          <t>-</t>
        </is>
      </c>
      <c r="F321" s="323" t="n">
        <v>3500000</v>
      </c>
      <c r="G321" s="314" t="inlineStr">
        <is>
          <t>IDR</t>
        </is>
      </c>
      <c r="H321" s="346" t="n">
        <v>1</v>
      </c>
      <c r="I321" s="320" t="n"/>
      <c r="J321" s="329" t="n">
        <v>3500000</v>
      </c>
      <c r="K321" s="321" t="n"/>
      <c r="L321" s="321" t="n"/>
      <c r="M321" s="320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33" t="n">
        <v>45500</v>
      </c>
      <c r="C322" s="389" t="n">
        <v>10</v>
      </c>
      <c r="D322" s="326" t="inlineStr">
        <is>
          <t>Lodge 21-27 Jul 2024 (3 rooms)</t>
        </is>
      </c>
      <c r="E322" s="326" t="inlineStr">
        <is>
          <t>-</t>
        </is>
      </c>
      <c r="F322" s="323" t="n">
        <v>2160000</v>
      </c>
      <c r="G322" s="314" t="inlineStr">
        <is>
          <t>IDR</t>
        </is>
      </c>
      <c r="H322" s="346" t="n">
        <v>1</v>
      </c>
      <c r="I322" s="320">
        <f>H322*F322</f>
        <v/>
      </c>
      <c r="J322" s="329" t="n">
        <v>2160000</v>
      </c>
      <c r="K322" s="321" t="n"/>
      <c r="L322" s="321" t="n"/>
      <c r="M322" s="319" t="n"/>
      <c r="N322" s="321" t="n"/>
      <c r="O322" s="321" t="n"/>
      <c r="P322" s="321" t="n"/>
      <c r="Q322" s="321" t="n"/>
      <c r="R322" s="322" t="n"/>
      <c r="S322" s="322" t="n"/>
      <c r="T322" s="322" t="n"/>
      <c r="U322" s="322" t="n"/>
      <c r="V322" s="322" t="n"/>
      <c r="W322" s="322" t="n"/>
      <c r="X322" s="322" t="n"/>
    </row>
    <row r="323" ht="15.5" customHeight="1" s="297">
      <c r="B323" s="347" t="n">
        <v>45500</v>
      </c>
      <c r="C323" s="348" t="n">
        <v>11</v>
      </c>
      <c r="D323" s="349" t="inlineStr">
        <is>
          <t>Uang Makan (21 - 27 Juli 2024)</t>
        </is>
      </c>
      <c r="E323" s="349" t="inlineStr">
        <is>
          <t>-</t>
        </is>
      </c>
      <c r="F323" s="337" t="n">
        <v>1050000</v>
      </c>
      <c r="G323" s="314" t="inlineStr">
        <is>
          <t>IDR</t>
        </is>
      </c>
      <c r="H323" s="346" t="n">
        <v>1</v>
      </c>
      <c r="I323" s="321" t="n"/>
      <c r="J323" s="329" t="n">
        <v>1050000</v>
      </c>
      <c r="K323" s="321" t="n"/>
      <c r="L323" s="321" t="n"/>
      <c r="M323" s="320" t="n"/>
      <c r="N323" s="321" t="n"/>
      <c r="O323" s="321" t="n"/>
      <c r="P323" s="321" t="n"/>
      <c r="Q323" s="321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45500</v>
      </c>
      <c r="C324" s="314" t="n">
        <v>12</v>
      </c>
      <c r="D324" s="370" t="inlineStr">
        <is>
          <t>Laundry (21 - 27 Juli 2024)</t>
        </is>
      </c>
      <c r="E324" s="370" t="inlineStr">
        <is>
          <t>-</t>
        </is>
      </c>
      <c r="F324" s="323" t="n">
        <v>350000</v>
      </c>
      <c r="G324" s="314" t="inlineStr">
        <is>
          <t>IDR</t>
        </is>
      </c>
      <c r="H324" s="346" t="n">
        <v>1</v>
      </c>
      <c r="I324" s="320" t="n"/>
      <c r="J324" s="329" t="n">
        <v>350000</v>
      </c>
      <c r="K324" s="321" t="n"/>
      <c r="L324" s="321" t="n"/>
      <c r="M324" s="319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45500</v>
      </c>
      <c r="C325" s="314" t="n">
        <v>13</v>
      </c>
      <c r="D325" s="326" t="inlineStr">
        <is>
          <t>Tunajngan Lapangan JRK-163 (21-27 Juli 2024). 1US$=16.200</t>
        </is>
      </c>
      <c r="E325" s="326" t="inlineStr">
        <is>
          <t>-</t>
        </is>
      </c>
      <c r="F325" s="323" t="n">
        <v>700</v>
      </c>
      <c r="G325" s="314" t="inlineStr">
        <is>
          <t>IDR</t>
        </is>
      </c>
      <c r="H325" s="346" t="n">
        <v>16200</v>
      </c>
      <c r="I325" s="319">
        <f>$H325*$F325</f>
        <v/>
      </c>
      <c r="J325" s="329" t="n">
        <v>700</v>
      </c>
      <c r="K325" s="321" t="n"/>
      <c r="L325" s="321" t="n"/>
      <c r="M325" s="319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Pembelian Barang</t>
        </is>
      </c>
      <c r="E326" s="370" t="n"/>
      <c r="F326" s="317" t="n"/>
      <c r="G326" s="314" t="n"/>
      <c r="H326" s="314" t="n"/>
      <c r="I326" s="320" t="n"/>
      <c r="J326" s="320" t="n"/>
      <c r="K326" s="321" t="n"/>
      <c r="L326" s="321" t="n"/>
      <c r="M326" s="320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45495</v>
      </c>
      <c r="C327" s="314" t="n">
        <v>14</v>
      </c>
      <c r="D327" s="326" t="inlineStr">
        <is>
          <t>Rags - Gloves</t>
        </is>
      </c>
      <c r="E327" s="326" t="inlineStr">
        <is>
          <t>-</t>
        </is>
      </c>
      <c r="F327" s="323" t="n">
        <v>70000</v>
      </c>
      <c r="G327" s="314" t="inlineStr">
        <is>
          <t>IDR</t>
        </is>
      </c>
      <c r="H327" s="346" t="n">
        <v>1</v>
      </c>
      <c r="I327" s="320" t="n"/>
      <c r="J327" s="320" t="n"/>
      <c r="K327" s="321" t="n"/>
      <c r="L327" s="321" t="n"/>
      <c r="M327" s="319" t="n"/>
      <c r="N327" s="325" t="n">
        <v>70000</v>
      </c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45498</v>
      </c>
      <c r="C328" s="314" t="n">
        <v>15</v>
      </c>
      <c r="D328" s="326" t="inlineStr">
        <is>
          <t>Snacks</t>
        </is>
      </c>
      <c r="E328" s="326" t="inlineStr">
        <is>
          <t>-</t>
        </is>
      </c>
      <c r="F328" s="323" t="n">
        <v>195000</v>
      </c>
      <c r="G328" s="314" t="inlineStr">
        <is>
          <t>IDR</t>
        </is>
      </c>
      <c r="H328" s="346" t="n">
        <v>1</v>
      </c>
      <c r="I328" s="320" t="n"/>
      <c r="J328" s="320" t="n"/>
      <c r="K328" s="321" t="n"/>
      <c r="L328" s="321" t="n"/>
      <c r="M328" s="319" t="n"/>
      <c r="N328" s="325" t="n">
        <v>195000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47" t="n">
        <v>45498</v>
      </c>
      <c r="C329" s="348" t="n">
        <v>16</v>
      </c>
      <c r="D329" s="349" t="inlineStr">
        <is>
          <t>Battery for DTR (Spare)</t>
        </is>
      </c>
      <c r="E329" s="349" t="inlineStr">
        <is>
          <t>-</t>
        </is>
      </c>
      <c r="F329" s="337" t="n">
        <v>38900</v>
      </c>
      <c r="G329" s="314" t="inlineStr">
        <is>
          <t>IDR</t>
        </is>
      </c>
      <c r="H329" s="346" t="n">
        <v>1</v>
      </c>
      <c r="I329" s="321" t="n"/>
      <c r="J329" s="320" t="n"/>
      <c r="K329" s="321" t="n"/>
      <c r="L329" s="321" t="n"/>
      <c r="M329" s="319" t="n"/>
      <c r="N329" s="329" t="n">
        <v>38900</v>
      </c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61" t="inlineStr">
        <is>
          <t>Expense#24</t>
        </is>
      </c>
      <c r="C330" s="362" t="inlineStr">
        <is>
          <t>:</t>
        </is>
      </c>
      <c r="D330" s="363" t="inlineStr">
        <is>
          <t>ALFA JOB - JRK 163 (training 2nd_ IBR)</t>
        </is>
      </c>
      <c r="E330" s="374" t="n"/>
      <c r="F330" s="365" t="n"/>
      <c r="G330" s="362" t="n"/>
      <c r="H330" s="362" t="n"/>
      <c r="I330" s="368" t="n"/>
      <c r="J330" s="368" t="n"/>
      <c r="K330" s="368" t="n"/>
      <c r="L330" s="368" t="n"/>
      <c r="M330" s="368" t="n"/>
      <c r="N330" s="368" t="n"/>
      <c r="O330" s="368" t="n"/>
      <c r="P330" s="368" t="n"/>
      <c r="Q330" s="368" t="n"/>
      <c r="R330" s="369" t="n"/>
      <c r="S330" s="369" t="n"/>
      <c r="T330" s="369" t="n"/>
      <c r="U330" s="369" t="n"/>
      <c r="V330" s="369" t="n"/>
      <c r="W330" s="369" t="n"/>
      <c r="X330" s="369" t="n"/>
    </row>
    <row r="331" ht="15.5" customHeight="1" s="297">
      <c r="B331" s="333" t="n">
        <v>45481</v>
      </c>
      <c r="C331" s="314" t="n">
        <v>1</v>
      </c>
      <c r="D331" s="330" t="inlineStr">
        <is>
          <t>Biaya Operasi</t>
        </is>
      </c>
      <c r="E331" s="326" t="n"/>
      <c r="F331" s="351" t="n">
        <v>344305</v>
      </c>
      <c r="G331" s="314" t="inlineStr">
        <is>
          <t>IDR</t>
        </is>
      </c>
      <c r="H331" s="314" t="n">
        <v>1</v>
      </c>
      <c r="I331" s="379">
        <f>F331</f>
        <v/>
      </c>
      <c r="J331" s="320" t="n"/>
      <c r="K331" s="321" t="n"/>
      <c r="L331" s="321" t="n"/>
      <c r="M331" s="321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45463</v>
      </c>
      <c r="C332" s="314" t="n">
        <v>1</v>
      </c>
      <c r="D332" s="316" t="inlineStr">
        <is>
          <t>Uang makan (16 - 19 June 2024) pending job /Job Postponed</t>
        </is>
      </c>
      <c r="E332" s="316" t="inlineStr">
        <is>
          <t>-</t>
        </is>
      </c>
      <c r="F332" s="332" t="n">
        <v>600000</v>
      </c>
      <c r="G332" s="314" t="inlineStr">
        <is>
          <t>IDR</t>
        </is>
      </c>
      <c r="H332" s="346" t="n">
        <v>1</v>
      </c>
      <c r="I332" s="319">
        <f>H332*F332</f>
        <v/>
      </c>
      <c r="J332" s="329" t="n">
        <v>600000</v>
      </c>
      <c r="K332" s="321" t="n"/>
      <c r="L332" s="321" t="n"/>
      <c r="M332" s="321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45463</v>
      </c>
      <c r="C333" s="314" t="n">
        <v>2</v>
      </c>
      <c r="D333" s="370" t="inlineStr">
        <is>
          <t>Laundry (16 - 19 June 2024) pending job /Job Postponed</t>
        </is>
      </c>
      <c r="E333" s="370" t="inlineStr">
        <is>
          <t>-</t>
        </is>
      </c>
      <c r="F333" s="332" t="n">
        <v>200000</v>
      </c>
      <c r="G333" s="314" t="inlineStr">
        <is>
          <t>IDR</t>
        </is>
      </c>
      <c r="H333" s="346" t="n">
        <v>1</v>
      </c>
      <c r="I333" s="320" t="n"/>
      <c r="J333" s="329" t="n">
        <v>200000</v>
      </c>
      <c r="K333" s="321" t="n"/>
      <c r="L333" s="321" t="n"/>
      <c r="M333" s="321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>
        <v>45463</v>
      </c>
      <c r="C334" s="314" t="n">
        <v>3</v>
      </c>
      <c r="D334" s="326" t="inlineStr">
        <is>
          <t>Tunjangan LapanganJRK-163 (16 - 19 Juni 2024) pending job</t>
        </is>
      </c>
      <c r="E334" s="326" t="inlineStr">
        <is>
          <t>-</t>
        </is>
      </c>
      <c r="F334" s="332" t="n">
        <v>1630000</v>
      </c>
      <c r="G334" s="314" t="inlineStr">
        <is>
          <t>$</t>
        </is>
      </c>
      <c r="H334" s="346" t="n">
        <v>16300</v>
      </c>
      <c r="I334" s="319">
        <f>$H334*$F334</f>
        <v/>
      </c>
      <c r="J334" s="329" t="n">
        <v>1630000</v>
      </c>
      <c r="K334" s="321" t="n"/>
      <c r="L334" s="321" t="n"/>
      <c r="M334" s="321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45501</v>
      </c>
      <c r="C335" s="314" t="n">
        <v>4</v>
      </c>
      <c r="D335" s="316" t="inlineStr">
        <is>
          <t>Uang makan (21 - 27 Juli 2024)</t>
        </is>
      </c>
      <c r="E335" s="316" t="inlineStr">
        <is>
          <t>-</t>
        </is>
      </c>
      <c r="F335" s="332" t="n">
        <v>1050000</v>
      </c>
      <c r="G335" s="314" t="inlineStr">
        <is>
          <t>IDR</t>
        </is>
      </c>
      <c r="H335" s="346" t="n">
        <v>1</v>
      </c>
      <c r="I335" s="319">
        <f>$H335*$F335</f>
        <v/>
      </c>
      <c r="J335" s="329" t="n">
        <v>1050000</v>
      </c>
      <c r="K335" s="321" t="n"/>
      <c r="L335" s="321" t="n"/>
      <c r="M335" s="321" t="n"/>
      <c r="N335" s="321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>
        <v>45501</v>
      </c>
      <c r="C336" s="314" t="n">
        <v>5</v>
      </c>
      <c r="D336" s="316" t="inlineStr">
        <is>
          <t>Laundry (21 - 27 Juli 2024)</t>
        </is>
      </c>
      <c r="E336" s="316" t="inlineStr">
        <is>
          <t>-</t>
        </is>
      </c>
      <c r="F336" s="332" t="n">
        <v>350000</v>
      </c>
      <c r="G336" s="314" t="inlineStr">
        <is>
          <t>IDR</t>
        </is>
      </c>
      <c r="H336" s="346" t="n">
        <v>1</v>
      </c>
      <c r="I336" s="319">
        <f>$H336*$F336</f>
        <v/>
      </c>
      <c r="J336" s="329" t="n">
        <v>350000</v>
      </c>
      <c r="K336" s="321" t="n"/>
      <c r="L336" s="321" t="n"/>
      <c r="M336" s="321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45501</v>
      </c>
      <c r="C337" s="314" t="n">
        <v>6</v>
      </c>
      <c r="D337" s="326" t="inlineStr">
        <is>
          <t>Tunjangan Lapangan JRK-163 (21 - 27 Juli 2024)</t>
        </is>
      </c>
      <c r="E337" s="326" t="inlineStr">
        <is>
          <t>-</t>
        </is>
      </c>
      <c r="F337" s="332" t="n">
        <v>2852500</v>
      </c>
      <c r="G337" s="314" t="inlineStr">
        <is>
          <t>$</t>
        </is>
      </c>
      <c r="H337" s="346" t="n">
        <v>16300</v>
      </c>
      <c r="I337" s="319">
        <f>$H337*$F337</f>
        <v/>
      </c>
      <c r="J337" s="329" t="n">
        <v>2852500</v>
      </c>
      <c r="K337" s="321" t="n"/>
      <c r="L337" s="321" t="n"/>
      <c r="M337" s="321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61" t="inlineStr">
        <is>
          <t>Expense#25</t>
        </is>
      </c>
      <c r="C338" s="362" t="inlineStr">
        <is>
          <t>:</t>
        </is>
      </c>
      <c r="D338" s="363" t="inlineStr">
        <is>
          <t>TIS-Blora Field-PLT ALFA BHS by BARIKIN - IC</t>
        </is>
      </c>
      <c r="E338" s="364" t="n"/>
      <c r="F338" s="365" t="n">
        <v>82.03</v>
      </c>
      <c r="G338" s="362" t="inlineStr">
        <is>
          <t>MYR</t>
        </is>
      </c>
      <c r="H338" s="362" t="n">
        <v>3462</v>
      </c>
      <c r="I338" s="366">
        <f>$H338*$F338</f>
        <v/>
      </c>
      <c r="J338" s="367" t="n"/>
      <c r="K338" s="368" t="n"/>
      <c r="L338" s="368" t="n"/>
      <c r="M338" s="366" t="n"/>
      <c r="N338" s="368" t="n"/>
      <c r="O338" s="368" t="n"/>
      <c r="P338" s="368" t="n"/>
      <c r="Q338" s="368" t="n"/>
      <c r="R338" s="369" t="n"/>
      <c r="S338" s="369" t="n"/>
      <c r="T338" s="369" t="n"/>
      <c r="U338" s="369" t="n"/>
      <c r="V338" s="369" t="n"/>
      <c r="W338" s="369" t="n"/>
      <c r="X338" s="369" t="n"/>
    </row>
    <row r="339" ht="15.5" customHeight="1" s="297">
      <c r="B339" s="333" t="n">
        <v>45482</v>
      </c>
      <c r="C339" s="314" t="n">
        <v>8</v>
      </c>
      <c r="D339" s="315" t="inlineStr">
        <is>
          <t>Biaya Operasi</t>
        </is>
      </c>
      <c r="E339" s="316" t="n"/>
      <c r="F339" s="351" t="n">
        <v>259120</v>
      </c>
      <c r="G339" s="314" t="inlineStr">
        <is>
          <t>IDR</t>
        </is>
      </c>
      <c r="H339" s="314" t="n">
        <v>1</v>
      </c>
      <c r="I339" s="319">
        <f>$H339*$F339</f>
        <v/>
      </c>
      <c r="J339" s="320" t="n"/>
      <c r="K339" s="321" t="n"/>
      <c r="L339" s="321" t="n"/>
      <c r="M339" s="320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33" t="n">
        <v>45511</v>
      </c>
      <c r="C340" s="314" t="n">
        <v>1</v>
      </c>
      <c r="D340" s="370" t="inlineStr">
        <is>
          <t>Laundry 10 days 1 Persons @ 50K IDR/day</t>
        </is>
      </c>
      <c r="E340" s="370" t="inlineStr">
        <is>
          <t>-</t>
        </is>
      </c>
      <c r="F340" s="332" t="n">
        <v>500000</v>
      </c>
      <c r="G340" s="314" t="inlineStr">
        <is>
          <t>IDR</t>
        </is>
      </c>
      <c r="H340" s="346" t="n">
        <v>1</v>
      </c>
      <c r="I340" s="320" t="n"/>
      <c r="J340" s="329" t="n">
        <v>500000</v>
      </c>
      <c r="K340" s="321" t="n"/>
      <c r="L340" s="321" t="n"/>
      <c r="M340" s="319" t="n"/>
      <c r="N340" s="321" t="n"/>
      <c r="O340" s="321" t="n"/>
      <c r="P340" s="321" t="n"/>
      <c r="Q340" s="321" t="n"/>
      <c r="R340" s="322" t="n"/>
      <c r="S340" s="322" t="n"/>
      <c r="T340" s="322" t="n"/>
      <c r="U340" s="322" t="n"/>
      <c r="V340" s="322" t="n"/>
      <c r="W340" s="322" t="n"/>
      <c r="X340" s="322" t="n"/>
    </row>
    <row r="341" ht="15.5" customHeight="1" s="297">
      <c r="B341" s="333" t="n">
        <v>45511</v>
      </c>
      <c r="C341" s="314" t="n">
        <v>2</v>
      </c>
      <c r="D341" s="316" t="inlineStr">
        <is>
          <t>Meals 10 days 1 Persons @ 150K IDR/day</t>
        </is>
      </c>
      <c r="E341" s="316" t="inlineStr">
        <is>
          <t>-</t>
        </is>
      </c>
      <c r="F341" s="332" t="n">
        <v>1500000</v>
      </c>
      <c r="G341" s="314" t="inlineStr">
        <is>
          <t>IDR</t>
        </is>
      </c>
      <c r="H341" s="346" t="n">
        <v>1</v>
      </c>
      <c r="I341" s="320" t="n"/>
      <c r="J341" s="329" t="n">
        <v>1500000</v>
      </c>
      <c r="K341" s="320" t="n"/>
      <c r="L341" s="320" t="n"/>
      <c r="M341" s="320" t="n"/>
      <c r="N341" s="320">
        <f>F341</f>
        <v/>
      </c>
      <c r="O341" s="320" t="n"/>
      <c r="P341" s="320" t="n"/>
      <c r="Q341" s="320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45512</v>
      </c>
      <c r="C342" s="314" t="n">
        <v>3</v>
      </c>
      <c r="D342" s="316" t="inlineStr">
        <is>
          <t>Tunjangan Lapangan for 10 days</t>
        </is>
      </c>
      <c r="E342" s="316" t="inlineStr">
        <is>
          <t>-</t>
        </is>
      </c>
      <c r="F342" s="332" t="n">
        <v>16100000</v>
      </c>
      <c r="G342" s="314" t="inlineStr">
        <is>
          <t>USD</t>
        </is>
      </c>
      <c r="H342" s="346" t="n">
        <v>16100</v>
      </c>
      <c r="I342" s="320" t="n"/>
      <c r="J342" s="329" t="n">
        <v>16100000</v>
      </c>
      <c r="K342" s="321" t="n"/>
      <c r="L342" s="321" t="n"/>
      <c r="M342" s="321" t="n"/>
      <c r="N342" s="320">
        <f>F342</f>
        <v/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21" t="inlineStr">
        <is>
          <t>Expense#22</t>
        </is>
      </c>
      <c r="C343" s="348" t="inlineStr">
        <is>
          <t>:</t>
        </is>
      </c>
      <c r="D343" s="383" t="inlineStr">
        <is>
          <t>Pembelian Barang</t>
        </is>
      </c>
      <c r="E343" s="384" t="n"/>
      <c r="F343" s="316" t="n"/>
      <c r="G343" s="314" t="n"/>
      <c r="H343" s="314" t="n"/>
      <c r="I343" s="321" t="n"/>
      <c r="J343" s="321" t="n"/>
      <c r="K343" s="321" t="n"/>
      <c r="L343" s="321" t="n"/>
      <c r="M343" s="319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13" t="n">
        <v>45516</v>
      </c>
      <c r="C344" s="314" t="n">
        <v>4</v>
      </c>
      <c r="D344" s="321" t="inlineStr">
        <is>
          <t>Pelican Long Case 1770</t>
        </is>
      </c>
      <c r="E344" s="321" t="inlineStr">
        <is>
          <t>-</t>
        </is>
      </c>
      <c r="F344" s="323" t="n">
        <v>15166600</v>
      </c>
      <c r="G344" s="314" t="inlineStr">
        <is>
          <t>IDR</t>
        </is>
      </c>
      <c r="H344" s="346" t="n">
        <v>1</v>
      </c>
      <c r="I344" s="321" t="n"/>
      <c r="J344" s="321" t="n"/>
      <c r="K344" s="321" t="n"/>
      <c r="L344" s="321" t="n"/>
      <c r="M344" s="319" t="n"/>
      <c r="N344" s="329" t="n">
        <v>15166600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71" t="inlineStr">
        <is>
          <t>Expense#26</t>
        </is>
      </c>
      <c r="C345" s="362" t="inlineStr">
        <is>
          <t>:</t>
        </is>
      </c>
      <c r="D345" s="372" t="inlineStr">
        <is>
          <t>ALFA-MPLT-BHS_ RBG 3B PT. TIS under Barikin sakti _DS</t>
        </is>
      </c>
      <c r="E345" s="381" t="n"/>
      <c r="F345" s="378" t="n">
        <v>206000</v>
      </c>
      <c r="G345" s="362" t="inlineStr">
        <is>
          <t>IDR</t>
        </is>
      </c>
      <c r="H345" s="362" t="n">
        <v>1</v>
      </c>
      <c r="I345" s="368" t="n"/>
      <c r="J345" s="368" t="n"/>
      <c r="K345" s="368" t="n"/>
      <c r="L345" s="368" t="n"/>
      <c r="M345" s="367" t="n"/>
      <c r="N345" s="368" t="n"/>
      <c r="O345" s="368" t="n"/>
      <c r="P345" s="367">
        <f>F345</f>
        <v/>
      </c>
      <c r="Q345" s="368" t="n"/>
      <c r="R345" s="369" t="n"/>
      <c r="S345" s="369" t="n"/>
      <c r="T345" s="369" t="n"/>
      <c r="U345" s="369" t="n"/>
      <c r="V345" s="369" t="n"/>
      <c r="W345" s="369" t="n"/>
      <c r="X345" s="369" t="n"/>
    </row>
    <row r="346" ht="15.5" customHeight="1" s="297">
      <c r="B346" s="313" t="n">
        <v>45446</v>
      </c>
      <c r="C346" s="314" t="n">
        <v>2</v>
      </c>
      <c r="D346" s="315" t="inlineStr">
        <is>
          <t>Biaya Operasi</t>
        </is>
      </c>
      <c r="E346" s="316" t="n"/>
      <c r="F346" s="317" t="n">
        <v>1474000</v>
      </c>
      <c r="G346" s="314" t="inlineStr">
        <is>
          <t>IDR</t>
        </is>
      </c>
      <c r="H346" s="314" t="n">
        <v>1</v>
      </c>
      <c r="I346" s="321" t="n"/>
      <c r="J346" s="321" t="n"/>
      <c r="K346" s="321" t="n"/>
      <c r="L346" s="321" t="n"/>
      <c r="M346" s="319" t="n"/>
      <c r="N346" s="321" t="n"/>
      <c r="O346" s="321" t="n"/>
      <c r="P346" s="320">
        <f>F346</f>
        <v/>
      </c>
      <c r="Q346" s="321" t="n"/>
      <c r="R346" s="322" t="n"/>
      <c r="S346" s="322" t="n"/>
      <c r="T346" s="322" t="n"/>
      <c r="U346" s="322" t="n"/>
      <c r="V346" s="322" t="n"/>
      <c r="W346" s="322" t="n"/>
      <c r="X346" s="322" t="n"/>
    </row>
    <row r="347" ht="15.5" customHeight="1" s="297">
      <c r="B347" s="313" t="n">
        <v>45507</v>
      </c>
      <c r="C347" s="314" t="n">
        <v>1</v>
      </c>
      <c r="D347" s="316" t="inlineStr">
        <is>
          <t>Jakarta - Semarang</t>
        </is>
      </c>
      <c r="E347" s="316" t="inlineStr">
        <is>
          <t>-</t>
        </is>
      </c>
      <c r="F347" s="323" t="n">
        <v>673500</v>
      </c>
      <c r="G347" s="314" t="inlineStr">
        <is>
          <t>IDR</t>
        </is>
      </c>
      <c r="H347" s="346" t="n">
        <v>1</v>
      </c>
      <c r="I347" s="321" t="n"/>
      <c r="J347" s="329" t="n">
        <v>673500</v>
      </c>
      <c r="K347" s="321" t="n"/>
      <c r="L347" s="321" t="n"/>
      <c r="M347" s="319" t="n"/>
      <c r="N347" s="321" t="n"/>
      <c r="O347" s="321" t="n"/>
      <c r="P347" s="320">
        <f>F347</f>
        <v/>
      </c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13" t="n">
        <v>45507</v>
      </c>
      <c r="C348" s="314" t="n">
        <v>2</v>
      </c>
      <c r="D348" s="316" t="inlineStr">
        <is>
          <t>Taxi+Tol Serpong - Gambir</t>
        </is>
      </c>
      <c r="E348" s="316" t="inlineStr">
        <is>
          <t>-</t>
        </is>
      </c>
      <c r="F348" s="323" t="n">
        <v>154000</v>
      </c>
      <c r="G348" s="314" t="inlineStr">
        <is>
          <t>IDR</t>
        </is>
      </c>
      <c r="H348" s="346" t="n">
        <v>1</v>
      </c>
      <c r="I348" s="321" t="n"/>
      <c r="J348" s="329" t="n">
        <v>154000</v>
      </c>
      <c r="K348" s="321" t="n"/>
      <c r="L348" s="321" t="n"/>
      <c r="M348" s="319" t="n"/>
      <c r="N348" s="321" t="n"/>
      <c r="O348" s="321" t="n"/>
      <c r="P348" s="320">
        <f>F348</f>
        <v/>
      </c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47" t="n">
        <v>45507</v>
      </c>
      <c r="C349" s="348" t="n">
        <v>3</v>
      </c>
      <c r="D349" s="349" t="inlineStr">
        <is>
          <t>Gocar St. Tawang - PT. TIS</t>
        </is>
      </c>
      <c r="E349" s="349" t="inlineStr">
        <is>
          <t>-</t>
        </is>
      </c>
      <c r="F349" s="337" t="n">
        <v>129000</v>
      </c>
      <c r="G349" s="314" t="inlineStr">
        <is>
          <t>IDR</t>
        </is>
      </c>
      <c r="H349" s="346" t="n">
        <v>1</v>
      </c>
      <c r="I349" s="319" t="n"/>
      <c r="J349" s="329" t="n">
        <v>129000</v>
      </c>
      <c r="K349" s="321" t="n"/>
      <c r="L349" s="321" t="n"/>
      <c r="M349" s="319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13" t="n">
        <v>45507</v>
      </c>
      <c r="C350" s="314" t="n">
        <v>4</v>
      </c>
      <c r="D350" s="350" t="inlineStr">
        <is>
          <t>Hotel 3 Aug - 6 Aug 2024 (2 rooms)</t>
        </is>
      </c>
      <c r="E350" s="350" t="inlineStr">
        <is>
          <t>-</t>
        </is>
      </c>
      <c r="F350" s="323" t="n">
        <v>1591200</v>
      </c>
      <c r="G350" s="314" t="inlineStr">
        <is>
          <t>IDR</t>
        </is>
      </c>
      <c r="H350" s="346" t="n">
        <v>1</v>
      </c>
      <c r="I350" s="319" t="n"/>
      <c r="J350" s="329" t="n">
        <v>1591200</v>
      </c>
      <c r="K350" s="321" t="n"/>
      <c r="L350" s="321" t="n"/>
      <c r="M350" s="319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45509</v>
      </c>
      <c r="C351" s="314" t="n">
        <v>5</v>
      </c>
      <c r="D351" s="316" t="inlineStr">
        <is>
          <t>Hotel 6 Aug - 7 Aug 2024 (2 rooms)</t>
        </is>
      </c>
      <c r="E351" s="316" t="inlineStr">
        <is>
          <t>-</t>
        </is>
      </c>
      <c r="F351" s="323" t="n">
        <v>795600</v>
      </c>
      <c r="G351" s="314" t="inlineStr">
        <is>
          <t>IDR</t>
        </is>
      </c>
      <c r="H351" s="346" t="n">
        <v>1</v>
      </c>
      <c r="I351" s="319">
        <f>$H351*$F351</f>
        <v/>
      </c>
      <c r="J351" s="329" t="n">
        <v>795600</v>
      </c>
      <c r="K351" s="321" t="n"/>
      <c r="L351" s="321" t="n"/>
      <c r="M351" s="319" t="n"/>
      <c r="N351" s="321" t="n"/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45511</v>
      </c>
      <c r="C352" s="314" t="n">
        <v>6</v>
      </c>
      <c r="D352" s="316" t="inlineStr">
        <is>
          <t>Gocar Hotel to Tawang</t>
        </is>
      </c>
      <c r="E352" s="316" t="inlineStr">
        <is>
          <t>-</t>
        </is>
      </c>
      <c r="F352" s="323" t="n">
        <v>45000</v>
      </c>
      <c r="G352" s="314" t="inlineStr">
        <is>
          <t>IDR</t>
        </is>
      </c>
      <c r="H352" s="346" t="n">
        <v>1</v>
      </c>
      <c r="I352" s="319">
        <f>$H352*$F352</f>
        <v/>
      </c>
      <c r="J352" s="329" t="n">
        <v>45000</v>
      </c>
      <c r="K352" s="321" t="n"/>
      <c r="L352" s="321" t="n"/>
      <c r="M352" s="319" t="n"/>
      <c r="N352" s="321" t="n"/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45511</v>
      </c>
      <c r="C353" s="314" t="n">
        <v>7</v>
      </c>
      <c r="D353" s="350" t="inlineStr">
        <is>
          <t>Uang Makan (3 - 7 Aug 2024)</t>
        </is>
      </c>
      <c r="E353" s="350" t="inlineStr">
        <is>
          <t>-</t>
        </is>
      </c>
      <c r="F353" s="323" t="n">
        <v>750000</v>
      </c>
      <c r="G353" s="314" t="inlineStr">
        <is>
          <t>IDR</t>
        </is>
      </c>
      <c r="H353" s="346" t="n">
        <v>1</v>
      </c>
      <c r="I353" s="319" t="n"/>
      <c r="J353" s="329" t="n">
        <v>750000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77" t="n">
        <v>45511</v>
      </c>
      <c r="C354" s="314" t="n">
        <v>8</v>
      </c>
      <c r="D354" s="326" t="inlineStr">
        <is>
          <t>Laundry (3 - 7 Aug 2024)</t>
        </is>
      </c>
      <c r="E354" s="326" t="inlineStr">
        <is>
          <t>-</t>
        </is>
      </c>
      <c r="F354" s="323" t="n">
        <v>250000</v>
      </c>
      <c r="G354" s="314" t="inlineStr">
        <is>
          <t>IDR</t>
        </is>
      </c>
      <c r="H354" s="346" t="n">
        <v>1</v>
      </c>
      <c r="I354" s="319">
        <f>$H354*$F354</f>
        <v/>
      </c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45511</v>
      </c>
      <c r="C355" s="314" t="n">
        <v>9</v>
      </c>
      <c r="D355" s="326" t="inlineStr">
        <is>
          <t>Tunjangan LapanganRBG-3B PT. TIS (3-7 Aug 2024)</t>
        </is>
      </c>
      <c r="E355" s="326" t="inlineStr">
        <is>
          <t>-</t>
        </is>
      </c>
      <c r="F355" s="323" t="n">
        <v>500</v>
      </c>
      <c r="G355" s="314" t="inlineStr">
        <is>
          <t>IDR</t>
        </is>
      </c>
      <c r="H355" s="346" t="n">
        <v>15900</v>
      </c>
      <c r="I355" s="319">
        <f>$H355*$F355</f>
        <v/>
      </c>
      <c r="J355" s="329" t="n">
        <v>500</v>
      </c>
      <c r="K355" s="321" t="n"/>
      <c r="L355" s="321" t="n"/>
      <c r="M355" s="321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61" t="inlineStr">
        <is>
          <t>Expense#27</t>
        </is>
      </c>
      <c r="C356" s="362" t="inlineStr">
        <is>
          <t>:</t>
        </is>
      </c>
      <c r="D356" s="363" t="inlineStr">
        <is>
          <t>Non tripo 1st -- MCU + Pembelian barang kelengkapan pump AC</t>
        </is>
      </c>
      <c r="E356" s="364" t="n"/>
      <c r="F356" s="378" t="n">
        <v>190430</v>
      </c>
      <c r="G356" s="362" t="inlineStr">
        <is>
          <t>IDR</t>
        </is>
      </c>
      <c r="H356" s="362" t="n">
        <v>1</v>
      </c>
      <c r="I356" s="366">
        <f>$H356*$F356</f>
        <v/>
      </c>
      <c r="J356" s="368" t="n"/>
      <c r="K356" s="368" t="n"/>
      <c r="L356" s="368" t="n"/>
      <c r="M356" s="368" t="n"/>
      <c r="N356" s="368" t="n"/>
      <c r="O356" s="368" t="n"/>
      <c r="P356" s="368" t="n"/>
      <c r="Q356" s="368" t="n"/>
      <c r="R356" s="369" t="n"/>
      <c r="S356" s="369" t="n"/>
      <c r="T356" s="369" t="n"/>
      <c r="U356" s="369" t="n"/>
      <c r="V356" s="369" t="n"/>
      <c r="W356" s="369" t="n"/>
      <c r="X356" s="369" t="n"/>
    </row>
    <row r="357" ht="15.5" customHeight="1" s="297">
      <c r="B357" s="333" t="n">
        <v>45500</v>
      </c>
      <c r="C357" s="314" t="n"/>
      <c r="D357" s="330" t="inlineStr">
        <is>
          <t>Biaya Operasi</t>
        </is>
      </c>
      <c r="E357" s="326" t="n"/>
      <c r="F357" s="317">
        <f>112000+150000</f>
        <v/>
      </c>
      <c r="G357" s="314" t="inlineStr">
        <is>
          <t>IDR</t>
        </is>
      </c>
      <c r="H357" s="314" t="n">
        <v>1</v>
      </c>
      <c r="I357" s="319">
        <f>$H357*$F357</f>
        <v/>
      </c>
      <c r="J357" s="321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45476</v>
      </c>
      <c r="C358" s="314" t="n">
        <v>1</v>
      </c>
      <c r="D358" s="326" t="inlineStr">
        <is>
          <t>Coffe drink visit to MEPI Jakarta ( Bondan)</t>
        </is>
      </c>
      <c r="E358" s="326" t="inlineStr">
        <is>
          <t>-</t>
        </is>
      </c>
      <c r="F358" s="323" t="n">
        <v>144100</v>
      </c>
      <c r="G358" s="314" t="inlineStr">
        <is>
          <t>IDR</t>
        </is>
      </c>
      <c r="H358" s="346" t="n">
        <v>1</v>
      </c>
      <c r="I358" s="319">
        <f>$H358*$F358</f>
        <v/>
      </c>
      <c r="J358" s="329" t="n">
        <v>144100</v>
      </c>
      <c r="K358" s="321" t="n"/>
      <c r="L358" s="321" t="n"/>
      <c r="M358" s="321" t="n"/>
      <c r="N358" s="319" t="n"/>
      <c r="O358" s="321" t="n"/>
      <c r="P358" s="321" t="n"/>
      <c r="Q358" s="321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45477</v>
      </c>
      <c r="C359" s="314" t="n">
        <v>2</v>
      </c>
      <c r="D359" s="326" t="inlineStr">
        <is>
          <t>Meal lunch when inspect Sample tool</t>
        </is>
      </c>
      <c r="E359" s="326" t="inlineStr">
        <is>
          <t>-</t>
        </is>
      </c>
      <c r="F359" s="323" t="n">
        <v>157000</v>
      </c>
      <c r="G359" s="314" t="inlineStr">
        <is>
          <t>IDR</t>
        </is>
      </c>
      <c r="H359" s="346" t="n">
        <v>1</v>
      </c>
      <c r="I359" s="319">
        <f>$H359*$F359</f>
        <v/>
      </c>
      <c r="J359" s="329" t="n">
        <v>157000</v>
      </c>
      <c r="K359" s="321" t="n"/>
      <c r="L359" s="321" t="n"/>
      <c r="M359" s="321" t="n"/>
      <c r="N359" s="319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33" t="n">
        <v>45484</v>
      </c>
      <c r="C360" s="314" t="n">
        <v>3</v>
      </c>
      <c r="D360" s="395" t="inlineStr">
        <is>
          <t>Fuel ( trip ambil tool Sampler and to Andara )</t>
        </is>
      </c>
      <c r="E360" s="395" t="inlineStr">
        <is>
          <t>-</t>
        </is>
      </c>
      <c r="F360" s="323" t="n">
        <v>164100</v>
      </c>
      <c r="G360" s="314" t="inlineStr">
        <is>
          <t>IDR</t>
        </is>
      </c>
      <c r="H360" s="346" t="n">
        <v>1</v>
      </c>
      <c r="I360" s="319" t="n"/>
      <c r="J360" s="329" t="n">
        <v>164100</v>
      </c>
      <c r="K360" s="321" t="n"/>
      <c r="L360" s="321" t="n"/>
      <c r="M360" s="321" t="n"/>
      <c r="N360" s="319" t="n"/>
      <c r="O360" s="321" t="n"/>
      <c r="P360" s="321" t="n"/>
      <c r="Q360" s="321" t="n"/>
      <c r="R360" s="322" t="n"/>
      <c r="S360" s="322" t="n"/>
      <c r="T360" s="322" t="n"/>
      <c r="U360" s="322" t="n"/>
      <c r="V360" s="322" t="n"/>
      <c r="W360" s="322" t="n"/>
      <c r="X360" s="322" t="n"/>
    </row>
    <row r="361" ht="15.5" customHeight="1" s="297">
      <c r="B361" s="333" t="n">
        <v>45484</v>
      </c>
      <c r="C361" s="314" t="n">
        <v>4</v>
      </c>
      <c r="D361" s="316" t="inlineStr">
        <is>
          <t>Fuel ( trip ke Lemigas and Workshop sampler)</t>
        </is>
      </c>
      <c r="E361" s="316" t="inlineStr">
        <is>
          <t>-</t>
        </is>
      </c>
      <c r="F361" s="323" t="n">
        <v>291000</v>
      </c>
      <c r="G361" s="314" t="inlineStr">
        <is>
          <t>IDR</t>
        </is>
      </c>
      <c r="H361" s="346" t="n">
        <v>1</v>
      </c>
      <c r="I361" s="319">
        <f>$H361*$F361</f>
        <v/>
      </c>
      <c r="J361" s="329" t="n">
        <v>291000</v>
      </c>
      <c r="K361" s="321" t="n"/>
      <c r="L361" s="321" t="n"/>
      <c r="M361" s="321" t="n"/>
      <c r="N361" s="319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33" t="n">
        <v>45484</v>
      </c>
      <c r="C362" s="314" t="n">
        <v>5</v>
      </c>
      <c r="D362" s="370" t="inlineStr">
        <is>
          <t>Meal lunch when visit to Lemigas (Sample Botol)</t>
        </is>
      </c>
      <c r="E362" s="370" t="inlineStr">
        <is>
          <t>-</t>
        </is>
      </c>
      <c r="F362" s="323" t="n">
        <v>81000</v>
      </c>
      <c r="G362" s="314" t="inlineStr">
        <is>
          <t>IDR</t>
        </is>
      </c>
      <c r="H362" s="346" t="n">
        <v>1</v>
      </c>
      <c r="I362" s="320" t="n"/>
      <c r="J362" s="329" t="n">
        <v>81000</v>
      </c>
      <c r="K362" s="321" t="n"/>
      <c r="L362" s="321" t="n"/>
      <c r="M362" s="321" t="n"/>
      <c r="N362" s="321" t="n"/>
      <c r="O362" s="321" t="n"/>
      <c r="P362" s="321" t="n"/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33" t="n">
        <v>45490</v>
      </c>
      <c r="C363" s="314" t="n">
        <v>6</v>
      </c>
      <c r="D363" s="326" t="inlineStr">
        <is>
          <t>Fuel ( trip ke Lemigas and Workshop sampler)</t>
        </is>
      </c>
      <c r="E363" s="326" t="inlineStr">
        <is>
          <t>-</t>
        </is>
      </c>
      <c r="F363" s="323" t="n">
        <v>177350</v>
      </c>
      <c r="G363" s="314" t="inlineStr">
        <is>
          <t>IDR</t>
        </is>
      </c>
      <c r="H363" s="346" t="n">
        <v>1</v>
      </c>
      <c r="I363" s="320">
        <f>F363</f>
        <v/>
      </c>
      <c r="J363" s="329" t="n">
        <v>177350</v>
      </c>
      <c r="K363" s="321" t="n"/>
      <c r="L363" s="321" t="n"/>
      <c r="M363" s="319" t="n"/>
      <c r="N363" s="321" t="n"/>
      <c r="O363" s="321" t="n"/>
      <c r="P363" s="321" t="n"/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33" t="n">
        <v>45498</v>
      </c>
      <c r="C364" s="314" t="n">
        <v>7</v>
      </c>
      <c r="D364" s="370" t="inlineStr">
        <is>
          <t>Fuel ( trip ke Barekin Bogor, inspeksi tool)</t>
        </is>
      </c>
      <c r="E364" s="370" t="inlineStr">
        <is>
          <t>-</t>
        </is>
      </c>
      <c r="F364" s="323" t="n">
        <v>319700</v>
      </c>
      <c r="G364" s="314" t="inlineStr">
        <is>
          <t>IDR</t>
        </is>
      </c>
      <c r="H364" s="346" t="n">
        <v>1</v>
      </c>
      <c r="I364" s="379" t="n"/>
      <c r="J364" s="329" t="n">
        <v>319700</v>
      </c>
      <c r="K364" s="321" t="n"/>
      <c r="L364" s="321" t="n"/>
      <c r="M364" s="321" t="n"/>
      <c r="N364" s="321" t="n"/>
      <c r="O364" s="321" t="n"/>
      <c r="P364" s="321" t="n"/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33" t="n">
        <v>45501</v>
      </c>
      <c r="C365" s="314" t="n">
        <v>8</v>
      </c>
      <c r="D365" s="326" t="inlineStr">
        <is>
          <t>Fuel trip ke Glodok buy Hydralic pump assesories</t>
        </is>
      </c>
      <c r="E365" s="326" t="inlineStr">
        <is>
          <t>-</t>
        </is>
      </c>
      <c r="F365" s="323" t="n">
        <v>217350</v>
      </c>
      <c r="G365" s="314" t="inlineStr">
        <is>
          <t>IDR</t>
        </is>
      </c>
      <c r="H365" s="346" t="n">
        <v>1</v>
      </c>
      <c r="I365" s="379">
        <f>F365</f>
        <v/>
      </c>
      <c r="J365" s="329" t="n">
        <v>217350</v>
      </c>
      <c r="K365" s="321" t="n"/>
      <c r="L365" s="321" t="n"/>
      <c r="M365" s="321" t="n"/>
      <c r="N365" s="321" t="n"/>
      <c r="O365" s="321" t="n"/>
      <c r="P365" s="321" t="n"/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33" t="n"/>
      <c r="C366" s="314" t="n"/>
      <c r="D366" s="330" t="inlineStr">
        <is>
          <t>Kesehatan</t>
        </is>
      </c>
      <c r="E366" s="370" t="n"/>
      <c r="F366" s="317" t="n"/>
      <c r="G366" s="314" t="n"/>
      <c r="H366" s="314" t="n"/>
      <c r="I366" s="321" t="n"/>
      <c r="J366" s="321" t="n"/>
      <c r="K366" s="321" t="n"/>
      <c r="L366" s="321" t="n"/>
      <c r="M366" s="321" t="n"/>
      <c r="N366" s="321" t="n"/>
      <c r="O366" s="321" t="n"/>
      <c r="P366" s="321" t="n"/>
      <c r="Q366" s="321" t="n"/>
      <c r="R366" s="322" t="n"/>
      <c r="S366" s="322" t="n"/>
      <c r="T366" s="322" t="n"/>
      <c r="U366" s="322" t="n"/>
      <c r="V366" s="322" t="n"/>
      <c r="W366" s="322" t="n"/>
      <c r="X366" s="322" t="n"/>
    </row>
    <row r="367" ht="15.5" customHeight="1" s="297">
      <c r="B367" s="333" t="n">
        <v>45474</v>
      </c>
      <c r="C367" s="314" t="n">
        <v>9</v>
      </c>
      <c r="D367" s="326" t="inlineStr">
        <is>
          <t>Biaya MCU di RSPP</t>
        </is>
      </c>
      <c r="E367" s="326" t="inlineStr">
        <is>
          <t>-</t>
        </is>
      </c>
      <c r="F367" s="323" t="n">
        <v>5630000</v>
      </c>
      <c r="G367" s="314" t="inlineStr">
        <is>
          <t>IDR</t>
        </is>
      </c>
      <c r="H367" s="346" t="n">
        <v>1</v>
      </c>
      <c r="I367" s="320">
        <f>F367</f>
        <v/>
      </c>
      <c r="J367" s="321" t="n"/>
      <c r="K367" s="321" t="n"/>
      <c r="L367" s="321" t="n"/>
      <c r="M367" s="321" t="n"/>
      <c r="N367" s="321" t="n"/>
      <c r="O367" s="321" t="n"/>
      <c r="P367" s="329" t="n">
        <v>5630000</v>
      </c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45476</v>
      </c>
      <c r="C368" s="314" t="n">
        <v>10</v>
      </c>
      <c r="D368" s="370" t="inlineStr">
        <is>
          <t>Biaya Konsul Dokter Jantung</t>
        </is>
      </c>
      <c r="E368" s="370" t="inlineStr">
        <is>
          <t>-</t>
        </is>
      </c>
      <c r="F368" s="323" t="n">
        <v>460000</v>
      </c>
      <c r="G368" s="314" t="inlineStr">
        <is>
          <t>IDR</t>
        </is>
      </c>
      <c r="H368" s="346" t="n">
        <v>1</v>
      </c>
      <c r="I368" s="320" t="n"/>
      <c r="J368" s="321" t="n"/>
      <c r="K368" s="321" t="n"/>
      <c r="L368" s="321" t="n"/>
      <c r="M368" s="321" t="n"/>
      <c r="N368" s="321" t="n"/>
      <c r="O368" s="321" t="n"/>
      <c r="P368" s="329" t="n">
        <v>460000</v>
      </c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45476</v>
      </c>
      <c r="C369" s="314" t="n">
        <v>11</v>
      </c>
      <c r="D369" s="385" t="inlineStr">
        <is>
          <t>Biaya Echo_ kardio non Invasif</t>
        </is>
      </c>
      <c r="E369" s="385" t="inlineStr">
        <is>
          <t>-</t>
        </is>
      </c>
      <c r="F369" s="323" t="n">
        <v>2108000</v>
      </c>
      <c r="G369" s="314" t="inlineStr">
        <is>
          <t>IDR</t>
        </is>
      </c>
      <c r="H369" s="346" t="n">
        <v>1</v>
      </c>
      <c r="I369" s="320">
        <f>H369*F369</f>
        <v/>
      </c>
      <c r="J369" s="321" t="n"/>
      <c r="K369" s="321" t="n"/>
      <c r="L369" s="321" t="n"/>
      <c r="M369" s="321" t="n"/>
      <c r="N369" s="321" t="n"/>
      <c r="O369" s="321" t="n"/>
      <c r="P369" s="329" t="n">
        <v>2108000</v>
      </c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>
        <v>45482</v>
      </c>
      <c r="C370" s="314" t="n">
        <v>12</v>
      </c>
      <c r="D370" s="396" t="inlineStr">
        <is>
          <t>Fisioterapi 1st</t>
        </is>
      </c>
      <c r="E370" s="396" t="inlineStr">
        <is>
          <t>-</t>
        </is>
      </c>
      <c r="F370" s="323" t="n">
        <v>285000</v>
      </c>
      <c r="G370" s="314" t="inlineStr">
        <is>
          <t>IDR</t>
        </is>
      </c>
      <c r="H370" s="346" t="n">
        <v>1</v>
      </c>
      <c r="I370" s="321" t="n"/>
      <c r="J370" s="321" t="n"/>
      <c r="K370" s="321" t="n"/>
      <c r="L370" s="321" t="n"/>
      <c r="M370" s="321" t="n"/>
      <c r="N370" s="321" t="n"/>
      <c r="O370" s="321" t="n"/>
      <c r="P370" s="329" t="n">
        <v>285000</v>
      </c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33" t="n">
        <v>45483</v>
      </c>
      <c r="C371" s="314" t="n">
        <v>13</v>
      </c>
      <c r="D371" s="385" t="inlineStr">
        <is>
          <t>Biaya Obat Candesartan</t>
        </is>
      </c>
      <c r="E371" s="385" t="inlineStr">
        <is>
          <t>-</t>
        </is>
      </c>
      <c r="F371" s="323" t="n">
        <v>149850</v>
      </c>
      <c r="G371" s="314" t="inlineStr">
        <is>
          <t>IDR</t>
        </is>
      </c>
      <c r="H371" s="346" t="n">
        <v>1</v>
      </c>
      <c r="I371" s="321" t="n"/>
      <c r="J371" s="321" t="n"/>
      <c r="K371" s="321" t="n"/>
      <c r="L371" s="321" t="n"/>
      <c r="M371" s="321" t="n"/>
      <c r="N371" s="320">
        <f>F371</f>
        <v/>
      </c>
      <c r="O371" s="321" t="n"/>
      <c r="P371" s="329" t="n">
        <v>149850</v>
      </c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45483</v>
      </c>
      <c r="C372" s="314" t="n">
        <v>14</v>
      </c>
      <c r="D372" s="385" t="inlineStr">
        <is>
          <t>Fisioterapi 2nd</t>
        </is>
      </c>
      <c r="E372" s="385" t="inlineStr">
        <is>
          <t>-</t>
        </is>
      </c>
      <c r="F372" s="323" t="n">
        <v>285000</v>
      </c>
      <c r="G372" s="314" t="inlineStr">
        <is>
          <t>IDR</t>
        </is>
      </c>
      <c r="H372" s="346" t="n">
        <v>1</v>
      </c>
      <c r="I372" s="321" t="n"/>
      <c r="J372" s="321" t="n"/>
      <c r="K372" s="321" t="n"/>
      <c r="L372" s="321" t="n"/>
      <c r="M372" s="321" t="n"/>
      <c r="N372" s="320">
        <f>F372</f>
        <v/>
      </c>
      <c r="O372" s="321" t="n"/>
      <c r="P372" s="329" t="n">
        <v>285000</v>
      </c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45484</v>
      </c>
      <c r="C373" s="314" t="n">
        <v>15</v>
      </c>
      <c r="D373" s="385" t="inlineStr">
        <is>
          <t>Fisioterapi 3rd</t>
        </is>
      </c>
      <c r="E373" s="385" t="inlineStr">
        <is>
          <t>-</t>
        </is>
      </c>
      <c r="F373" s="323" t="n">
        <v>285000</v>
      </c>
      <c r="G373" s="314" t="inlineStr">
        <is>
          <t>IDR</t>
        </is>
      </c>
      <c r="H373" s="346" t="n">
        <v>1</v>
      </c>
      <c r="I373" s="321" t="n"/>
      <c r="J373" s="321" t="n"/>
      <c r="K373" s="321" t="n"/>
      <c r="L373" s="321" t="n"/>
      <c r="M373" s="319" t="n"/>
      <c r="N373" s="320">
        <f>F373</f>
        <v/>
      </c>
      <c r="O373" s="321" t="n"/>
      <c r="P373" s="329" t="n">
        <v>285000</v>
      </c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21" t="inlineStr">
        <is>
          <t>Expense#24</t>
        </is>
      </c>
      <c r="C374" s="348" t="inlineStr">
        <is>
          <t>:</t>
        </is>
      </c>
      <c r="D374" s="383" t="inlineStr">
        <is>
          <t>Pembelian Barang</t>
        </is>
      </c>
      <c r="E374" s="349" t="n"/>
      <c r="F374" s="316" t="n"/>
      <c r="G374" s="314" t="n"/>
      <c r="H374" s="314" t="n"/>
      <c r="I374" s="321" t="n"/>
      <c r="J374" s="321" t="n"/>
      <c r="K374" s="321" t="n"/>
      <c r="L374" s="321" t="n"/>
      <c r="M374" s="320" t="n"/>
      <c r="N374" s="321" t="n"/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45497</v>
      </c>
      <c r="C375" s="314" t="n">
        <v>16</v>
      </c>
      <c r="D375" s="395" t="inlineStr">
        <is>
          <t>Buy Tang Bnegkok (Tekiro)</t>
        </is>
      </c>
      <c r="E375" s="395" t="inlineStr">
        <is>
          <t>-</t>
        </is>
      </c>
      <c r="F375" s="323" t="n">
        <v>75000</v>
      </c>
      <c r="G375" s="314" t="inlineStr">
        <is>
          <t>IDR</t>
        </is>
      </c>
      <c r="H375" s="346" t="n">
        <v>1</v>
      </c>
      <c r="I375" s="321" t="n"/>
      <c r="J375" s="321" t="n"/>
      <c r="K375" s="321" t="n"/>
      <c r="L375" s="321" t="n"/>
      <c r="M375" s="319" t="n"/>
      <c r="N375" s="329" t="n">
        <v>75000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45498</v>
      </c>
      <c r="C376" s="314" t="n">
        <v>17</v>
      </c>
      <c r="D376" s="326" t="inlineStr">
        <is>
          <t>Buy Hose 1/4"</t>
        </is>
      </c>
      <c r="E376" s="326" t="inlineStr">
        <is>
          <t>-</t>
        </is>
      </c>
      <c r="F376" s="323" t="n">
        <v>133000</v>
      </c>
      <c r="G376" s="314" t="inlineStr">
        <is>
          <t>IDR</t>
        </is>
      </c>
      <c r="H376" s="346" t="n">
        <v>1</v>
      </c>
      <c r="I376" s="320">
        <f>F376</f>
        <v/>
      </c>
      <c r="J376" s="321" t="n"/>
      <c r="K376" s="321" t="n"/>
      <c r="L376" s="321" t="n"/>
      <c r="M376" s="319" t="n"/>
      <c r="N376" s="329" t="n">
        <v>133000</v>
      </c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>
        <v>45498</v>
      </c>
      <c r="C377" s="314" t="n">
        <v>18</v>
      </c>
      <c r="D377" s="326" t="inlineStr">
        <is>
          <t>Buy Needle Neple</t>
        </is>
      </c>
      <c r="E377" s="326" t="inlineStr">
        <is>
          <t>-</t>
        </is>
      </c>
      <c r="F377" s="323" t="n">
        <v>700000</v>
      </c>
      <c r="G377" s="314" t="inlineStr">
        <is>
          <t>IDR</t>
        </is>
      </c>
      <c r="H377" s="346" t="n">
        <v>1</v>
      </c>
      <c r="I377" s="320">
        <f>F377</f>
        <v/>
      </c>
      <c r="J377" s="321" t="n"/>
      <c r="K377" s="321" t="n"/>
      <c r="L377" s="321" t="n"/>
      <c r="M377" s="319" t="n"/>
      <c r="N377" s="329" t="n">
        <v>700000</v>
      </c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45499</v>
      </c>
      <c r="C378" s="314" t="n">
        <v>19</v>
      </c>
      <c r="D378" s="326" t="inlineStr">
        <is>
          <t>buy Adapter</t>
        </is>
      </c>
      <c r="E378" s="326" t="inlineStr">
        <is>
          <t>-</t>
        </is>
      </c>
      <c r="F378" s="323" t="n">
        <v>20000</v>
      </c>
      <c r="G378" s="314" t="inlineStr">
        <is>
          <t>IDR</t>
        </is>
      </c>
      <c r="H378" s="346" t="n">
        <v>1</v>
      </c>
      <c r="I378" s="320">
        <f>F378</f>
        <v/>
      </c>
      <c r="J378" s="321" t="n"/>
      <c r="K378" s="321" t="n"/>
      <c r="L378" s="321" t="n"/>
      <c r="M378" s="319" t="n"/>
      <c r="N378" s="329" t="n">
        <v>20000</v>
      </c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>
        <v>45500</v>
      </c>
      <c r="C379" s="314" t="n">
        <v>20</v>
      </c>
      <c r="D379" s="326" t="inlineStr">
        <is>
          <t>Buy Hose 1/4"</t>
        </is>
      </c>
      <c r="E379" s="326" t="inlineStr">
        <is>
          <t>-</t>
        </is>
      </c>
      <c r="F379" s="323" t="n">
        <v>155000</v>
      </c>
      <c r="G379" s="314" t="inlineStr">
        <is>
          <t>IDR</t>
        </is>
      </c>
      <c r="H379" s="346" t="n">
        <v>1</v>
      </c>
      <c r="I379" s="320">
        <f>F379</f>
        <v/>
      </c>
      <c r="J379" s="321" t="n"/>
      <c r="K379" s="321" t="n"/>
      <c r="L379" s="321" t="n"/>
      <c r="M379" s="320" t="n"/>
      <c r="N379" s="329" t="n">
        <v>155000</v>
      </c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45500</v>
      </c>
      <c r="C380" s="314" t="n">
        <v>21</v>
      </c>
      <c r="D380" s="395" t="inlineStr">
        <is>
          <t>Buy Needle Neple</t>
        </is>
      </c>
      <c r="E380" s="395" t="inlineStr">
        <is>
          <t>-</t>
        </is>
      </c>
      <c r="F380" s="323" t="n">
        <v>660000</v>
      </c>
      <c r="G380" s="314" t="inlineStr">
        <is>
          <t>IDR</t>
        </is>
      </c>
      <c r="H380" s="346" t="n">
        <v>1</v>
      </c>
      <c r="I380" s="321" t="n"/>
      <c r="J380" s="321" t="n"/>
      <c r="K380" s="321" t="n"/>
      <c r="L380" s="321" t="n"/>
      <c r="M380" s="319" t="n"/>
      <c r="N380" s="329" t="n">
        <v>660000</v>
      </c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>
        <v>45500</v>
      </c>
      <c r="C381" s="318" t="n">
        <v>22</v>
      </c>
      <c r="D381" s="385" t="inlineStr">
        <is>
          <t>Buy Connection 1/4"</t>
        </is>
      </c>
      <c r="E381" s="385" t="inlineStr">
        <is>
          <t>-</t>
        </is>
      </c>
      <c r="F381" s="387" t="n">
        <v>1760000</v>
      </c>
      <c r="G381" s="318" t="inlineStr">
        <is>
          <t>IDR</t>
        </is>
      </c>
      <c r="H381" s="324" t="n">
        <v>1</v>
      </c>
      <c r="I381" s="397">
        <f>H381*F381</f>
        <v/>
      </c>
      <c r="J381" s="398" t="n"/>
      <c r="K381" s="398" t="n"/>
      <c r="L381" s="398" t="n"/>
      <c r="M381" s="397" t="n"/>
      <c r="N381" s="399" t="n">
        <v>1760000</v>
      </c>
      <c r="O381" s="398" t="n"/>
      <c r="P381" s="398" t="n"/>
      <c r="Q381" s="398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45501</v>
      </c>
      <c r="C382" s="314" t="n">
        <v>23</v>
      </c>
      <c r="D382" s="326" t="inlineStr">
        <is>
          <t>Buy Case for tools box dan hydraulic pump</t>
        </is>
      </c>
      <c r="E382" s="326" t="inlineStr">
        <is>
          <t>-</t>
        </is>
      </c>
      <c r="F382" s="323" t="n">
        <v>2636800</v>
      </c>
      <c r="G382" s="314" t="inlineStr">
        <is>
          <t>IDR</t>
        </is>
      </c>
      <c r="H382" s="346" t="n">
        <v>1</v>
      </c>
      <c r="I382" s="320">
        <f>H382*F382</f>
        <v/>
      </c>
      <c r="J382" s="321" t="n"/>
      <c r="K382" s="321" t="n"/>
      <c r="L382" s="321" t="n"/>
      <c r="M382" s="319" t="n"/>
      <c r="N382" s="329" t="n">
        <v>2636800</v>
      </c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t="15.5" customHeight="1" s="297">
      <c r="B383" s="371" t="inlineStr">
        <is>
          <t>Expense#28</t>
        </is>
      </c>
      <c r="C383" s="362" t="inlineStr">
        <is>
          <t>:</t>
        </is>
      </c>
      <c r="D383" s="372" t="inlineStr">
        <is>
          <t>ALFA-MPLT-Sampler project TIS Energy Blora_well RBG-3B by Barekin Sakti- AC</t>
        </is>
      </c>
      <c r="E383" s="400" t="n"/>
      <c r="F383" s="365" t="n"/>
      <c r="G383" s="362" t="n"/>
      <c r="H383" s="362" t="n"/>
      <c r="I383" s="368" t="n"/>
      <c r="J383" s="368" t="n"/>
      <c r="K383" s="368" t="n"/>
      <c r="L383" s="368" t="n"/>
      <c r="M383" s="368" t="n"/>
      <c r="N383" s="368" t="n"/>
      <c r="O383" s="368" t="n"/>
      <c r="P383" s="368" t="n"/>
      <c r="Q383" s="368" t="n"/>
      <c r="R383" s="369" t="n"/>
      <c r="S383" s="369" t="n"/>
      <c r="T383" s="369" t="n"/>
      <c r="U383" s="369" t="n"/>
      <c r="V383" s="369" t="n"/>
      <c r="W383" s="369" t="n"/>
      <c r="X383" s="369" t="n"/>
    </row>
    <row r="384" ht="15.5" customHeight="1" s="297">
      <c r="B384" s="333" t="n"/>
      <c r="C384" s="314" t="n"/>
      <c r="D384" s="330" t="inlineStr">
        <is>
          <t>Biaya Operasi</t>
        </is>
      </c>
      <c r="E384" s="370" t="n"/>
      <c r="F384" s="351" t="n"/>
      <c r="G384" s="314" t="n"/>
      <c r="H384" s="314" t="n"/>
      <c r="I384" s="321" t="n"/>
      <c r="J384" s="321" t="n"/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t="15.5" customHeight="1" s="297">
      <c r="B385" s="333" t="n">
        <v>45476</v>
      </c>
      <c r="C385" s="314" t="n">
        <v>1</v>
      </c>
      <c r="D385" s="326" t="inlineStr">
        <is>
          <t>buy Soft drink</t>
        </is>
      </c>
      <c r="E385" s="326" t="inlineStr">
        <is>
          <t>-</t>
        </is>
      </c>
      <c r="F385" s="332" t="n">
        <v>98000</v>
      </c>
      <c r="G385" s="314" t="inlineStr">
        <is>
          <t>IDR</t>
        </is>
      </c>
      <c r="H385" s="346" t="n">
        <v>1</v>
      </c>
      <c r="I385" s="320">
        <f>F385</f>
        <v/>
      </c>
      <c r="J385" s="329" t="n">
        <v>98000</v>
      </c>
      <c r="K385" s="321" t="n"/>
      <c r="L385" s="321" t="n"/>
      <c r="M385" s="321" t="n"/>
      <c r="N385" s="321" t="n"/>
      <c r="O385" s="321" t="n"/>
      <c r="P385" s="321" t="n"/>
      <c r="Q385" s="321" t="n"/>
      <c r="R385" s="322" t="n"/>
      <c r="S385" s="322" t="n"/>
      <c r="T385" s="322" t="n"/>
      <c r="U385" s="322" t="n"/>
      <c r="V385" s="322" t="n"/>
      <c r="W385" s="322" t="n"/>
      <c r="X385" s="322" t="n"/>
    </row>
    <row r="386" ht="15.5" customHeight="1" s="297">
      <c r="B386" s="333" t="n">
        <v>45502</v>
      </c>
      <c r="C386" s="314" t="n">
        <v>2</v>
      </c>
      <c r="D386" s="370" t="inlineStr">
        <is>
          <t>Toll (Jkt Blora - PP)</t>
        </is>
      </c>
      <c r="E386" s="370" t="inlineStr">
        <is>
          <t>-</t>
        </is>
      </c>
      <c r="F386" s="332" t="n">
        <v>483000</v>
      </c>
      <c r="G386" s="314" t="inlineStr">
        <is>
          <t>IDR</t>
        </is>
      </c>
      <c r="H386" s="346" t="n">
        <v>1</v>
      </c>
      <c r="I386" s="321" t="n"/>
      <c r="J386" s="329" t="n">
        <v>483000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t="15.5" customHeight="1" s="297">
      <c r="B387" s="333" t="n">
        <v>45502</v>
      </c>
      <c r="C387" s="314" t="n">
        <v>3</v>
      </c>
      <c r="D387" s="326" t="inlineStr">
        <is>
          <t>buy Soft drink</t>
        </is>
      </c>
      <c r="E387" s="326" t="inlineStr">
        <is>
          <t>-</t>
        </is>
      </c>
      <c r="F387" s="332" t="n">
        <v>199900</v>
      </c>
      <c r="G387" s="314" t="inlineStr">
        <is>
          <t>IDR</t>
        </is>
      </c>
      <c r="H387" s="346" t="n">
        <v>1</v>
      </c>
      <c r="I387" s="320">
        <f>F387</f>
        <v/>
      </c>
      <c r="J387" s="329" t="n">
        <v>199900</v>
      </c>
      <c r="K387" s="321" t="n"/>
      <c r="L387" s="321" t="n"/>
      <c r="M387" s="321" t="n"/>
      <c r="N387" s="321" t="n"/>
      <c r="O387" s="321" t="n"/>
      <c r="P387" s="321" t="n"/>
      <c r="Q387" s="321" t="n"/>
      <c r="R387" s="322" t="n"/>
      <c r="S387" s="322" t="n"/>
      <c r="T387" s="322" t="n"/>
      <c r="U387" s="322" t="n"/>
      <c r="V387" s="322" t="n"/>
      <c r="W387" s="322" t="n"/>
      <c r="X387" s="322" t="n"/>
    </row>
    <row r="388" ht="15.5" customHeight="1" s="297">
      <c r="B388" s="333" t="n">
        <v>45502</v>
      </c>
      <c r="C388" s="314" t="n">
        <v>4</v>
      </c>
      <c r="D388" s="370" t="inlineStr">
        <is>
          <t>w/ Crew Barekin</t>
        </is>
      </c>
      <c r="E388" s="370" t="inlineStr">
        <is>
          <t>-</t>
        </is>
      </c>
      <c r="F388" s="332" t="n">
        <v>275000</v>
      </c>
      <c r="G388" s="314" t="inlineStr">
        <is>
          <t>IDR</t>
        </is>
      </c>
      <c r="H388" s="346" t="n">
        <v>1</v>
      </c>
      <c r="I388" s="321" t="n"/>
      <c r="J388" s="329" t="n">
        <v>275000</v>
      </c>
      <c r="K388" s="321" t="n"/>
      <c r="L388" s="321" t="n"/>
      <c r="M388" s="321" t="n"/>
      <c r="N388" s="321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45504</v>
      </c>
      <c r="C389" s="314" t="n">
        <v>5</v>
      </c>
      <c r="D389" s="326" t="inlineStr">
        <is>
          <t>buy Soft drink</t>
        </is>
      </c>
      <c r="E389" s="326" t="inlineStr">
        <is>
          <t>-</t>
        </is>
      </c>
      <c r="F389" s="332" t="n">
        <v>69000</v>
      </c>
      <c r="G389" s="314" t="inlineStr">
        <is>
          <t>IDR</t>
        </is>
      </c>
      <c r="H389" s="346" t="n">
        <v>1</v>
      </c>
      <c r="I389" s="321" t="n"/>
      <c r="J389" s="329" t="n">
        <v>69000</v>
      </c>
      <c r="K389" s="321" t="n"/>
      <c r="L389" s="321" t="n"/>
      <c r="M389" s="321" t="n"/>
      <c r="N389" s="320">
        <f>F389</f>
        <v/>
      </c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45505</v>
      </c>
      <c r="C390" s="314" t="n">
        <v>6</v>
      </c>
      <c r="D390" s="370" t="inlineStr">
        <is>
          <t>buy Soft drink</t>
        </is>
      </c>
      <c r="E390" s="370" t="inlineStr">
        <is>
          <t>-</t>
        </is>
      </c>
      <c r="F390" s="332" t="n">
        <v>109800</v>
      </c>
      <c r="G390" s="314" t="inlineStr">
        <is>
          <t>IDR</t>
        </is>
      </c>
      <c r="H390" s="346" t="n">
        <v>1</v>
      </c>
      <c r="I390" s="321" t="n"/>
      <c r="J390" s="329" t="n">
        <v>109800</v>
      </c>
      <c r="K390" s="321" t="n"/>
      <c r="L390" s="321" t="n"/>
      <c r="M390" s="321" t="n"/>
      <c r="N390" s="321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33" t="n">
        <v>45505</v>
      </c>
      <c r="C391" s="314" t="n">
        <v>7</v>
      </c>
      <c r="D391" s="326" t="inlineStr">
        <is>
          <t>W/ TIS Petroleum personnel</t>
        </is>
      </c>
      <c r="E391" s="326" t="inlineStr">
        <is>
          <t>-</t>
        </is>
      </c>
      <c r="F391" s="332" t="n">
        <v>157000</v>
      </c>
      <c r="G391" s="314" t="inlineStr">
        <is>
          <t>IDR</t>
        </is>
      </c>
      <c r="H391" s="346" t="n">
        <v>1</v>
      </c>
      <c r="I391" s="320">
        <f>H391*F391</f>
        <v/>
      </c>
      <c r="J391" s="329" t="n">
        <v>157000</v>
      </c>
      <c r="K391" s="321" t="n"/>
      <c r="L391" s="321" t="n"/>
      <c r="M391" s="321" t="n"/>
      <c r="N391" s="321" t="n"/>
      <c r="O391" s="321" t="n"/>
      <c r="P391" s="321" t="n"/>
      <c r="Q391" s="321" t="n"/>
      <c r="R391" s="322" t="n"/>
      <c r="S391" s="322" t="n"/>
      <c r="T391" s="322" t="n"/>
      <c r="U391" s="322" t="n"/>
      <c r="V391" s="322" t="n"/>
      <c r="W391" s="322" t="n"/>
      <c r="X391" s="322" t="n"/>
    </row>
    <row r="392" ht="15.5" customHeight="1" s="297">
      <c r="B392" s="347" t="n">
        <v>45506</v>
      </c>
      <c r="C392" s="348" t="n">
        <v>8</v>
      </c>
      <c r="D392" s="349" t="inlineStr">
        <is>
          <t>w/ Crew Barekin (buy ice sirop) No reciept</t>
        </is>
      </c>
      <c r="E392" s="349" t="inlineStr">
        <is>
          <t>-</t>
        </is>
      </c>
      <c r="F392" s="337" t="n">
        <v>80000</v>
      </c>
      <c r="G392" s="314" t="inlineStr">
        <is>
          <t>IDR</t>
        </is>
      </c>
      <c r="H392" s="346" t="n">
        <v>1</v>
      </c>
      <c r="I392" s="321" t="n"/>
      <c r="J392" s="329" t="n">
        <v>80000</v>
      </c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13" t="n">
        <v>45507</v>
      </c>
      <c r="C393" s="314" t="n">
        <v>9</v>
      </c>
      <c r="D393" s="350" t="inlineStr">
        <is>
          <t>Hotel for 6 days ( 29 Jul - 3 aug 24)</t>
        </is>
      </c>
      <c r="E393" s="350" t="inlineStr">
        <is>
          <t>-</t>
        </is>
      </c>
      <c r="F393" s="332" t="n">
        <v>2700000</v>
      </c>
      <c r="G393" s="314" t="inlineStr">
        <is>
          <t>IDR</t>
        </is>
      </c>
      <c r="H393" s="346" t="n">
        <v>1</v>
      </c>
      <c r="I393" s="321" t="n"/>
      <c r="J393" s="329" t="n">
        <v>2700000</v>
      </c>
      <c r="K393" s="321" t="n"/>
      <c r="L393" s="321" t="n"/>
      <c r="M393" s="320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45507</v>
      </c>
      <c r="C394" s="314" t="n">
        <v>10</v>
      </c>
      <c r="D394" s="316" t="inlineStr">
        <is>
          <t>buy Soft drink</t>
        </is>
      </c>
      <c r="E394" s="316" t="inlineStr">
        <is>
          <t>-</t>
        </is>
      </c>
      <c r="F394" s="332" t="n">
        <v>96600</v>
      </c>
      <c r="G394" s="314" t="inlineStr">
        <is>
          <t>IDR</t>
        </is>
      </c>
      <c r="H394" s="346" t="n">
        <v>1</v>
      </c>
      <c r="I394" s="319">
        <f>$H394*$F394</f>
        <v/>
      </c>
      <c r="J394" s="329" t="n">
        <v>96600</v>
      </c>
      <c r="K394" s="321" t="n"/>
      <c r="L394" s="321" t="n"/>
      <c r="M394" s="319" t="n"/>
      <c r="N394" s="319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45507</v>
      </c>
      <c r="C395" s="314" t="n">
        <v>11</v>
      </c>
      <c r="D395" s="350" t="inlineStr">
        <is>
          <t>w/ TIS Lemigas Personnel</t>
        </is>
      </c>
      <c r="E395" s="350" t="inlineStr">
        <is>
          <t>-</t>
        </is>
      </c>
      <c r="F395" s="332" t="n">
        <v>270350</v>
      </c>
      <c r="G395" s="314" t="inlineStr">
        <is>
          <t>IDR</t>
        </is>
      </c>
      <c r="H395" s="346" t="n">
        <v>1</v>
      </c>
      <c r="I395" s="321" t="n"/>
      <c r="J395" s="329" t="n">
        <v>270350</v>
      </c>
      <c r="K395" s="321" t="n"/>
      <c r="L395" s="321" t="n"/>
      <c r="M395" s="320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77" t="n">
        <v>45507</v>
      </c>
      <c r="C396" s="314" t="n">
        <v>12</v>
      </c>
      <c r="D396" s="326" t="inlineStr">
        <is>
          <t>w/ TIS Petroleum Personnel</t>
        </is>
      </c>
      <c r="E396" s="326" t="inlineStr">
        <is>
          <t>-</t>
        </is>
      </c>
      <c r="F396" s="332" t="n">
        <v>401000</v>
      </c>
      <c r="G396" s="314" t="inlineStr">
        <is>
          <t>IDR</t>
        </is>
      </c>
      <c r="H396" s="346" t="n">
        <v>1</v>
      </c>
      <c r="I396" s="319">
        <f>$H396*$F396</f>
        <v/>
      </c>
      <c r="J396" s="329" t="n">
        <v>401000</v>
      </c>
      <c r="K396" s="321" t="n"/>
      <c r="L396" s="321" t="n"/>
      <c r="M396" s="319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t="15.5" customHeight="1" s="297">
      <c r="B397" s="377" t="n">
        <v>45508</v>
      </c>
      <c r="C397" s="314" t="n">
        <v>13</v>
      </c>
      <c r="D397" s="326" t="inlineStr">
        <is>
          <t>buy Soft drink</t>
        </is>
      </c>
      <c r="E397" s="326" t="inlineStr">
        <is>
          <t>-</t>
        </is>
      </c>
      <c r="F397" s="332" t="n">
        <v>56600</v>
      </c>
      <c r="G397" s="314" t="inlineStr">
        <is>
          <t>IDR</t>
        </is>
      </c>
      <c r="H397" s="346" t="n">
        <v>1</v>
      </c>
      <c r="I397" s="319">
        <f>$H397*$F397</f>
        <v/>
      </c>
      <c r="J397" s="329" t="n">
        <v>56600</v>
      </c>
      <c r="K397" s="321" t="n"/>
      <c r="L397" s="321" t="n"/>
      <c r="M397" s="320" t="n"/>
      <c r="N397" s="321" t="n"/>
      <c r="O397" s="321" t="n"/>
      <c r="P397" s="321" t="n"/>
      <c r="Q397" s="321" t="n"/>
      <c r="R397" s="322" t="n"/>
      <c r="S397" s="322" t="n"/>
      <c r="T397" s="322" t="n"/>
      <c r="U397" s="322" t="n"/>
      <c r="V397" s="322" t="n"/>
      <c r="W397" s="322" t="n"/>
      <c r="X397" s="322" t="n"/>
    </row>
    <row r="398" ht="15.5" customHeight="1" s="297">
      <c r="B398" s="333" t="n">
        <v>45510</v>
      </c>
      <c r="C398" s="314" t="n">
        <v>14</v>
      </c>
      <c r="D398" s="326" t="inlineStr">
        <is>
          <t>buy Soft drink</t>
        </is>
      </c>
      <c r="E398" s="326" t="inlineStr">
        <is>
          <t>-</t>
        </is>
      </c>
      <c r="F398" s="332" t="n">
        <v>118100</v>
      </c>
      <c r="G398" s="314" t="inlineStr">
        <is>
          <t>IDR</t>
        </is>
      </c>
      <c r="H398" s="346" t="n">
        <v>1</v>
      </c>
      <c r="I398" s="319">
        <f>$H398*$F398</f>
        <v/>
      </c>
      <c r="J398" s="329" t="n">
        <v>118100</v>
      </c>
      <c r="K398" s="321" t="n"/>
      <c r="L398" s="321" t="n"/>
      <c r="M398" s="319" t="n"/>
      <c r="N398" s="321" t="n"/>
      <c r="O398" s="321" t="n"/>
      <c r="P398" s="321" t="n"/>
      <c r="Q398" s="321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45511</v>
      </c>
      <c r="C399" s="314" t="n">
        <v>15</v>
      </c>
      <c r="D399" s="370" t="inlineStr">
        <is>
          <t>Rental car (include Fuel ) 10 days, @Rp1.100.000</t>
        </is>
      </c>
      <c r="E399" s="370" t="inlineStr">
        <is>
          <t>-</t>
        </is>
      </c>
      <c r="F399" s="332" t="n">
        <v>11000000</v>
      </c>
      <c r="G399" s="314" t="inlineStr">
        <is>
          <t>IDR</t>
        </is>
      </c>
      <c r="H399" s="346" t="n">
        <v>1</v>
      </c>
      <c r="I399" s="321" t="n"/>
      <c r="J399" s="329" t="n">
        <v>11000000</v>
      </c>
      <c r="K399" s="321" t="n"/>
      <c r="L399" s="321" t="n"/>
      <c r="M399" s="321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333" t="n">
        <v>45511</v>
      </c>
      <c r="C400" s="314" t="n">
        <v>16</v>
      </c>
      <c r="D400" s="326" t="inlineStr">
        <is>
          <t>Toll (Gubug - Jakarta)</t>
        </is>
      </c>
      <c r="E400" s="326" t="inlineStr">
        <is>
          <t>-</t>
        </is>
      </c>
      <c r="F400" s="332" t="n">
        <v>496000</v>
      </c>
      <c r="G400" s="314" t="inlineStr">
        <is>
          <t>IDR</t>
        </is>
      </c>
      <c r="H400" s="346" t="n">
        <v>1</v>
      </c>
      <c r="I400" s="320">
        <f>F400</f>
        <v/>
      </c>
      <c r="J400" s="329" t="n">
        <v>496000</v>
      </c>
      <c r="K400" s="321" t="n"/>
      <c r="L400" s="321" t="n"/>
      <c r="M400" s="321" t="n"/>
      <c r="N400" s="321" t="n"/>
      <c r="O400" s="321" t="n"/>
      <c r="P400" s="321" t="n"/>
      <c r="Q400" s="321" t="n"/>
      <c r="R400" s="322" t="n"/>
      <c r="S400" s="322" t="n"/>
      <c r="T400" s="322" t="n"/>
      <c r="U400" s="322" t="n"/>
      <c r="V400" s="322" t="n"/>
      <c r="W400" s="322" t="n"/>
      <c r="X400" s="322" t="n"/>
    </row>
    <row r="401" ht="15.5" customHeight="1" s="297">
      <c r="B401" s="333" t="n">
        <v>45511</v>
      </c>
      <c r="C401" s="314" t="n">
        <v>17</v>
      </c>
      <c r="D401" s="326" t="inlineStr">
        <is>
          <t>Laundry dor 10 days @Rp.50.000.</t>
        </is>
      </c>
      <c r="E401" s="326" t="inlineStr">
        <is>
          <t>-</t>
        </is>
      </c>
      <c r="F401" s="332" t="n">
        <v>500000</v>
      </c>
      <c r="G401" s="314" t="inlineStr">
        <is>
          <t>IDR</t>
        </is>
      </c>
      <c r="H401" s="346" t="n">
        <v>1</v>
      </c>
      <c r="I401" s="320">
        <f>F401</f>
        <v/>
      </c>
      <c r="J401" s="329" t="n">
        <v>500000</v>
      </c>
      <c r="K401" s="321" t="n"/>
      <c r="L401" s="319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45511</v>
      </c>
      <c r="C402" s="314" t="n">
        <v>18</v>
      </c>
      <c r="D402" s="370" t="inlineStr">
        <is>
          <t>Meal utk 10 hari (29 Jul -7Aug-24) @Rp. 150.000</t>
        </is>
      </c>
      <c r="E402" s="370" t="inlineStr">
        <is>
          <t>-</t>
        </is>
      </c>
      <c r="F402" s="332" t="n">
        <v>1500000</v>
      </c>
      <c r="G402" s="314" t="inlineStr">
        <is>
          <t>IDR</t>
        </is>
      </c>
      <c r="H402" s="346" t="n">
        <v>1</v>
      </c>
      <c r="I402" s="321" t="n"/>
      <c r="J402" s="329" t="n">
        <v>1500000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>
        <v>45511</v>
      </c>
      <c r="C403" s="314" t="n">
        <v>19</v>
      </c>
      <c r="D403" s="326" t="inlineStr">
        <is>
          <t>Tunjangan lapangan for 10 days (29Jul - 07Aug24) Anevril</t>
        </is>
      </c>
      <c r="E403" s="326" t="inlineStr">
        <is>
          <t>-</t>
        </is>
      </c>
      <c r="F403" s="332" t="n">
        <v>16100000</v>
      </c>
      <c r="G403" s="314" t="inlineStr">
        <is>
          <t>USD</t>
        </is>
      </c>
      <c r="H403" s="346" t="n">
        <v>16100</v>
      </c>
      <c r="I403" s="320">
        <f>F403</f>
        <v/>
      </c>
      <c r="J403" s="329" t="n">
        <v>16100000</v>
      </c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/>
      <c r="C404" s="314" t="n"/>
      <c r="D404" s="330" t="inlineStr">
        <is>
          <t>Kesehatan</t>
        </is>
      </c>
      <c r="E404" s="370" t="n"/>
      <c r="F404" s="351" t="n"/>
      <c r="G404" s="314" t="n"/>
      <c r="H404" s="314" t="n"/>
      <c r="I404" s="321" t="n"/>
      <c r="J404" s="321" t="n"/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>
        <v>45502</v>
      </c>
      <c r="C405" s="314" t="n">
        <v>20</v>
      </c>
      <c r="D405" s="326" t="inlineStr">
        <is>
          <t>buy Zirolic</t>
        </is>
      </c>
      <c r="E405" s="326" t="inlineStr">
        <is>
          <t>-</t>
        </is>
      </c>
      <c r="F405" s="332" t="n">
        <v>34200</v>
      </c>
      <c r="G405" s="314" t="inlineStr">
        <is>
          <t>IDR</t>
        </is>
      </c>
      <c r="H405" s="346" t="n">
        <v>1</v>
      </c>
      <c r="I405" s="320">
        <f>F405</f>
        <v/>
      </c>
      <c r="J405" s="321" t="n"/>
      <c r="K405" s="321" t="n"/>
      <c r="L405" s="321" t="n"/>
      <c r="M405" s="321" t="n"/>
      <c r="N405" s="321" t="n"/>
      <c r="O405" s="321" t="n"/>
      <c r="P405" s="329" t="n">
        <v>34200</v>
      </c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/>
      <c r="C406" s="314" t="n"/>
      <c r="D406" s="330" t="inlineStr">
        <is>
          <t>Pembelian Barang</t>
        </is>
      </c>
      <c r="E406" s="370" t="n"/>
      <c r="F406" s="351" t="n"/>
      <c r="G406" s="314" t="n"/>
      <c r="H406" s="314" t="n"/>
      <c r="I406" s="321" t="n"/>
      <c r="J406" s="321" t="n"/>
      <c r="K406" s="321" t="n"/>
      <c r="L406" s="321" t="n"/>
      <c r="M406" s="321" t="n"/>
      <c r="N406" s="321" t="n"/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>
        <v>45505</v>
      </c>
      <c r="C407" s="314" t="n">
        <v>21</v>
      </c>
      <c r="D407" s="385" t="inlineStr">
        <is>
          <t>Buy WD 40</t>
        </is>
      </c>
      <c r="E407" s="385" t="inlineStr">
        <is>
          <t>-</t>
        </is>
      </c>
      <c r="F407" s="332" t="n">
        <v>65000</v>
      </c>
      <c r="G407" s="314" t="inlineStr">
        <is>
          <t>IDR</t>
        </is>
      </c>
      <c r="H407" s="346" t="n">
        <v>1</v>
      </c>
      <c r="I407" s="320">
        <f>H407*F407</f>
        <v/>
      </c>
      <c r="J407" s="321" t="n"/>
      <c r="K407" s="321" t="n"/>
      <c r="L407" s="321" t="n"/>
      <c r="M407" s="321" t="n"/>
      <c r="N407" s="329" t="n">
        <v>65000</v>
      </c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47" t="n">
        <v>45509</v>
      </c>
      <c r="C408" s="348" t="n">
        <v>22</v>
      </c>
      <c r="D408" s="349" t="inlineStr">
        <is>
          <t>Buy connection T dan nipple</t>
        </is>
      </c>
      <c r="E408" s="349" t="inlineStr">
        <is>
          <t>-</t>
        </is>
      </c>
      <c r="F408" s="337" t="n">
        <v>72500</v>
      </c>
      <c r="G408" s="314" t="inlineStr">
        <is>
          <t>IDR</t>
        </is>
      </c>
      <c r="H408" s="346" t="n">
        <v>1</v>
      </c>
      <c r="I408" s="321" t="n"/>
      <c r="J408" s="321" t="n"/>
      <c r="K408" s="321" t="n"/>
      <c r="L408" s="321" t="n"/>
      <c r="M408" s="319" t="n"/>
      <c r="N408" s="329" t="n">
        <v>72500</v>
      </c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13" t="n">
        <v>45509</v>
      </c>
      <c r="C409" s="314" t="n">
        <v>23</v>
      </c>
      <c r="D409" s="321" t="inlineStr">
        <is>
          <t>Buy Quick connection</t>
        </is>
      </c>
      <c r="E409" s="321" t="inlineStr">
        <is>
          <t>-</t>
        </is>
      </c>
      <c r="F409" s="323" t="n">
        <v>400000</v>
      </c>
      <c r="G409" s="314" t="inlineStr">
        <is>
          <t>IDR</t>
        </is>
      </c>
      <c r="H409" s="346" t="n">
        <v>1</v>
      </c>
      <c r="I409" s="321" t="n"/>
      <c r="J409" s="321" t="n"/>
      <c r="K409" s="321" t="n"/>
      <c r="L409" s="321" t="n"/>
      <c r="M409" s="319" t="n"/>
      <c r="N409" s="329" t="n">
        <v>400000</v>
      </c>
      <c r="O409" s="321" t="n"/>
      <c r="P409" s="321" t="n"/>
      <c r="Q409" s="321" t="n"/>
      <c r="R409" s="322" t="n"/>
      <c r="S409" s="322" t="n"/>
      <c r="T409" s="322" t="n"/>
      <c r="U409" s="322" t="n"/>
      <c r="V409" s="322" t="n"/>
      <c r="W409" s="322" t="n"/>
      <c r="X409" s="322" t="n"/>
    </row>
    <row r="410" ht="15.5" customHeight="1" s="297">
      <c r="B410" s="313" t="n">
        <v>45510</v>
      </c>
      <c r="C410" s="314" t="n">
        <v>24</v>
      </c>
      <c r="D410" s="316" t="inlineStr">
        <is>
          <t>Buy Paint nippon</t>
        </is>
      </c>
      <c r="E410" s="316" t="inlineStr">
        <is>
          <t>-</t>
        </is>
      </c>
      <c r="F410" s="323" t="n">
        <v>60000</v>
      </c>
      <c r="G410" s="314" t="inlineStr">
        <is>
          <t>IDR</t>
        </is>
      </c>
      <c r="H410" s="346" t="n">
        <v>1</v>
      </c>
      <c r="I410" s="321" t="n"/>
      <c r="J410" s="321" t="n"/>
      <c r="K410" s="321" t="n"/>
      <c r="L410" s="321" t="n"/>
      <c r="M410" s="319" t="n"/>
      <c r="N410" s="329" t="n">
        <v>60000</v>
      </c>
      <c r="O410" s="321" t="n"/>
      <c r="P410" s="320">
        <f>F410</f>
        <v/>
      </c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71" t="inlineStr">
        <is>
          <t>Expense#29</t>
        </is>
      </c>
      <c r="C411" s="362" t="inlineStr">
        <is>
          <t>:</t>
        </is>
      </c>
      <c r="D411" s="372" t="inlineStr">
        <is>
          <t>ALFA-MPLT-BHS_ RBG 3B PT. TIS under Barikin sakti _TMA</t>
        </is>
      </c>
      <c r="E411" s="381" t="n"/>
      <c r="F411" s="378" t="n">
        <v>460000</v>
      </c>
      <c r="G411" s="362" t="inlineStr">
        <is>
          <t>IDR</t>
        </is>
      </c>
      <c r="H411" s="362" t="n">
        <v>1</v>
      </c>
      <c r="I411" s="368" t="n"/>
      <c r="J411" s="368" t="n"/>
      <c r="K411" s="368" t="n"/>
      <c r="L411" s="368" t="n"/>
      <c r="M411" s="367" t="n"/>
      <c r="N411" s="368" t="n"/>
      <c r="O411" s="368" t="n"/>
      <c r="P411" s="367">
        <f>F411</f>
        <v/>
      </c>
      <c r="Q411" s="368" t="n"/>
      <c r="R411" s="369" t="n"/>
      <c r="S411" s="369" t="n"/>
      <c r="T411" s="369" t="n"/>
      <c r="U411" s="369" t="n"/>
      <c r="V411" s="369" t="n"/>
      <c r="W411" s="369" t="n"/>
      <c r="X411" s="369" t="n"/>
    </row>
    <row r="412" ht="15.5" customHeight="1" s="297">
      <c r="B412" s="313" t="n">
        <v>45476</v>
      </c>
      <c r="C412" s="314" t="n">
        <v>3</v>
      </c>
      <c r="D412" s="315" t="inlineStr">
        <is>
          <t>Biaya Operasi</t>
        </is>
      </c>
      <c r="E412" s="316" t="n"/>
      <c r="F412" s="317" t="n">
        <v>2108000</v>
      </c>
      <c r="G412" s="314" t="inlineStr">
        <is>
          <t>IDR</t>
        </is>
      </c>
      <c r="H412" s="314" t="n">
        <v>1</v>
      </c>
      <c r="I412" s="321" t="n"/>
      <c r="J412" s="321" t="n"/>
      <c r="K412" s="321" t="n"/>
      <c r="L412" s="321" t="n"/>
      <c r="M412" s="319" t="n"/>
      <c r="N412" s="321" t="n"/>
      <c r="O412" s="321" t="n"/>
      <c r="P412" s="320">
        <f>F412</f>
        <v/>
      </c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13" t="n">
        <v>45499</v>
      </c>
      <c r="C413" s="314" t="n">
        <v>1</v>
      </c>
      <c r="D413" s="316" t="inlineStr">
        <is>
          <t>Lalamove Base to Barikin</t>
        </is>
      </c>
      <c r="E413" s="316" t="inlineStr">
        <is>
          <t>-</t>
        </is>
      </c>
      <c r="F413" s="323" t="n">
        <v>276500</v>
      </c>
      <c r="G413" s="314" t="inlineStr">
        <is>
          <t>IDR</t>
        </is>
      </c>
      <c r="H413" s="346" t="n">
        <v>1</v>
      </c>
      <c r="I413" s="321" t="n"/>
      <c r="J413" s="329" t="n">
        <v>276500</v>
      </c>
      <c r="K413" s="321" t="n"/>
      <c r="L413" s="321" t="n"/>
      <c r="M413" s="319" t="n"/>
      <c r="N413" s="321" t="n"/>
      <c r="O413" s="321" t="n"/>
      <c r="P413" s="320">
        <f>F413</f>
        <v/>
      </c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13" t="n">
        <v>45499</v>
      </c>
      <c r="C414" s="314" t="n">
        <v>2</v>
      </c>
      <c r="D414" s="316" t="inlineStr">
        <is>
          <t>Lalamove Pak Subi to Base</t>
        </is>
      </c>
      <c r="E414" s="316" t="inlineStr">
        <is>
          <t>-</t>
        </is>
      </c>
      <c r="F414" s="323" t="n">
        <v>63568</v>
      </c>
      <c r="G414" s="314" t="inlineStr">
        <is>
          <t>IDR</t>
        </is>
      </c>
      <c r="H414" s="346" t="n">
        <v>1</v>
      </c>
      <c r="I414" s="321" t="n"/>
      <c r="J414" s="329" t="n">
        <v>63568</v>
      </c>
      <c r="K414" s="321" t="n"/>
      <c r="L414" s="321" t="n"/>
      <c r="M414" s="319" t="n"/>
      <c r="N414" s="321" t="n"/>
      <c r="O414" s="321" t="n"/>
      <c r="P414" s="320">
        <f>F414</f>
        <v/>
      </c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13" t="n">
        <v>45502</v>
      </c>
      <c r="C415" s="314" t="n">
        <v>3</v>
      </c>
      <c r="D415" s="316" t="inlineStr">
        <is>
          <t>Electrical Bill</t>
        </is>
      </c>
      <c r="E415" s="316" t="inlineStr">
        <is>
          <t>-</t>
        </is>
      </c>
      <c r="F415" s="323" t="n">
        <v>159682</v>
      </c>
      <c r="G415" s="314" t="inlineStr">
        <is>
          <t>IDR</t>
        </is>
      </c>
      <c r="H415" s="346" t="n">
        <v>1</v>
      </c>
      <c r="I415" s="321" t="n"/>
      <c r="J415" s="329" t="n">
        <v>159682</v>
      </c>
      <c r="K415" s="321" t="n"/>
      <c r="L415" s="321" t="n"/>
      <c r="M415" s="320" t="n"/>
      <c r="N415" s="321" t="n"/>
      <c r="O415" s="321" t="n"/>
      <c r="P415" s="320">
        <f>F415</f>
        <v/>
      </c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13" t="n">
        <v>45502</v>
      </c>
      <c r="C416" s="314" t="n">
        <v>4</v>
      </c>
      <c r="D416" s="316" t="inlineStr">
        <is>
          <t>Laundry 10 days 1 Persons @ 50K IDR/day</t>
        </is>
      </c>
      <c r="E416" s="316" t="inlineStr">
        <is>
          <t>-</t>
        </is>
      </c>
      <c r="F416" s="323" t="n">
        <v>500000</v>
      </c>
      <c r="G416" s="314" t="inlineStr">
        <is>
          <t>IDR</t>
        </is>
      </c>
      <c r="H416" s="346" t="n">
        <v>1</v>
      </c>
      <c r="I416" s="321" t="n"/>
      <c r="J416" s="329" t="n">
        <v>500000</v>
      </c>
      <c r="K416" s="321" t="n"/>
      <c r="L416" s="321" t="n"/>
      <c r="M416" s="319" t="n"/>
      <c r="N416" s="321" t="n"/>
      <c r="O416" s="321" t="n"/>
      <c r="P416" s="320">
        <f>F416</f>
        <v/>
      </c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45502</v>
      </c>
      <c r="C417" s="314" t="n">
        <v>5</v>
      </c>
      <c r="D417" s="350" t="inlineStr">
        <is>
          <t>Meal Crew's Operational</t>
        </is>
      </c>
      <c r="E417" s="350" t="inlineStr">
        <is>
          <t>-</t>
        </is>
      </c>
      <c r="F417" s="323" t="n">
        <v>263200</v>
      </c>
      <c r="G417" s="314" t="inlineStr">
        <is>
          <t>IDR</t>
        </is>
      </c>
      <c r="H417" s="346" t="n">
        <v>1</v>
      </c>
      <c r="I417" s="321" t="n"/>
      <c r="J417" s="329" t="n">
        <v>263200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45502</v>
      </c>
      <c r="C418" s="314" t="n">
        <v>6</v>
      </c>
      <c r="D418" s="326" t="inlineStr">
        <is>
          <t>Meals 10 days 1 Persons @ 150K IDR/day</t>
        </is>
      </c>
      <c r="E418" s="326" t="inlineStr">
        <is>
          <t>-</t>
        </is>
      </c>
      <c r="F418" s="323" t="n">
        <v>1500000</v>
      </c>
      <c r="G418" s="314" t="inlineStr">
        <is>
          <t>IDR</t>
        </is>
      </c>
      <c r="H418" s="346" t="n">
        <v>1</v>
      </c>
      <c r="I418" s="319">
        <f>$H418*$F418</f>
        <v/>
      </c>
      <c r="J418" s="329" t="n">
        <v>1500000</v>
      </c>
      <c r="K418" s="321" t="n"/>
      <c r="L418" s="321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>
        <v>45502</v>
      </c>
      <c r="C419" s="314" t="n">
        <v>7</v>
      </c>
      <c r="D419" s="370" t="inlineStr">
        <is>
          <t>Tunjangan Lapangan for 10 days</t>
        </is>
      </c>
      <c r="E419" s="370" t="inlineStr">
        <is>
          <t>-</t>
        </is>
      </c>
      <c r="F419" s="323" t="n">
        <v>15513000</v>
      </c>
      <c r="G419" s="314" t="inlineStr">
        <is>
          <t>USD</t>
        </is>
      </c>
      <c r="H419" s="346" t="n">
        <v>15513</v>
      </c>
      <c r="I419" s="321" t="n"/>
      <c r="J419" s="329" t="n">
        <v>15513000</v>
      </c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13" t="n">
        <v>45517</v>
      </c>
      <c r="C420" s="314" t="n">
        <v>8</v>
      </c>
      <c r="D420" s="326" t="inlineStr">
        <is>
          <t>Lalamove Barikin to Base</t>
        </is>
      </c>
      <c r="E420" s="326" t="inlineStr">
        <is>
          <t>-</t>
        </is>
      </c>
      <c r="F420" s="323" t="n">
        <v>161885</v>
      </c>
      <c r="G420" s="314" t="inlineStr">
        <is>
          <t>IDR</t>
        </is>
      </c>
      <c r="H420" s="346" t="n">
        <v>1</v>
      </c>
      <c r="I420" s="319">
        <f>$H420*$F420</f>
        <v/>
      </c>
      <c r="J420" s="329" t="n">
        <v>161885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t="15.5" customHeight="1" s="297">
      <c r="B421" s="313" t="n">
        <v>45484</v>
      </c>
      <c r="C421" s="314" t="n">
        <v>10</v>
      </c>
      <c r="D421" s="330" t="inlineStr">
        <is>
          <t>Pembelian Barang</t>
        </is>
      </c>
      <c r="E421" s="326" t="n"/>
      <c r="F421" s="317" t="n">
        <v>291000</v>
      </c>
      <c r="G421" s="314" t="inlineStr">
        <is>
          <t>IDR</t>
        </is>
      </c>
      <c r="H421" s="314" t="n">
        <v>1</v>
      </c>
      <c r="I421" s="319">
        <f>$H421*$F421</f>
        <v/>
      </c>
      <c r="J421" s="321" t="n"/>
      <c r="K421" s="321" t="n"/>
      <c r="L421" s="321" t="n"/>
      <c r="M421" s="321" t="n"/>
      <c r="N421" s="321" t="n"/>
      <c r="O421" s="321" t="n"/>
      <c r="P421" s="321" t="n"/>
      <c r="Q421" s="321" t="n"/>
      <c r="R421" s="322" t="n"/>
      <c r="S421" s="322" t="n"/>
      <c r="T421" s="322" t="n"/>
      <c r="U421" s="322" t="n"/>
      <c r="V421" s="322" t="n"/>
      <c r="W421" s="322" t="n"/>
      <c r="X421" s="322" t="n"/>
    </row>
    <row r="422" ht="15.5" customHeight="1" s="297">
      <c r="B422" s="313" t="n">
        <v>45499</v>
      </c>
      <c r="C422" s="314" t="n">
        <v>9</v>
      </c>
      <c r="D422" s="326" t="inlineStr">
        <is>
          <t>TOP 1 High Temp Grease</t>
        </is>
      </c>
      <c r="E422" s="326" t="inlineStr">
        <is>
          <t>-</t>
        </is>
      </c>
      <c r="F422" s="323" t="n">
        <v>144900</v>
      </c>
      <c r="G422" s="314" t="inlineStr">
        <is>
          <t>IDR</t>
        </is>
      </c>
      <c r="H422" s="346" t="n">
        <v>1</v>
      </c>
      <c r="I422" s="319">
        <f>$H422*$F422</f>
        <v/>
      </c>
      <c r="J422" s="321" t="n"/>
      <c r="K422" s="321" t="n"/>
      <c r="L422" s="321" t="n"/>
      <c r="M422" s="319" t="n"/>
      <c r="N422" s="329" t="n">
        <v>144900</v>
      </c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t="15.5" customHeight="1" s="297">
      <c r="B423" s="371" t="inlineStr">
        <is>
          <t>Expense#30</t>
        </is>
      </c>
      <c r="C423" s="362" t="inlineStr">
        <is>
          <t>:</t>
        </is>
      </c>
      <c r="D423" s="363" t="inlineStr">
        <is>
          <t>ALFA JOB - PMB 009 (cancel job) - IBR</t>
        </is>
      </c>
      <c r="E423" s="364" t="n"/>
      <c r="F423" s="378" t="n">
        <v>319700</v>
      </c>
      <c r="G423" s="362" t="inlineStr">
        <is>
          <t>IDR</t>
        </is>
      </c>
      <c r="H423" s="362" t="n">
        <v>1</v>
      </c>
      <c r="I423" s="366">
        <f>$H423*$F423</f>
        <v/>
      </c>
      <c r="J423" s="368" t="n"/>
      <c r="K423" s="368" t="n"/>
      <c r="L423" s="368" t="n"/>
      <c r="M423" s="367" t="n"/>
      <c r="N423" s="368" t="n"/>
      <c r="O423" s="368" t="n"/>
      <c r="P423" s="368" t="n"/>
      <c r="Q423" s="368" t="n"/>
      <c r="R423" s="369" t="n"/>
      <c r="S423" s="369" t="n"/>
      <c r="T423" s="369" t="n"/>
      <c r="U423" s="369" t="n"/>
      <c r="V423" s="369" t="n"/>
      <c r="W423" s="369" t="n"/>
      <c r="X423" s="369" t="n"/>
    </row>
    <row r="424" ht="15.5" customHeight="1" s="297">
      <c r="B424" s="313" t="n">
        <v>45501</v>
      </c>
      <c r="C424" s="314" t="n">
        <v>13</v>
      </c>
      <c r="D424" s="330" t="inlineStr">
        <is>
          <t>Biaya Operasi</t>
        </is>
      </c>
      <c r="E424" s="326" t="n"/>
      <c r="F424" s="317" t="n">
        <v>217350</v>
      </c>
      <c r="G424" s="314" t="inlineStr">
        <is>
          <t>IDR</t>
        </is>
      </c>
      <c r="H424" s="314" t="n">
        <v>1</v>
      </c>
      <c r="I424" s="319">
        <f>$H424*$F424</f>
        <v/>
      </c>
      <c r="J424" s="321" t="n"/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13" t="n">
        <v>45548</v>
      </c>
      <c r="C425" s="314" t="n">
        <v>1</v>
      </c>
      <c r="D425" s="326" t="inlineStr">
        <is>
          <t>Uang makan (6 - 11 September 2024) 6 days</t>
        </is>
      </c>
      <c r="E425" s="326" t="inlineStr">
        <is>
          <t>-</t>
        </is>
      </c>
      <c r="F425" s="323" t="n">
        <v>900000</v>
      </c>
      <c r="G425" s="314" t="inlineStr">
        <is>
          <t>IDR</t>
        </is>
      </c>
      <c r="H425" s="346" t="n">
        <v>1</v>
      </c>
      <c r="I425" s="321" t="n"/>
      <c r="J425" s="329" t="n">
        <v>900000</v>
      </c>
      <c r="K425" s="321" t="n"/>
      <c r="L425" s="321" t="n"/>
      <c r="M425" s="320" t="n"/>
      <c r="N425" s="321" t="n"/>
      <c r="O425" s="321" t="n"/>
      <c r="P425" s="321" t="n"/>
      <c r="Q425" s="321" t="n"/>
      <c r="R425" s="322" t="n"/>
      <c r="S425" s="322" t="n"/>
      <c r="T425" s="322" t="n"/>
      <c r="U425" s="322" t="n"/>
      <c r="V425" s="322" t="n"/>
      <c r="W425" s="322" t="n"/>
      <c r="X425" s="322" t="n"/>
    </row>
    <row r="426" ht="15.5" customHeight="1" s="297">
      <c r="B426" s="313" t="n">
        <v>45548</v>
      </c>
      <c r="C426" s="314" t="n">
        <v>2</v>
      </c>
      <c r="D426" s="326" t="inlineStr">
        <is>
          <t>Laundry (6 - 11 September 2024) 6 days</t>
        </is>
      </c>
      <c r="E426" s="326" t="inlineStr">
        <is>
          <t>-</t>
        </is>
      </c>
      <c r="F426" s="323" t="n">
        <v>300000</v>
      </c>
      <c r="G426" s="314" t="inlineStr">
        <is>
          <t>IDR</t>
        </is>
      </c>
      <c r="H426" s="346" t="n">
        <v>1</v>
      </c>
      <c r="I426" s="321" t="n"/>
      <c r="J426" s="329" t="n">
        <v>300000</v>
      </c>
      <c r="K426" s="321" t="n"/>
      <c r="L426" s="321" t="n"/>
      <c r="M426" s="319" t="n"/>
      <c r="N426" s="320">
        <f>F426</f>
        <v/>
      </c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45548</v>
      </c>
      <c r="C427" s="314" t="n">
        <v>3</v>
      </c>
      <c r="D427" s="326" t="inlineStr">
        <is>
          <t>Tunjangan Lapangan PBM - 009 (6 - 11 September 2024)</t>
        </is>
      </c>
      <c r="E427" s="326" t="inlineStr">
        <is>
          <t>-</t>
        </is>
      </c>
      <c r="F427" s="323" t="n">
        <v>2317500</v>
      </c>
      <c r="G427" s="314" t="inlineStr">
        <is>
          <t>$</t>
        </is>
      </c>
      <c r="H427" s="346" t="n">
        <v>15450</v>
      </c>
      <c r="I427" s="321" t="n"/>
      <c r="J427" s="329" t="n">
        <v>2317500</v>
      </c>
      <c r="K427" s="321" t="n"/>
      <c r="L427" s="321" t="n"/>
      <c r="M427" s="320" t="n"/>
      <c r="N427" s="320">
        <f>F427</f>
        <v/>
      </c>
      <c r="O427" s="321" t="n"/>
      <c r="P427" s="321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71" t="inlineStr">
        <is>
          <t>Expense#31</t>
        </is>
      </c>
      <c r="C428" s="362" t="inlineStr">
        <is>
          <t>:</t>
        </is>
      </c>
      <c r="D428" s="363" t="inlineStr">
        <is>
          <t>ALFA PMB-009 (Cancel)_ TMA</t>
        </is>
      </c>
      <c r="E428" s="364" t="n"/>
      <c r="F428" s="378" t="n">
        <v>700000</v>
      </c>
      <c r="G428" s="362" t="inlineStr">
        <is>
          <t>IDR</t>
        </is>
      </c>
      <c r="H428" s="362" t="n">
        <v>1</v>
      </c>
      <c r="I428" s="368" t="n"/>
      <c r="J428" s="368" t="n"/>
      <c r="K428" s="368" t="n"/>
      <c r="L428" s="368" t="n"/>
      <c r="M428" s="366" t="n"/>
      <c r="N428" s="367">
        <f>F428</f>
        <v/>
      </c>
      <c r="O428" s="368" t="n"/>
      <c r="P428" s="368" t="n"/>
      <c r="Q428" s="368" t="n"/>
      <c r="R428" s="369" t="n"/>
      <c r="S428" s="369" t="n"/>
      <c r="T428" s="369" t="n"/>
      <c r="U428" s="369" t="n"/>
      <c r="V428" s="369" t="n"/>
      <c r="W428" s="369" t="n"/>
      <c r="X428" s="369" t="n"/>
    </row>
    <row r="429" ht="15.5" customHeight="1" s="297">
      <c r="B429" s="313" t="n">
        <v>45499</v>
      </c>
      <c r="C429" s="314" t="n">
        <v>17</v>
      </c>
      <c r="D429" s="330" t="inlineStr">
        <is>
          <t>Biaya Operasi</t>
        </is>
      </c>
      <c r="E429" s="326" t="n"/>
      <c r="F429" s="317" t="n">
        <v>20000</v>
      </c>
      <c r="G429" s="314" t="inlineStr">
        <is>
          <t>IDR</t>
        </is>
      </c>
      <c r="H429" s="314" t="n">
        <v>1</v>
      </c>
      <c r="I429" s="334" t="n"/>
      <c r="J429" s="334" t="n"/>
      <c r="K429" s="334" t="n"/>
      <c r="L429" s="334" t="n"/>
      <c r="M429" s="334" t="n"/>
      <c r="N429" s="320">
        <f>F429</f>
        <v/>
      </c>
      <c r="O429" s="334" t="n"/>
      <c r="P429" s="334" t="n"/>
      <c r="Q429" s="334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45541</v>
      </c>
      <c r="C430" s="314" t="n">
        <v>1</v>
      </c>
      <c r="D430" s="326" t="inlineStr">
        <is>
          <t>Hotel 6 Sept - 11 Sept (5 days)</t>
        </is>
      </c>
      <c r="E430" s="326" t="inlineStr">
        <is>
          <t>-</t>
        </is>
      </c>
      <c r="F430" s="323" t="n">
        <v>1800000</v>
      </c>
      <c r="G430" s="314" t="inlineStr">
        <is>
          <t>IDR</t>
        </is>
      </c>
      <c r="H430" s="346" t="n">
        <v>1</v>
      </c>
      <c r="I430" s="321" t="n"/>
      <c r="J430" s="329" t="n">
        <v>1800000</v>
      </c>
      <c r="K430" s="321" t="n"/>
      <c r="L430" s="321" t="n"/>
      <c r="M430" s="321" t="n"/>
      <c r="N430" s="320">
        <f>F430</f>
        <v/>
      </c>
      <c r="O430" s="321" t="n"/>
      <c r="P430" s="321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45541</v>
      </c>
      <c r="C431" s="314" t="n">
        <v>2</v>
      </c>
      <c r="D431" s="326" t="inlineStr">
        <is>
          <t>Laundry 6 days 1 Persons @ 50K IDR/day</t>
        </is>
      </c>
      <c r="E431" s="326" t="inlineStr">
        <is>
          <t>-</t>
        </is>
      </c>
      <c r="F431" s="323" t="n">
        <v>300000</v>
      </c>
      <c r="G431" s="314" t="inlineStr">
        <is>
          <t>IDR</t>
        </is>
      </c>
      <c r="H431" s="346" t="n">
        <v>1</v>
      </c>
      <c r="I431" s="321" t="n"/>
      <c r="J431" s="329" t="n">
        <v>300000</v>
      </c>
      <c r="K431" s="321" t="n"/>
      <c r="L431" s="321" t="n"/>
      <c r="M431" s="321" t="n"/>
      <c r="N431" s="320">
        <f>F431</f>
        <v/>
      </c>
      <c r="O431" s="321" t="n"/>
      <c r="P431" s="321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45541</v>
      </c>
      <c r="C432" s="314" t="n">
        <v>3</v>
      </c>
      <c r="D432" s="326" t="inlineStr">
        <is>
          <t>Airplane Ticket CGK-PLM</t>
        </is>
      </c>
      <c r="E432" s="326" t="inlineStr">
        <is>
          <t>-</t>
        </is>
      </c>
      <c r="F432" s="323" t="n">
        <v>904682</v>
      </c>
      <c r="G432" s="314" t="inlineStr">
        <is>
          <t>IDR</t>
        </is>
      </c>
      <c r="H432" s="346" t="n">
        <v>1</v>
      </c>
      <c r="I432" s="321" t="n"/>
      <c r="J432" s="329" t="n">
        <v>904682</v>
      </c>
      <c r="K432" s="321" t="n"/>
      <c r="L432" s="321" t="n"/>
      <c r="M432" s="321" t="n"/>
      <c r="N432" s="320">
        <f>F432</f>
        <v/>
      </c>
      <c r="O432" s="321" t="n"/>
      <c r="P432" s="321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45541</v>
      </c>
      <c r="C433" s="314" t="n">
        <v>4</v>
      </c>
      <c r="D433" s="326" t="inlineStr">
        <is>
          <t>Taxi Pondok Cabe-Vania-CGK (inc Toll)</t>
        </is>
      </c>
      <c r="E433" s="326" t="inlineStr">
        <is>
          <t>-</t>
        </is>
      </c>
      <c r="F433" s="323" t="n">
        <v>256500</v>
      </c>
      <c r="G433" s="314" t="inlineStr">
        <is>
          <t>IDR</t>
        </is>
      </c>
      <c r="H433" s="346" t="n">
        <v>1</v>
      </c>
      <c r="I433" s="321" t="n"/>
      <c r="J433" s="329" t="n">
        <v>256500</v>
      </c>
      <c r="K433" s="321" t="n"/>
      <c r="L433" s="321" t="n"/>
      <c r="M433" s="321" t="n"/>
      <c r="N433" s="320">
        <f>F433</f>
        <v/>
      </c>
      <c r="O433" s="321" t="n"/>
      <c r="P433" s="321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>
        <v>45541</v>
      </c>
      <c r="C434" s="314" t="n">
        <v>5</v>
      </c>
      <c r="D434" s="370" t="inlineStr">
        <is>
          <t>Toll (PLM-Prabumulih-PLM)</t>
        </is>
      </c>
      <c r="E434" s="370" t="inlineStr">
        <is>
          <t>-</t>
        </is>
      </c>
      <c r="F434" s="323" t="n">
        <v>224000</v>
      </c>
      <c r="G434" s="314" t="inlineStr">
        <is>
          <t>IDR</t>
        </is>
      </c>
      <c r="H434" s="346" t="n">
        <v>1</v>
      </c>
      <c r="I434" s="321" t="n"/>
      <c r="J434" s="329" t="n">
        <v>224000</v>
      </c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13" t="n">
        <v>45541</v>
      </c>
      <c r="C435" s="314" t="n">
        <v>6</v>
      </c>
      <c r="D435" s="326" t="inlineStr">
        <is>
          <t>Rent Car 6 Days</t>
        </is>
      </c>
      <c r="E435" s="326" t="inlineStr">
        <is>
          <t>-</t>
        </is>
      </c>
      <c r="F435" s="323" t="n">
        <v>3000000</v>
      </c>
      <c r="G435" s="314" t="inlineStr">
        <is>
          <t>IDR</t>
        </is>
      </c>
      <c r="H435" s="346" t="n">
        <v>1</v>
      </c>
      <c r="I435" s="320">
        <f>F435</f>
        <v/>
      </c>
      <c r="J435" s="329" t="n">
        <v>3000000</v>
      </c>
      <c r="K435" s="321" t="n"/>
      <c r="L435" s="321" t="n"/>
      <c r="M435" s="321" t="n"/>
      <c r="N435" s="321" t="n"/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13" t="n">
        <v>45541</v>
      </c>
      <c r="C436" s="314" t="n">
        <v>7</v>
      </c>
      <c r="D436" s="326" t="inlineStr">
        <is>
          <t>Gasoline</t>
        </is>
      </c>
      <c r="E436" s="326" t="inlineStr">
        <is>
          <t>-</t>
        </is>
      </c>
      <c r="F436" s="323" t="n">
        <v>400000</v>
      </c>
      <c r="G436" s="314" t="inlineStr">
        <is>
          <t>IDR</t>
        </is>
      </c>
      <c r="H436" s="346" t="n">
        <v>1</v>
      </c>
      <c r="I436" s="320">
        <f>F436</f>
        <v/>
      </c>
      <c r="J436" s="329" t="n">
        <v>400000</v>
      </c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45541</v>
      </c>
      <c r="C437" s="314" t="n">
        <v>8</v>
      </c>
      <c r="D437" s="326" t="inlineStr">
        <is>
          <t>Taxi CGK-Pondok Cabe (inc Toll+Parking)</t>
        </is>
      </c>
      <c r="E437" s="326" t="inlineStr">
        <is>
          <t>-</t>
        </is>
      </c>
      <c r="F437" s="323" t="n">
        <v>310660</v>
      </c>
      <c r="G437" s="314" t="inlineStr">
        <is>
          <t>IDR</t>
        </is>
      </c>
      <c r="H437" s="346" t="n">
        <v>1</v>
      </c>
      <c r="I437" s="320">
        <f>F437</f>
        <v/>
      </c>
      <c r="J437" s="329" t="n">
        <v>310660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47" t="n">
        <v>45541</v>
      </c>
      <c r="C438" s="348" t="n">
        <v>9</v>
      </c>
      <c r="D438" s="349" t="inlineStr">
        <is>
          <t>Field Allowance</t>
        </is>
      </c>
      <c r="E438" s="349" t="inlineStr">
        <is>
          <t>-</t>
        </is>
      </c>
      <c r="F438" s="337" t="n">
        <v>9262800</v>
      </c>
      <c r="G438" s="314" t="inlineStr">
        <is>
          <t>USD</t>
        </is>
      </c>
      <c r="H438" s="346" t="n">
        <v>15438</v>
      </c>
      <c r="I438" s="321" t="n"/>
      <c r="J438" s="329" t="n">
        <v>9262800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45541</v>
      </c>
      <c r="C439" s="314" t="n">
        <v>10</v>
      </c>
      <c r="D439" s="340" t="inlineStr">
        <is>
          <t>Meals</t>
        </is>
      </c>
      <c r="E439" s="340" t="inlineStr">
        <is>
          <t>-</t>
        </is>
      </c>
      <c r="F439" s="323" t="n">
        <v>900000</v>
      </c>
      <c r="G439" s="314" t="inlineStr">
        <is>
          <t>IDR</t>
        </is>
      </c>
      <c r="H439" s="346" t="n">
        <v>1</v>
      </c>
      <c r="I439" s="321" t="n"/>
      <c r="J439" s="329" t="n">
        <v>900000</v>
      </c>
      <c r="K439" s="321" t="n"/>
      <c r="L439" s="321" t="n"/>
      <c r="M439" s="321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33" t="n">
        <v>45543</v>
      </c>
      <c r="C440" s="314" t="n">
        <v>11</v>
      </c>
      <c r="D440" s="326" t="inlineStr">
        <is>
          <t>Airplane Ticket PLM-CGK</t>
        </is>
      </c>
      <c r="E440" s="326" t="inlineStr">
        <is>
          <t>-</t>
        </is>
      </c>
      <c r="F440" s="323" t="n">
        <v>836100</v>
      </c>
      <c r="G440" s="314" t="inlineStr">
        <is>
          <t>IDR</t>
        </is>
      </c>
      <c r="H440" s="346" t="n">
        <v>1</v>
      </c>
      <c r="I440" s="319">
        <f>$H440*$F440</f>
        <v/>
      </c>
      <c r="J440" s="329" t="n">
        <v>836100</v>
      </c>
      <c r="K440" s="321" t="n"/>
      <c r="L440" s="321" t="n"/>
      <c r="M440" s="321" t="n"/>
      <c r="N440" s="321" t="n"/>
      <c r="O440" s="321" t="n"/>
      <c r="P440" s="321" t="n"/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61" t="inlineStr">
        <is>
          <t>Expense#32</t>
        </is>
      </c>
      <c r="C441" s="362" t="inlineStr">
        <is>
          <t>:</t>
        </is>
      </c>
      <c r="D441" s="363" t="inlineStr">
        <is>
          <t>ALFA PMB-009 (Cancel)_ TMA</t>
        </is>
      </c>
      <c r="E441" s="364" t="n"/>
      <c r="F441" s="378">
        <f>15000+27000+400000+8000+27500+5500</f>
        <v/>
      </c>
      <c r="G441" s="362" t="inlineStr">
        <is>
          <t>IDR</t>
        </is>
      </c>
      <c r="H441" s="362" t="n">
        <v>1</v>
      </c>
      <c r="I441" s="366">
        <f>$H441*$F441</f>
        <v/>
      </c>
      <c r="J441" s="368" t="n"/>
      <c r="K441" s="368" t="n"/>
      <c r="L441" s="368" t="n"/>
      <c r="M441" s="366" t="n"/>
      <c r="N441" s="368" t="n"/>
      <c r="O441" s="368" t="n"/>
      <c r="P441" s="368" t="n"/>
      <c r="Q441" s="368" t="n"/>
      <c r="R441" s="369" t="n"/>
      <c r="S441" s="369" t="n"/>
      <c r="T441" s="369" t="n"/>
      <c r="U441" s="369" t="n"/>
      <c r="V441" s="369" t="n"/>
      <c r="W441" s="369" t="n"/>
      <c r="X441" s="369" t="n"/>
    </row>
    <row r="442" ht="15.5" customHeight="1" s="297">
      <c r="B442" s="333" t="n">
        <v>45511</v>
      </c>
      <c r="C442" s="314" t="n">
        <v>3</v>
      </c>
      <c r="D442" s="330" t="inlineStr">
        <is>
          <t>Biaya Operasi</t>
        </is>
      </c>
      <c r="E442" s="326" t="n"/>
      <c r="F442" s="317">
        <f>5500+59500+20500+5500+405000</f>
        <v/>
      </c>
      <c r="G442" s="314" t="inlineStr">
        <is>
          <t>IDR</t>
        </is>
      </c>
      <c r="H442" s="314" t="n">
        <v>1</v>
      </c>
      <c r="I442" s="319">
        <f>$H442*$F442</f>
        <v/>
      </c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33" t="n">
        <v>45557</v>
      </c>
      <c r="C443" s="314" t="n">
        <v>1</v>
      </c>
      <c r="D443" s="370" t="inlineStr">
        <is>
          <t>Taxi+Tol Serpong - Gambir</t>
        </is>
      </c>
      <c r="E443" s="370" t="inlineStr">
        <is>
          <t>-</t>
        </is>
      </c>
      <c r="F443" s="323" t="n">
        <v>241280</v>
      </c>
      <c r="G443" s="314" t="inlineStr">
        <is>
          <t>IDR</t>
        </is>
      </c>
      <c r="H443" s="346" t="n">
        <v>1</v>
      </c>
      <c r="I443" s="321" t="n"/>
      <c r="J443" s="329" t="n">
        <v>241280</v>
      </c>
      <c r="K443" s="321" t="n"/>
      <c r="L443" s="321" t="n"/>
      <c r="M443" s="319" t="n"/>
      <c r="N443" s="319" t="n"/>
      <c r="O443" s="321" t="n"/>
      <c r="P443" s="321" t="n"/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33" t="n">
        <v>45558</v>
      </c>
      <c r="C444" s="314" t="n">
        <v>2</v>
      </c>
      <c r="D444" s="326" t="inlineStr">
        <is>
          <t>Gocar St. Cepu, Kalog - Bojonegoro</t>
        </is>
      </c>
      <c r="E444" s="326" t="inlineStr">
        <is>
          <t>-</t>
        </is>
      </c>
      <c r="F444" s="323" t="n">
        <v>250000</v>
      </c>
      <c r="G444" s="314" t="inlineStr">
        <is>
          <t>IDR</t>
        </is>
      </c>
      <c r="H444" s="346" t="n">
        <v>1</v>
      </c>
      <c r="I444" s="320">
        <f>F444</f>
        <v/>
      </c>
      <c r="J444" s="329" t="n">
        <v>250000</v>
      </c>
      <c r="K444" s="321" t="n"/>
      <c r="L444" s="321" t="n"/>
      <c r="M444" s="320" t="n"/>
      <c r="N444" s="321" t="n"/>
      <c r="O444" s="321" t="n"/>
      <c r="P444" s="321" t="n"/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33" t="n">
        <v>45561</v>
      </c>
      <c r="C445" s="314" t="n">
        <v>3</v>
      </c>
      <c r="D445" s="326" t="inlineStr">
        <is>
          <t>Taxi+Tol Gambir - Serpong</t>
        </is>
      </c>
      <c r="E445" s="326" t="inlineStr">
        <is>
          <t>-</t>
        </is>
      </c>
      <c r="F445" s="323" t="n">
        <v>240000</v>
      </c>
      <c r="G445" s="314" t="inlineStr">
        <is>
          <t>IDR</t>
        </is>
      </c>
      <c r="H445" s="346" t="n">
        <v>1</v>
      </c>
      <c r="I445" s="320">
        <f>F445</f>
        <v/>
      </c>
      <c r="J445" s="329" t="n">
        <v>240000</v>
      </c>
      <c r="K445" s="321" t="n"/>
      <c r="L445" s="321" t="n"/>
      <c r="M445" s="319" t="n"/>
      <c r="N445" s="321" t="n"/>
      <c r="O445" s="321" t="n"/>
      <c r="P445" s="321" t="n"/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33" t="n">
        <v>45561</v>
      </c>
      <c r="C446" s="314" t="n">
        <v>4</v>
      </c>
      <c r="D446" s="370" t="inlineStr">
        <is>
          <t>Uang Makan (22 - 26 Sept 2024)</t>
        </is>
      </c>
      <c r="E446" s="370" t="inlineStr">
        <is>
          <t>-</t>
        </is>
      </c>
      <c r="F446" s="323" t="n">
        <v>750000</v>
      </c>
      <c r="G446" s="314" t="inlineStr">
        <is>
          <t>IDR</t>
        </is>
      </c>
      <c r="H446" s="346" t="n">
        <v>1</v>
      </c>
      <c r="I446" s="321" t="n"/>
      <c r="J446" s="329" t="n">
        <v>750000</v>
      </c>
      <c r="K446" s="321" t="n"/>
      <c r="L446" s="321" t="n"/>
      <c r="M446" s="320" t="n"/>
      <c r="N446" s="321" t="n"/>
      <c r="O446" s="321" t="n"/>
      <c r="P446" s="321" t="n"/>
      <c r="Q446" s="321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33" t="n">
        <v>45561</v>
      </c>
      <c r="C447" s="314" t="n">
        <v>5</v>
      </c>
      <c r="D447" s="326" t="inlineStr">
        <is>
          <t>Laundry (22 - 26 Sept 2024)</t>
        </is>
      </c>
      <c r="E447" s="326" t="inlineStr">
        <is>
          <t>-</t>
        </is>
      </c>
      <c r="F447" s="323" t="n">
        <v>250000</v>
      </c>
      <c r="G447" s="314" t="inlineStr">
        <is>
          <t>IDR</t>
        </is>
      </c>
      <c r="H447" s="346" t="n">
        <v>1</v>
      </c>
      <c r="I447" s="321" t="n"/>
      <c r="J447" s="329" t="n">
        <v>250000</v>
      </c>
      <c r="K447" s="321" t="n"/>
      <c r="L447" s="321" t="n"/>
      <c r="M447" s="319" t="n"/>
      <c r="N447" s="321" t="n"/>
      <c r="O447" s="321" t="n"/>
      <c r="P447" s="320">
        <f>F447</f>
        <v/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33" t="n">
        <v>45561</v>
      </c>
      <c r="C448" s="314" t="n">
        <v>6</v>
      </c>
      <c r="D448" s="326" t="inlineStr">
        <is>
          <t>Field Bonus SKW#26 (22 - 26 Sept 2024). 1US$=15.100</t>
        </is>
      </c>
      <c r="E448" s="326" t="inlineStr">
        <is>
          <t>-</t>
        </is>
      </c>
      <c r="F448" s="323" t="n">
        <v>500</v>
      </c>
      <c r="G448" s="314" t="inlineStr">
        <is>
          <t>IDR</t>
        </is>
      </c>
      <c r="H448" s="346" t="n">
        <v>15100</v>
      </c>
      <c r="I448" s="320">
        <f>F448</f>
        <v/>
      </c>
      <c r="J448" s="329" t="n">
        <v>500</v>
      </c>
      <c r="K448" s="321" t="n"/>
      <c r="L448" s="321" t="n"/>
      <c r="M448" s="321" t="n"/>
      <c r="N448" s="321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61" t="inlineStr">
        <is>
          <t>Expense#33</t>
        </is>
      </c>
      <c r="C449" s="362" t="inlineStr">
        <is>
          <t>:</t>
        </is>
      </c>
      <c r="D449" s="363" t="inlineStr">
        <is>
          <t>ALFA Job JRK-095 (Jirak) - IBR</t>
        </is>
      </c>
      <c r="E449" s="364" t="n"/>
      <c r="F449" s="378" t="n">
        <v>69000</v>
      </c>
      <c r="G449" s="362" t="inlineStr">
        <is>
          <t>IDR</t>
        </is>
      </c>
      <c r="H449" s="362" t="n">
        <v>1</v>
      </c>
      <c r="I449" s="367">
        <f>F449</f>
        <v/>
      </c>
      <c r="J449" s="368" t="n"/>
      <c r="K449" s="368" t="n"/>
      <c r="L449" s="368" t="n"/>
      <c r="M449" s="368" t="n"/>
      <c r="N449" s="368" t="n"/>
      <c r="O449" s="368" t="n"/>
      <c r="P449" s="368" t="n"/>
      <c r="Q449" s="368" t="n"/>
      <c r="R449" s="369" t="n"/>
      <c r="S449" s="369" t="n"/>
      <c r="T449" s="369" t="n"/>
      <c r="U449" s="369" t="n"/>
      <c r="V449" s="369" t="n"/>
      <c r="W449" s="369" t="n"/>
      <c r="X449" s="369" t="n"/>
    </row>
    <row r="450" ht="15.5" customHeight="1" s="297">
      <c r="B450" s="333" t="n">
        <v>45476</v>
      </c>
      <c r="C450" s="314" t="n">
        <v>9</v>
      </c>
      <c r="D450" s="330" t="inlineStr">
        <is>
          <t>Biaya Operasi</t>
        </is>
      </c>
      <c r="E450" s="326" t="n"/>
      <c r="F450" s="317" t="n">
        <v>98000</v>
      </c>
      <c r="G450" s="314" t="inlineStr">
        <is>
          <t>IDR</t>
        </is>
      </c>
      <c r="H450" s="314" t="n">
        <v>1</v>
      </c>
      <c r="I450" s="320">
        <f>F450</f>
        <v/>
      </c>
      <c r="J450" s="321" t="n"/>
      <c r="K450" s="321" t="n"/>
      <c r="L450" s="321" t="n"/>
      <c r="M450" s="321" t="n"/>
      <c r="N450" s="321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t="15.5" customHeight="1" s="297">
      <c r="B451" s="333" t="n">
        <v>45563</v>
      </c>
      <c r="C451" s="314" t="n">
        <v>1</v>
      </c>
      <c r="D451" s="326" t="inlineStr">
        <is>
          <t>Hotel 21 Sept - 27 Sept 2024 (6 days)</t>
        </is>
      </c>
      <c r="E451" s="326" t="inlineStr">
        <is>
          <t>-</t>
        </is>
      </c>
      <c r="F451" s="323" t="n">
        <v>1680000</v>
      </c>
      <c r="G451" s="314" t="inlineStr">
        <is>
          <t>IDR</t>
        </is>
      </c>
      <c r="H451" s="346" t="n">
        <v>1</v>
      </c>
      <c r="I451" s="321" t="n"/>
      <c r="J451" s="329" t="n">
        <v>1680000</v>
      </c>
      <c r="K451" s="321" t="n"/>
      <c r="L451" s="321" t="n"/>
      <c r="M451" s="321" t="n"/>
      <c r="N451" s="320">
        <f>F451</f>
        <v/>
      </c>
      <c r="O451" s="321" t="n"/>
      <c r="P451" s="321" t="n"/>
      <c r="Q451" s="321" t="n"/>
      <c r="R451" s="322" t="n"/>
      <c r="S451" s="322" t="n"/>
      <c r="T451" s="322" t="n"/>
      <c r="U451" s="322" t="n"/>
      <c r="V451" s="322" t="n"/>
      <c r="W451" s="322" t="n"/>
      <c r="X451" s="322" t="n"/>
    </row>
    <row r="452" ht="15.5" customHeight="1" s="297">
      <c r="B452" s="333" t="n">
        <v>45563</v>
      </c>
      <c r="C452" s="314" t="n">
        <v>2</v>
      </c>
      <c r="D452" s="326" t="inlineStr">
        <is>
          <t>Laundry 20 Sept - 27 Sept 2024 (7days) @ Rp. 50000</t>
        </is>
      </c>
      <c r="E452" s="326" t="inlineStr">
        <is>
          <t>-</t>
        </is>
      </c>
      <c r="F452" s="323" t="n">
        <v>350000</v>
      </c>
      <c r="G452" s="314" t="inlineStr">
        <is>
          <t>IDR</t>
        </is>
      </c>
      <c r="H452" s="346" t="n">
        <v>1</v>
      </c>
      <c r="I452" s="320">
        <f>F452</f>
        <v/>
      </c>
      <c r="J452" s="329" t="n">
        <v>350000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33" t="n">
        <v>45563</v>
      </c>
      <c r="C453" s="314" t="n">
        <v>3</v>
      </c>
      <c r="D453" s="326" t="inlineStr">
        <is>
          <t>Gasoline</t>
        </is>
      </c>
      <c r="E453" s="326" t="inlineStr">
        <is>
          <t>-</t>
        </is>
      </c>
      <c r="F453" s="323" t="n">
        <v>200000</v>
      </c>
      <c r="G453" s="314" t="inlineStr">
        <is>
          <t>IDR</t>
        </is>
      </c>
      <c r="H453" s="346" t="n">
        <v>1</v>
      </c>
      <c r="I453" s="320">
        <f>F453</f>
        <v/>
      </c>
      <c r="J453" s="329" t="n">
        <v>200000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t="15.5" customHeight="1" s="297">
      <c r="B454" s="333" t="n">
        <v>45563</v>
      </c>
      <c r="C454" s="314" t="n">
        <v>4</v>
      </c>
      <c r="D454" s="326" t="inlineStr">
        <is>
          <t>Gasoline</t>
        </is>
      </c>
      <c r="E454" s="326" t="inlineStr">
        <is>
          <t>-</t>
        </is>
      </c>
      <c r="F454" s="323" t="n">
        <v>215000</v>
      </c>
      <c r="G454" s="314" t="inlineStr">
        <is>
          <t>IDR</t>
        </is>
      </c>
      <c r="H454" s="346" t="n">
        <v>1</v>
      </c>
      <c r="I454" s="320">
        <f>F454</f>
        <v/>
      </c>
      <c r="J454" s="329" t="n">
        <v>215000</v>
      </c>
      <c r="K454" s="321" t="n"/>
      <c r="L454" s="321" t="n"/>
      <c r="M454" s="321" t="n"/>
      <c r="N454" s="321" t="n"/>
      <c r="O454" s="321" t="n"/>
      <c r="P454" s="321" t="n"/>
      <c r="Q454" s="321" t="n"/>
      <c r="R454" s="322" t="n"/>
      <c r="S454" s="322" t="n"/>
      <c r="T454" s="322" t="n"/>
      <c r="U454" s="322" t="n"/>
      <c r="V454" s="322" t="n"/>
      <c r="W454" s="322" t="n"/>
      <c r="X454" s="322" t="n"/>
    </row>
    <row r="455" ht="15.5" customHeight="1" s="297">
      <c r="B455" s="333" t="n">
        <v>45563</v>
      </c>
      <c r="C455" s="314" t="n">
        <v>5</v>
      </c>
      <c r="D455" s="326" t="inlineStr">
        <is>
          <t>Gasoline</t>
        </is>
      </c>
      <c r="E455" s="326" t="inlineStr">
        <is>
          <t>-</t>
        </is>
      </c>
      <c r="F455" s="323" t="n">
        <v>197000</v>
      </c>
      <c r="G455" s="314" t="inlineStr">
        <is>
          <t>IDR</t>
        </is>
      </c>
      <c r="H455" s="346" t="n">
        <v>1</v>
      </c>
      <c r="I455" s="321" t="n"/>
      <c r="J455" s="329" t="n">
        <v>197000</v>
      </c>
      <c r="K455" s="321" t="n"/>
      <c r="L455" s="321" t="n"/>
      <c r="M455" s="321" t="n"/>
      <c r="N455" s="320">
        <f>F455</f>
        <v/>
      </c>
      <c r="O455" s="321" t="n"/>
      <c r="P455" s="321" t="n"/>
      <c r="Q455" s="321" t="n"/>
      <c r="R455" s="322" t="n"/>
      <c r="S455" s="322" t="n"/>
      <c r="T455" s="322" t="n"/>
      <c r="U455" s="322" t="n"/>
      <c r="V455" s="322" t="n"/>
      <c r="W455" s="322" t="n"/>
      <c r="X455" s="322" t="n"/>
    </row>
    <row r="456" ht="15.5" customHeight="1" s="297">
      <c r="B456" s="333" t="n">
        <v>45563</v>
      </c>
      <c r="C456" s="314" t="n">
        <v>6</v>
      </c>
      <c r="D456" s="326" t="inlineStr">
        <is>
          <t>Gasoline</t>
        </is>
      </c>
      <c r="E456" s="326" t="inlineStr">
        <is>
          <t>-</t>
        </is>
      </c>
      <c r="F456" s="323" t="n">
        <v>200000</v>
      </c>
      <c r="G456" s="314" t="inlineStr">
        <is>
          <t>IDR</t>
        </is>
      </c>
      <c r="H456" s="346" t="n">
        <v>1</v>
      </c>
      <c r="I456" s="321" t="n"/>
      <c r="J456" s="329" t="n">
        <v>200000</v>
      </c>
      <c r="K456" s="321" t="n"/>
      <c r="L456" s="321" t="n"/>
      <c r="M456" s="321" t="n"/>
      <c r="N456" s="320">
        <f>F456</f>
        <v/>
      </c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45563</v>
      </c>
      <c r="C457" s="314" t="n">
        <v>7</v>
      </c>
      <c r="D457" s="326" t="inlineStr">
        <is>
          <t>Gasoline</t>
        </is>
      </c>
      <c r="E457" s="326" t="inlineStr">
        <is>
          <t>-</t>
        </is>
      </c>
      <c r="F457" s="323" t="n">
        <v>220000</v>
      </c>
      <c r="G457" s="314" t="inlineStr">
        <is>
          <t>IDR</t>
        </is>
      </c>
      <c r="H457" s="346" t="n">
        <v>1</v>
      </c>
      <c r="I457" s="321" t="n"/>
      <c r="J457" s="329" t="n">
        <v>220000</v>
      </c>
      <c r="K457" s="321" t="n"/>
      <c r="L457" s="321" t="n"/>
      <c r="M457" s="319" t="n"/>
      <c r="N457" s="320">
        <f>F457</f>
        <v/>
      </c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45563</v>
      </c>
      <c r="C458" s="314" t="n">
        <v>8</v>
      </c>
      <c r="D458" s="326" t="inlineStr">
        <is>
          <t>Toll (PLM-Prabumulih)</t>
        </is>
      </c>
      <c r="E458" s="326" t="inlineStr">
        <is>
          <t>-</t>
        </is>
      </c>
      <c r="F458" s="323" t="n">
        <v>112000</v>
      </c>
      <c r="G458" s="314" t="inlineStr">
        <is>
          <t>IDR</t>
        </is>
      </c>
      <c r="H458" s="346" t="n">
        <v>1</v>
      </c>
      <c r="I458" s="320">
        <f>F458</f>
        <v/>
      </c>
      <c r="J458" s="329" t="n">
        <v>112000</v>
      </c>
      <c r="K458" s="321" t="n"/>
      <c r="L458" s="321" t="n"/>
      <c r="M458" s="320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45563</v>
      </c>
      <c r="C459" s="314" t="n">
        <v>9</v>
      </c>
      <c r="D459" s="370" t="inlineStr">
        <is>
          <t>Toll (Prabumulih-PLM)</t>
        </is>
      </c>
      <c r="E459" s="370" t="inlineStr">
        <is>
          <t>-</t>
        </is>
      </c>
      <c r="F459" s="323" t="n">
        <v>117000</v>
      </c>
      <c r="G459" s="314" t="inlineStr">
        <is>
          <t>IDR</t>
        </is>
      </c>
      <c r="H459" s="346" t="n">
        <v>1</v>
      </c>
      <c r="I459" s="321" t="n"/>
      <c r="J459" s="329" t="n">
        <v>117000</v>
      </c>
      <c r="K459" s="321" t="n"/>
      <c r="L459" s="321" t="n"/>
      <c r="M459" s="319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>
        <v>45563</v>
      </c>
      <c r="C460" s="314" t="n">
        <v>10</v>
      </c>
      <c r="D460" s="326" t="inlineStr">
        <is>
          <t>Car Wash</t>
        </is>
      </c>
      <c r="E460" s="326" t="inlineStr">
        <is>
          <t>-</t>
        </is>
      </c>
      <c r="F460" s="323" t="n">
        <v>40000</v>
      </c>
      <c r="G460" s="314" t="inlineStr">
        <is>
          <t>IDR</t>
        </is>
      </c>
      <c r="H460" s="346" t="n">
        <v>1</v>
      </c>
      <c r="I460" s="320">
        <f>$F460*$H460</f>
        <v/>
      </c>
      <c r="J460" s="329" t="n">
        <v>40000</v>
      </c>
      <c r="K460" s="321" t="n"/>
      <c r="L460" s="321" t="n"/>
      <c r="M460" s="319" t="n"/>
      <c r="N460" s="321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45563</v>
      </c>
      <c r="C461" s="314" t="n">
        <v>11</v>
      </c>
      <c r="D461" s="326" t="inlineStr">
        <is>
          <t>Aqua 600 ML + Sunlight</t>
        </is>
      </c>
      <c r="E461" s="326" t="inlineStr">
        <is>
          <t>-</t>
        </is>
      </c>
      <c r="F461" s="323" t="n">
        <v>65000</v>
      </c>
      <c r="G461" s="314" t="inlineStr">
        <is>
          <t>IDR</t>
        </is>
      </c>
      <c r="H461" s="346" t="n">
        <v>1</v>
      </c>
      <c r="I461" s="320">
        <f>$F461*$H461</f>
        <v/>
      </c>
      <c r="J461" s="329" t="n">
        <v>65000</v>
      </c>
      <c r="K461" s="321" t="n"/>
      <c r="L461" s="321" t="n"/>
      <c r="M461" s="319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45563</v>
      </c>
      <c r="C462" s="314" t="n">
        <v>12</v>
      </c>
      <c r="D462" s="326" t="inlineStr">
        <is>
          <t>Fried Food + Soft Drink</t>
        </is>
      </c>
      <c r="E462" s="326" t="inlineStr">
        <is>
          <t>-</t>
        </is>
      </c>
      <c r="F462" s="323" t="n">
        <v>150000</v>
      </c>
      <c r="G462" s="314" t="inlineStr">
        <is>
          <t>IDR</t>
        </is>
      </c>
      <c r="H462" s="346" t="n">
        <v>1</v>
      </c>
      <c r="I462" s="320">
        <f>$F462*$H462</f>
        <v/>
      </c>
      <c r="J462" s="329" t="n">
        <v>150000</v>
      </c>
      <c r="K462" s="321" t="n"/>
      <c r="L462" s="321" t="n"/>
      <c r="M462" s="320" t="n"/>
      <c r="N462" s="321" t="n"/>
      <c r="O462" s="321" t="n"/>
      <c r="P462" s="321" t="n"/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>
        <v>45563</v>
      </c>
      <c r="C463" s="314" t="n">
        <v>13</v>
      </c>
      <c r="D463" s="326" t="inlineStr">
        <is>
          <t>Meal's Crew</t>
        </is>
      </c>
      <c r="E463" s="326" t="inlineStr">
        <is>
          <t>-</t>
        </is>
      </c>
      <c r="F463" s="323" t="n">
        <v>120000</v>
      </c>
      <c r="G463" s="314" t="inlineStr">
        <is>
          <t>IDR</t>
        </is>
      </c>
      <c r="H463" s="346" t="n">
        <v>1</v>
      </c>
      <c r="I463" s="320">
        <f>$F463*$H463</f>
        <v/>
      </c>
      <c r="J463" s="329" t="n">
        <v>120000</v>
      </c>
      <c r="K463" s="321" t="n"/>
      <c r="L463" s="321" t="n"/>
      <c r="M463" s="319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45563</v>
      </c>
      <c r="C464" s="314" t="n">
        <v>14</v>
      </c>
      <c r="D464" s="326" t="inlineStr">
        <is>
          <t>Snack's Crew</t>
        </is>
      </c>
      <c r="E464" s="326" t="inlineStr">
        <is>
          <t>-</t>
        </is>
      </c>
      <c r="F464" s="323" t="n">
        <v>172000</v>
      </c>
      <c r="G464" s="314" t="inlineStr">
        <is>
          <t>IDR</t>
        </is>
      </c>
      <c r="H464" s="346" t="n">
        <v>1</v>
      </c>
      <c r="I464" s="320">
        <f>$F464*$H464</f>
        <v/>
      </c>
      <c r="J464" s="329" t="n">
        <v>172000</v>
      </c>
      <c r="K464" s="321" t="n"/>
      <c r="L464" s="321" t="n"/>
      <c r="M464" s="320" t="n"/>
      <c r="N464" s="321" t="n"/>
      <c r="O464" s="321" t="n"/>
      <c r="P464" s="321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45563</v>
      </c>
      <c r="C465" s="314" t="n">
        <v>15</v>
      </c>
      <c r="D465" s="370" t="inlineStr">
        <is>
          <t>Meal's + Soft Drink Crew</t>
        </is>
      </c>
      <c r="E465" s="370" t="inlineStr">
        <is>
          <t>-</t>
        </is>
      </c>
      <c r="F465" s="323" t="n">
        <v>300000</v>
      </c>
      <c r="G465" s="314" t="inlineStr">
        <is>
          <t>IDR</t>
        </is>
      </c>
      <c r="H465" s="346" t="n">
        <v>1</v>
      </c>
      <c r="I465" s="321" t="n"/>
      <c r="J465" s="329" t="n">
        <v>300000</v>
      </c>
      <c r="K465" s="321" t="n"/>
      <c r="L465" s="321" t="n"/>
      <c r="M465" s="319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45563</v>
      </c>
      <c r="C466" s="314" t="n">
        <v>16</v>
      </c>
      <c r="D466" s="326" t="inlineStr">
        <is>
          <t>Aqua 600 ML</t>
        </is>
      </c>
      <c r="E466" s="326" t="inlineStr">
        <is>
          <t>-</t>
        </is>
      </c>
      <c r="F466" s="323" t="n">
        <v>65000</v>
      </c>
      <c r="G466" s="314" t="inlineStr">
        <is>
          <t>IDR</t>
        </is>
      </c>
      <c r="H466" s="346" t="n">
        <v>1</v>
      </c>
      <c r="I466" s="320">
        <f>F466</f>
        <v/>
      </c>
      <c r="J466" s="329" t="n">
        <v>65000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45563</v>
      </c>
      <c r="C467" s="314" t="n">
        <v>17</v>
      </c>
      <c r="D467" s="370" t="inlineStr">
        <is>
          <t>Meal's Crws + Ice Tea</t>
        </is>
      </c>
      <c r="E467" s="370" t="inlineStr">
        <is>
          <t>-</t>
        </is>
      </c>
      <c r="F467" s="323" t="n">
        <v>200000</v>
      </c>
      <c r="G467" s="314" t="inlineStr">
        <is>
          <t>IDR</t>
        </is>
      </c>
      <c r="H467" s="346" t="n">
        <v>1</v>
      </c>
      <c r="I467" s="321" t="n"/>
      <c r="J467" s="329" t="n">
        <v>200000</v>
      </c>
      <c r="K467" s="321" t="n"/>
      <c r="L467" s="321" t="n"/>
      <c r="M467" s="321" t="n"/>
      <c r="N467" s="321" t="n"/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45563</v>
      </c>
      <c r="C468" s="314" t="n">
        <v>18</v>
      </c>
      <c r="D468" s="326" t="inlineStr">
        <is>
          <t>Snack's Crew</t>
        </is>
      </c>
      <c r="E468" s="326" t="inlineStr">
        <is>
          <t>-</t>
        </is>
      </c>
      <c r="F468" s="323" t="n">
        <v>240000</v>
      </c>
      <c r="G468" s="314" t="inlineStr">
        <is>
          <t>IDR</t>
        </is>
      </c>
      <c r="H468" s="346" t="n">
        <v>1</v>
      </c>
      <c r="I468" s="320">
        <f>H468*F468</f>
        <v/>
      </c>
      <c r="J468" s="329" t="n">
        <v>240000</v>
      </c>
      <c r="K468" s="321" t="n"/>
      <c r="L468" s="321" t="n"/>
      <c r="M468" s="321" t="n"/>
      <c r="N468" s="321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47" t="n">
        <v>45563</v>
      </c>
      <c r="C469" s="348" t="n">
        <v>19</v>
      </c>
      <c r="D469" s="349" t="inlineStr">
        <is>
          <t>Meal's + Soft Drink Crew</t>
        </is>
      </c>
      <c r="E469" s="349" t="inlineStr">
        <is>
          <t>-</t>
        </is>
      </c>
      <c r="F469" s="337" t="n">
        <v>230000</v>
      </c>
      <c r="G469" s="314" t="inlineStr">
        <is>
          <t>IDR</t>
        </is>
      </c>
      <c r="H469" s="346" t="n">
        <v>1</v>
      </c>
      <c r="I469" s="321" t="n"/>
      <c r="J469" s="329" t="n">
        <v>230000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45563</v>
      </c>
      <c r="C470" s="314" t="n">
        <v>20</v>
      </c>
      <c r="D470" s="370" t="inlineStr">
        <is>
          <t>Soft Drink</t>
        </is>
      </c>
      <c r="E470" s="370" t="inlineStr">
        <is>
          <t>-</t>
        </is>
      </c>
      <c r="F470" s="332" t="n">
        <v>110000</v>
      </c>
      <c r="G470" s="314" t="inlineStr">
        <is>
          <t>IDR</t>
        </is>
      </c>
      <c r="H470" s="346" t="n">
        <v>1</v>
      </c>
      <c r="I470" s="321" t="n"/>
      <c r="J470" s="329" t="n">
        <v>110000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45563</v>
      </c>
      <c r="C471" s="314" t="n">
        <v>21</v>
      </c>
      <c r="D471" s="326" t="inlineStr">
        <is>
          <t>Black Coffe</t>
        </is>
      </c>
      <c r="E471" s="326" t="inlineStr">
        <is>
          <t>-</t>
        </is>
      </c>
      <c r="F471" s="332" t="n">
        <v>47000</v>
      </c>
      <c r="G471" s="314" t="inlineStr">
        <is>
          <t>IDR</t>
        </is>
      </c>
      <c r="H471" s="346" t="n">
        <v>1</v>
      </c>
      <c r="I471" s="320">
        <f>F471</f>
        <v/>
      </c>
      <c r="J471" s="329" t="n">
        <v>47000</v>
      </c>
      <c r="K471" s="321" t="n"/>
      <c r="L471" s="321" t="n"/>
      <c r="M471" s="321" t="n"/>
      <c r="N471" s="321" t="n"/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45563</v>
      </c>
      <c r="C472" s="314" t="n">
        <v>22</v>
      </c>
      <c r="D472" s="326" t="inlineStr">
        <is>
          <t>Field Allowance 20 Sept - 27 Sept 2024</t>
        </is>
      </c>
      <c r="E472" s="326" t="inlineStr">
        <is>
          <t>-</t>
        </is>
      </c>
      <c r="F472" s="332" t="n">
        <v>2668750</v>
      </c>
      <c r="G472" s="314" t="inlineStr">
        <is>
          <t>USD</t>
        </is>
      </c>
      <c r="H472" s="346" t="n">
        <v>15250</v>
      </c>
      <c r="I472" s="320">
        <f>F472</f>
        <v/>
      </c>
      <c r="J472" s="329" t="n">
        <v>2668750</v>
      </c>
      <c r="K472" s="321" t="n"/>
      <c r="L472" s="321" t="n"/>
      <c r="M472" s="321" t="n"/>
      <c r="N472" s="321" t="n"/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45563</v>
      </c>
      <c r="C473" s="314" t="n">
        <v>23</v>
      </c>
      <c r="D473" s="370" t="inlineStr">
        <is>
          <t>Meals 20 Sept - 27 Sept 2024 7 days</t>
        </is>
      </c>
      <c r="E473" s="370" t="inlineStr">
        <is>
          <t>-</t>
        </is>
      </c>
      <c r="F473" s="332" t="n">
        <v>1050000</v>
      </c>
      <c r="G473" s="314" t="inlineStr">
        <is>
          <t>IDR</t>
        </is>
      </c>
      <c r="H473" s="346" t="n">
        <v>1</v>
      </c>
      <c r="I473" s="321" t="n"/>
      <c r="J473" s="329" t="n">
        <v>1050000</v>
      </c>
      <c r="K473" s="321" t="n"/>
      <c r="L473" s="321" t="n"/>
      <c r="M473" s="319" t="n"/>
      <c r="N473" s="321" t="n"/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61" t="inlineStr">
        <is>
          <t>Expense#34</t>
        </is>
      </c>
      <c r="C474" s="362" t="inlineStr">
        <is>
          <t>:</t>
        </is>
      </c>
      <c r="D474" s="363" t="inlineStr">
        <is>
          <t>ALFA_JRK-095 well (PEPZ4-PEndopo field) SI jakarta _ AC</t>
        </is>
      </c>
      <c r="E474" s="364" t="n"/>
      <c r="F474" s="365" t="n">
        <v>276500</v>
      </c>
      <c r="G474" s="362" t="inlineStr">
        <is>
          <t>IDR</t>
        </is>
      </c>
      <c r="H474" s="362" t="n">
        <v>1</v>
      </c>
      <c r="I474" s="366">
        <f>$H474*$F474</f>
        <v/>
      </c>
      <c r="J474" s="368" t="n"/>
      <c r="K474" s="368" t="n"/>
      <c r="L474" s="368" t="n"/>
      <c r="M474" s="367" t="n"/>
      <c r="N474" s="368" t="n"/>
      <c r="O474" s="368" t="n"/>
      <c r="P474" s="368" t="n"/>
      <c r="Q474" s="368" t="n"/>
      <c r="R474" s="369" t="n"/>
      <c r="S474" s="369" t="n"/>
      <c r="T474" s="369" t="n"/>
      <c r="U474" s="369" t="n"/>
      <c r="V474" s="369" t="n"/>
      <c r="W474" s="369" t="n"/>
      <c r="X474" s="369" t="n"/>
    </row>
    <row r="475" ht="15.5" customHeight="1" s="297">
      <c r="B475" s="333" t="n">
        <v>45499</v>
      </c>
      <c r="C475" s="314" t="n">
        <v>4</v>
      </c>
      <c r="D475" s="330" t="inlineStr">
        <is>
          <t>Biaya Operasi</t>
        </is>
      </c>
      <c r="E475" s="326" t="n"/>
      <c r="F475" s="351" t="n">
        <v>63568</v>
      </c>
      <c r="G475" s="314" t="inlineStr">
        <is>
          <t>IDR</t>
        </is>
      </c>
      <c r="H475" s="314" t="n">
        <v>1</v>
      </c>
      <c r="I475" s="319">
        <f>$H475*$F475</f>
        <v/>
      </c>
      <c r="J475" s="321" t="n"/>
      <c r="K475" s="321" t="n"/>
      <c r="L475" s="321" t="n"/>
      <c r="M475" s="319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>
        <v>45556</v>
      </c>
      <c r="C476" s="314" t="n">
        <v>1</v>
      </c>
      <c r="D476" s="326" t="inlineStr">
        <is>
          <t>Air ticket Anevril JKT-Palembang</t>
        </is>
      </c>
      <c r="E476" s="326" t="inlineStr">
        <is>
          <t>-</t>
        </is>
      </c>
      <c r="F476" s="332" t="n">
        <v>796800</v>
      </c>
      <c r="G476" s="314" t="inlineStr">
        <is>
          <t>IDR</t>
        </is>
      </c>
      <c r="H476" s="346" t="n">
        <v>1</v>
      </c>
      <c r="I476" s="319">
        <f>$H476*$F476</f>
        <v/>
      </c>
      <c r="J476" s="329" t="n">
        <v>796800</v>
      </c>
      <c r="K476" s="321" t="n"/>
      <c r="L476" s="321" t="n"/>
      <c r="M476" s="320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45556</v>
      </c>
      <c r="C477" s="314" t="n">
        <v>2</v>
      </c>
      <c r="D477" s="370" t="inlineStr">
        <is>
          <t>Taxi Anevril Home - CGK Airport</t>
        </is>
      </c>
      <c r="E477" s="370" t="inlineStr">
        <is>
          <t>-</t>
        </is>
      </c>
      <c r="F477" s="332" t="n">
        <v>250000</v>
      </c>
      <c r="G477" s="314" t="inlineStr">
        <is>
          <t>IDR</t>
        </is>
      </c>
      <c r="H477" s="346" t="n">
        <v>1</v>
      </c>
      <c r="I477" s="321" t="n"/>
      <c r="J477" s="329" t="n">
        <v>250000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45564</v>
      </c>
      <c r="C478" s="314" t="n">
        <v>3</v>
      </c>
      <c r="D478" s="326" t="inlineStr">
        <is>
          <t>Air ticket Anevril Palembang-JKT</t>
        </is>
      </c>
      <c r="E478" s="326" t="inlineStr">
        <is>
          <t>-</t>
        </is>
      </c>
      <c r="F478" s="332" t="n">
        <v>804500</v>
      </c>
      <c r="G478" s="314" t="inlineStr">
        <is>
          <t>IDR</t>
        </is>
      </c>
      <c r="H478" s="346" t="n">
        <v>1</v>
      </c>
      <c r="I478" s="321" t="n"/>
      <c r="J478" s="329" t="n">
        <v>804500</v>
      </c>
      <c r="K478" s="321" t="n"/>
      <c r="L478" s="321" t="n"/>
      <c r="M478" s="320" t="n"/>
      <c r="N478" s="320">
        <f>F478</f>
        <v/>
      </c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45564</v>
      </c>
      <c r="C479" s="389" t="n">
        <v>4</v>
      </c>
      <c r="D479" s="370" t="inlineStr">
        <is>
          <t>Taxi Anevril CGK Airport - Home</t>
        </is>
      </c>
      <c r="E479" s="370" t="inlineStr">
        <is>
          <t>-</t>
        </is>
      </c>
      <c r="F479" s="332" t="n">
        <v>250000</v>
      </c>
      <c r="G479" s="314" t="inlineStr">
        <is>
          <t>IDR</t>
        </is>
      </c>
      <c r="H479" s="346" t="n">
        <v>1</v>
      </c>
      <c r="I479" s="321" t="n"/>
      <c r="J479" s="329" t="n">
        <v>250000</v>
      </c>
      <c r="K479" s="321" t="n"/>
      <c r="L479" s="321" t="n"/>
      <c r="M479" s="319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45564</v>
      </c>
      <c r="C480" s="314" t="n">
        <v>5</v>
      </c>
      <c r="D480" s="326" t="inlineStr">
        <is>
          <t>Sewa mobil 8 hari (21/09/24 - 29/09/24)</t>
        </is>
      </c>
      <c r="E480" s="326" t="inlineStr">
        <is>
          <t>-</t>
        </is>
      </c>
      <c r="F480" s="337" t="n">
        <v>4000000</v>
      </c>
      <c r="G480" s="314" t="inlineStr">
        <is>
          <t>IDR</t>
        </is>
      </c>
      <c r="H480" s="346" t="n">
        <v>1</v>
      </c>
      <c r="I480" s="320">
        <f>F480</f>
        <v/>
      </c>
      <c r="J480" s="329" t="n">
        <v>4000000</v>
      </c>
      <c r="K480" s="321" t="n"/>
      <c r="L480" s="321" t="n"/>
      <c r="M480" s="321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45564</v>
      </c>
      <c r="C481" s="389" t="n">
        <v>6</v>
      </c>
      <c r="D481" s="370" t="inlineStr">
        <is>
          <t>Laundry 8 days @ 50K IDR/day</t>
        </is>
      </c>
      <c r="E481" s="370" t="inlineStr">
        <is>
          <t>-</t>
        </is>
      </c>
      <c r="F481" s="332" t="n">
        <v>400000</v>
      </c>
      <c r="G481" s="314" t="inlineStr">
        <is>
          <t>IDR</t>
        </is>
      </c>
      <c r="H481" s="346" t="n">
        <v>1</v>
      </c>
      <c r="I481" s="321" t="n"/>
      <c r="J481" s="329" t="n">
        <v>400000</v>
      </c>
      <c r="K481" s="321" t="n"/>
      <c r="L481" s="321" t="n"/>
      <c r="M481" s="321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>
        <v>45564</v>
      </c>
      <c r="C482" s="314" t="n">
        <v>7</v>
      </c>
      <c r="D482" s="326" t="inlineStr">
        <is>
          <t>Meals 8 days @ 150K IDR/day</t>
        </is>
      </c>
      <c r="E482" s="326" t="inlineStr">
        <is>
          <t>-</t>
        </is>
      </c>
      <c r="F482" s="332" t="n">
        <v>900000</v>
      </c>
      <c r="G482" s="314" t="inlineStr">
        <is>
          <t>IDR</t>
        </is>
      </c>
      <c r="H482" s="346" t="n">
        <v>1</v>
      </c>
      <c r="I482" s="320">
        <f>F482</f>
        <v/>
      </c>
      <c r="J482" s="329" t="n">
        <v>900000</v>
      </c>
      <c r="K482" s="321" t="n"/>
      <c r="L482" s="321" t="n"/>
      <c r="M482" s="321" t="n"/>
      <c r="N482" s="319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45565</v>
      </c>
      <c r="C483" s="389" t="n">
        <v>8</v>
      </c>
      <c r="D483" s="370" t="inlineStr">
        <is>
          <t>Tunjangan lapaangan for 8 days- (job at JRK-095)</t>
        </is>
      </c>
      <c r="E483" s="370" t="inlineStr">
        <is>
          <t>-</t>
        </is>
      </c>
      <c r="F483" s="332" t="n">
        <v>12160000</v>
      </c>
      <c r="G483" s="314" t="inlineStr">
        <is>
          <t>USD</t>
        </is>
      </c>
      <c r="H483" s="346" t="n">
        <v>15200</v>
      </c>
      <c r="I483" s="321" t="n"/>
      <c r="J483" s="329" t="n">
        <v>12160000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t="15.5" customHeight="1" s="297">
      <c r="B484" s="361" t="inlineStr">
        <is>
          <t>Expense#35</t>
        </is>
      </c>
      <c r="C484" s="362" t="inlineStr">
        <is>
          <t>:</t>
        </is>
      </c>
      <c r="D484" s="363" t="inlineStr">
        <is>
          <t>Trip to Cirebon Meeting MTD job X-ray field with PEP Zona 7 Region2_AC</t>
        </is>
      </c>
      <c r="E484" s="364" t="n"/>
      <c r="F484" s="365" t="n">
        <v>1000</v>
      </c>
      <c r="G484" s="362" t="inlineStr">
        <is>
          <t>USD</t>
        </is>
      </c>
      <c r="H484" s="382" t="n">
        <v>15513</v>
      </c>
      <c r="I484" s="367">
        <f>H484*F484</f>
        <v/>
      </c>
      <c r="J484" s="368" t="n"/>
      <c r="K484" s="368" t="n"/>
      <c r="L484" s="368" t="n"/>
      <c r="M484" s="366" t="n"/>
      <c r="N484" s="368" t="n"/>
      <c r="O484" s="368" t="n"/>
      <c r="P484" s="368" t="n"/>
      <c r="Q484" s="368" t="n"/>
      <c r="R484" s="369" t="n"/>
      <c r="S484" s="369" t="n"/>
      <c r="T484" s="369" t="n"/>
      <c r="U484" s="369" t="n"/>
      <c r="V484" s="369" t="n"/>
      <c r="W484" s="369" t="n"/>
      <c r="X484" s="369" t="n"/>
    </row>
    <row r="485" ht="15.5" customHeight="1" s="297">
      <c r="B485" s="321" t="inlineStr">
        <is>
          <t>Expense#30</t>
        </is>
      </c>
      <c r="C485" s="348" t="inlineStr">
        <is>
          <t>:</t>
        </is>
      </c>
      <c r="D485" s="383" t="inlineStr">
        <is>
          <t>Biaya Operasi</t>
        </is>
      </c>
      <c r="E485" s="349" t="n"/>
      <c r="F485" s="316" t="n"/>
      <c r="G485" s="314" t="n"/>
      <c r="H485" s="314" t="n"/>
      <c r="I485" s="321" t="n"/>
      <c r="J485" s="321" t="n"/>
      <c r="K485" s="321" t="n"/>
      <c r="L485" s="321" t="n"/>
      <c r="M485" s="321" t="n"/>
      <c r="N485" s="319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33" t="n">
        <v>45526</v>
      </c>
      <c r="C486" s="314" t="n">
        <v>1</v>
      </c>
      <c r="D486" s="386" t="inlineStr">
        <is>
          <t>Fuel ( trip modified tool Sampler to Mr suby)</t>
        </is>
      </c>
      <c r="E486" s="386" t="inlineStr">
        <is>
          <t>-</t>
        </is>
      </c>
      <c r="F486" s="323" t="n">
        <v>274000</v>
      </c>
      <c r="G486" s="314" t="inlineStr">
        <is>
          <t>IDR</t>
        </is>
      </c>
      <c r="H486" s="346" t="n">
        <v>1</v>
      </c>
      <c r="I486" s="401" t="n"/>
      <c r="J486" s="402" t="n">
        <v>274000</v>
      </c>
      <c r="K486" s="401" t="n"/>
      <c r="L486" s="401" t="n"/>
      <c r="M486" s="401" t="n"/>
      <c r="N486" s="401" t="n"/>
      <c r="O486" s="401" t="n"/>
      <c r="P486" s="401" t="n"/>
      <c r="Q486" s="401" t="n"/>
      <c r="R486" s="322" t="n"/>
      <c r="S486" s="322" t="n"/>
      <c r="T486" s="322" t="n"/>
      <c r="U486" s="322" t="n"/>
      <c r="V486" s="322" t="n"/>
      <c r="W486" s="322" t="n"/>
      <c r="X486" s="322" t="n"/>
    </row>
    <row r="487" ht="15.5" customHeight="1" s="297">
      <c r="B487" s="333" t="n">
        <v>45544</v>
      </c>
      <c r="C487" s="314" t="n">
        <v>2</v>
      </c>
      <c r="D487" s="326" t="inlineStr">
        <is>
          <t>Gocar ( trip Bintaro - Instrutek solusindo)</t>
        </is>
      </c>
      <c r="E487" s="326" t="inlineStr">
        <is>
          <t>-</t>
        </is>
      </c>
      <c r="F487" s="323" t="n">
        <v>144500</v>
      </c>
      <c r="G487" s="314" t="inlineStr">
        <is>
          <t>IDR</t>
        </is>
      </c>
      <c r="H487" s="346" t="n">
        <v>1</v>
      </c>
      <c r="I487" s="320">
        <f>H487*F487</f>
        <v/>
      </c>
      <c r="J487" s="329" t="n">
        <v>144500</v>
      </c>
      <c r="K487" s="321" t="n"/>
      <c r="L487" s="321" t="n"/>
      <c r="M487" s="321" t="n"/>
      <c r="N487" s="319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45544</v>
      </c>
      <c r="C488" s="314" t="n">
        <v>3</v>
      </c>
      <c r="D488" s="326" t="inlineStr">
        <is>
          <t>Gocar ( trip Instrutek solusindo - Bintaro)</t>
        </is>
      </c>
      <c r="E488" s="326" t="inlineStr">
        <is>
          <t>-</t>
        </is>
      </c>
      <c r="F488" s="323" t="n">
        <v>160000</v>
      </c>
      <c r="G488" s="314" t="inlineStr">
        <is>
          <t>IDR</t>
        </is>
      </c>
      <c r="H488" s="346" t="n">
        <v>1</v>
      </c>
      <c r="I488" s="320">
        <f>H488*F488</f>
        <v/>
      </c>
      <c r="J488" s="329" t="n">
        <v>160000</v>
      </c>
      <c r="K488" s="321" t="n"/>
      <c r="L488" s="321" t="n"/>
      <c r="M488" s="319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45544</v>
      </c>
      <c r="C489" s="314" t="n">
        <v>4</v>
      </c>
      <c r="D489" s="386" t="inlineStr">
        <is>
          <t>Tol ( trip Bintaro - Instrutek solusindo) No reciept</t>
        </is>
      </c>
      <c r="E489" s="386" t="inlineStr">
        <is>
          <t>-</t>
        </is>
      </c>
      <c r="F489" s="323" t="n">
        <v>64500</v>
      </c>
      <c r="G489" s="314" t="inlineStr">
        <is>
          <t>IDR</t>
        </is>
      </c>
      <c r="H489" s="346" t="n">
        <v>1</v>
      </c>
      <c r="I489" s="321" t="n"/>
      <c r="J489" s="329" t="n">
        <v>64500</v>
      </c>
      <c r="K489" s="321" t="n"/>
      <c r="L489" s="321" t="n"/>
      <c r="M489" s="321" t="n"/>
      <c r="N489" s="319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>
        <v>45544</v>
      </c>
      <c r="C490" s="314" t="n">
        <v>5</v>
      </c>
      <c r="D490" s="326" t="inlineStr">
        <is>
          <t>Tol ( trip Instrutek solusindo - Bintaro) No Reciept</t>
        </is>
      </c>
      <c r="E490" s="326" t="inlineStr">
        <is>
          <t>-</t>
        </is>
      </c>
      <c r="F490" s="323" t="n">
        <v>64500</v>
      </c>
      <c r="G490" s="314" t="inlineStr">
        <is>
          <t>IDR</t>
        </is>
      </c>
      <c r="H490" s="346" t="n">
        <v>1</v>
      </c>
      <c r="I490" s="320">
        <f>H490*F490</f>
        <v/>
      </c>
      <c r="J490" s="329" t="n">
        <v>64500</v>
      </c>
      <c r="K490" s="321" t="n"/>
      <c r="L490" s="321" t="n"/>
      <c r="M490" s="321" t="n"/>
      <c r="N490" s="319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47" t="n">
        <v>45545</v>
      </c>
      <c r="C491" s="348" t="n">
        <v>6</v>
      </c>
      <c r="D491" s="349" t="inlineStr">
        <is>
          <t>Fuel ( trip to Sclumberger Cikaranga,SIT seeting tool )</t>
        </is>
      </c>
      <c r="E491" s="349" t="inlineStr">
        <is>
          <t>-</t>
        </is>
      </c>
      <c r="F491" s="337" t="n">
        <v>232500</v>
      </c>
      <c r="G491" s="314" t="inlineStr">
        <is>
          <t>IDR</t>
        </is>
      </c>
      <c r="H491" s="346" t="n">
        <v>1</v>
      </c>
      <c r="I491" s="379" t="n"/>
      <c r="J491" s="329" t="n">
        <v>232500</v>
      </c>
      <c r="K491" s="321" t="n"/>
      <c r="L491" s="321" t="n"/>
      <c r="M491" s="321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45545</v>
      </c>
      <c r="C492" s="314" t="n">
        <v>7</v>
      </c>
      <c r="D492" s="395" t="inlineStr">
        <is>
          <t>tol (Bintaro - Cikarang)</t>
        </is>
      </c>
      <c r="E492" s="395" t="inlineStr">
        <is>
          <t>-</t>
        </is>
      </c>
      <c r="F492" s="332" t="n">
        <v>112500</v>
      </c>
      <c r="G492" s="314" t="inlineStr">
        <is>
          <t>IDR</t>
        </is>
      </c>
      <c r="H492" s="346" t="n">
        <v>1</v>
      </c>
      <c r="I492" s="319" t="n"/>
      <c r="J492" s="329" t="n">
        <v>112500</v>
      </c>
      <c r="K492" s="321" t="n"/>
      <c r="L492" s="321" t="n"/>
      <c r="M492" s="321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45545</v>
      </c>
      <c r="C493" s="314" t="n">
        <v>8</v>
      </c>
      <c r="D493" s="326" t="inlineStr">
        <is>
          <t>tol (Cikarang - Bekasi -Bintaro)</t>
        </is>
      </c>
      <c r="E493" s="326" t="inlineStr">
        <is>
          <t>-</t>
        </is>
      </c>
      <c r="F493" s="332" t="n">
        <v>50500</v>
      </c>
      <c r="G493" s="314" t="inlineStr">
        <is>
          <t>IDR</t>
        </is>
      </c>
      <c r="H493" s="346" t="n">
        <v>1</v>
      </c>
      <c r="I493" s="379">
        <f>F493</f>
        <v/>
      </c>
      <c r="J493" s="329" t="n">
        <v>50500</v>
      </c>
      <c r="K493" s="321" t="n"/>
      <c r="L493" s="321" t="n"/>
      <c r="M493" s="321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>
        <v>45546</v>
      </c>
      <c r="C494" s="314" t="n">
        <v>9</v>
      </c>
      <c r="D494" s="326" t="inlineStr">
        <is>
          <t>tol (Bintaro - Cinere)</t>
        </is>
      </c>
      <c r="E494" s="326" t="inlineStr">
        <is>
          <t>-</t>
        </is>
      </c>
      <c r="F494" s="332" t="n">
        <v>59000</v>
      </c>
      <c r="G494" s="314" t="inlineStr">
        <is>
          <t>IDR</t>
        </is>
      </c>
      <c r="H494" s="346" t="n">
        <v>1</v>
      </c>
      <c r="I494" s="320">
        <f>F494</f>
        <v/>
      </c>
      <c r="J494" s="329" t="n">
        <v>59000</v>
      </c>
      <c r="K494" s="321" t="n"/>
      <c r="L494" s="321" t="n"/>
      <c r="M494" s="321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45546</v>
      </c>
      <c r="C495" s="314" t="n">
        <v>10</v>
      </c>
      <c r="D495" s="395" t="inlineStr">
        <is>
          <t>lunch when check MTD tool at workshop Gowell</t>
        </is>
      </c>
      <c r="E495" s="395" t="inlineStr">
        <is>
          <t>-</t>
        </is>
      </c>
      <c r="F495" s="332" t="n">
        <v>171000</v>
      </c>
      <c r="G495" s="314" t="inlineStr">
        <is>
          <t>IDR</t>
        </is>
      </c>
      <c r="H495" s="346" t="n">
        <v>1</v>
      </c>
      <c r="I495" s="321" t="n"/>
      <c r="J495" s="329" t="n">
        <v>171000</v>
      </c>
      <c r="K495" s="321" t="n"/>
      <c r="L495" s="321" t="n"/>
      <c r="M495" s="321" t="n"/>
      <c r="N495" s="321" t="n"/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>
        <v>45548</v>
      </c>
      <c r="C496" s="314" t="n">
        <v>11</v>
      </c>
      <c r="D496" s="326" t="inlineStr">
        <is>
          <t>Fuel ( trip to workshop Gowell &amp; ktr Pajak)</t>
        </is>
      </c>
      <c r="E496" s="326" t="inlineStr">
        <is>
          <t>-</t>
        </is>
      </c>
      <c r="F496" s="332" t="n">
        <v>256800</v>
      </c>
      <c r="G496" s="314" t="inlineStr">
        <is>
          <t>IDR</t>
        </is>
      </c>
      <c r="H496" s="346" t="n">
        <v>1</v>
      </c>
      <c r="I496" s="319">
        <f>$H496*$F496</f>
        <v/>
      </c>
      <c r="J496" s="329" t="n">
        <v>256800</v>
      </c>
      <c r="K496" s="321" t="n"/>
      <c r="L496" s="321" t="n"/>
      <c r="M496" s="321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45552</v>
      </c>
      <c r="C497" s="314" t="n">
        <v>12</v>
      </c>
      <c r="D497" s="326" t="inlineStr">
        <is>
          <t>Tol  Jakarta - Cirebon</t>
        </is>
      </c>
      <c r="E497" s="326" t="inlineStr">
        <is>
          <t>-</t>
        </is>
      </c>
      <c r="F497" s="332" t="n">
        <v>245000</v>
      </c>
      <c r="G497" s="314" t="inlineStr">
        <is>
          <t>IDR</t>
        </is>
      </c>
      <c r="H497" s="346" t="n">
        <v>1</v>
      </c>
      <c r="I497" s="319">
        <f>$H497*$F497</f>
        <v/>
      </c>
      <c r="J497" s="329" t="n">
        <v>245000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>
        <v>45552</v>
      </c>
      <c r="C498" s="314" t="n">
        <v>13</v>
      </c>
      <c r="D498" s="326" t="inlineStr">
        <is>
          <t>Fuel</t>
        </is>
      </c>
      <c r="E498" s="326" t="inlineStr">
        <is>
          <t>-</t>
        </is>
      </c>
      <c r="F498" s="332" t="n">
        <v>180000</v>
      </c>
      <c r="G498" s="314" t="inlineStr">
        <is>
          <t>IDR</t>
        </is>
      </c>
      <c r="H498" s="346" t="n">
        <v>1</v>
      </c>
      <c r="I498" s="319">
        <f>$H498*$F498</f>
        <v/>
      </c>
      <c r="J498" s="329" t="n">
        <v>180000</v>
      </c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45552</v>
      </c>
      <c r="C499" s="314" t="n">
        <v>14</v>
      </c>
      <c r="D499" s="326" t="inlineStr">
        <is>
          <t>Hotel</t>
        </is>
      </c>
      <c r="E499" s="326" t="inlineStr">
        <is>
          <t>-</t>
        </is>
      </c>
      <c r="F499" s="332" t="n">
        <v>700000</v>
      </c>
      <c r="G499" s="314" t="inlineStr">
        <is>
          <t>IDR</t>
        </is>
      </c>
      <c r="H499" s="346" t="n">
        <v>1</v>
      </c>
      <c r="I499" s="319">
        <f>$H499*$F499</f>
        <v/>
      </c>
      <c r="J499" s="329" t="n">
        <v>700000</v>
      </c>
      <c r="K499" s="321" t="n"/>
      <c r="L499" s="321" t="n"/>
      <c r="M499" s="321" t="n"/>
      <c r="N499" s="321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t="15.5" customHeight="1" s="297">
      <c r="B500" s="333" t="n">
        <v>45553</v>
      </c>
      <c r="C500" s="314" t="n">
        <v>15</v>
      </c>
      <c r="D500" s="316" t="inlineStr">
        <is>
          <t>Tol  Cirebon - Jakarta</t>
        </is>
      </c>
      <c r="E500" s="316" t="inlineStr">
        <is>
          <t>-</t>
        </is>
      </c>
      <c r="F500" s="332" t="n">
        <v>166000</v>
      </c>
      <c r="G500" s="314" t="inlineStr">
        <is>
          <t>IDR</t>
        </is>
      </c>
      <c r="H500" s="346" t="n">
        <v>1</v>
      </c>
      <c r="I500" s="319">
        <f>$H500*$F500</f>
        <v/>
      </c>
      <c r="J500" s="329" t="n">
        <v>166000</v>
      </c>
      <c r="K500" s="321" t="n"/>
      <c r="L500" s="321" t="n"/>
      <c r="M500" s="321" t="n"/>
      <c r="N500" s="321" t="n"/>
      <c r="O500" s="321" t="n"/>
      <c r="P500" s="321" t="n"/>
      <c r="Q500" s="321" t="n"/>
      <c r="R500" s="322" t="n"/>
      <c r="S500" s="322" t="n"/>
      <c r="T500" s="322" t="n"/>
      <c r="U500" s="322" t="n"/>
      <c r="V500" s="322" t="n"/>
      <c r="W500" s="322" t="n"/>
      <c r="X500" s="322" t="n"/>
    </row>
    <row r="501" ht="15.5" customHeight="1" s="297">
      <c r="B501" s="333" t="n">
        <v>45553</v>
      </c>
      <c r="C501" s="314" t="n">
        <v>16</v>
      </c>
      <c r="D501" s="316" t="inlineStr">
        <is>
          <t>Fuel</t>
        </is>
      </c>
      <c r="E501" s="316" t="inlineStr">
        <is>
          <t>-</t>
        </is>
      </c>
      <c r="F501" s="332" t="n">
        <v>222650</v>
      </c>
      <c r="G501" s="314" t="inlineStr">
        <is>
          <t>IDR</t>
        </is>
      </c>
      <c r="H501" s="346" t="n">
        <v>1</v>
      </c>
      <c r="I501" s="319">
        <f>$H501*$F501</f>
        <v/>
      </c>
      <c r="J501" s="329" t="n">
        <v>222650</v>
      </c>
      <c r="K501" s="321" t="n"/>
      <c r="L501" s="321" t="n"/>
      <c r="M501" s="321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33" t="n">
        <v>45553</v>
      </c>
      <c r="C502" s="314" t="n">
        <v>17</v>
      </c>
      <c r="D502" s="326" t="inlineStr">
        <is>
          <t>Loundry 2 days @Rp. 50.000</t>
        </is>
      </c>
      <c r="E502" s="326" t="inlineStr">
        <is>
          <t>-</t>
        </is>
      </c>
      <c r="F502" s="332" t="n">
        <v>100000</v>
      </c>
      <c r="G502" s="314" t="inlineStr">
        <is>
          <t>IDR</t>
        </is>
      </c>
      <c r="H502" s="346" t="n">
        <v>1</v>
      </c>
      <c r="I502" s="319">
        <f>$H502*$F502</f>
        <v/>
      </c>
      <c r="J502" s="329" t="n">
        <v>100000</v>
      </c>
      <c r="K502" s="321" t="n"/>
      <c r="L502" s="321" t="n"/>
      <c r="M502" s="321" t="n"/>
      <c r="N502" s="321" t="n"/>
      <c r="O502" s="321" t="n"/>
      <c r="P502" s="321" t="n"/>
      <c r="Q502" s="321" t="n"/>
      <c r="R502" s="322" t="n"/>
      <c r="S502" s="322" t="n"/>
      <c r="T502" s="322" t="n"/>
      <c r="U502" s="322" t="n"/>
      <c r="V502" s="322" t="n"/>
      <c r="W502" s="322" t="n"/>
      <c r="X502" s="322" t="n"/>
    </row>
    <row r="503" ht="15.5" customHeight="1" s="297">
      <c r="B503" s="333" t="n">
        <v>45553</v>
      </c>
      <c r="C503" s="389" t="n">
        <v>18</v>
      </c>
      <c r="D503" s="395" t="inlineStr">
        <is>
          <t>Uang makan utk 3 hari (17-18 Sept-24) @150.000</t>
        </is>
      </c>
      <c r="E503" s="395" t="inlineStr">
        <is>
          <t>-</t>
        </is>
      </c>
      <c r="F503" s="332" t="n">
        <v>300000</v>
      </c>
      <c r="G503" s="314" t="inlineStr">
        <is>
          <t>IDR</t>
        </is>
      </c>
      <c r="H503" s="346" t="n">
        <v>1</v>
      </c>
      <c r="I503" s="321" t="n"/>
      <c r="J503" s="329" t="n">
        <v>300000</v>
      </c>
      <c r="K503" s="321" t="n"/>
      <c r="L503" s="321" t="n"/>
      <c r="M503" s="321" t="n"/>
      <c r="N503" s="321" t="n"/>
      <c r="O503" s="321" t="n"/>
      <c r="P503" s="321" t="n"/>
      <c r="Q503" s="321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61" t="inlineStr">
        <is>
          <t>Expense#36</t>
        </is>
      </c>
      <c r="C504" s="362" t="inlineStr">
        <is>
          <t>:</t>
        </is>
      </c>
      <c r="D504" s="363" t="inlineStr">
        <is>
          <t>Non project (follow up MCU concul &amp; inspection tool)_AC_ 2 nd</t>
        </is>
      </c>
      <c r="E504" s="364" t="n"/>
      <c r="F504" s="365" t="n">
        <v>600</v>
      </c>
      <c r="G504" s="362" t="inlineStr">
        <is>
          <t>USD</t>
        </is>
      </c>
      <c r="H504" s="382" t="n">
        <v>15438</v>
      </c>
      <c r="I504" s="367">
        <f>H504*F504</f>
        <v/>
      </c>
      <c r="J504" s="368" t="n"/>
      <c r="K504" s="368" t="n"/>
      <c r="L504" s="368" t="n"/>
      <c r="M504" s="366" t="n"/>
      <c r="N504" s="368" t="n"/>
      <c r="O504" s="368" t="n"/>
      <c r="P504" s="368" t="n"/>
      <c r="Q504" s="368" t="n"/>
      <c r="R504" s="369" t="n"/>
      <c r="S504" s="369" t="n"/>
      <c r="T504" s="369" t="n"/>
      <c r="U504" s="369" t="n"/>
      <c r="V504" s="369" t="n"/>
      <c r="W504" s="369" t="n"/>
      <c r="X504" s="369" t="n"/>
    </row>
    <row r="505" ht="15.5" customHeight="1" s="297">
      <c r="B505" s="333" t="n">
        <v>45541</v>
      </c>
      <c r="C505" s="314" t="n">
        <v>11</v>
      </c>
      <c r="D505" s="330" t="inlineStr">
        <is>
          <t>Biaya Operasi</t>
        </is>
      </c>
      <c r="E505" s="326" t="n"/>
      <c r="F505" s="351" t="n">
        <v>900000</v>
      </c>
      <c r="G505" s="314" t="inlineStr">
        <is>
          <t>IDR</t>
        </is>
      </c>
      <c r="H505" s="314" t="n">
        <v>1</v>
      </c>
      <c r="I505" s="320">
        <f>F505</f>
        <v/>
      </c>
      <c r="J505" s="321" t="n"/>
      <c r="K505" s="321" t="n"/>
      <c r="L505" s="321" t="n"/>
      <c r="M505" s="321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t="15.5" customHeight="1" s="297">
      <c r="B506" s="347" t="n">
        <v>45436</v>
      </c>
      <c r="C506" s="348" t="n">
        <v>1</v>
      </c>
      <c r="D506" s="349" t="inlineStr">
        <is>
          <t>Buy lag ban 2 ea</t>
        </is>
      </c>
      <c r="E506" s="349" t="inlineStr">
        <is>
          <t>-</t>
        </is>
      </c>
      <c r="F506" s="337" t="n">
        <v>25000</v>
      </c>
      <c r="G506" s="314" t="inlineStr">
        <is>
          <t>IDR</t>
        </is>
      </c>
      <c r="H506" s="346" t="n">
        <v>1</v>
      </c>
      <c r="I506" s="379" t="n"/>
      <c r="J506" s="329" t="n">
        <v>25000</v>
      </c>
      <c r="K506" s="321" t="n"/>
      <c r="L506" s="321" t="n"/>
      <c r="M506" s="321" t="n"/>
      <c r="N506" s="321" t="n"/>
      <c r="O506" s="321" t="n"/>
      <c r="P506" s="321" t="n"/>
      <c r="Q506" s="321" t="n"/>
      <c r="R506" s="322" t="n"/>
      <c r="S506" s="322" t="n"/>
      <c r="T506" s="322" t="n"/>
      <c r="U506" s="322" t="n"/>
      <c r="V506" s="322" t="n"/>
      <c r="W506" s="322" t="n"/>
      <c r="X506" s="322" t="n"/>
    </row>
    <row r="507" ht="15.5" customHeight="1" s="297">
      <c r="B507" s="333" t="n">
        <v>45520</v>
      </c>
      <c r="C507" s="314" t="n">
        <v>2</v>
      </c>
      <c r="D507" s="350" t="inlineStr">
        <is>
          <t>Pengiriman dokumen ke Yulia - LBU</t>
        </is>
      </c>
      <c r="E507" s="350" t="inlineStr">
        <is>
          <t>-</t>
        </is>
      </c>
      <c r="F507" s="323" t="n">
        <v>18000</v>
      </c>
      <c r="G507" s="316" t="inlineStr">
        <is>
          <t>IDR</t>
        </is>
      </c>
      <c r="H507" s="403" t="n">
        <v>1</v>
      </c>
      <c r="I507" s="319" t="n"/>
      <c r="J507" s="329" t="n">
        <v>18000</v>
      </c>
      <c r="K507" s="321" t="n"/>
      <c r="L507" s="321" t="n"/>
      <c r="M507" s="321" t="n"/>
      <c r="N507" s="321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77" t="n">
        <v>45530</v>
      </c>
      <c r="C508" s="314" t="n">
        <v>3</v>
      </c>
      <c r="D508" s="326" t="inlineStr">
        <is>
          <t>printing di snappy</t>
        </is>
      </c>
      <c r="E508" s="326" t="inlineStr">
        <is>
          <t>-</t>
        </is>
      </c>
      <c r="F508" s="323" t="n">
        <v>31000</v>
      </c>
      <c r="G508" s="316" t="inlineStr">
        <is>
          <t>IDR</t>
        </is>
      </c>
      <c r="H508" s="403" t="n">
        <v>1</v>
      </c>
      <c r="I508" s="319">
        <f>$H508*$F508</f>
        <v/>
      </c>
      <c r="J508" s="329" t="n">
        <v>31000</v>
      </c>
      <c r="K508" s="321" t="n"/>
      <c r="L508" s="321" t="n"/>
      <c r="M508" s="321" t="n"/>
      <c r="N508" s="321" t="n"/>
      <c r="O508" s="321" t="n"/>
      <c r="P508" s="321" t="n"/>
      <c r="Q508" s="321" t="n"/>
      <c r="R508" s="322" t="n"/>
      <c r="S508" s="322" t="n"/>
      <c r="T508" s="322" t="n"/>
      <c r="U508" s="322" t="n"/>
      <c r="V508" s="322" t="n"/>
      <c r="W508" s="322" t="n"/>
      <c r="X508" s="322" t="n"/>
    </row>
    <row r="509" ht="15.5" customHeight="1" s="297">
      <c r="B509" s="377" t="n">
        <v>45537</v>
      </c>
      <c r="C509" s="314" t="n">
        <v>4</v>
      </c>
      <c r="D509" s="326" t="inlineStr">
        <is>
          <t>Pengiriman dokumen ke Yufitri</t>
        </is>
      </c>
      <c r="E509" s="326" t="inlineStr">
        <is>
          <t>-</t>
        </is>
      </c>
      <c r="F509" s="323" t="n">
        <v>10000</v>
      </c>
      <c r="G509" s="316" t="inlineStr">
        <is>
          <t>IDR</t>
        </is>
      </c>
      <c r="H509" s="403" t="n">
        <v>1</v>
      </c>
      <c r="I509" s="319">
        <f>$H509*$F509</f>
        <v/>
      </c>
      <c r="J509" s="329" t="n">
        <v>10000</v>
      </c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45537</v>
      </c>
      <c r="C510" s="314" t="n">
        <v>5</v>
      </c>
      <c r="D510" s="326" t="inlineStr">
        <is>
          <t>Pengiriman dokumen ke Rachmansyah-Sijak</t>
        </is>
      </c>
      <c r="E510" s="326" t="inlineStr">
        <is>
          <t>-</t>
        </is>
      </c>
      <c r="F510" s="323" t="n">
        <v>18000</v>
      </c>
      <c r="G510" s="316" t="inlineStr">
        <is>
          <t>IDR</t>
        </is>
      </c>
      <c r="H510" s="403" t="n">
        <v>1</v>
      </c>
      <c r="I510" s="319">
        <f>$H510*$F510</f>
        <v/>
      </c>
      <c r="J510" s="329" t="n">
        <v>18000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/>
      <c r="C511" s="314" t="n"/>
      <c r="D511" s="330" t="inlineStr">
        <is>
          <t>Kesehatan</t>
        </is>
      </c>
      <c r="E511" s="370" t="n"/>
      <c r="F511" s="317" t="n"/>
      <c r="G511" s="316" t="n"/>
      <c r="H511" s="404" t="n"/>
      <c r="I511" s="320" t="n"/>
      <c r="J511" s="321" t="n"/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>
        <v>45528</v>
      </c>
      <c r="C512" s="314" t="n">
        <v>6</v>
      </c>
      <c r="D512" s="326" t="inlineStr">
        <is>
          <t>Medicine</t>
        </is>
      </c>
      <c r="E512" s="326" t="inlineStr">
        <is>
          <t>-</t>
        </is>
      </c>
      <c r="F512" s="323" t="n">
        <v>36000</v>
      </c>
      <c r="G512" s="316" t="inlineStr">
        <is>
          <t>IDR</t>
        </is>
      </c>
      <c r="H512" s="403" t="n">
        <v>1</v>
      </c>
      <c r="I512" s="379">
        <f>$F512*$H512</f>
        <v/>
      </c>
      <c r="J512" s="321" t="n"/>
      <c r="K512" s="321" t="n"/>
      <c r="L512" s="321" t="n"/>
      <c r="M512" s="321" t="n"/>
      <c r="N512" s="321" t="n"/>
      <c r="O512" s="321" t="n"/>
      <c r="P512" s="329" t="n">
        <v>36000</v>
      </c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45530</v>
      </c>
      <c r="C513" s="314" t="n">
        <v>7</v>
      </c>
      <c r="D513" s="370" t="inlineStr">
        <is>
          <t>Biaya Konsul Dokter Penyakit dalam</t>
        </is>
      </c>
      <c r="E513" s="370" t="inlineStr">
        <is>
          <t>-</t>
        </is>
      </c>
      <c r="F513" s="323" t="n">
        <v>854100</v>
      </c>
      <c r="G513" s="316" t="inlineStr">
        <is>
          <t>IDR</t>
        </is>
      </c>
      <c r="H513" s="403" t="n">
        <v>1</v>
      </c>
      <c r="I513" s="321" t="n"/>
      <c r="J513" s="321" t="n"/>
      <c r="K513" s="321" t="n"/>
      <c r="L513" s="321" t="n"/>
      <c r="M513" s="321" t="n"/>
      <c r="N513" s="321" t="n"/>
      <c r="O513" s="321" t="n"/>
      <c r="P513" s="329" t="n">
        <v>854100</v>
      </c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45532</v>
      </c>
      <c r="C514" s="314" t="n">
        <v>8</v>
      </c>
      <c r="D514" s="326" t="inlineStr">
        <is>
          <t>Fisioterapi 1st</t>
        </is>
      </c>
      <c r="E514" s="326" t="inlineStr">
        <is>
          <t>-</t>
        </is>
      </c>
      <c r="F514" s="323" t="n">
        <v>285000</v>
      </c>
      <c r="G514" s="316" t="inlineStr">
        <is>
          <t>IDR</t>
        </is>
      </c>
      <c r="H514" s="403" t="n">
        <v>1</v>
      </c>
      <c r="I514" s="379">
        <f>$F514*$H514</f>
        <v/>
      </c>
      <c r="J514" s="321" t="n"/>
      <c r="K514" s="321" t="n"/>
      <c r="L514" s="321" t="n"/>
      <c r="M514" s="321" t="n"/>
      <c r="N514" s="321" t="n"/>
      <c r="O514" s="321" t="n"/>
      <c r="P514" s="329" t="n">
        <v>285000</v>
      </c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45533</v>
      </c>
      <c r="C515" s="314" t="n">
        <v>9</v>
      </c>
      <c r="D515" s="370" t="inlineStr">
        <is>
          <t>Fisioterapi 2nd</t>
        </is>
      </c>
      <c r="E515" s="370" t="inlineStr">
        <is>
          <t>-</t>
        </is>
      </c>
      <c r="F515" s="323" t="n">
        <v>285000</v>
      </c>
      <c r="G515" s="316" t="inlineStr">
        <is>
          <t>IDR</t>
        </is>
      </c>
      <c r="H515" s="403" t="n">
        <v>1</v>
      </c>
      <c r="I515" s="321" t="n"/>
      <c r="J515" s="321" t="n"/>
      <c r="K515" s="321" t="n"/>
      <c r="L515" s="321" t="n"/>
      <c r="M515" s="321" t="n"/>
      <c r="N515" s="321" t="n"/>
      <c r="O515" s="321" t="n"/>
      <c r="P515" s="329" t="n">
        <v>285000</v>
      </c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45534</v>
      </c>
      <c r="C516" s="314" t="n">
        <v>10</v>
      </c>
      <c r="D516" s="385" t="inlineStr">
        <is>
          <t>Fisioterapi 3rd</t>
        </is>
      </c>
      <c r="E516" s="385" t="inlineStr">
        <is>
          <t>-</t>
        </is>
      </c>
      <c r="F516" s="323" t="n">
        <v>285000</v>
      </c>
      <c r="G516" s="316" t="inlineStr">
        <is>
          <t>IDR</t>
        </is>
      </c>
      <c r="H516" s="403" t="n">
        <v>1</v>
      </c>
      <c r="I516" s="379">
        <f>$F516*$H516</f>
        <v/>
      </c>
      <c r="J516" s="321" t="n"/>
      <c r="K516" s="321" t="n"/>
      <c r="L516" s="321" t="n"/>
      <c r="M516" s="321" t="n"/>
      <c r="N516" s="321" t="n"/>
      <c r="O516" s="321" t="n"/>
      <c r="P516" s="329" t="n">
        <v>285000</v>
      </c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47" t="n">
        <v>45536</v>
      </c>
      <c r="C517" s="348" t="n">
        <v>11</v>
      </c>
      <c r="D517" s="349" t="inlineStr">
        <is>
          <t>medicine</t>
        </is>
      </c>
      <c r="E517" s="349" t="inlineStr">
        <is>
          <t>-</t>
        </is>
      </c>
      <c r="F517" s="337" t="n">
        <v>45000</v>
      </c>
      <c r="G517" s="314" t="inlineStr">
        <is>
          <t>IDR</t>
        </is>
      </c>
      <c r="H517" s="346" t="n">
        <v>1</v>
      </c>
      <c r="I517" s="319" t="n"/>
      <c r="J517" s="321" t="n"/>
      <c r="K517" s="321" t="n"/>
      <c r="L517" s="321" t="n"/>
      <c r="M517" s="321" t="n"/>
      <c r="N517" s="321" t="n"/>
      <c r="O517" s="321" t="n"/>
      <c r="P517" s="329" t="n">
        <v>45000</v>
      </c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45537</v>
      </c>
      <c r="C518" s="314" t="n">
        <v>12</v>
      </c>
      <c r="D518" s="370" t="inlineStr">
        <is>
          <t>Biaya Konsul Dokter Syaraf</t>
        </is>
      </c>
      <c r="E518" s="370" t="inlineStr">
        <is>
          <t>-</t>
        </is>
      </c>
      <c r="F518" s="332" t="n">
        <v>2906650</v>
      </c>
      <c r="G518" s="314" t="inlineStr">
        <is>
          <t>IDR</t>
        </is>
      </c>
      <c r="H518" s="346" t="n">
        <v>1</v>
      </c>
      <c r="I518" s="319" t="n"/>
      <c r="J518" s="321" t="n"/>
      <c r="K518" s="321" t="n"/>
      <c r="L518" s="321" t="n"/>
      <c r="M518" s="321" t="n"/>
      <c r="N518" s="321" t="n"/>
      <c r="O518" s="321" t="n"/>
      <c r="P518" s="329" t="n">
        <v>2906650</v>
      </c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45547</v>
      </c>
      <c r="C519" s="314" t="n">
        <v>13</v>
      </c>
      <c r="D519" s="326" t="inlineStr">
        <is>
          <t>Medicine</t>
        </is>
      </c>
      <c r="E519" s="326" t="inlineStr">
        <is>
          <t>-</t>
        </is>
      </c>
      <c r="F519" s="332" t="n">
        <v>241100</v>
      </c>
      <c r="G519" s="314" t="inlineStr">
        <is>
          <t>IDR</t>
        </is>
      </c>
      <c r="H519" s="346" t="n">
        <v>1</v>
      </c>
      <c r="I519" s="319">
        <f>F519</f>
        <v/>
      </c>
      <c r="J519" s="321" t="n"/>
      <c r="K519" s="321" t="n"/>
      <c r="L519" s="321" t="n"/>
      <c r="M519" s="321" t="n"/>
      <c r="N519" s="321" t="n"/>
      <c r="O519" s="321" t="n"/>
      <c r="P519" s="329" t="n">
        <v>241100</v>
      </c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>
        <v>45566</v>
      </c>
      <c r="C520" s="314" t="n">
        <v>14</v>
      </c>
      <c r="D520" s="326" t="inlineStr">
        <is>
          <t>Biaya Konsul ke 2, Dokter Jantung</t>
        </is>
      </c>
      <c r="E520" s="326" t="inlineStr">
        <is>
          <t>-</t>
        </is>
      </c>
      <c r="F520" s="332" t="n">
        <v>1370000</v>
      </c>
      <c r="G520" s="314" t="inlineStr">
        <is>
          <t>IDR</t>
        </is>
      </c>
      <c r="H520" s="346" t="n">
        <v>1</v>
      </c>
      <c r="I520" s="320">
        <f>F520</f>
        <v/>
      </c>
      <c r="J520" s="321" t="n"/>
      <c r="K520" s="321" t="n"/>
      <c r="L520" s="321" t="n"/>
      <c r="M520" s="321" t="n"/>
      <c r="N520" s="321" t="n"/>
      <c r="O520" s="321" t="n"/>
      <c r="P520" s="329" t="n">
        <v>1370000</v>
      </c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61" t="inlineStr">
        <is>
          <t>Expense#37</t>
        </is>
      </c>
      <c r="C521" s="362" t="inlineStr">
        <is>
          <t>:</t>
        </is>
      </c>
      <c r="D521" s="363" t="inlineStr">
        <is>
          <t>MTD SKW-26_sukowati_TMA</t>
        </is>
      </c>
      <c r="E521" s="374" t="n"/>
      <c r="F521" s="365" t="n"/>
      <c r="G521" s="362" t="n"/>
      <c r="H521" s="362" t="n"/>
      <c r="I521" s="366" t="n"/>
      <c r="J521" s="368" t="n"/>
      <c r="K521" s="368" t="n"/>
      <c r="L521" s="368" t="n"/>
      <c r="M521" s="366" t="n"/>
      <c r="N521" s="368" t="n"/>
      <c r="O521" s="368" t="n"/>
      <c r="P521" s="368" t="n"/>
      <c r="Q521" s="368" t="n"/>
      <c r="R521" s="369" t="n"/>
      <c r="S521" s="369" t="n"/>
      <c r="T521" s="369" t="n"/>
      <c r="U521" s="369" t="n"/>
      <c r="V521" s="369" t="n"/>
      <c r="W521" s="369" t="n"/>
      <c r="X521" s="369" t="n"/>
    </row>
    <row r="522" ht="15.5" customHeight="1" s="297">
      <c r="B522" s="333" t="n">
        <v>45563</v>
      </c>
      <c r="C522" s="314" t="n"/>
      <c r="D522" s="330" t="inlineStr">
        <is>
          <t>Biaya Operasi</t>
        </is>
      </c>
      <c r="E522" s="326" t="n"/>
      <c r="F522" s="351" t="n">
        <v>200000</v>
      </c>
      <c r="G522" s="314" t="inlineStr">
        <is>
          <t>IDR</t>
        </is>
      </c>
      <c r="H522" s="314" t="n">
        <v>1</v>
      </c>
      <c r="I522" s="319">
        <f>$H522*$F522</f>
        <v/>
      </c>
      <c r="J522" s="321" t="n"/>
      <c r="K522" s="321" t="n"/>
      <c r="L522" s="321" t="n"/>
      <c r="M522" s="319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33" t="n">
        <v>45558</v>
      </c>
      <c r="C523" s="314" t="n">
        <v>1</v>
      </c>
      <c r="D523" s="326" t="inlineStr">
        <is>
          <t>Hotel 23 Sept - 26 Sept (3 days)</t>
        </is>
      </c>
      <c r="E523" s="326" t="inlineStr">
        <is>
          <t>-</t>
        </is>
      </c>
      <c r="F523" s="332" t="n">
        <v>1584184</v>
      </c>
      <c r="G523" s="314" t="inlineStr">
        <is>
          <t>IDR</t>
        </is>
      </c>
      <c r="H523" s="346" t="n">
        <v>1</v>
      </c>
      <c r="I523" s="319">
        <f>$H523*$F523</f>
        <v/>
      </c>
      <c r="J523" s="329" t="n">
        <v>1584184</v>
      </c>
      <c r="K523" s="321" t="n"/>
      <c r="L523" s="321" t="n"/>
      <c r="M523" s="319" t="n"/>
      <c r="N523" s="321" t="n"/>
      <c r="O523" s="321" t="n"/>
      <c r="P523" s="321" t="n"/>
      <c r="Q523" s="321" t="n"/>
      <c r="R523" s="322" t="n"/>
      <c r="S523" s="322" t="n"/>
      <c r="T523" s="322" t="n"/>
      <c r="U523" s="322" t="n"/>
      <c r="V523" s="322" t="n"/>
      <c r="W523" s="322" t="n"/>
      <c r="X523" s="322" t="n"/>
    </row>
    <row r="524" ht="15.5" customHeight="1" s="297">
      <c r="B524" s="333" t="n">
        <v>45558</v>
      </c>
      <c r="C524" s="314" t="n">
        <v>2</v>
      </c>
      <c r="D524" s="326" t="inlineStr">
        <is>
          <t>Laundry 6 days 1 Persons @ 50K IDR/day</t>
        </is>
      </c>
      <c r="E524" s="326" t="inlineStr">
        <is>
          <t>-</t>
        </is>
      </c>
      <c r="F524" s="332" t="n">
        <v>250000</v>
      </c>
      <c r="G524" s="314" t="inlineStr">
        <is>
          <t>IDR</t>
        </is>
      </c>
      <c r="H524" s="346" t="n">
        <v>1</v>
      </c>
      <c r="I524" s="319">
        <f>$H524*$F524</f>
        <v/>
      </c>
      <c r="J524" s="329" t="n">
        <v>250000</v>
      </c>
      <c r="K524" s="321" t="n"/>
      <c r="L524" s="321" t="n"/>
      <c r="M524" s="321" t="n"/>
      <c r="N524" s="319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33" t="n">
        <v>45558</v>
      </c>
      <c r="C525" s="314" t="n">
        <v>3</v>
      </c>
      <c r="D525" s="326" t="inlineStr">
        <is>
          <t>Train Ticket Gambir-Cepu (2 pax)</t>
        </is>
      </c>
      <c r="E525" s="326" t="inlineStr">
        <is>
          <t>-</t>
        </is>
      </c>
      <c r="F525" s="332" t="n">
        <v>1213500</v>
      </c>
      <c r="G525" s="314" t="inlineStr">
        <is>
          <t>IDR</t>
        </is>
      </c>
      <c r="H525" s="346" t="n">
        <v>1</v>
      </c>
      <c r="I525" s="319">
        <f>$H525*$F525</f>
        <v/>
      </c>
      <c r="J525" s="329" t="n">
        <v>1213500</v>
      </c>
      <c r="K525" s="321" t="n"/>
      <c r="L525" s="321" t="n"/>
      <c r="M525" s="321" t="n"/>
      <c r="N525" s="319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33" t="n">
        <v>45558</v>
      </c>
      <c r="C526" s="314" t="n">
        <v>4</v>
      </c>
      <c r="D526" s="326" t="inlineStr">
        <is>
          <t>Taxi Pondok Cabe-Gambir</t>
        </is>
      </c>
      <c r="E526" s="326" t="inlineStr">
        <is>
          <t>-</t>
        </is>
      </c>
      <c r="F526" s="332" t="n">
        <v>132500</v>
      </c>
      <c r="G526" s="314" t="inlineStr">
        <is>
          <t>IDR</t>
        </is>
      </c>
      <c r="H526" s="346" t="n">
        <v>1</v>
      </c>
      <c r="I526" s="319">
        <f>$H526*$F526</f>
        <v/>
      </c>
      <c r="J526" s="329" t="n">
        <v>132500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45558</v>
      </c>
      <c r="C527" s="314" t="n">
        <v>5</v>
      </c>
      <c r="D527" s="326" t="inlineStr">
        <is>
          <t>Demob Tools (Kalog)</t>
        </is>
      </c>
      <c r="E527" s="326" t="inlineStr">
        <is>
          <t>-</t>
        </is>
      </c>
      <c r="F527" s="332" t="n">
        <v>280400</v>
      </c>
      <c r="G527" s="314" t="inlineStr">
        <is>
          <t>IDR</t>
        </is>
      </c>
      <c r="H527" s="346" t="n">
        <v>1</v>
      </c>
      <c r="I527" s="319">
        <f>$H527*$F527</f>
        <v/>
      </c>
      <c r="J527" s="329" t="n">
        <v>280400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>
        <v>45558</v>
      </c>
      <c r="C528" s="314" t="n">
        <v>6</v>
      </c>
      <c r="D528" s="326" t="inlineStr">
        <is>
          <t>Taxi Gambir-Pondok Cabe (inc Toll+Parking)</t>
        </is>
      </c>
      <c r="E528" s="326" t="inlineStr">
        <is>
          <t>-</t>
        </is>
      </c>
      <c r="F528" s="332" t="n">
        <v>326600</v>
      </c>
      <c r="G528" s="314" t="inlineStr">
        <is>
          <t>IDR</t>
        </is>
      </c>
      <c r="H528" s="346" t="n">
        <v>1</v>
      </c>
      <c r="I528" s="319">
        <f>$H528*$F528</f>
        <v/>
      </c>
      <c r="J528" s="329" t="n">
        <v>326600</v>
      </c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45558</v>
      </c>
      <c r="C529" s="314" t="n">
        <v>7</v>
      </c>
      <c r="D529" s="326" t="inlineStr">
        <is>
          <t>Train Ticket Bojonegoro-Gambir (2 pax)</t>
        </is>
      </c>
      <c r="E529" s="326" t="inlineStr">
        <is>
          <t>-</t>
        </is>
      </c>
      <c r="F529" s="332" t="n">
        <v>1653500</v>
      </c>
      <c r="G529" s="314" t="inlineStr">
        <is>
          <t>IDR</t>
        </is>
      </c>
      <c r="H529" s="346" t="n">
        <v>1</v>
      </c>
      <c r="I529" s="319">
        <f>$H529*$F529</f>
        <v/>
      </c>
      <c r="J529" s="329" t="n">
        <v>1653500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>
        <v>45558</v>
      </c>
      <c r="C530" s="314" t="n">
        <v>8</v>
      </c>
      <c r="D530" s="370" t="inlineStr">
        <is>
          <t>Lalamove Kalog-Gowell</t>
        </is>
      </c>
      <c r="E530" s="370" t="inlineStr">
        <is>
          <t>-</t>
        </is>
      </c>
      <c r="F530" s="332" t="n">
        <v>73584</v>
      </c>
      <c r="G530" s="314" t="inlineStr">
        <is>
          <t>IDR</t>
        </is>
      </c>
      <c r="H530" s="346" t="n">
        <v>1</v>
      </c>
      <c r="I530" s="320" t="n"/>
      <c r="J530" s="329" t="n">
        <v>73584</v>
      </c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9</v>
      </c>
      <c r="D531" s="316" t="inlineStr">
        <is>
          <t>Field Allowance</t>
        </is>
      </c>
      <c r="E531" s="316" t="inlineStr">
        <is>
          <t>-</t>
        </is>
      </c>
      <c r="F531" s="332" t="n">
        <v>7615500</v>
      </c>
      <c r="G531" s="314" t="inlineStr">
        <is>
          <t>USD</t>
        </is>
      </c>
      <c r="H531" s="346" t="n">
        <v>15231</v>
      </c>
      <c r="I531" s="320">
        <f>F531</f>
        <v/>
      </c>
      <c r="J531" s="329" t="n">
        <v>7615500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t="15.5" customHeight="1" s="297">
      <c r="B532" s="333" t="n">
        <v>45558</v>
      </c>
      <c r="C532" s="314" t="n">
        <v>10</v>
      </c>
      <c r="D532" s="316" t="inlineStr">
        <is>
          <t>Meals</t>
        </is>
      </c>
      <c r="E532" s="316" t="inlineStr">
        <is>
          <t>-</t>
        </is>
      </c>
      <c r="F532" s="332" t="n">
        <v>750000</v>
      </c>
      <c r="G532" s="314" t="inlineStr">
        <is>
          <t>IDR</t>
        </is>
      </c>
      <c r="H532" s="346" t="n">
        <v>1</v>
      </c>
      <c r="I532" s="320">
        <f>F532</f>
        <v/>
      </c>
      <c r="J532" s="329" t="n">
        <v>750000</v>
      </c>
      <c r="K532" s="321" t="n"/>
      <c r="L532" s="321" t="n"/>
      <c r="M532" s="321" t="n"/>
      <c r="N532" s="321" t="n"/>
      <c r="O532" s="321" t="n"/>
      <c r="P532" s="321" t="n"/>
      <c r="Q532" s="321" t="n"/>
      <c r="R532" s="322" t="n"/>
      <c r="S532" s="322" t="n"/>
      <c r="T532" s="322" t="n"/>
      <c r="U532" s="322" t="n"/>
      <c r="V532" s="322" t="n"/>
      <c r="W532" s="322" t="n"/>
      <c r="X532" s="322" t="n"/>
    </row>
    <row r="533" ht="15.5" customHeight="1" s="297">
      <c r="B533" s="361" t="inlineStr">
        <is>
          <t>Expense#38</t>
        </is>
      </c>
      <c r="C533" s="362" t="inlineStr">
        <is>
          <t>:</t>
        </is>
      </c>
      <c r="D533" s="372" t="inlineStr">
        <is>
          <t>MTD_STM_HDP 01 s/d 03 well (BHI project ndr Gowell) Sumbawa</t>
        </is>
      </c>
      <c r="E533" s="381" t="n"/>
      <c r="F533" s="365" t="n">
        <v>120000</v>
      </c>
      <c r="G533" s="362" t="inlineStr">
        <is>
          <t>IDR</t>
        </is>
      </c>
      <c r="H533" s="362" t="n">
        <v>1</v>
      </c>
      <c r="I533" s="367">
        <f>F533</f>
        <v/>
      </c>
      <c r="J533" s="368" t="n"/>
      <c r="K533" s="368" t="n"/>
      <c r="L533" s="368" t="n"/>
      <c r="M533" s="368" t="n"/>
      <c r="N533" s="368" t="n"/>
      <c r="O533" s="368" t="n"/>
      <c r="P533" s="368" t="n"/>
      <c r="Q533" s="368" t="n"/>
      <c r="R533" s="369" t="n"/>
      <c r="S533" s="369" t="n"/>
      <c r="T533" s="369" t="n"/>
      <c r="U533" s="369" t="n"/>
      <c r="V533" s="369" t="n"/>
      <c r="W533" s="369" t="n"/>
      <c r="X533" s="369" t="n"/>
    </row>
    <row r="534" ht="15.5" customHeight="1" s="297">
      <c r="B534" s="333" t="n">
        <v>45563</v>
      </c>
      <c r="C534" s="314" t="n"/>
      <c r="D534" s="315" t="inlineStr">
        <is>
          <t>Biaya Operasi</t>
        </is>
      </c>
      <c r="E534" s="316" t="n"/>
      <c r="F534" s="351" t="n">
        <v>172000</v>
      </c>
      <c r="G534" s="314" t="inlineStr">
        <is>
          <t>IDR</t>
        </is>
      </c>
      <c r="H534" s="314" t="n">
        <v>1</v>
      </c>
      <c r="I534" s="320">
        <f>F534</f>
        <v/>
      </c>
      <c r="J534" s="321" t="n"/>
      <c r="K534" s="321" t="n"/>
      <c r="L534" s="321" t="n"/>
      <c r="M534" s="319" t="n"/>
      <c r="N534" s="321" t="n"/>
      <c r="O534" s="321" t="n"/>
      <c r="P534" s="321" t="n"/>
      <c r="Q534" s="321" t="n"/>
      <c r="R534" s="322" t="n"/>
      <c r="S534" s="322" t="n"/>
      <c r="T534" s="322" t="n"/>
      <c r="U534" s="322" t="n"/>
      <c r="V534" s="322" t="n"/>
      <c r="W534" s="322" t="n"/>
      <c r="X534" s="322" t="n"/>
    </row>
    <row r="535" ht="15.5" customHeight="1" s="297">
      <c r="B535" s="333" t="n">
        <v>45568</v>
      </c>
      <c r="C535" s="314" t="n">
        <v>1</v>
      </c>
      <c r="D535" s="316" t="inlineStr">
        <is>
          <t>Taxi Anevril Home - CGK Airport</t>
        </is>
      </c>
      <c r="E535" s="316" t="inlineStr">
        <is>
          <t>-</t>
        </is>
      </c>
      <c r="F535" s="332" t="n">
        <v>250000</v>
      </c>
      <c r="G535" s="314" t="inlineStr">
        <is>
          <t>IDR</t>
        </is>
      </c>
      <c r="H535" s="346" t="n">
        <v>1</v>
      </c>
      <c r="I535" s="320">
        <f>F535</f>
        <v/>
      </c>
      <c r="J535" s="329" t="n">
        <v>250000</v>
      </c>
      <c r="K535" s="321" t="n"/>
      <c r="L535" s="321" t="n"/>
      <c r="M535" s="320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45585</v>
      </c>
      <c r="C536" s="314" t="n">
        <v>2</v>
      </c>
      <c r="D536" s="316" t="inlineStr">
        <is>
          <t>Taxi Anevril CGK Airport - Home</t>
        </is>
      </c>
      <c r="E536" s="316" t="inlineStr">
        <is>
          <t>-</t>
        </is>
      </c>
      <c r="F536" s="332" t="n">
        <v>250000</v>
      </c>
      <c r="G536" s="314" t="inlineStr">
        <is>
          <t>IDR</t>
        </is>
      </c>
      <c r="H536" s="346" t="n">
        <v>1</v>
      </c>
      <c r="I536" s="320">
        <f>F536</f>
        <v/>
      </c>
      <c r="J536" s="329" t="n">
        <v>250000</v>
      </c>
      <c r="K536" s="321" t="n"/>
      <c r="L536" s="321" t="n"/>
      <c r="M536" s="319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45585</v>
      </c>
      <c r="C537" s="314" t="n">
        <v>3</v>
      </c>
      <c r="D537" s="316" t="inlineStr">
        <is>
          <t>Laundry 18 days @ 50K IDR/day</t>
        </is>
      </c>
      <c r="E537" s="316" t="inlineStr">
        <is>
          <t>-</t>
        </is>
      </c>
      <c r="F537" s="332" t="n">
        <v>900000</v>
      </c>
      <c r="G537" s="314" t="inlineStr">
        <is>
          <t>IDR</t>
        </is>
      </c>
      <c r="H537" s="346" t="n">
        <v>1</v>
      </c>
      <c r="I537" s="320">
        <f>F537</f>
        <v/>
      </c>
      <c r="J537" s="329" t="n">
        <v>900000</v>
      </c>
      <c r="K537" s="321" t="n"/>
      <c r="L537" s="321" t="n"/>
      <c r="M537" s="319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>
        <v>45585</v>
      </c>
      <c r="C538" s="314" t="n">
        <v>4</v>
      </c>
      <c r="D538" s="316" t="inlineStr">
        <is>
          <t>operation meal with BHI person</t>
        </is>
      </c>
      <c r="E538" s="316" t="inlineStr">
        <is>
          <t>-</t>
        </is>
      </c>
      <c r="F538" s="332" t="n">
        <v>1102050</v>
      </c>
      <c r="G538" s="314" t="inlineStr">
        <is>
          <t>IDR</t>
        </is>
      </c>
      <c r="H538" s="346" t="n">
        <v>1</v>
      </c>
      <c r="I538" s="320">
        <f>F538</f>
        <v/>
      </c>
      <c r="J538" s="329" t="n">
        <v>1102050</v>
      </c>
      <c r="K538" s="321" t="n"/>
      <c r="L538" s="321" t="n"/>
      <c r="M538" s="320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45585</v>
      </c>
      <c r="C539" s="314" t="n">
        <v>5</v>
      </c>
      <c r="D539" s="316" t="inlineStr">
        <is>
          <t>Meal 18 days @ 150K IDR/day</t>
        </is>
      </c>
      <c r="E539" s="316" t="inlineStr">
        <is>
          <t>-</t>
        </is>
      </c>
      <c r="F539" s="332" t="n">
        <v>2700000</v>
      </c>
      <c r="G539" s="314" t="inlineStr">
        <is>
          <t>IDR</t>
        </is>
      </c>
      <c r="H539" s="346" t="n">
        <v>1</v>
      </c>
      <c r="I539" s="320">
        <f>F539</f>
        <v/>
      </c>
      <c r="J539" s="329" t="n">
        <v>2700000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45585</v>
      </c>
      <c r="C540" s="314" t="n">
        <v>6</v>
      </c>
      <c r="D540" s="316" t="inlineStr">
        <is>
          <t>Field Allowance for 18 days</t>
        </is>
      </c>
      <c r="E540" s="316" t="inlineStr">
        <is>
          <t>-</t>
        </is>
      </c>
      <c r="F540" s="332" t="n">
        <v>28528200</v>
      </c>
      <c r="G540" s="314" t="inlineStr">
        <is>
          <t>USD</t>
        </is>
      </c>
      <c r="H540" s="346" t="n">
        <v>15849</v>
      </c>
      <c r="I540" s="320">
        <f>F540</f>
        <v/>
      </c>
      <c r="J540" s="329" t="n">
        <v>28528200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61" t="inlineStr">
        <is>
          <t>Expense#39</t>
        </is>
      </c>
      <c r="C541" s="362" t="inlineStr">
        <is>
          <t>:</t>
        </is>
      </c>
      <c r="D541" s="372" t="inlineStr">
        <is>
          <t>Training Basic Sea Survival_IBR</t>
        </is>
      </c>
      <c r="E541" s="381" t="n"/>
      <c r="F541" s="365" t="n">
        <v>47000</v>
      </c>
      <c r="G541" s="362" t="inlineStr">
        <is>
          <t>IDR</t>
        </is>
      </c>
      <c r="H541" s="362" t="n">
        <v>1</v>
      </c>
      <c r="I541" s="367">
        <f>F541</f>
        <v/>
      </c>
      <c r="J541" s="368" t="n"/>
      <c r="K541" s="368" t="n"/>
      <c r="L541" s="368" t="n"/>
      <c r="M541" s="367" t="n"/>
      <c r="N541" s="368" t="n"/>
      <c r="O541" s="368" t="n"/>
      <c r="P541" s="368" t="n"/>
      <c r="Q541" s="368" t="n"/>
      <c r="R541" s="369" t="n"/>
      <c r="S541" s="369" t="n"/>
      <c r="T541" s="369" t="n"/>
      <c r="U541" s="369" t="n"/>
      <c r="V541" s="369" t="n"/>
      <c r="W541" s="369" t="n"/>
      <c r="X541" s="369" t="n"/>
    </row>
    <row r="542" ht="15.5" customHeight="1" s="297">
      <c r="B542" s="333" t="n"/>
      <c r="C542" s="389" t="n"/>
      <c r="D542" s="330" t="inlineStr">
        <is>
          <t>Biaya Operasi</t>
        </is>
      </c>
      <c r="E542" s="370" t="n"/>
      <c r="F542" s="351" t="n"/>
      <c r="G542" s="314" t="n"/>
      <c r="H542" s="314" t="n"/>
      <c r="I542" s="321" t="n"/>
      <c r="J542" s="321" t="n"/>
      <c r="K542" s="321" t="n"/>
      <c r="L542" s="321" t="n"/>
      <c r="M542" s="319" t="n"/>
      <c r="N542" s="321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45622</v>
      </c>
      <c r="C543" s="389" t="n">
        <v>1</v>
      </c>
      <c r="D543" s="326" t="inlineStr">
        <is>
          <t>Basic Sea Survival</t>
        </is>
      </c>
      <c r="E543" s="326" t="inlineStr">
        <is>
          <t>-</t>
        </is>
      </c>
      <c r="F543" s="332" t="n">
        <v>2700000</v>
      </c>
      <c r="G543" s="314" t="inlineStr">
        <is>
          <t>IDR</t>
        </is>
      </c>
      <c r="H543" s="346" t="n">
        <v>1</v>
      </c>
      <c r="I543" s="320">
        <f>H543*F543</f>
        <v/>
      </c>
      <c r="J543" s="329" t="n">
        <v>2700000</v>
      </c>
      <c r="K543" s="321" t="n"/>
      <c r="L543" s="321" t="n"/>
      <c r="M543" s="320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45622</v>
      </c>
      <c r="C544" s="314" t="n">
        <v>2</v>
      </c>
      <c r="D544" s="326" t="inlineStr">
        <is>
          <t>Gojek ( Damn Coffe - PT Lautan Tenang Jaya )</t>
        </is>
      </c>
      <c r="E544" s="326" t="inlineStr">
        <is>
          <t>-</t>
        </is>
      </c>
      <c r="F544" s="332" t="n">
        <v>15000</v>
      </c>
      <c r="G544" s="314" t="inlineStr">
        <is>
          <t>IDR</t>
        </is>
      </c>
      <c r="H544" s="346" t="n">
        <v>1</v>
      </c>
      <c r="I544" s="320">
        <f>F544</f>
        <v/>
      </c>
      <c r="J544" s="329" t="n">
        <v>15000</v>
      </c>
      <c r="K544" s="321" t="n"/>
      <c r="L544" s="321" t="n"/>
      <c r="M544" s="319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47" t="n">
        <v>45622</v>
      </c>
      <c r="C545" s="348" t="n">
        <v>3</v>
      </c>
      <c r="D545" s="349" t="inlineStr">
        <is>
          <t>Gojek ( PT Lautan Tenang Jaya - Stasiun MRT )</t>
        </is>
      </c>
      <c r="E545" s="349" t="inlineStr">
        <is>
          <t>-</t>
        </is>
      </c>
      <c r="F545" s="337" t="n">
        <v>15000</v>
      </c>
      <c r="G545" s="314" t="inlineStr">
        <is>
          <t>IDR</t>
        </is>
      </c>
      <c r="H545" s="346" t="n">
        <v>1</v>
      </c>
      <c r="I545" s="321" t="n"/>
      <c r="J545" s="329" t="n">
        <v>15000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13" t="n">
        <v>45622</v>
      </c>
      <c r="C546" s="314" t="n">
        <v>4</v>
      </c>
      <c r="D546" s="350" t="inlineStr">
        <is>
          <t>Gojek ( Stasiun Sudimara - Home )</t>
        </is>
      </c>
      <c r="E546" s="350" t="inlineStr">
        <is>
          <t>-</t>
        </is>
      </c>
      <c r="F546" s="323" t="n">
        <v>15000</v>
      </c>
      <c r="G546" s="314" t="inlineStr">
        <is>
          <t>IDR</t>
        </is>
      </c>
      <c r="H546" s="346" t="n">
        <v>1</v>
      </c>
      <c r="I546" s="321" t="n"/>
      <c r="J546" s="329" t="n">
        <v>15000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>
        <v>45622</v>
      </c>
      <c r="C547" s="314" t="n">
        <v>5</v>
      </c>
      <c r="D547" s="316" t="inlineStr">
        <is>
          <t>MRT ( Lebak Bulus - Duku Atas )</t>
        </is>
      </c>
      <c r="E547" s="316" t="inlineStr">
        <is>
          <t>-</t>
        </is>
      </c>
      <c r="F547" s="323" t="n">
        <v>14000</v>
      </c>
      <c r="G547" s="314" t="inlineStr">
        <is>
          <t>IDR</t>
        </is>
      </c>
      <c r="H547" s="346" t="n">
        <v>1</v>
      </c>
      <c r="I547" s="319">
        <f>$H547*$F547</f>
        <v/>
      </c>
      <c r="J547" s="329" t="n">
        <v>14000</v>
      </c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45622</v>
      </c>
      <c r="C548" s="314" t="n">
        <v>6</v>
      </c>
      <c r="D548" s="316" t="inlineStr">
        <is>
          <t>KRL ( Duku Atas - Sudimara )</t>
        </is>
      </c>
      <c r="E548" s="316" t="inlineStr">
        <is>
          <t>-</t>
        </is>
      </c>
      <c r="F548" s="323" t="n">
        <v>3000</v>
      </c>
      <c r="G548" s="314" t="inlineStr">
        <is>
          <t>IDR</t>
        </is>
      </c>
      <c r="H548" s="346" t="n">
        <v>1</v>
      </c>
      <c r="I548" s="319">
        <f>$H548*$F548</f>
        <v/>
      </c>
      <c r="J548" s="329" t="n">
        <v>3000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61" t="inlineStr">
        <is>
          <t>Expense#40</t>
        </is>
      </c>
      <c r="C549" s="362" t="inlineStr">
        <is>
          <t>:</t>
        </is>
      </c>
      <c r="D549" s="372" t="inlineStr">
        <is>
          <t>Non trip 1st - project _ Pety cash 1st - YY</t>
        </is>
      </c>
      <c r="E549" s="373" t="n"/>
      <c r="F549" s="378" t="n"/>
      <c r="G549" s="362" t="n"/>
      <c r="H549" s="362" t="n"/>
      <c r="I549" s="366" t="n"/>
      <c r="J549" s="368" t="n"/>
      <c r="K549" s="368" t="n"/>
      <c r="L549" s="368" t="n"/>
      <c r="M549" s="368" t="n"/>
      <c r="N549" s="368" t="n"/>
      <c r="O549" s="368" t="n"/>
      <c r="P549" s="368" t="n"/>
      <c r="Q549" s="368" t="n"/>
      <c r="R549" s="369" t="n"/>
      <c r="S549" s="369" t="n"/>
      <c r="T549" s="369" t="n"/>
      <c r="U549" s="369" t="n"/>
      <c r="V549" s="369" t="n"/>
      <c r="W549" s="369" t="n"/>
      <c r="X549" s="369" t="n"/>
    </row>
    <row r="550" ht="15.5" customHeight="1" s="297">
      <c r="B550" s="333" t="n">
        <v>45556</v>
      </c>
      <c r="C550" s="314" t="n">
        <v>3</v>
      </c>
      <c r="D550" s="330" t="inlineStr">
        <is>
          <t>Administrasi</t>
        </is>
      </c>
      <c r="E550" s="326" t="n"/>
      <c r="F550" s="317" t="n">
        <v>250000</v>
      </c>
      <c r="G550" s="314" t="inlineStr">
        <is>
          <t>IDR</t>
        </is>
      </c>
      <c r="H550" s="314" t="n">
        <v>1</v>
      </c>
      <c r="I550" s="319">
        <f>$H550*$F550</f>
        <v/>
      </c>
      <c r="J550" s="321" t="n"/>
      <c r="K550" s="321" t="n"/>
      <c r="L550" s="321" t="n"/>
      <c r="M550" s="321" t="n"/>
      <c r="N550" s="319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45572</v>
      </c>
      <c r="C551" s="314" t="n">
        <v>1</v>
      </c>
      <c r="D551" s="326" t="inlineStr">
        <is>
          <t>Materai 6 pcs</t>
        </is>
      </c>
      <c r="E551" s="326" t="inlineStr">
        <is>
          <t>-</t>
        </is>
      </c>
      <c r="F551" s="323" t="n">
        <v>62000</v>
      </c>
      <c r="G551" s="314" t="inlineStr">
        <is>
          <t>IDR</t>
        </is>
      </c>
      <c r="H551" s="346" t="n">
        <v>1</v>
      </c>
      <c r="I551" s="319">
        <f>$H551*$F551</f>
        <v/>
      </c>
      <c r="J551" s="321" t="n"/>
      <c r="K551" s="321" t="n"/>
      <c r="L551" s="321" t="n"/>
      <c r="M551" s="329" t="n">
        <v>62000</v>
      </c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45579</v>
      </c>
      <c r="C552" s="314" t="n">
        <v>2</v>
      </c>
      <c r="D552" s="326" t="inlineStr">
        <is>
          <t>Materai 10 pcs</t>
        </is>
      </c>
      <c r="E552" s="326" t="inlineStr">
        <is>
          <t>-</t>
        </is>
      </c>
      <c r="F552" s="323" t="n">
        <v>103000</v>
      </c>
      <c r="G552" s="314" t="inlineStr">
        <is>
          <t>IDR</t>
        </is>
      </c>
      <c r="H552" s="346" t="n">
        <v>1</v>
      </c>
      <c r="I552" s="319">
        <f>$H552*$F552</f>
        <v/>
      </c>
      <c r="J552" s="321" t="n"/>
      <c r="K552" s="321" t="n"/>
      <c r="L552" s="321" t="n"/>
      <c r="M552" s="329" t="n">
        <v>103000</v>
      </c>
      <c r="N552" s="319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45582</v>
      </c>
      <c r="C553" s="314" t="n">
        <v>3</v>
      </c>
      <c r="D553" s="395" t="inlineStr">
        <is>
          <t>Materai 5 pcs</t>
        </is>
      </c>
      <c r="E553" s="395" t="inlineStr">
        <is>
          <t>-</t>
        </is>
      </c>
      <c r="F553" s="323" t="n">
        <v>55000</v>
      </c>
      <c r="G553" s="314" t="inlineStr">
        <is>
          <t>IDR</t>
        </is>
      </c>
      <c r="H553" s="346" t="n">
        <v>1</v>
      </c>
      <c r="I553" s="319" t="n"/>
      <c r="J553" s="321" t="n"/>
      <c r="K553" s="321" t="n"/>
      <c r="L553" s="321" t="n"/>
      <c r="M553" s="329" t="n">
        <v>55000</v>
      </c>
      <c r="N553" s="319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45617</v>
      </c>
      <c r="C554" s="314" t="n">
        <v>4</v>
      </c>
      <c r="D554" s="370" t="inlineStr">
        <is>
          <t>Materai 10 pcs</t>
        </is>
      </c>
      <c r="E554" s="370" t="inlineStr">
        <is>
          <t>-</t>
        </is>
      </c>
      <c r="F554" s="323" t="n">
        <v>103000</v>
      </c>
      <c r="G554" s="314" t="inlineStr">
        <is>
          <t>IDR</t>
        </is>
      </c>
      <c r="H554" s="346" t="n">
        <v>1</v>
      </c>
      <c r="I554" s="319" t="n"/>
      <c r="J554" s="321" t="n"/>
      <c r="K554" s="321" t="n"/>
      <c r="L554" s="321" t="n"/>
      <c r="M554" s="329" t="n">
        <v>103000</v>
      </c>
      <c r="N554" s="319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45564</v>
      </c>
      <c r="C555" s="314" t="n">
        <v>6</v>
      </c>
      <c r="D555" s="330" t="inlineStr">
        <is>
          <t>Biaya Operasi</t>
        </is>
      </c>
      <c r="E555" s="326" t="n"/>
      <c r="F555" s="317" t="n">
        <v>400000</v>
      </c>
      <c r="G555" s="314" t="inlineStr">
        <is>
          <t>IDR</t>
        </is>
      </c>
      <c r="H555" s="314" t="n">
        <v>1</v>
      </c>
      <c r="I555" s="319">
        <f>F555</f>
        <v/>
      </c>
      <c r="J555" s="321" t="n"/>
      <c r="K555" s="321" t="n"/>
      <c r="L555" s="321" t="n"/>
      <c r="M555" s="321" t="n"/>
      <c r="N555" s="319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45555</v>
      </c>
      <c r="C556" s="314" t="n">
        <v>5</v>
      </c>
      <c r="D556" s="370" t="inlineStr">
        <is>
          <t>JNE courier</t>
        </is>
      </c>
      <c r="E556" s="370" t="inlineStr">
        <is>
          <t>-</t>
        </is>
      </c>
      <c r="F556" s="323" t="n">
        <v>18000</v>
      </c>
      <c r="G556" s="314" t="inlineStr">
        <is>
          <t>IDR</t>
        </is>
      </c>
      <c r="H556" s="346" t="n">
        <v>1</v>
      </c>
      <c r="I556" s="321" t="n"/>
      <c r="J556" s="329" t="n">
        <v>18000</v>
      </c>
      <c r="K556" s="321" t="n"/>
      <c r="L556" s="321" t="n"/>
      <c r="M556" s="321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45560</v>
      </c>
      <c r="C557" s="314" t="n">
        <v>6</v>
      </c>
      <c r="D557" s="326" t="inlineStr">
        <is>
          <t>POS courier</t>
        </is>
      </c>
      <c r="E557" s="326" t="inlineStr">
        <is>
          <t>-</t>
        </is>
      </c>
      <c r="F557" s="323" t="n">
        <v>8000</v>
      </c>
      <c r="G557" s="314" t="inlineStr">
        <is>
          <t>IDR</t>
        </is>
      </c>
      <c r="H557" s="346" t="n">
        <v>1</v>
      </c>
      <c r="I557" s="320">
        <f>F557</f>
        <v/>
      </c>
      <c r="J557" s="329" t="n">
        <v>8000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45574</v>
      </c>
      <c r="C558" s="314" t="n">
        <v>7</v>
      </c>
      <c r="D558" s="370" t="inlineStr">
        <is>
          <t>POS courier</t>
        </is>
      </c>
      <c r="E558" s="370" t="inlineStr">
        <is>
          <t>-</t>
        </is>
      </c>
      <c r="F558" s="323" t="n">
        <v>15000</v>
      </c>
      <c r="G558" s="314" t="inlineStr">
        <is>
          <t>IDR</t>
        </is>
      </c>
      <c r="H558" s="346" t="n">
        <v>1</v>
      </c>
      <c r="I558" s="321" t="n"/>
      <c r="J558" s="329" t="n">
        <v>15000</v>
      </c>
      <c r="K558" s="321" t="n"/>
      <c r="L558" s="321" t="n"/>
      <c r="M558" s="321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>
        <v>45579</v>
      </c>
      <c r="C559" s="314" t="n">
        <v>8</v>
      </c>
      <c r="D559" s="326" t="inlineStr">
        <is>
          <t>JNE courier</t>
        </is>
      </c>
      <c r="E559" s="326" t="inlineStr">
        <is>
          <t>-</t>
        </is>
      </c>
      <c r="F559" s="323" t="n">
        <v>10000</v>
      </c>
      <c r="G559" s="314" t="inlineStr">
        <is>
          <t>IDR</t>
        </is>
      </c>
      <c r="H559" s="346" t="n">
        <v>1</v>
      </c>
      <c r="I559" s="379">
        <f>H559*F559</f>
        <v/>
      </c>
      <c r="J559" s="329" t="n">
        <v>10000</v>
      </c>
      <c r="K559" s="321" t="n"/>
      <c r="L559" s="321" t="n"/>
      <c r="M559" s="321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47" t="n">
        <v>45579</v>
      </c>
      <c r="C560" s="348" t="n">
        <v>9</v>
      </c>
      <c r="D560" s="349" t="inlineStr">
        <is>
          <t>GoCar to Elnusa PP</t>
        </is>
      </c>
      <c r="E560" s="349" t="inlineStr">
        <is>
          <t>-</t>
        </is>
      </c>
      <c r="F560" s="337" t="n">
        <v>275000</v>
      </c>
      <c r="G560" s="314" t="inlineStr">
        <is>
          <t>IDR</t>
        </is>
      </c>
      <c r="H560" s="346" t="n">
        <v>1</v>
      </c>
      <c r="I560" s="321" t="n"/>
      <c r="J560" s="329" t="n">
        <v>275000</v>
      </c>
      <c r="K560" s="321" t="n"/>
      <c r="L560" s="321" t="n"/>
      <c r="M560" s="321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45579</v>
      </c>
      <c r="C561" s="314" t="n">
        <v>10</v>
      </c>
      <c r="D561" s="370" t="inlineStr">
        <is>
          <t>Tol &amp; parking fee</t>
        </is>
      </c>
      <c r="E561" s="370" t="inlineStr">
        <is>
          <t>-</t>
        </is>
      </c>
      <c r="F561" s="323" t="n">
        <v>31500</v>
      </c>
      <c r="G561" s="316" t="inlineStr">
        <is>
          <t>IDR</t>
        </is>
      </c>
      <c r="H561" s="380" t="n">
        <v>1</v>
      </c>
      <c r="I561" s="321" t="n"/>
      <c r="J561" s="329" t="n">
        <v>31500</v>
      </c>
      <c r="K561" s="321" t="n"/>
      <c r="L561" s="321" t="n"/>
      <c r="M561" s="321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13" t="n">
        <v>45582</v>
      </c>
      <c r="C562" s="314" t="n">
        <v>11</v>
      </c>
      <c r="D562" s="326" t="inlineStr">
        <is>
          <t>GoCar to Elnusa PP</t>
        </is>
      </c>
      <c r="E562" s="326" t="inlineStr">
        <is>
          <t>-</t>
        </is>
      </c>
      <c r="F562" s="323" t="n">
        <v>266000</v>
      </c>
      <c r="G562" s="316" t="inlineStr">
        <is>
          <t>IDR</t>
        </is>
      </c>
      <c r="H562" s="380" t="n">
        <v>1</v>
      </c>
      <c r="I562" s="319">
        <f>$H562*$F562</f>
        <v/>
      </c>
      <c r="J562" s="329" t="n">
        <v>266000</v>
      </c>
      <c r="K562" s="321" t="n"/>
      <c r="L562" s="321" t="n"/>
      <c r="M562" s="321" t="n"/>
      <c r="N562" s="321" t="n"/>
      <c r="O562" s="321" t="n"/>
      <c r="P562" s="320" t="n"/>
      <c r="Q562" s="321" t="n"/>
      <c r="R562" s="322" t="n"/>
      <c r="S562" s="322" t="n"/>
      <c r="T562" s="322" t="n"/>
      <c r="U562" s="322" t="n"/>
      <c r="V562" s="322" t="n"/>
      <c r="W562" s="322" t="n"/>
      <c r="X562" s="322" t="n"/>
    </row>
    <row r="563" ht="15.5" customHeight="1" s="297">
      <c r="B563" s="313" t="n">
        <v>45582</v>
      </c>
      <c r="C563" s="314" t="n">
        <v>12</v>
      </c>
      <c r="D563" s="326" t="inlineStr">
        <is>
          <t>Tol &amp; parking fee</t>
        </is>
      </c>
      <c r="E563" s="326" t="inlineStr">
        <is>
          <t>-</t>
        </is>
      </c>
      <c r="F563" s="323" t="n">
        <v>53500</v>
      </c>
      <c r="G563" s="316" t="inlineStr">
        <is>
          <t>IDR</t>
        </is>
      </c>
      <c r="H563" s="380" t="n">
        <v>1</v>
      </c>
      <c r="I563" s="319">
        <f>$H563*$F563</f>
        <v/>
      </c>
      <c r="J563" s="329" t="n">
        <v>53500</v>
      </c>
      <c r="K563" s="321" t="n"/>
      <c r="L563" s="321" t="n"/>
      <c r="M563" s="321" t="n"/>
      <c r="N563" s="321" t="n"/>
      <c r="O563" s="321" t="n"/>
      <c r="P563" s="320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13" t="n">
        <v>45617</v>
      </c>
      <c r="C564" s="314" t="n">
        <v>13</v>
      </c>
      <c r="D564" s="326" t="inlineStr">
        <is>
          <t>GoCar to Elnusa PP</t>
        </is>
      </c>
      <c r="E564" s="326" t="inlineStr">
        <is>
          <t>-</t>
        </is>
      </c>
      <c r="F564" s="323" t="n">
        <v>269000</v>
      </c>
      <c r="G564" s="316" t="inlineStr">
        <is>
          <t>IDR</t>
        </is>
      </c>
      <c r="H564" s="380" t="n">
        <v>1</v>
      </c>
      <c r="I564" s="319">
        <f>$H564*$F564</f>
        <v/>
      </c>
      <c r="J564" s="329" t="n">
        <v>269000</v>
      </c>
      <c r="K564" s="321" t="n"/>
      <c r="L564" s="321" t="n"/>
      <c r="M564" s="321" t="n"/>
      <c r="N564" s="321" t="n"/>
      <c r="O564" s="321" t="n"/>
      <c r="P564" s="320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13" t="n">
        <v>45617</v>
      </c>
      <c r="C565" s="314" t="n">
        <v>14</v>
      </c>
      <c r="D565" s="326" t="inlineStr">
        <is>
          <t>Tol &amp; parking fee</t>
        </is>
      </c>
      <c r="E565" s="326" t="inlineStr">
        <is>
          <t>-</t>
        </is>
      </c>
      <c r="F565" s="323" t="n">
        <v>43450</v>
      </c>
      <c r="G565" s="316" t="inlineStr">
        <is>
          <t>IDR</t>
        </is>
      </c>
      <c r="H565" s="380" t="n">
        <v>1</v>
      </c>
      <c r="I565" s="319">
        <f>$H565*$F565</f>
        <v/>
      </c>
      <c r="J565" s="329" t="n">
        <v>43450</v>
      </c>
      <c r="K565" s="321" t="n"/>
      <c r="L565" s="321" t="n"/>
      <c r="M565" s="321" t="n"/>
      <c r="N565" s="321" t="n"/>
      <c r="O565" s="321" t="n"/>
      <c r="P565" s="320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13" t="n">
        <v>45636</v>
      </c>
      <c r="C566" s="314" t="n">
        <v>15</v>
      </c>
      <c r="D566" s="326" t="inlineStr">
        <is>
          <t>GoCar to Elnusa PP</t>
        </is>
      </c>
      <c r="E566" s="326" t="inlineStr">
        <is>
          <t>-</t>
        </is>
      </c>
      <c r="F566" s="323" t="n">
        <v>290000</v>
      </c>
      <c r="G566" s="316" t="inlineStr">
        <is>
          <t>IDR</t>
        </is>
      </c>
      <c r="H566" s="380" t="n">
        <v>1</v>
      </c>
      <c r="I566" s="319">
        <f>$H566*$F566</f>
        <v/>
      </c>
      <c r="J566" s="329" t="n">
        <v>290000</v>
      </c>
      <c r="K566" s="321" t="n"/>
      <c r="L566" s="321" t="n"/>
      <c r="M566" s="321" t="n"/>
      <c r="N566" s="321" t="n"/>
      <c r="O566" s="321" t="n"/>
      <c r="P566" s="320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13" t="n">
        <v>45636</v>
      </c>
      <c r="C567" s="314" t="n">
        <v>16</v>
      </c>
      <c r="D567" s="326" t="inlineStr">
        <is>
          <t>Tol &amp; parking fee</t>
        </is>
      </c>
      <c r="E567" s="326" t="inlineStr">
        <is>
          <t>-</t>
        </is>
      </c>
      <c r="F567" s="323" t="n">
        <v>48500</v>
      </c>
      <c r="G567" s="316" t="inlineStr">
        <is>
          <t>IDR</t>
        </is>
      </c>
      <c r="H567" s="380" t="n">
        <v>1</v>
      </c>
      <c r="I567" s="319">
        <f>$H567*$F567</f>
        <v/>
      </c>
      <c r="J567" s="329" t="n">
        <v>48500</v>
      </c>
      <c r="K567" s="321" t="n"/>
      <c r="L567" s="321" t="n"/>
      <c r="M567" s="321" t="n"/>
      <c r="N567" s="321" t="n"/>
      <c r="O567" s="321" t="n"/>
      <c r="P567" s="320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71" t="inlineStr">
        <is>
          <t>Expense#41</t>
        </is>
      </c>
      <c r="C568" s="362" t="inlineStr">
        <is>
          <t>:</t>
        </is>
      </c>
      <c r="D568" s="363" t="inlineStr">
        <is>
          <t>Starlink Kit_DS</t>
        </is>
      </c>
      <c r="E568" s="364" t="n"/>
      <c r="F568" s="378">
        <f>42000+5500+17000</f>
        <v/>
      </c>
      <c r="G568" s="381" t="inlineStr">
        <is>
          <t>IDR</t>
        </is>
      </c>
      <c r="H568" s="381" t="n">
        <v>1</v>
      </c>
      <c r="I568" s="366">
        <f>$H568*$F568</f>
        <v/>
      </c>
      <c r="J568" s="368" t="n"/>
      <c r="K568" s="368" t="n"/>
      <c r="L568" s="368" t="n"/>
      <c r="M568" s="368" t="n"/>
      <c r="N568" s="368" t="n"/>
      <c r="O568" s="368" t="n"/>
      <c r="P568" s="367" t="n"/>
      <c r="Q568" s="368" t="n"/>
      <c r="R568" s="369" t="n"/>
      <c r="S568" s="369" t="n"/>
      <c r="T568" s="369" t="n"/>
      <c r="U568" s="369" t="n"/>
      <c r="V568" s="369" t="n"/>
      <c r="W568" s="369" t="n"/>
      <c r="X568" s="369" t="n"/>
    </row>
    <row r="569" ht="15.5" customHeight="1" s="297">
      <c r="B569" s="313" t="n">
        <v>45545</v>
      </c>
      <c r="C569" s="314" t="n">
        <v>8</v>
      </c>
      <c r="D569" s="330" t="inlineStr">
        <is>
          <t>Pembelian Barang</t>
        </is>
      </c>
      <c r="E569" s="326" t="n"/>
      <c r="F569" s="317">
        <f>42000+5500+48500+16500</f>
        <v/>
      </c>
      <c r="G569" s="316" t="inlineStr">
        <is>
          <t>IDR</t>
        </is>
      </c>
      <c r="H569" s="316" t="n">
        <v>1</v>
      </c>
      <c r="I569" s="319">
        <f>$H569*$F569</f>
        <v/>
      </c>
      <c r="J569" s="321" t="n"/>
      <c r="K569" s="321" t="n"/>
      <c r="L569" s="321" t="n"/>
      <c r="M569" s="321" t="n"/>
      <c r="N569" s="321" t="n"/>
      <c r="O569" s="321" t="n"/>
      <c r="P569" s="320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13" t="n">
        <v>45607</v>
      </c>
      <c r="C570" s="314" t="n">
        <v>1</v>
      </c>
      <c r="D570" s="326" t="inlineStr">
        <is>
          <t>Starlink Kit</t>
        </is>
      </c>
      <c r="E570" s="326" t="inlineStr">
        <is>
          <t>-</t>
        </is>
      </c>
      <c r="F570" s="323" t="n">
        <v>5583200</v>
      </c>
      <c r="G570" s="316" t="inlineStr">
        <is>
          <t>IDR</t>
        </is>
      </c>
      <c r="H570" s="380" t="n">
        <v>1</v>
      </c>
      <c r="I570" s="319">
        <f>$H570*$F570</f>
        <v/>
      </c>
      <c r="J570" s="321" t="n"/>
      <c r="K570" s="321" t="n"/>
      <c r="L570" s="321" t="n"/>
      <c r="M570" s="321" t="n"/>
      <c r="N570" s="329" t="n">
        <v>5583200</v>
      </c>
      <c r="O570" s="321" t="n"/>
      <c r="P570" s="320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t="15.5" customHeight="1" s="297">
      <c r="B571" s="371" t="inlineStr">
        <is>
          <t>Expense#42</t>
        </is>
      </c>
      <c r="C571" s="362" t="inlineStr">
        <is>
          <t>:</t>
        </is>
      </c>
      <c r="D571" s="363" t="inlineStr">
        <is>
          <t>Pelican Case 1650 TMA</t>
        </is>
      </c>
      <c r="E571" s="364" t="n"/>
      <c r="F571" s="378">
        <f>42000+17000</f>
        <v/>
      </c>
      <c r="G571" s="381" t="inlineStr">
        <is>
          <t>IDR</t>
        </is>
      </c>
      <c r="H571" s="381" t="n">
        <v>1</v>
      </c>
      <c r="I571" s="366">
        <f>$H571*$F571</f>
        <v/>
      </c>
      <c r="J571" s="368" t="n"/>
      <c r="K571" s="368" t="n"/>
      <c r="L571" s="368" t="n"/>
      <c r="M571" s="368" t="n"/>
      <c r="N571" s="368" t="n"/>
      <c r="O571" s="368" t="n"/>
      <c r="P571" s="368" t="n"/>
      <c r="Q571" s="368" t="n"/>
      <c r="R571" s="369" t="n"/>
      <c r="S571" s="369" t="n"/>
      <c r="T571" s="369" t="n"/>
      <c r="U571" s="369" t="n"/>
      <c r="V571" s="369" t="n"/>
      <c r="W571" s="369" t="n"/>
      <c r="X571" s="369" t="n"/>
    </row>
    <row r="572" ht="15.5" customHeight="1" s="297">
      <c r="B572" s="405" t="n"/>
      <c r="C572" s="405" t="n"/>
      <c r="D572" s="406" t="inlineStr">
        <is>
          <t>Pembelian Barang</t>
        </is>
      </c>
      <c r="E572" s="407" t="n"/>
      <c r="F572" s="317" t="n"/>
      <c r="G572" s="316" t="n"/>
      <c r="H572" s="316" t="n"/>
      <c r="I572" s="321" t="n"/>
      <c r="J572" s="321" t="n"/>
      <c r="K572" s="321" t="n"/>
      <c r="L572" s="321" t="n"/>
      <c r="M572" s="321" t="n"/>
      <c r="N572" s="321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t="15.5" customHeight="1" s="297">
      <c r="B573" s="333" t="n">
        <v>45640</v>
      </c>
      <c r="C573" s="314" t="n">
        <v>1</v>
      </c>
      <c r="D573" s="326" t="inlineStr">
        <is>
          <t>Pelican Case 1650</t>
        </is>
      </c>
      <c r="E573" s="326" t="inlineStr">
        <is>
          <t>-</t>
        </is>
      </c>
      <c r="F573" s="323" t="n">
        <v>8156000</v>
      </c>
      <c r="G573" s="316" t="inlineStr">
        <is>
          <t>IDR</t>
        </is>
      </c>
      <c r="H573" s="380" t="n">
        <v>1</v>
      </c>
      <c r="I573" s="319">
        <f>$H573*$F573</f>
        <v/>
      </c>
      <c r="J573" s="321" t="n"/>
      <c r="K573" s="321" t="n"/>
      <c r="L573" s="321" t="n"/>
      <c r="M573" s="321" t="n"/>
      <c r="N573" s="329" t="n">
        <v>8156000</v>
      </c>
      <c r="O573" s="321" t="n"/>
      <c r="P573" s="321" t="n"/>
      <c r="Q573" s="321" t="n"/>
      <c r="R573" s="322" t="n"/>
      <c r="S573" s="322" t="n"/>
      <c r="T573" s="322" t="n"/>
      <c r="U573" s="322" t="n"/>
      <c r="V573" s="322" t="n"/>
      <c r="W573" s="322" t="n"/>
      <c r="X573" s="322" t="n"/>
    </row>
    <row r="574" ht="15.5" customHeight="1" s="297">
      <c r="B574" s="361" t="inlineStr">
        <is>
          <t>Expense#43</t>
        </is>
      </c>
      <c r="C574" s="362" t="inlineStr">
        <is>
          <t>:</t>
        </is>
      </c>
      <c r="D574" s="363" t="inlineStr">
        <is>
          <t>Non trip 3rd (follow up MCU concul &amp; visit KPP and Graha Elnusa)_AC</t>
        </is>
      </c>
      <c r="E574" s="364" t="n"/>
      <c r="F574" s="378" t="n">
        <v>180000</v>
      </c>
      <c r="G574" s="381" t="inlineStr">
        <is>
          <t>IDR</t>
        </is>
      </c>
      <c r="H574" s="381" t="n">
        <v>1</v>
      </c>
      <c r="I574" s="366">
        <f>$H574*$F574</f>
        <v/>
      </c>
      <c r="J574" s="368" t="n"/>
      <c r="K574" s="368" t="n"/>
      <c r="L574" s="368" t="n"/>
      <c r="M574" s="368" t="n"/>
      <c r="N574" s="368" t="n"/>
      <c r="O574" s="368" t="n"/>
      <c r="P574" s="368" t="n"/>
      <c r="Q574" s="368" t="n"/>
      <c r="R574" s="369" t="n"/>
      <c r="S574" s="369" t="n"/>
      <c r="T574" s="369" t="n"/>
      <c r="U574" s="369" t="n"/>
      <c r="V574" s="369" t="n"/>
      <c r="W574" s="369" t="n"/>
      <c r="X574" s="369" t="n"/>
    </row>
    <row r="575" ht="15.5" customHeight="1" s="297">
      <c r="B575" s="333" t="n">
        <v>45553</v>
      </c>
      <c r="C575" s="314" t="n"/>
      <c r="D575" s="330" t="inlineStr">
        <is>
          <t>Biaya Operasi</t>
        </is>
      </c>
      <c r="E575" s="326" t="n"/>
      <c r="F575" s="317">
        <f>17000+149000</f>
        <v/>
      </c>
      <c r="G575" s="316" t="inlineStr">
        <is>
          <t>IDR</t>
        </is>
      </c>
      <c r="H575" s="316" t="n">
        <v>1</v>
      </c>
      <c r="I575" s="319">
        <f>$H575*$F575</f>
        <v/>
      </c>
      <c r="J575" s="321" t="n"/>
      <c r="K575" s="321" t="n"/>
      <c r="L575" s="321" t="n"/>
      <c r="M575" s="321" t="n"/>
      <c r="N575" s="321" t="n"/>
      <c r="O575" s="321" t="n"/>
      <c r="P575" s="321" t="n"/>
      <c r="Q575" s="321" t="n"/>
      <c r="R575" s="322" t="n"/>
      <c r="S575" s="322" t="n"/>
      <c r="T575" s="322" t="n"/>
      <c r="U575" s="322" t="n"/>
      <c r="V575" s="322" t="n"/>
      <c r="W575" s="322" t="n"/>
      <c r="X575" s="322" t="n"/>
    </row>
    <row r="576" ht="15.5" customHeight="1" s="297">
      <c r="B576" s="333" t="n">
        <v>45607</v>
      </c>
      <c r="C576" s="314" t="n">
        <v>1</v>
      </c>
      <c r="D576" s="326" t="inlineStr">
        <is>
          <t>Fuel diesel visit consul to KPP pajak</t>
        </is>
      </c>
      <c r="E576" s="326" t="inlineStr">
        <is>
          <t>-</t>
        </is>
      </c>
      <c r="F576" s="323" t="n">
        <v>276216</v>
      </c>
      <c r="G576" s="316" t="inlineStr">
        <is>
          <t>IDR</t>
        </is>
      </c>
      <c r="H576" s="380" t="n">
        <v>1</v>
      </c>
      <c r="I576" s="319">
        <f>$H576*$F576</f>
        <v/>
      </c>
      <c r="J576" s="329" t="n">
        <v>276216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33" t="n">
        <v>45607</v>
      </c>
      <c r="C577" s="314" t="n">
        <v>2</v>
      </c>
      <c r="D577" s="370" t="inlineStr">
        <is>
          <t>toll gate</t>
        </is>
      </c>
      <c r="E577" s="370" t="inlineStr">
        <is>
          <t>-</t>
        </is>
      </c>
      <c r="F577" s="323" t="n">
        <v>79500</v>
      </c>
      <c r="G577" s="316" t="inlineStr">
        <is>
          <t>IDR</t>
        </is>
      </c>
      <c r="H577" s="380" t="n">
        <v>1</v>
      </c>
      <c r="I577" s="321" t="n"/>
      <c r="J577" s="329" t="n">
        <v>79500</v>
      </c>
      <c r="K577" s="321" t="n"/>
      <c r="L577" s="321" t="n"/>
      <c r="M577" s="321" t="n"/>
      <c r="N577" s="321" t="n"/>
      <c r="O577" s="321" t="n"/>
      <c r="P577" s="320" t="n"/>
      <c r="Q577" s="321" t="n"/>
      <c r="R577" s="322" t="n"/>
      <c r="S577" s="322" t="n"/>
      <c r="T577" s="322" t="n"/>
      <c r="U577" s="322" t="n"/>
      <c r="V577" s="322" t="n"/>
      <c r="W577" s="322" t="n"/>
      <c r="X577" s="322" t="n"/>
    </row>
    <row r="578" ht="15.5" customHeight="1" s="297">
      <c r="B578" s="333" t="n">
        <v>45622</v>
      </c>
      <c r="C578" s="314" t="n">
        <v>3</v>
      </c>
      <c r="D578" s="326" t="inlineStr">
        <is>
          <t>Parkir Graha Elnusa (HSE tool hall meeting) at Elnusa (graha Elnusa)</t>
        </is>
      </c>
      <c r="E578" s="326" t="inlineStr">
        <is>
          <t>-</t>
        </is>
      </c>
      <c r="F578" s="323" t="n">
        <v>29000</v>
      </c>
      <c r="G578" s="316" t="inlineStr">
        <is>
          <t>IDR</t>
        </is>
      </c>
      <c r="H578" s="380" t="n">
        <v>1</v>
      </c>
      <c r="I578" s="320">
        <f>$H578*$F578</f>
        <v/>
      </c>
      <c r="J578" s="329" t="n">
        <v>29000</v>
      </c>
      <c r="K578" s="321" t="n"/>
      <c r="L578" s="321" t="n"/>
      <c r="M578" s="321" t="n"/>
      <c r="N578" s="321" t="n"/>
      <c r="O578" s="321" t="n"/>
      <c r="P578" s="320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33" t="n">
        <v>45622</v>
      </c>
      <c r="C579" s="314" t="n">
        <v>4</v>
      </c>
      <c r="D579" s="326" t="inlineStr">
        <is>
          <t>toll gate</t>
        </is>
      </c>
      <c r="E579" s="326" t="inlineStr">
        <is>
          <t>-</t>
        </is>
      </c>
      <c r="F579" s="323" t="n">
        <v>17000</v>
      </c>
      <c r="G579" s="316" t="inlineStr">
        <is>
          <t>IDR</t>
        </is>
      </c>
      <c r="H579" s="380" t="n">
        <v>1</v>
      </c>
      <c r="I579" s="320">
        <f>$H579*$F579</f>
        <v/>
      </c>
      <c r="J579" s="329" t="n">
        <v>17000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33" t="n">
        <v>45636</v>
      </c>
      <c r="C580" s="314" t="n">
        <v>5</v>
      </c>
      <c r="D580" s="370" t="inlineStr">
        <is>
          <t>Taksi,take Document from Loket Graha Elnusa</t>
        </is>
      </c>
      <c r="E580" s="370" t="inlineStr">
        <is>
          <t>-</t>
        </is>
      </c>
      <c r="F580" s="323" t="n">
        <v>155680</v>
      </c>
      <c r="G580" s="316" t="inlineStr">
        <is>
          <t>IDR</t>
        </is>
      </c>
      <c r="H580" s="380" t="n">
        <v>1</v>
      </c>
      <c r="I580" s="321" t="n"/>
      <c r="J580" s="329" t="n">
        <v>155680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45636</v>
      </c>
      <c r="C581" s="314" t="n">
        <v>6</v>
      </c>
      <c r="D581" s="326" t="inlineStr">
        <is>
          <t>Parkir Graha Elnusa (antar dokemen invoice)</t>
        </is>
      </c>
      <c r="E581" s="326" t="inlineStr">
        <is>
          <t>-</t>
        </is>
      </c>
      <c r="F581" s="323" t="n">
        <v>17000</v>
      </c>
      <c r="G581" s="316" t="inlineStr">
        <is>
          <t>IDR</t>
        </is>
      </c>
      <c r="H581" s="380" t="n">
        <v>1</v>
      </c>
      <c r="I581" s="320">
        <f>$H581*$F581</f>
        <v/>
      </c>
      <c r="J581" s="329" t="n">
        <v>17000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33" t="n">
        <v>45553</v>
      </c>
      <c r="C582" s="314" t="n">
        <v>2</v>
      </c>
      <c r="D582" s="330" t="inlineStr">
        <is>
          <t>Kesehatan</t>
        </is>
      </c>
      <c r="E582" s="326" t="n"/>
      <c r="F582" s="317">
        <f>150000*2</f>
        <v/>
      </c>
      <c r="G582" s="316" t="inlineStr">
        <is>
          <t>IDR</t>
        </is>
      </c>
      <c r="H582" s="316" t="n">
        <v>1</v>
      </c>
      <c r="I582" s="320">
        <f>$H582*$F582</f>
        <v/>
      </c>
      <c r="J582" s="321" t="n"/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47" t="n">
        <v>45596</v>
      </c>
      <c r="C583" s="348" t="n">
        <v>7</v>
      </c>
      <c r="D583" s="349" t="inlineStr">
        <is>
          <t>Medicine lanjutan</t>
        </is>
      </c>
      <c r="E583" s="349" t="inlineStr">
        <is>
          <t>-</t>
        </is>
      </c>
      <c r="F583" s="337" t="n">
        <v>604000</v>
      </c>
      <c r="G583" s="314" t="inlineStr">
        <is>
          <t>IDR</t>
        </is>
      </c>
      <c r="H583" s="346" t="n">
        <v>1</v>
      </c>
      <c r="I583" s="321" t="n"/>
      <c r="J583" s="321" t="n"/>
      <c r="K583" s="321" t="n"/>
      <c r="L583" s="321" t="n"/>
      <c r="M583" s="321" t="n"/>
      <c r="N583" s="321" t="n"/>
      <c r="O583" s="321" t="n"/>
      <c r="P583" s="329" t="n">
        <v>604000</v>
      </c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45627</v>
      </c>
      <c r="C584" s="314" t="n">
        <v>8</v>
      </c>
      <c r="D584" s="340" t="inlineStr">
        <is>
          <t>Biaya Konsul dokter Kulit a/n Diofavian</t>
        </is>
      </c>
      <c r="E584" s="340" t="inlineStr">
        <is>
          <t>-</t>
        </is>
      </c>
      <c r="F584" s="323" t="n">
        <v>1582141</v>
      </c>
      <c r="G584" s="314" t="inlineStr">
        <is>
          <t>IDR</t>
        </is>
      </c>
      <c r="H584" s="346" t="n">
        <v>1</v>
      </c>
      <c r="I584" s="321" t="n"/>
      <c r="J584" s="321" t="n"/>
      <c r="K584" s="321" t="n"/>
      <c r="L584" s="321" t="n"/>
      <c r="M584" s="321" t="n"/>
      <c r="N584" s="321" t="n"/>
      <c r="O584" s="321" t="n"/>
      <c r="P584" s="329" t="n">
        <v>1582141</v>
      </c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45627</v>
      </c>
      <c r="C585" s="314" t="n">
        <v>9</v>
      </c>
      <c r="D585" s="316" t="inlineStr">
        <is>
          <t>Biaya Konsul Dokter mata a/n Eva linda</t>
        </is>
      </c>
      <c r="E585" s="316" t="inlineStr">
        <is>
          <t>-</t>
        </is>
      </c>
      <c r="F585" s="323" t="n">
        <v>970767</v>
      </c>
      <c r="G585" s="314" t="inlineStr">
        <is>
          <t>IDR</t>
        </is>
      </c>
      <c r="H585" s="346" t="n">
        <v>1</v>
      </c>
      <c r="I585" s="321" t="n"/>
      <c r="J585" s="321" t="n"/>
      <c r="K585" s="321" t="n"/>
      <c r="L585" s="321" t="n"/>
      <c r="M585" s="321" t="n"/>
      <c r="N585" s="321" t="n"/>
      <c r="O585" s="321" t="n"/>
      <c r="P585" s="329" t="n">
        <v>970767</v>
      </c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45627</v>
      </c>
      <c r="C586" s="314" t="n">
        <v>10</v>
      </c>
      <c r="D586" s="316" t="inlineStr">
        <is>
          <t>Medicine lanjutan</t>
        </is>
      </c>
      <c r="E586" s="316" t="inlineStr">
        <is>
          <t>-</t>
        </is>
      </c>
      <c r="F586" s="323" t="n">
        <v>157000</v>
      </c>
      <c r="G586" s="314" t="inlineStr">
        <is>
          <t>IDR</t>
        </is>
      </c>
      <c r="H586" s="346" t="n">
        <v>1</v>
      </c>
      <c r="I586" s="321" t="n"/>
      <c r="J586" s="321" t="n"/>
      <c r="K586" s="321" t="n"/>
      <c r="L586" s="321" t="n"/>
      <c r="M586" s="321" t="n"/>
      <c r="N586" s="321" t="n"/>
      <c r="O586" s="321" t="n"/>
      <c r="P586" s="329" t="n">
        <v>157000</v>
      </c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45627</v>
      </c>
      <c r="C587" s="314" t="n">
        <v>11</v>
      </c>
      <c r="D587" s="316" t="inlineStr">
        <is>
          <t>Medicine lanjutan</t>
        </is>
      </c>
      <c r="E587" s="316" t="inlineStr">
        <is>
          <t>-</t>
        </is>
      </c>
      <c r="F587" s="323" t="n">
        <v>152000</v>
      </c>
      <c r="G587" s="314" t="inlineStr">
        <is>
          <t>IDR</t>
        </is>
      </c>
      <c r="H587" s="346" t="n">
        <v>1</v>
      </c>
      <c r="I587" s="321" t="n"/>
      <c r="J587" s="321" t="n"/>
      <c r="K587" s="321" t="n"/>
      <c r="L587" s="321" t="n"/>
      <c r="M587" s="321" t="n"/>
      <c r="N587" s="321" t="n"/>
      <c r="O587" s="321" t="n"/>
      <c r="P587" s="329" t="n">
        <v>152000</v>
      </c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45628</v>
      </c>
      <c r="C588" s="314" t="n">
        <v>12</v>
      </c>
      <c r="D588" s="316" t="inlineStr">
        <is>
          <t>Biaya Konsul Dokter Jantung 3rdPenyakit dalam</t>
        </is>
      </c>
      <c r="E588" s="316" t="inlineStr">
        <is>
          <t>-</t>
        </is>
      </c>
      <c r="F588" s="323" t="n">
        <v>799000</v>
      </c>
      <c r="G588" s="314" t="inlineStr">
        <is>
          <t>IDR</t>
        </is>
      </c>
      <c r="H588" s="346" t="n">
        <v>1</v>
      </c>
      <c r="I588" s="321" t="n"/>
      <c r="J588" s="321" t="n"/>
      <c r="K588" s="321" t="n"/>
      <c r="L588" s="321" t="n"/>
      <c r="M588" s="321" t="n"/>
      <c r="N588" s="321" t="n"/>
      <c r="O588" s="321" t="n"/>
      <c r="P588" s="329" t="n">
        <v>799000</v>
      </c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313" t="n">
        <v>45628</v>
      </c>
      <c r="C589" s="314" t="n">
        <v>13</v>
      </c>
      <c r="D589" s="316" t="inlineStr">
        <is>
          <t>Medicine after konsul jantung 3rd</t>
        </is>
      </c>
      <c r="E589" s="316" t="inlineStr">
        <is>
          <t>-</t>
        </is>
      </c>
      <c r="F589" s="323" t="n">
        <v>190309.5</v>
      </c>
      <c r="G589" s="314" t="inlineStr">
        <is>
          <t>IDR</t>
        </is>
      </c>
      <c r="H589" s="346" t="n">
        <v>1</v>
      </c>
      <c r="I589" s="321" t="n"/>
      <c r="J589" s="321" t="n"/>
      <c r="K589" s="321" t="n"/>
      <c r="L589" s="321" t="n"/>
      <c r="M589" s="321" t="n"/>
      <c r="N589" s="321" t="n"/>
      <c r="O589" s="321" t="n"/>
      <c r="P589" s="329" t="n">
        <v>190309.5</v>
      </c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13" t="n">
        <v>45637</v>
      </c>
      <c r="C590" s="314" t="n">
        <v>14</v>
      </c>
      <c r="D590" s="316" t="inlineStr">
        <is>
          <t>Medicine after konsul jantung 3rd</t>
        </is>
      </c>
      <c r="E590" s="316" t="inlineStr">
        <is>
          <t>-</t>
        </is>
      </c>
      <c r="F590" s="323" t="n">
        <v>417600</v>
      </c>
      <c r="G590" s="314" t="inlineStr">
        <is>
          <t>IDR</t>
        </is>
      </c>
      <c r="H590" s="346" t="n">
        <v>1</v>
      </c>
      <c r="I590" s="321" t="n"/>
      <c r="J590" s="321" t="n"/>
      <c r="K590" s="321" t="n"/>
      <c r="L590" s="321" t="n"/>
      <c r="M590" s="321" t="n"/>
      <c r="N590" s="321" t="n"/>
      <c r="O590" s="321" t="n"/>
      <c r="P590" s="329" t="n">
        <v>417600</v>
      </c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71" t="inlineStr">
        <is>
          <t>Expense#44</t>
        </is>
      </c>
      <c r="C591" s="362" t="inlineStr">
        <is>
          <t>:</t>
        </is>
      </c>
      <c r="D591" s="372" t="inlineStr">
        <is>
          <t>Meeting presentasi With Elnusa - Bandung &amp;Pembelian Sparepart dari Pei-Genesis.</t>
        </is>
      </c>
      <c r="E591" s="381" t="n"/>
      <c r="F591" s="378" t="n">
        <v>45000</v>
      </c>
      <c r="G591" s="362" t="inlineStr">
        <is>
          <t>IDR</t>
        </is>
      </c>
      <c r="H591" s="362" t="n">
        <v>1</v>
      </c>
      <c r="I591" s="368" t="n"/>
      <c r="J591" s="368" t="n"/>
      <c r="K591" s="368" t="n"/>
      <c r="L591" s="368" t="n"/>
      <c r="M591" s="368" t="n"/>
      <c r="N591" s="368" t="n"/>
      <c r="O591" s="368" t="n"/>
      <c r="P591" s="367">
        <f>F591</f>
        <v/>
      </c>
      <c r="Q591" s="368" t="n"/>
      <c r="R591" s="369" t="n"/>
      <c r="S591" s="369" t="n"/>
      <c r="T591" s="369" t="n"/>
      <c r="U591" s="369" t="n"/>
      <c r="V591" s="369" t="n"/>
      <c r="W591" s="369" t="n"/>
      <c r="X591" s="369" t="n"/>
    </row>
    <row r="592" ht="15.5" customHeight="1" s="297">
      <c r="B592" s="313" t="n">
        <v>45547</v>
      </c>
      <c r="C592" s="314" t="n">
        <v>8</v>
      </c>
      <c r="D592" s="315" t="inlineStr">
        <is>
          <t>Administrasi</t>
        </is>
      </c>
      <c r="E592" s="316" t="n"/>
      <c r="F592" s="317" t="n">
        <v>241100</v>
      </c>
      <c r="G592" s="314" t="inlineStr">
        <is>
          <t>IDR</t>
        </is>
      </c>
      <c r="H592" s="314" t="n">
        <v>1</v>
      </c>
      <c r="I592" s="321" t="n"/>
      <c r="J592" s="321" t="n"/>
      <c r="K592" s="321" t="n"/>
      <c r="L592" s="321" t="n"/>
      <c r="M592" s="321" t="n"/>
      <c r="N592" s="321" t="n"/>
      <c r="O592" s="321" t="n"/>
      <c r="P592" s="320">
        <f>F592</f>
        <v/>
      </c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13" t="n">
        <v>45650</v>
      </c>
      <c r="C593" s="314" t="n">
        <v>1</v>
      </c>
      <c r="D593" s="316" t="inlineStr">
        <is>
          <t>payment for hotel Grand Dafam and</t>
        </is>
      </c>
      <c r="E593" s="316" t="inlineStr">
        <is>
          <t>-</t>
        </is>
      </c>
      <c r="F593" s="323" t="n">
        <v>4913283</v>
      </c>
      <c r="G593" s="314" t="inlineStr">
        <is>
          <t>IDR</t>
        </is>
      </c>
      <c r="H593" s="346" t="n">
        <v>1</v>
      </c>
      <c r="I593" s="321" t="n"/>
      <c r="J593" s="321" t="n"/>
      <c r="K593" s="321" t="n"/>
      <c r="L593" s="321" t="n"/>
      <c r="M593" s="329" t="n">
        <v>4913283</v>
      </c>
      <c r="N593" s="321" t="n"/>
      <c r="O593" s="321" t="n"/>
      <c r="P593" s="320">
        <f>F593</f>
        <v/>
      </c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15" t="inlineStr">
        <is>
          <t>Biaya Operasi</t>
        </is>
      </c>
      <c r="E594" s="350" t="n"/>
      <c r="F594" s="317" t="n"/>
      <c r="G594" s="314" t="n"/>
      <c r="H594" s="314" t="n"/>
      <c r="I594" s="321" t="n"/>
      <c r="J594" s="321" t="n"/>
      <c r="K594" s="321" t="n"/>
      <c r="L594" s="321" t="n"/>
      <c r="M594" s="321" t="n"/>
      <c r="N594" s="321" t="n"/>
      <c r="O594" s="321" t="n"/>
      <c r="P594" s="321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45646</v>
      </c>
      <c r="C595" s="314" t="n">
        <v>2</v>
      </c>
      <c r="D595" s="326" t="inlineStr">
        <is>
          <t>Traveling Jakarta - Bandung</t>
        </is>
      </c>
      <c r="E595" s="326" t="inlineStr">
        <is>
          <t>-</t>
        </is>
      </c>
      <c r="F595" s="323" t="n">
        <v>160000</v>
      </c>
      <c r="G595" s="314" t="inlineStr">
        <is>
          <t>IDR</t>
        </is>
      </c>
      <c r="H595" s="346" t="n">
        <v>1</v>
      </c>
      <c r="I595" s="319">
        <f>$H595*$F595</f>
        <v/>
      </c>
      <c r="J595" s="329" t="n">
        <v>160000</v>
      </c>
      <c r="K595" s="321" t="n"/>
      <c r="L595" s="321" t="n"/>
      <c r="M595" s="321" t="n"/>
      <c r="N595" s="321" t="n"/>
      <c r="O595" s="321" t="n"/>
      <c r="P595" s="321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45646</v>
      </c>
      <c r="C596" s="314" t="n">
        <v>3</v>
      </c>
      <c r="D596" s="326" t="inlineStr">
        <is>
          <t>Meal</t>
        </is>
      </c>
      <c r="E596" s="326" t="inlineStr">
        <is>
          <t>-</t>
        </is>
      </c>
      <c r="F596" s="323" t="n">
        <v>195585</v>
      </c>
      <c r="G596" s="314" t="inlineStr">
        <is>
          <t>IDR</t>
        </is>
      </c>
      <c r="H596" s="346" t="n">
        <v>1</v>
      </c>
      <c r="I596" s="319">
        <f>$H596*$F596</f>
        <v/>
      </c>
      <c r="J596" s="329" t="n">
        <v>195585</v>
      </c>
      <c r="K596" s="321" t="n"/>
      <c r="L596" s="321" t="n"/>
      <c r="M596" s="321" t="n"/>
      <c r="N596" s="321" t="n"/>
      <c r="O596" s="321" t="n"/>
      <c r="P596" s="321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>
        <v>45647</v>
      </c>
      <c r="C597" s="314" t="n">
        <v>4</v>
      </c>
      <c r="D597" s="326" t="inlineStr">
        <is>
          <t>Taksi around the Bandung city for 2 days</t>
        </is>
      </c>
      <c r="E597" s="326" t="inlineStr">
        <is>
          <t>-</t>
        </is>
      </c>
      <c r="F597" s="323" t="n">
        <v>200000</v>
      </c>
      <c r="G597" s="314" t="inlineStr">
        <is>
          <t>IDR</t>
        </is>
      </c>
      <c r="H597" s="346" t="n">
        <v>1</v>
      </c>
      <c r="I597" s="319">
        <f>$H597*$F597</f>
        <v/>
      </c>
      <c r="J597" s="329" t="n">
        <v>200000</v>
      </c>
      <c r="K597" s="321" t="n"/>
      <c r="L597" s="321" t="n"/>
      <c r="M597" s="321" t="n"/>
      <c r="N597" s="321" t="n"/>
      <c r="O597" s="321" t="n"/>
      <c r="P597" s="321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33" t="n">
        <v>45647</v>
      </c>
      <c r="C598" s="314" t="n">
        <v>5</v>
      </c>
      <c r="D598" s="326" t="inlineStr">
        <is>
          <t>Traveling Bandung - Jakarta</t>
        </is>
      </c>
      <c r="E598" s="326" t="inlineStr">
        <is>
          <t>-</t>
        </is>
      </c>
      <c r="F598" s="323" t="n">
        <v>160000</v>
      </c>
      <c r="G598" s="314" t="inlineStr">
        <is>
          <t>IDR</t>
        </is>
      </c>
      <c r="H598" s="346" t="n">
        <v>1</v>
      </c>
      <c r="I598" s="319">
        <f>$H598*$F598</f>
        <v/>
      </c>
      <c r="J598" s="329" t="n">
        <v>160000</v>
      </c>
      <c r="K598" s="321" t="n"/>
      <c r="L598" s="321" t="n"/>
      <c r="M598" s="321" t="n"/>
      <c r="N598" s="321" t="n"/>
      <c r="O598" s="321" t="n"/>
      <c r="P598" s="321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45647</v>
      </c>
      <c r="C599" s="314" t="n">
        <v>6</v>
      </c>
      <c r="D599" s="326" t="inlineStr">
        <is>
          <t>Meal</t>
        </is>
      </c>
      <c r="E599" s="326" t="inlineStr">
        <is>
          <t>-</t>
        </is>
      </c>
      <c r="F599" s="323" t="n">
        <v>299900</v>
      </c>
      <c r="G599" s="314" t="inlineStr">
        <is>
          <t>IDR</t>
        </is>
      </c>
      <c r="H599" s="346" t="n">
        <v>1</v>
      </c>
      <c r="I599" s="319">
        <f>$H599*$F599</f>
        <v/>
      </c>
      <c r="J599" s="329" t="n">
        <v>299900</v>
      </c>
      <c r="K599" s="321" t="n"/>
      <c r="L599" s="321" t="n"/>
      <c r="M599" s="321" t="n"/>
      <c r="N599" s="321" t="n"/>
      <c r="O599" s="321" t="n"/>
      <c r="P599" s="321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72" t="inlineStr">
        <is>
          <t>Expense#45</t>
        </is>
      </c>
      <c r="C600" s="392" t="inlineStr">
        <is>
          <t>:</t>
        </is>
      </c>
      <c r="D600" s="393" t="inlineStr">
        <is>
          <t>General Operation_Year 2024 - AM</t>
        </is>
      </c>
      <c r="E600" s="394" t="n"/>
      <c r="F600" s="381" t="n"/>
      <c r="G600" s="362" t="n"/>
      <c r="H600" s="362" t="n"/>
      <c r="I600" s="368" t="n"/>
      <c r="J600" s="368" t="n"/>
      <c r="K600" s="368" t="n"/>
      <c r="L600" s="368" t="n"/>
      <c r="M600" s="368" t="n"/>
      <c r="N600" s="368" t="n"/>
      <c r="O600" s="368" t="n"/>
      <c r="P600" s="368" t="n"/>
      <c r="Q600" s="368" t="n"/>
      <c r="R600" s="369" t="n"/>
      <c r="S600" s="369" t="n"/>
      <c r="T600" s="369" t="n"/>
      <c r="U600" s="369" t="n"/>
      <c r="V600" s="369" t="n"/>
      <c r="W600" s="369" t="n"/>
      <c r="X600" s="369" t="n"/>
    </row>
    <row r="601" ht="15.5" customHeight="1" s="297">
      <c r="B601" s="333" t="n"/>
      <c r="C601" s="314" t="n"/>
      <c r="D601" s="330" t="inlineStr">
        <is>
          <t>Administrasi</t>
        </is>
      </c>
      <c r="E601" s="370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33" t="n">
        <v>45307</v>
      </c>
      <c r="C602" s="314" t="n">
        <v>1</v>
      </c>
      <c r="D602" s="326" t="inlineStr">
        <is>
          <t>Google Workspace PT. EWI</t>
        </is>
      </c>
      <c r="E602" s="326" t="inlineStr">
        <is>
          <t>-</t>
        </is>
      </c>
      <c r="F602" s="323" t="n">
        <v>306982</v>
      </c>
      <c r="G602" s="314" t="inlineStr">
        <is>
          <t>IDR</t>
        </is>
      </c>
      <c r="H602" s="346" t="n">
        <v>1</v>
      </c>
      <c r="I602" s="320">
        <f>F602</f>
        <v/>
      </c>
      <c r="J602" s="321" t="n"/>
      <c r="K602" s="321" t="n"/>
      <c r="L602" s="321" t="n"/>
      <c r="M602" s="329" t="n">
        <v>306982</v>
      </c>
      <c r="N602" s="321" t="n"/>
      <c r="O602" s="321" t="n"/>
      <c r="P602" s="321" t="n"/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33" t="n">
        <v>45338</v>
      </c>
      <c r="C603" s="314" t="n">
        <v>2</v>
      </c>
      <c r="D603" s="326" t="inlineStr">
        <is>
          <t>Google Workspace PT. EWI</t>
        </is>
      </c>
      <c r="E603" s="326" t="inlineStr">
        <is>
          <t>-</t>
        </is>
      </c>
      <c r="F603" s="323" t="n">
        <v>306982</v>
      </c>
      <c r="G603" s="314" t="inlineStr">
        <is>
          <t>IDR</t>
        </is>
      </c>
      <c r="H603" s="346" t="n">
        <v>1</v>
      </c>
      <c r="I603" s="320">
        <f>F603</f>
        <v/>
      </c>
      <c r="J603" s="321" t="n"/>
      <c r="K603" s="321" t="n"/>
      <c r="L603" s="321" t="n"/>
      <c r="M603" s="329" t="n">
        <v>306982</v>
      </c>
      <c r="N603" s="321" t="n"/>
      <c r="O603" s="321" t="n"/>
      <c r="P603" s="321" t="n"/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33" t="n">
        <v>45367</v>
      </c>
      <c r="C604" s="314" t="n">
        <v>3</v>
      </c>
      <c r="D604" s="370" t="inlineStr">
        <is>
          <t>Google Workspace PT. EWI</t>
        </is>
      </c>
      <c r="E604" s="370" t="inlineStr">
        <is>
          <t>-</t>
        </is>
      </c>
      <c r="F604" s="323" t="n">
        <v>306982</v>
      </c>
      <c r="G604" s="314" t="inlineStr">
        <is>
          <t>IDR</t>
        </is>
      </c>
      <c r="H604" s="346" t="n">
        <v>1</v>
      </c>
      <c r="I604" s="321" t="n"/>
      <c r="J604" s="321" t="n"/>
      <c r="K604" s="321" t="n"/>
      <c r="L604" s="321" t="n"/>
      <c r="M604" s="329" t="n">
        <v>306982</v>
      </c>
      <c r="N604" s="321" t="n"/>
      <c r="O604" s="321" t="n"/>
      <c r="P604" s="321" t="n"/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33" t="n">
        <v>45398</v>
      </c>
      <c r="C605" s="314" t="n">
        <v>4</v>
      </c>
      <c r="D605" s="326" t="inlineStr">
        <is>
          <t>Google Workspace PT. EWI</t>
        </is>
      </c>
      <c r="E605" s="326" t="inlineStr">
        <is>
          <t>-</t>
        </is>
      </c>
      <c r="F605" s="323" t="n">
        <v>306982</v>
      </c>
      <c r="G605" s="314" t="inlineStr">
        <is>
          <t>IDR</t>
        </is>
      </c>
      <c r="H605" s="346" t="n">
        <v>1</v>
      </c>
      <c r="I605" s="319">
        <f>$H605*$F605</f>
        <v/>
      </c>
      <c r="J605" s="321" t="n"/>
      <c r="K605" s="321" t="n"/>
      <c r="L605" s="321" t="n"/>
      <c r="M605" s="329" t="n">
        <v>306982</v>
      </c>
      <c r="N605" s="321" t="n"/>
      <c r="O605" s="321" t="n"/>
      <c r="P605" s="321" t="n"/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33" t="n">
        <v>45428</v>
      </c>
      <c r="C606" s="314" t="n">
        <v>5</v>
      </c>
      <c r="D606" s="326" t="inlineStr">
        <is>
          <t>Google Workspace PT. EWI</t>
        </is>
      </c>
      <c r="E606" s="326" t="inlineStr">
        <is>
          <t>-</t>
        </is>
      </c>
      <c r="F606" s="323" t="n">
        <v>306982</v>
      </c>
      <c r="G606" s="314" t="inlineStr">
        <is>
          <t>IDR</t>
        </is>
      </c>
      <c r="H606" s="346" t="n">
        <v>1</v>
      </c>
      <c r="I606" s="319">
        <f>$H606*$F606</f>
        <v/>
      </c>
      <c r="J606" s="321" t="n"/>
      <c r="K606" s="321" t="n"/>
      <c r="L606" s="321" t="n"/>
      <c r="M606" s="329" t="n">
        <v>306982</v>
      </c>
      <c r="N606" s="321" t="n"/>
      <c r="O606" s="321" t="n"/>
      <c r="P606" s="321" t="n"/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33" t="n">
        <v>45558</v>
      </c>
      <c r="C607" s="314" t="n">
        <v>5</v>
      </c>
      <c r="D607" s="330" t="inlineStr">
        <is>
          <t>Biaya Operasi</t>
        </is>
      </c>
      <c r="E607" s="326" t="n"/>
      <c r="F607" s="317" t="n">
        <v>280400</v>
      </c>
      <c r="G607" s="314" t="inlineStr">
        <is>
          <t>IDR</t>
        </is>
      </c>
      <c r="H607" s="314" t="n">
        <v>1</v>
      </c>
      <c r="I607" s="319">
        <f>$H607*$F607</f>
        <v/>
      </c>
      <c r="J607" s="321" t="n"/>
      <c r="K607" s="321" t="n"/>
      <c r="L607" s="321" t="n"/>
      <c r="M607" s="319" t="n"/>
      <c r="N607" s="321" t="n"/>
      <c r="O607" s="321" t="n"/>
      <c r="P607" s="321" t="n"/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33" t="n">
        <v>45335</v>
      </c>
      <c r="C608" s="314" t="n">
        <v>6</v>
      </c>
      <c r="D608" s="316" t="inlineStr">
        <is>
          <t>Shipment Benchmark DTR to Malaysia</t>
        </is>
      </c>
      <c r="E608" s="316" t="inlineStr">
        <is>
          <t>-</t>
        </is>
      </c>
      <c r="F608" s="323" t="n">
        <v>13201183.322</v>
      </c>
      <c r="G608" s="314" t="inlineStr">
        <is>
          <t>MYR</t>
        </is>
      </c>
      <c r="H608" s="346" t="n">
        <v>3636.89</v>
      </c>
      <c r="I608" s="319">
        <f>$H608*$F608</f>
        <v/>
      </c>
      <c r="J608" s="329" t="n">
        <v>13201183.322</v>
      </c>
      <c r="K608" s="321" t="n"/>
      <c r="L608" s="321" t="n"/>
      <c r="M608" s="319" t="n"/>
      <c r="N608" s="321" t="n"/>
      <c r="O608" s="321" t="n"/>
      <c r="P608" s="321" t="n"/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33" t="n">
        <v>45362</v>
      </c>
      <c r="C609" s="314" t="n">
        <v>7</v>
      </c>
      <c r="D609" s="326" t="inlineStr">
        <is>
          <t>Taxi Home - CGK Airport</t>
        </is>
      </c>
      <c r="E609" s="326" t="inlineStr">
        <is>
          <t>-</t>
        </is>
      </c>
      <c r="F609" s="323" t="n">
        <v>200000</v>
      </c>
      <c r="G609" s="314" t="inlineStr">
        <is>
          <t>IDR</t>
        </is>
      </c>
      <c r="H609" s="346" t="n">
        <v>1</v>
      </c>
      <c r="I609" s="319">
        <f>$H609*$F609</f>
        <v/>
      </c>
      <c r="J609" s="329" t="n">
        <v>200000</v>
      </c>
      <c r="K609" s="321" t="n"/>
      <c r="L609" s="321" t="n"/>
      <c r="M609" s="320" t="n"/>
      <c r="N609" s="321" t="n"/>
      <c r="O609" s="321" t="n"/>
      <c r="P609" s="321" t="n"/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33" t="n">
        <v>45362</v>
      </c>
      <c r="C610" s="314" t="n">
        <v>8</v>
      </c>
      <c r="D610" s="326" t="inlineStr">
        <is>
          <t>Flight CGK-KUL + Hotel 1 night</t>
        </is>
      </c>
      <c r="E610" s="326" t="inlineStr">
        <is>
          <t>-</t>
        </is>
      </c>
      <c r="F610" s="323" t="n">
        <v>1803353</v>
      </c>
      <c r="G610" s="314" t="inlineStr">
        <is>
          <t>IDR</t>
        </is>
      </c>
      <c r="H610" s="346" t="n">
        <v>1</v>
      </c>
      <c r="I610" s="319">
        <f>$H610*$F610</f>
        <v/>
      </c>
      <c r="J610" s="329" t="n">
        <v>1803353</v>
      </c>
      <c r="K610" s="321" t="n"/>
      <c r="L610" s="321" t="n"/>
      <c r="M610" s="319" t="n"/>
      <c r="N610" s="321" t="n"/>
      <c r="O610" s="321" t="n"/>
      <c r="P610" s="321" t="n"/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>
        <v>45362</v>
      </c>
      <c r="C611" s="389" t="n">
        <v>9</v>
      </c>
      <c r="D611" s="370" t="inlineStr">
        <is>
          <t>Train KLIA Airport to Hyperseal</t>
        </is>
      </c>
      <c r="E611" s="370" t="inlineStr">
        <is>
          <t>-</t>
        </is>
      </c>
      <c r="F611" s="323" t="n">
        <v>181844.5</v>
      </c>
      <c r="G611" s="314" t="inlineStr">
        <is>
          <t>MYR</t>
        </is>
      </c>
      <c r="H611" s="346" t="n">
        <v>3636.89</v>
      </c>
      <c r="I611" s="321" t="n"/>
      <c r="J611" s="329" t="n">
        <v>181844.5</v>
      </c>
      <c r="K611" s="321" t="n"/>
      <c r="L611" s="321" t="n"/>
      <c r="M611" s="319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45363</v>
      </c>
      <c r="C612" s="314" t="n">
        <v>10</v>
      </c>
      <c r="D612" s="326" t="inlineStr">
        <is>
          <t>Flight KUL- CGK</t>
        </is>
      </c>
      <c r="E612" s="326" t="inlineStr">
        <is>
          <t>-</t>
        </is>
      </c>
      <c r="F612" s="323" t="n">
        <v>1897983</v>
      </c>
      <c r="G612" s="314" t="inlineStr">
        <is>
          <t>IDR</t>
        </is>
      </c>
      <c r="H612" s="346" t="n">
        <v>1</v>
      </c>
      <c r="I612" s="320">
        <f>H612*F612</f>
        <v/>
      </c>
      <c r="J612" s="329" t="n">
        <v>1897983</v>
      </c>
      <c r="K612" s="321" t="n"/>
      <c r="L612" s="321" t="n"/>
      <c r="M612" s="319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45363</v>
      </c>
      <c r="C613" s="314" t="n">
        <v>11</v>
      </c>
      <c r="D613" s="326" t="inlineStr">
        <is>
          <t>Train Hyperseal to KLIA Airport</t>
        </is>
      </c>
      <c r="E613" s="326" t="inlineStr">
        <is>
          <t>-</t>
        </is>
      </c>
      <c r="F613" s="323" t="n">
        <v>181844.5</v>
      </c>
      <c r="G613" s="314" t="inlineStr">
        <is>
          <t>MYR</t>
        </is>
      </c>
      <c r="H613" s="346" t="n">
        <v>3636.89</v>
      </c>
      <c r="I613" s="320">
        <f>F613</f>
        <v/>
      </c>
      <c r="J613" s="329" t="n">
        <v>181844.5</v>
      </c>
      <c r="K613" s="321" t="n"/>
      <c r="L613" s="321" t="n"/>
      <c r="M613" s="319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47" t="n">
        <v>45363</v>
      </c>
      <c r="C614" s="348" t="n">
        <v>12</v>
      </c>
      <c r="D614" s="349" t="inlineStr">
        <is>
          <t>Taxi CGK Airport to Home</t>
        </is>
      </c>
      <c r="E614" s="349" t="inlineStr">
        <is>
          <t>-</t>
        </is>
      </c>
      <c r="F614" s="337" t="n">
        <v>200000</v>
      </c>
      <c r="G614" s="314" t="inlineStr">
        <is>
          <t>IDR</t>
        </is>
      </c>
      <c r="H614" s="346" t="n">
        <v>1</v>
      </c>
      <c r="I614" s="321" t="n"/>
      <c r="J614" s="329" t="n">
        <v>200000</v>
      </c>
      <c r="K614" s="321" t="n"/>
      <c r="L614" s="321" t="n"/>
      <c r="M614" s="319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45363</v>
      </c>
      <c r="C615" s="314" t="n">
        <v>13</v>
      </c>
      <c r="D615" s="350" t="inlineStr">
        <is>
          <t>Meals 2 days @ 300,000/day</t>
        </is>
      </c>
      <c r="E615" s="350" t="inlineStr">
        <is>
          <t>-</t>
        </is>
      </c>
      <c r="F615" s="323" t="n">
        <v>600000</v>
      </c>
      <c r="G615" s="314" t="inlineStr">
        <is>
          <t>IDR</t>
        </is>
      </c>
      <c r="H615" s="346" t="n">
        <v>1</v>
      </c>
      <c r="I615" s="321" t="n"/>
      <c r="J615" s="329" t="n">
        <v>600000</v>
      </c>
      <c r="K615" s="321" t="n"/>
      <c r="L615" s="321" t="n"/>
      <c r="M615" s="319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45404</v>
      </c>
      <c r="C616" s="314" t="n">
        <v>14</v>
      </c>
      <c r="D616" s="326" t="inlineStr">
        <is>
          <t>Car 22-23 Apr 2024 (2 days) incl. Fuel &amp; Tol</t>
        </is>
      </c>
      <c r="E616" s="326" t="inlineStr">
        <is>
          <t>-</t>
        </is>
      </c>
      <c r="F616" s="323" t="n">
        <v>3000000</v>
      </c>
      <c r="G616" s="314" t="inlineStr">
        <is>
          <t>IDR</t>
        </is>
      </c>
      <c r="H616" s="346" t="n">
        <v>1</v>
      </c>
      <c r="I616" s="319">
        <f>$H616*$F616</f>
        <v/>
      </c>
      <c r="J616" s="329" t="n">
        <v>3000000</v>
      </c>
      <c r="K616" s="321" t="n"/>
      <c r="L616" s="321" t="n"/>
      <c r="M616" s="321" t="n"/>
      <c r="N616" s="319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33" t="n">
        <v>45405</v>
      </c>
      <c r="C617" s="314" t="n">
        <v>15</v>
      </c>
      <c r="D617" s="326" t="inlineStr">
        <is>
          <t>Tunjangan Lapangan @ 1.5 juta/day x 2 days</t>
        </is>
      </c>
      <c r="E617" s="326" t="inlineStr">
        <is>
          <t>-</t>
        </is>
      </c>
      <c r="F617" s="323" t="n">
        <v>3000000</v>
      </c>
      <c r="G617" s="314" t="inlineStr">
        <is>
          <t>IDR</t>
        </is>
      </c>
      <c r="H617" s="346" t="n">
        <v>1</v>
      </c>
      <c r="I617" s="319">
        <f>$H617*$F617</f>
        <v/>
      </c>
      <c r="J617" s="329" t="n">
        <v>3000000</v>
      </c>
      <c r="K617" s="321" t="n"/>
      <c r="L617" s="321" t="n"/>
      <c r="M617" s="321" t="n"/>
      <c r="N617" s="321" t="n"/>
      <c r="O617" s="321" t="n"/>
      <c r="P617" s="321" t="n"/>
      <c r="Q617" s="321" t="n"/>
      <c r="R617" s="322" t="n"/>
      <c r="S617" s="322" t="n"/>
      <c r="T617" s="322" t="n"/>
      <c r="U617" s="322" t="n"/>
      <c r="V617" s="322" t="n"/>
      <c r="W617" s="322" t="n"/>
      <c r="X617" s="322" t="n"/>
    </row>
    <row r="618" ht="15.5" customHeight="1" s="297">
      <c r="B618" s="333" t="n">
        <v>45405</v>
      </c>
      <c r="C618" s="314" t="n">
        <v>16</v>
      </c>
      <c r="D618" s="395" t="inlineStr">
        <is>
          <t>Meals 2 days @ 150,000/day</t>
        </is>
      </c>
      <c r="E618" s="395" t="inlineStr">
        <is>
          <t>-</t>
        </is>
      </c>
      <c r="F618" s="323" t="n">
        <v>300000</v>
      </c>
      <c r="G618" s="314" t="inlineStr">
        <is>
          <t>IDR</t>
        </is>
      </c>
      <c r="H618" s="346" t="n">
        <v>1</v>
      </c>
      <c r="I618" s="321" t="n"/>
      <c r="J618" s="329" t="n">
        <v>300000</v>
      </c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45412</v>
      </c>
      <c r="C619" s="314" t="n">
        <v>17</v>
      </c>
      <c r="D619" s="326" t="inlineStr">
        <is>
          <t>Car 30 Apr-01 May 2024 (2 days) incl. Fuel &amp; Tol</t>
        </is>
      </c>
      <c r="E619" s="326" t="inlineStr">
        <is>
          <t>-</t>
        </is>
      </c>
      <c r="F619" s="323" t="n">
        <v>3000000</v>
      </c>
      <c r="G619" s="314" t="inlineStr">
        <is>
          <t>IDR</t>
        </is>
      </c>
      <c r="H619" s="346" t="n">
        <v>1</v>
      </c>
      <c r="I619" s="320">
        <f>F619</f>
        <v/>
      </c>
      <c r="J619" s="329" t="n">
        <v>3000000</v>
      </c>
      <c r="K619" s="321" t="n"/>
      <c r="L619" s="321" t="n"/>
      <c r="M619" s="319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45646</v>
      </c>
      <c r="C620" s="314" t="n">
        <v>18</v>
      </c>
      <c r="D620" s="370" t="inlineStr">
        <is>
          <t>Taxi Home to KCIC Train station</t>
        </is>
      </c>
      <c r="E620" s="370" t="inlineStr">
        <is>
          <t>-</t>
        </is>
      </c>
      <c r="F620" s="323" t="n">
        <v>100000</v>
      </c>
      <c r="G620" s="314" t="inlineStr">
        <is>
          <t>IDR</t>
        </is>
      </c>
      <c r="H620" s="346" t="n">
        <v>1</v>
      </c>
      <c r="I620" s="321" t="n"/>
      <c r="J620" s="329" t="n">
        <v>100000</v>
      </c>
      <c r="K620" s="321" t="n"/>
      <c r="L620" s="321" t="n"/>
      <c r="M620" s="319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>
        <v>45646</v>
      </c>
      <c r="C621" s="314" t="n">
        <v>19</v>
      </c>
      <c r="D621" s="395" t="inlineStr">
        <is>
          <t>Train Round trip Jakarta - Bandung @200K/trip</t>
        </is>
      </c>
      <c r="E621" s="395" t="inlineStr">
        <is>
          <t>-</t>
        </is>
      </c>
      <c r="F621" s="323" t="n">
        <v>400000</v>
      </c>
      <c r="G621" s="314" t="inlineStr">
        <is>
          <t>IDR</t>
        </is>
      </c>
      <c r="H621" s="346" t="n">
        <v>1</v>
      </c>
      <c r="I621" s="321" t="n"/>
      <c r="J621" s="329" t="n">
        <v>400000</v>
      </c>
      <c r="K621" s="321" t="n"/>
      <c r="L621" s="321" t="n"/>
      <c r="M621" s="320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45647</v>
      </c>
      <c r="C622" s="314" t="n">
        <v>20</v>
      </c>
      <c r="D622" s="326" t="inlineStr">
        <is>
          <t>Hotel 1 night 20 - 21 Dec 2024</t>
        </is>
      </c>
      <c r="E622" s="326" t="inlineStr">
        <is>
          <t>-</t>
        </is>
      </c>
      <c r="F622" s="323" t="n">
        <v>784000</v>
      </c>
      <c r="G622" s="314" t="inlineStr">
        <is>
          <t>IDR</t>
        </is>
      </c>
      <c r="H622" s="346" t="n">
        <v>1</v>
      </c>
      <c r="I622" s="320">
        <f>F622</f>
        <v/>
      </c>
      <c r="J622" s="329" t="n">
        <v>784000</v>
      </c>
      <c r="K622" s="321" t="n"/>
      <c r="L622" s="321" t="n"/>
      <c r="M622" s="319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45647</v>
      </c>
      <c r="C623" s="314" t="n">
        <v>21</v>
      </c>
      <c r="D623" s="395" t="inlineStr">
        <is>
          <t>Taxi from KCIC Stationa Halim to Home</t>
        </is>
      </c>
      <c r="E623" s="395" t="inlineStr">
        <is>
          <t>-</t>
        </is>
      </c>
      <c r="F623" s="323" t="n">
        <v>100000</v>
      </c>
      <c r="G623" s="314" t="inlineStr">
        <is>
          <t>IDR</t>
        </is>
      </c>
      <c r="H623" s="346" t="n">
        <v>1</v>
      </c>
      <c r="I623" s="321" t="n"/>
      <c r="J623" s="329" t="n">
        <v>100000</v>
      </c>
      <c r="K623" s="321" t="n"/>
      <c r="L623" s="321" t="n"/>
      <c r="M623" s="320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45647</v>
      </c>
      <c r="C624" s="314" t="n">
        <v>22</v>
      </c>
      <c r="D624" s="326" t="inlineStr">
        <is>
          <t>Meals 2 days @ 150,000/day</t>
        </is>
      </c>
      <c r="E624" s="326" t="inlineStr">
        <is>
          <t>-</t>
        </is>
      </c>
      <c r="F624" s="323" t="n">
        <v>300000</v>
      </c>
      <c r="G624" s="314" t="inlineStr">
        <is>
          <t>IDR</t>
        </is>
      </c>
      <c r="H624" s="346" t="n">
        <v>1</v>
      </c>
      <c r="I624" s="320">
        <f>F624</f>
        <v/>
      </c>
      <c r="J624" s="329" t="n">
        <v>300000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61" t="inlineStr">
        <is>
          <t>Expense#46</t>
        </is>
      </c>
      <c r="C625" s="362" t="inlineStr">
        <is>
          <t>:</t>
        </is>
      </c>
      <c r="D625" s="363" t="inlineStr">
        <is>
          <t>Non trip - Training BSS - AC</t>
        </is>
      </c>
      <c r="E625" s="374" t="n"/>
      <c r="F625" s="378" t="n"/>
      <c r="G625" s="362" t="n"/>
      <c r="H625" s="362" t="n"/>
      <c r="I625" s="368" t="n"/>
      <c r="J625" s="368" t="n"/>
      <c r="K625" s="368" t="n"/>
      <c r="L625" s="368" t="n"/>
      <c r="M625" s="368" t="n"/>
      <c r="N625" s="368" t="n"/>
      <c r="O625" s="368" t="n"/>
      <c r="P625" s="368" t="n"/>
      <c r="Q625" s="368" t="n"/>
      <c r="R625" s="369" t="n"/>
      <c r="S625" s="369" t="n"/>
      <c r="T625" s="369" t="n"/>
      <c r="U625" s="369" t="n"/>
      <c r="V625" s="369" t="n"/>
      <c r="W625" s="369" t="n"/>
      <c r="X625" s="369" t="n"/>
    </row>
    <row r="626" ht="15.5" customHeight="1" s="297">
      <c r="B626" s="333" t="n">
        <v>45585</v>
      </c>
      <c r="C626" s="314" t="n">
        <v>8</v>
      </c>
      <c r="D626" s="330" t="inlineStr">
        <is>
          <t>Biaya Operasi</t>
        </is>
      </c>
      <c r="E626" s="326" t="n"/>
      <c r="F626" s="317" t="n">
        <v>1800</v>
      </c>
      <c r="G626" s="314" t="inlineStr">
        <is>
          <t>USD</t>
        </is>
      </c>
      <c r="H626" s="314" t="n">
        <v>15849</v>
      </c>
      <c r="I626" s="379">
        <f>H626*F626</f>
        <v/>
      </c>
      <c r="J626" s="321" t="n"/>
      <c r="K626" s="321" t="n"/>
      <c r="L626" s="321" t="n"/>
      <c r="M626" s="321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47" t="n">
        <v>45636</v>
      </c>
      <c r="C627" s="348" t="n">
        <v>1</v>
      </c>
      <c r="D627" s="349" t="inlineStr">
        <is>
          <t>Traning Basic Sea Survival (BSS)</t>
        </is>
      </c>
      <c r="E627" s="349" t="inlineStr">
        <is>
          <t>-</t>
        </is>
      </c>
      <c r="F627" s="337" t="n">
        <v>2700000</v>
      </c>
      <c r="G627" s="314" t="inlineStr">
        <is>
          <t>IDR</t>
        </is>
      </c>
      <c r="H627" s="346" t="n">
        <v>1</v>
      </c>
      <c r="I627" s="321" t="n"/>
      <c r="J627" s="329" t="n">
        <v>2700000</v>
      </c>
      <c r="K627" s="321" t="n"/>
      <c r="L627" s="321" t="n"/>
      <c r="M627" s="321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61" t="inlineStr">
        <is>
          <t>Expense#47</t>
        </is>
      </c>
      <c r="C628" s="362" t="inlineStr">
        <is>
          <t>:</t>
        </is>
      </c>
      <c r="D628" s="363" t="inlineStr">
        <is>
          <t>Trip Rakan : BSTTraining at HSSE Training Center PT Pertamina EP Zone 7 Cirebon</t>
        </is>
      </c>
      <c r="E628" s="374" t="n"/>
      <c r="F628" s="378" t="n"/>
      <c r="G628" s="362" t="n"/>
      <c r="H628" s="362" t="n"/>
      <c r="I628" s="368" t="n"/>
      <c r="J628" s="368" t="n"/>
      <c r="K628" s="368" t="n"/>
      <c r="L628" s="368" t="n"/>
      <c r="M628" s="368" t="n"/>
      <c r="N628" s="368" t="n"/>
      <c r="O628" s="368" t="n"/>
      <c r="P628" s="368" t="n"/>
      <c r="Q628" s="368" t="n"/>
      <c r="R628" s="369" t="n"/>
      <c r="S628" s="369" t="n"/>
      <c r="T628" s="369" t="n"/>
      <c r="U628" s="369" t="n"/>
      <c r="V628" s="369" t="n"/>
      <c r="W628" s="369" t="n"/>
      <c r="X628" s="369" t="n"/>
    </row>
    <row r="629" ht="15.5" customHeight="1" s="297">
      <c r="B629" s="333" t="n">
        <v>45622</v>
      </c>
      <c r="C629" s="314" t="n">
        <v>1</v>
      </c>
      <c r="D629" s="330" t="inlineStr">
        <is>
          <t>Biaya Operasi</t>
        </is>
      </c>
      <c r="E629" s="326" t="n"/>
      <c r="F629" s="317" t="n">
        <v>2700000</v>
      </c>
      <c r="G629" s="314" t="inlineStr">
        <is>
          <t>IDR</t>
        </is>
      </c>
      <c r="H629" s="314" t="n">
        <v>1</v>
      </c>
      <c r="I629" s="319">
        <f>$F629*$H629</f>
        <v/>
      </c>
      <c r="J629" s="321" t="n"/>
      <c r="K629" s="321" t="n"/>
      <c r="L629" s="321" t="n"/>
      <c r="M629" s="321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45655</v>
      </c>
      <c r="C630" s="314" t="n">
        <v>1</v>
      </c>
      <c r="D630" s="370" t="inlineStr">
        <is>
          <t>Transport Train, (Jakarta to Cirebon)</t>
        </is>
      </c>
      <c r="E630" s="370" t="inlineStr">
        <is>
          <t>-</t>
        </is>
      </c>
      <c r="F630" s="323" t="n">
        <v>200000</v>
      </c>
      <c r="G630" s="314" t="inlineStr">
        <is>
          <t>IDR</t>
        </is>
      </c>
      <c r="H630" s="346" t="n">
        <v>1</v>
      </c>
      <c r="I630" s="321" t="n"/>
      <c r="J630" s="329" t="n">
        <v>200000</v>
      </c>
      <c r="K630" s="321" t="n"/>
      <c r="L630" s="321" t="n"/>
      <c r="M630" s="321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33" t="n">
        <v>45655</v>
      </c>
      <c r="C631" s="314" t="n">
        <v>2</v>
      </c>
      <c r="D631" s="326" t="inlineStr">
        <is>
          <t>Gojek (Cirendeu to Gambir Station)</t>
        </is>
      </c>
      <c r="E631" s="326" t="inlineStr">
        <is>
          <t>-</t>
        </is>
      </c>
      <c r="F631" s="323" t="n">
        <v>61500</v>
      </c>
      <c r="G631" s="314" t="inlineStr">
        <is>
          <t>IDR</t>
        </is>
      </c>
      <c r="H631" s="346" t="n">
        <v>1</v>
      </c>
      <c r="I631" s="319">
        <f>$H631*$F631</f>
        <v/>
      </c>
      <c r="J631" s="329" t="n">
        <v>61500</v>
      </c>
      <c r="K631" s="321" t="n"/>
      <c r="L631" s="321" t="n"/>
      <c r="M631" s="321" t="n"/>
      <c r="N631" s="321" t="n"/>
      <c r="O631" s="321" t="n"/>
      <c r="P631" s="321" t="n"/>
      <c r="Q631" s="321" t="n"/>
      <c r="R631" s="322" t="n"/>
      <c r="S631" s="322" t="n"/>
      <c r="T631" s="322" t="n"/>
      <c r="U631" s="322" t="n"/>
      <c r="V631" s="322" t="n"/>
      <c r="W631" s="322" t="n"/>
      <c r="X631" s="322" t="n"/>
    </row>
    <row r="632" ht="15.5" customHeight="1" s="297">
      <c r="B632" s="333" t="n">
        <v>45655</v>
      </c>
      <c r="C632" s="314" t="n">
        <v>3</v>
      </c>
      <c r="D632" s="326" t="inlineStr">
        <is>
          <t>Gojek (Cirebon Station to Hotel)</t>
        </is>
      </c>
      <c r="E632" s="326" t="inlineStr">
        <is>
          <t>-</t>
        </is>
      </c>
      <c r="F632" s="323" t="n">
        <v>12500</v>
      </c>
      <c r="G632" s="314" t="inlineStr">
        <is>
          <t>IDR</t>
        </is>
      </c>
      <c r="H632" s="346" t="n">
        <v>1</v>
      </c>
      <c r="I632" s="319">
        <f>$H632*$F632</f>
        <v/>
      </c>
      <c r="J632" s="329" t="n">
        <v>12500</v>
      </c>
      <c r="K632" s="321" t="n"/>
      <c r="L632" s="321" t="n"/>
      <c r="M632" s="321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45655</v>
      </c>
      <c r="C633" s="314" t="n">
        <v>4</v>
      </c>
      <c r="D633" s="326" t="inlineStr">
        <is>
          <t>Accomodation Hotel (Pia Hotel 29 - 30 des, 1 Night)</t>
        </is>
      </c>
      <c r="E633" s="326" t="inlineStr">
        <is>
          <t>-</t>
        </is>
      </c>
      <c r="F633" s="323" t="n">
        <v>224000</v>
      </c>
      <c r="G633" s="314" t="inlineStr">
        <is>
          <t>IDR</t>
        </is>
      </c>
      <c r="H633" s="346" t="n">
        <v>1</v>
      </c>
      <c r="I633" s="319">
        <f>$H633*$F633</f>
        <v/>
      </c>
      <c r="J633" s="329" t="n">
        <v>224000</v>
      </c>
      <c r="K633" s="321" t="n"/>
      <c r="L633" s="321" t="n"/>
      <c r="M633" s="321" t="n"/>
      <c r="N633" s="321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45656</v>
      </c>
      <c r="C634" s="314" t="n">
        <v>5</v>
      </c>
      <c r="D634" s="326" t="inlineStr">
        <is>
          <t>Transport Train (Cirebon to Jakarta)</t>
        </is>
      </c>
      <c r="E634" s="326" t="inlineStr">
        <is>
          <t>-</t>
        </is>
      </c>
      <c r="F634" s="323" t="n">
        <v>140000</v>
      </c>
      <c r="G634" s="314" t="inlineStr">
        <is>
          <t>IDR</t>
        </is>
      </c>
      <c r="H634" s="346" t="n">
        <v>1</v>
      </c>
      <c r="I634" s="319">
        <f>$H634*$F634</f>
        <v/>
      </c>
      <c r="J634" s="329" t="n">
        <v>140000</v>
      </c>
      <c r="K634" s="321" t="n"/>
      <c r="L634" s="321" t="n"/>
      <c r="M634" s="319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>
        <v>45656</v>
      </c>
      <c r="C635" s="314" t="n">
        <v>6</v>
      </c>
      <c r="D635" s="326" t="inlineStr">
        <is>
          <t>Gojek (Hotel to HSSE Training Center PEP Zone 7)</t>
        </is>
      </c>
      <c r="E635" s="326" t="inlineStr">
        <is>
          <t>-</t>
        </is>
      </c>
      <c r="F635" s="323" t="n">
        <v>11000</v>
      </c>
      <c r="G635" s="314" t="inlineStr">
        <is>
          <t>IDR</t>
        </is>
      </c>
      <c r="H635" s="346" t="n">
        <v>1</v>
      </c>
      <c r="I635" s="319">
        <f>$H635*$F635</f>
        <v/>
      </c>
      <c r="J635" s="329" t="n">
        <v>11000</v>
      </c>
      <c r="K635" s="321" t="n"/>
      <c r="L635" s="321" t="n"/>
      <c r="M635" s="319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47" t="n">
        <v>45656</v>
      </c>
      <c r="C636" s="348" t="n">
        <v>7</v>
      </c>
      <c r="D636" s="349" t="inlineStr">
        <is>
          <t>Gojek (CSB to Cirebon Train Station)</t>
        </is>
      </c>
      <c r="E636" s="349" t="inlineStr">
        <is>
          <t>-</t>
        </is>
      </c>
      <c r="F636" s="337" t="n">
        <v>11000</v>
      </c>
      <c r="G636" s="314" t="inlineStr">
        <is>
          <t>IDR</t>
        </is>
      </c>
      <c r="H636" s="346" t="n">
        <v>1</v>
      </c>
      <c r="I636" s="321" t="n"/>
      <c r="J636" s="329" t="n">
        <v>11000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408" t="n">
        <v>45656</v>
      </c>
      <c r="C637" s="409" t="n">
        <v>8</v>
      </c>
      <c r="D637" s="410" t="inlineStr">
        <is>
          <t>Gojek (Gambir Station to Cirendeu)</t>
        </is>
      </c>
      <c r="E637" s="410" t="inlineStr">
        <is>
          <t>-</t>
        </is>
      </c>
      <c r="F637" s="411" t="n">
        <v>66000</v>
      </c>
      <c r="G637" s="314" t="inlineStr">
        <is>
          <t>IDR</t>
        </is>
      </c>
      <c r="H637" s="346" t="n">
        <v>1</v>
      </c>
      <c r="I637" s="321" t="n"/>
      <c r="J637" s="329" t="n">
        <v>66000</v>
      </c>
      <c r="K637" s="321" t="n"/>
      <c r="L637" s="321" t="n"/>
      <c r="M637" s="321" t="n"/>
      <c r="N637" s="319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412" t="n">
        <v>45656</v>
      </c>
      <c r="C638" s="409" t="n">
        <v>9</v>
      </c>
      <c r="D638" s="413" t="inlineStr">
        <is>
          <t>Meal Allowance 2 Days (29 - 30 December 2024)@ 150 rb</t>
        </is>
      </c>
      <c r="E638" s="413" t="inlineStr">
        <is>
          <t>-</t>
        </is>
      </c>
      <c r="F638" s="414" t="n">
        <v>300000</v>
      </c>
      <c r="G638" s="314" t="inlineStr">
        <is>
          <t>IDR</t>
        </is>
      </c>
      <c r="H638" s="346" t="n">
        <v>1</v>
      </c>
      <c r="I638" s="321" t="n"/>
      <c r="J638" s="329" t="n">
        <v>300000</v>
      </c>
      <c r="K638" s="321" t="n"/>
      <c r="L638" s="321" t="n"/>
      <c r="M638" s="319">
        <f>$H638*$F638</f>
        <v/>
      </c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415" t="inlineStr">
        <is>
          <t>TOTAL</t>
        </is>
      </c>
      <c r="C639" s="416" t="n"/>
      <c r="D639" s="417" t="inlineStr">
        <is>
          <t>Plastic folder 3 pcs</t>
        </is>
      </c>
      <c r="E639" s="417" t="n"/>
      <c r="F639" s="418">
        <f>SUM(F41:F638)</f>
        <v/>
      </c>
      <c r="G639" s="419" t="inlineStr">
        <is>
          <t>IDR</t>
        </is>
      </c>
      <c r="H639" s="419" t="n">
        <v>1</v>
      </c>
      <c r="I639" s="420">
        <f>SUM(I41:I638)</f>
        <v/>
      </c>
      <c r="J639" s="420">
        <f>SUM(J41:J638)</f>
        <v/>
      </c>
      <c r="K639" s="420">
        <f>SUM(K41:K638)</f>
        <v/>
      </c>
      <c r="L639" s="420">
        <f>SUM(L41:L638)</f>
        <v/>
      </c>
      <c r="M639" s="421">
        <f>SUM(M41:M638)</f>
        <v/>
      </c>
      <c r="N639" s="420">
        <f>SUM(N41:N638)</f>
        <v/>
      </c>
      <c r="O639" s="420">
        <f>SUM(O41:O638)</f>
        <v/>
      </c>
      <c r="P639" s="420">
        <f>SUM(P41:P638)</f>
        <v/>
      </c>
      <c r="Q639" s="420">
        <f>SUM(Q41:Q638)</f>
        <v/>
      </c>
      <c r="R639" s="420">
        <f>SUM(R41:R638)</f>
        <v/>
      </c>
      <c r="S639" s="420">
        <f>SUM(S41:S638)</f>
        <v/>
      </c>
      <c r="T639" s="420">
        <f>SUM(T41:T638)</f>
        <v/>
      </c>
      <c r="U639" s="420">
        <f>SUM(U41:U638)</f>
        <v/>
      </c>
      <c r="V639" s="420">
        <f>SUM(V41:V638)</f>
        <v/>
      </c>
      <c r="W639" s="420">
        <f>SUM(W41:W638)</f>
        <v/>
      </c>
      <c r="X639" s="420">
        <f>SUM(X41:X638)</f>
        <v/>
      </c>
    </row>
    <row r="640" hidden="1" ht="15.5" customHeight="1" s="297">
      <c r="B640" s="42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42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42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42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42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42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42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42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42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42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42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42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42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42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42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42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42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42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42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42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23" t="n"/>
      <c r="K741" s="423" t="n"/>
      <c r="L741" s="423" t="n"/>
      <c r="M741" s="423" t="n"/>
      <c r="N741" s="423" t="n"/>
      <c r="O741" s="42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24" t="n"/>
      <c r="K742" s="424" t="n"/>
      <c r="L742" s="423" t="n"/>
      <c r="M742" s="424" t="n"/>
      <c r="N742" s="424" t="n"/>
      <c r="O742" s="42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24" t="n"/>
      <c r="K743" s="424" t="n"/>
      <c r="L743" s="423" t="n"/>
      <c r="M743" s="424" t="n"/>
      <c r="N743" s="424" t="n"/>
      <c r="O743" s="42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24" t="n"/>
      <c r="K744" s="424" t="n"/>
      <c r="L744" s="423" t="n"/>
      <c r="M744" s="424" t="n"/>
      <c r="N744" s="424" t="n"/>
      <c r="O744" s="42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24" t="n"/>
      <c r="K745" s="424" t="n"/>
      <c r="L745" s="423" t="n"/>
      <c r="M745" s="424" t="n"/>
      <c r="N745" s="424" t="n"/>
      <c r="O745" s="42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24" t="n"/>
      <c r="K746" s="424" t="n"/>
      <c r="L746" s="423" t="n"/>
      <c r="M746" s="424" t="n"/>
      <c r="N746" s="424" t="n"/>
      <c r="O746" s="42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24" t="n"/>
      <c r="K747" s="424" t="n"/>
      <c r="L747" s="423" t="n"/>
      <c r="M747" s="424" t="n"/>
      <c r="N747" s="424" t="n"/>
      <c r="O747" s="42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24" t="n"/>
      <c r="K748" s="424" t="n"/>
      <c r="L748" s="423" t="n"/>
      <c r="M748" s="424" t="n"/>
      <c r="N748" s="424" t="n"/>
      <c r="O748" s="42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24" t="n"/>
      <c r="K749" s="424" t="n"/>
      <c r="L749" s="424" t="n"/>
      <c r="M749" s="424" t="n"/>
      <c r="N749" s="424" t="n"/>
      <c r="O749" s="42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991500000</v>
      </c>
      <c r="J750" s="120" t="n">
        <v>1165223146.932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  <c r="G3" s="429" t="inlineStr">
        <is>
          <t>PT. EXSPAN WIRELINE INDONESIA</t>
        </is>
      </c>
      <c r="H3" s="429" t="n"/>
      <c r="I3" s="429" t="n"/>
      <c r="J3" s="429" t="n"/>
    </row>
    <row r="4" ht="20.5" customHeight="1" s="297">
      <c r="A4" s="425" t="n"/>
      <c r="B4" s="430" t="inlineStr">
        <is>
          <t>LABA RUGI | TAHUN 2024</t>
        </is>
      </c>
      <c r="F4" s="428" t="n"/>
      <c r="G4" s="431" t="inlineStr">
        <is>
          <t>NERACA | TAHUN YANG BERAKHIR, 31 DESEMBER 2024</t>
        </is>
      </c>
      <c r="H4" s="431" t="n"/>
      <c r="I4" s="431" t="n"/>
      <c r="J4" s="431" t="n"/>
      <c r="K4" s="432" t="inlineStr">
        <is>
          <t>CATATAN KEAMANAN</t>
        </is>
      </c>
    </row>
    <row r="5" ht="6" customHeight="1" s="297">
      <c r="A5" s="425" t="n"/>
      <c r="B5" s="425" t="n"/>
      <c r="C5" s="425" t="n"/>
      <c r="D5" s="425" t="n"/>
      <c r="E5" s="426" t="n"/>
      <c r="F5" s="428" t="n"/>
      <c r="G5" s="428" t="n"/>
      <c r="H5" s="433" t="n"/>
      <c r="I5" s="433" t="n"/>
      <c r="J5" s="433" t="n"/>
      <c r="K5" t="inlineStr">
        <is>
          <t>Kolom ini aman dari overwrite sistem.</t>
        </is>
      </c>
    </row>
    <row r="6" ht="15.5" customHeight="1" s="297">
      <c r="A6" s="425" t="n"/>
      <c r="B6" s="434" t="n"/>
      <c r="C6" s="435" t="n"/>
      <c r="D6" s="436" t="inlineStr">
        <is>
          <t>PT. Exspan Wireline Indonesia</t>
        </is>
      </c>
      <c r="E6" s="289" t="n"/>
      <c r="F6" s="428" t="n"/>
      <c r="G6" s="437" t="n"/>
      <c r="H6" s="438" t="n"/>
      <c r="I6" s="436" t="inlineStr">
        <is>
          <t>PT. Exspan Wireline Indonesia</t>
        </is>
      </c>
      <c r="J6" s="289" t="n"/>
      <c r="K6" t="inlineStr">
        <is>
          <t>Diverifikasi pada: 2026-03-30 11:52</t>
        </is>
      </c>
    </row>
    <row r="7" ht="15.5" customHeight="1" s="297">
      <c r="A7" s="425" t="n"/>
      <c r="B7" s="439" t="n"/>
      <c r="C7" s="440" t="n"/>
      <c r="D7" s="441" t="inlineStr">
        <is>
          <t>(Rp)</t>
        </is>
      </c>
      <c r="E7" s="290" t="n"/>
      <c r="F7" s="428" t="n"/>
      <c r="G7" s="442" t="n"/>
      <c r="H7" s="443" t="n"/>
      <c r="I7" s="441" t="inlineStr">
        <is>
          <t>(Rp)</t>
        </is>
      </c>
      <c r="J7" s="290" t="n"/>
    </row>
    <row r="8">
      <c r="A8" s="425" t="n"/>
      <c r="B8" s="444" t="inlineStr">
        <is>
          <t>PENDAPATAN</t>
        </is>
      </c>
      <c r="C8" s="445" t="n"/>
      <c r="D8" s="446" t="n"/>
      <c r="E8" s="447" t="n"/>
      <c r="F8" s="428" t="n"/>
      <c r="G8" s="448" t="inlineStr">
        <is>
          <t>AKTIVA</t>
        </is>
      </c>
      <c r="H8" s="449" t="n"/>
      <c r="I8" s="450" t="n"/>
      <c r="J8" s="451" t="n"/>
    </row>
    <row r="9">
      <c r="A9" s="425" t="n"/>
      <c r="B9" s="452" t="n"/>
      <c r="C9" s="445" t="inlineStr">
        <is>
          <t>PENDAPATAN LANGSUNG</t>
        </is>
      </c>
      <c r="D9" s="452" t="inlineStr">
        <is>
          <t>Rp</t>
        </is>
      </c>
      <c r="E9" s="453">
        <f>SUM('Revenue-Cost_2024'!F8:F20)</f>
        <v/>
      </c>
      <c r="F9" s="428" t="n"/>
      <c r="G9" s="454" t="inlineStr">
        <is>
          <t>AKTIVA LANCAR</t>
        </is>
      </c>
      <c r="H9" s="455" t="n"/>
      <c r="I9" s="454" t="n"/>
      <c r="J9" s="456" t="n"/>
    </row>
    <row r="10">
      <c r="A10" s="425" t="n"/>
      <c r="B10" s="452" t="n"/>
      <c r="C10" s="445" t="inlineStr">
        <is>
          <t>PENDAPATAN LAIN LAIN</t>
        </is>
      </c>
      <c r="D10" s="452" t="inlineStr">
        <is>
          <t>Rp</t>
        </is>
      </c>
      <c r="E10" s="453">
        <f>SUM('Revenue-Cost_2024'!F21)</f>
        <v/>
      </c>
      <c r="F10" s="428" t="n"/>
      <c r="G10" s="457" t="n"/>
      <c r="H10" s="458" t="inlineStr">
        <is>
          <t>KAS DAN SETARA KAS TAHUN SEBELUMNYA</t>
        </is>
      </c>
      <c r="I10" s="452" t="inlineStr">
        <is>
          <t>Rp</t>
        </is>
      </c>
      <c r="J10" s="459" t="n">
        <v>0</v>
      </c>
    </row>
    <row r="11">
      <c r="A11" s="425" t="n"/>
      <c r="B11" s="452" t="n"/>
      <c r="C11" s="445" t="n"/>
      <c r="D11" s="460" t="n"/>
      <c r="E11" s="461" t="n"/>
      <c r="F11" s="428" t="n"/>
      <c r="G11" s="457" t="n"/>
      <c r="H11" s="458" t="inlineStr">
        <is>
          <t>KAS DAN SETARA KAS TAHUN LAPORAN</t>
        </is>
      </c>
      <c r="I11" s="452" t="inlineStr">
        <is>
          <t>Rp</t>
        </is>
      </c>
      <c r="J11" s="459">
        <f>E46-'Business Summary'!E13</f>
        <v/>
      </c>
    </row>
    <row r="12">
      <c r="A12" s="425" t="n"/>
      <c r="B12" s="462" t="inlineStr">
        <is>
          <t>TOTALPENDAPATAN</t>
        </is>
      </c>
      <c r="C12" s="463" t="n"/>
      <c r="D12" s="464" t="inlineStr">
        <is>
          <t>Rp</t>
        </is>
      </c>
      <c r="E12" s="465">
        <f>SUM(E9:E11)</f>
        <v/>
      </c>
      <c r="F12" s="428" t="n"/>
      <c r="G12" s="457" t="n"/>
      <c r="H12" s="458" t="inlineStr">
        <is>
          <t>PIUTANG USAHA</t>
        </is>
      </c>
      <c r="I12" s="452" t="inlineStr">
        <is>
          <t>Rp</t>
        </is>
      </c>
      <c r="J12" s="459" t="n">
        <v>0</v>
      </c>
    </row>
    <row r="13">
      <c r="A13" s="425" t="n"/>
      <c r="B13" s="452" t="n"/>
      <c r="C13" s="445" t="n"/>
      <c r="D13" s="446" t="n"/>
      <c r="E13" s="466" t="n"/>
      <c r="F13" s="428" t="n"/>
      <c r="G13" s="457" t="n"/>
      <c r="H13" s="458" t="inlineStr">
        <is>
          <t>PAJAK BAYAR DI MUKA (pph23)</t>
        </is>
      </c>
      <c r="I13" s="452" t="inlineStr">
        <is>
          <t>Rp</t>
        </is>
      </c>
      <c r="J13" s="459" t="n">
        <v>0</v>
      </c>
    </row>
    <row r="14">
      <c r="A14" s="425" t="n"/>
      <c r="B14" s="467" t="inlineStr">
        <is>
          <t>BEBAN LANGSUNG</t>
        </is>
      </c>
      <c r="C14" s="445" t="n"/>
      <c r="D14" s="452" t="n"/>
      <c r="E14" s="468" t="n"/>
      <c r="F14" s="428" t="n"/>
      <c r="G14" s="457" t="n"/>
      <c r="H14" s="458" t="inlineStr">
        <is>
          <t>BIAYA BAYAR DI MUKA</t>
        </is>
      </c>
      <c r="I14" s="452" t="inlineStr">
        <is>
          <t>Rp</t>
        </is>
      </c>
      <c r="J14" s="459" t="n">
        <v>0</v>
      </c>
    </row>
    <row r="15">
      <c r="A15" s="425" t="n"/>
      <c r="B15" s="469" t="n"/>
      <c r="C15" s="445" t="inlineStr">
        <is>
          <t xml:space="preserve">Biaya Operasi </t>
        </is>
      </c>
      <c r="D15" s="452" t="inlineStr">
        <is>
          <t>Rp</t>
        </is>
      </c>
      <c r="E15" s="468">
        <f>'Revenue-Cost_2024'!I750</f>
        <v/>
      </c>
      <c r="F15" s="428" t="n"/>
      <c r="G15" s="470" t="n"/>
      <c r="H15" s="458" t="inlineStr">
        <is>
          <t>PIUTANG LAIN LAIN</t>
        </is>
      </c>
      <c r="I15" s="452" t="inlineStr">
        <is>
          <t>Rp</t>
        </is>
      </c>
      <c r="J15" s="459" t="n">
        <v>0</v>
      </c>
    </row>
    <row r="16">
      <c r="A16" s="425" t="n"/>
      <c r="B16" s="469" t="n"/>
      <c r="C16" s="445" t="inlineStr">
        <is>
          <t>Biaya research (R &amp; D)</t>
        </is>
      </c>
      <c r="D16" s="452" t="inlineStr">
        <is>
          <t>Rp</t>
        </is>
      </c>
      <c r="E16" s="468">
        <f>'Revenue-Cost_2024'!J750</f>
        <v/>
      </c>
      <c r="F16" s="428" t="n"/>
      <c r="G16" s="471" t="n"/>
      <c r="H16" s="472" t="inlineStr">
        <is>
          <t>TOTAL AKTIVA LANCAR</t>
        </is>
      </c>
      <c r="I16" s="464" t="inlineStr">
        <is>
          <t>Rp</t>
        </is>
      </c>
      <c r="J16" s="473">
        <f>SUM(J10:J15)</f>
        <v/>
      </c>
    </row>
    <row r="17">
      <c r="A17" s="425" t="n"/>
      <c r="B17" s="469" t="n"/>
      <c r="C17" s="445" t="inlineStr">
        <is>
          <t>BIAYA SEWA PERALATAN</t>
        </is>
      </c>
      <c r="D17" s="452" t="inlineStr">
        <is>
          <t>Rp</t>
        </is>
      </c>
      <c r="E17" s="468">
        <f>'Revenue-Cost_2024'!K750</f>
        <v/>
      </c>
      <c r="F17" s="428" t="n"/>
      <c r="G17" s="457" t="n"/>
      <c r="H17" s="458" t="n"/>
      <c r="I17" s="474" t="n"/>
      <c r="J17" s="475" t="n"/>
    </row>
    <row r="18">
      <c r="A18" s="425" t="n"/>
      <c r="B18" s="469" t="n"/>
      <c r="C18" s="445" t="inlineStr">
        <is>
          <t>BIAYA Data Processing</t>
        </is>
      </c>
      <c r="D18" s="452" t="inlineStr">
        <is>
          <t>Rp</t>
        </is>
      </c>
      <c r="E18" s="468">
        <f>'Revenue-Cost_2024'!L750</f>
        <v/>
      </c>
      <c r="F18" s="428" t="n"/>
      <c r="G18" s="454" t="inlineStr">
        <is>
          <t>ACTIVA TETAP</t>
        </is>
      </c>
      <c r="H18" s="476" t="n"/>
      <c r="I18" s="448" t="n"/>
      <c r="J18" s="459" t="n"/>
    </row>
    <row r="19">
      <c r="A19" s="425" t="n"/>
      <c r="B19" s="469" t="n"/>
      <c r="C19" s="445" t="n"/>
      <c r="D19" s="452" t="n"/>
      <c r="E19" s="468" t="n"/>
      <c r="F19" s="428" t="n"/>
      <c r="G19" s="454" t="n"/>
      <c r="H19" s="476" t="n"/>
      <c r="I19" s="448" t="n"/>
      <c r="J19" s="459" t="n"/>
    </row>
    <row r="20">
      <c r="A20" s="425" t="n"/>
      <c r="B20" s="469" t="n"/>
      <c r="C20" s="445" t="n"/>
      <c r="D20" s="460" t="n"/>
      <c r="E20" s="477" t="n"/>
      <c r="F20" s="428" t="n"/>
      <c r="G20" s="457" t="n"/>
      <c r="H20" s="458" t="inlineStr">
        <is>
          <t>INVENTARIS KANTOR</t>
        </is>
      </c>
      <c r="I20" s="452" t="inlineStr">
        <is>
          <t>Rp</t>
        </is>
      </c>
      <c r="J20" s="459" t="n">
        <v>0</v>
      </c>
    </row>
    <row r="21">
      <c r="A21" s="425" t="n"/>
      <c r="B21" s="462" t="inlineStr">
        <is>
          <t>TOTAL BIAYA LANGSUNG</t>
        </is>
      </c>
      <c r="C21" s="463" t="n"/>
      <c r="D21" s="464" t="inlineStr">
        <is>
          <t>Rp</t>
        </is>
      </c>
      <c r="E21" s="478">
        <f>SUM(E15:E20)</f>
        <v/>
      </c>
      <c r="F21" s="428" t="n"/>
      <c r="G21" s="457" t="n"/>
      <c r="H21" s="476" t="n"/>
      <c r="I21" s="479" t="n"/>
      <c r="J21" s="480" t="n"/>
    </row>
    <row r="22">
      <c r="A22" s="425" t="n"/>
      <c r="B22" s="452" t="n"/>
      <c r="C22" s="445" t="n"/>
      <c r="D22" s="446" t="n"/>
      <c r="E22" s="481" t="n"/>
      <c r="F22" s="428" t="n"/>
      <c r="G22" s="471" t="n"/>
      <c r="H22" s="472" t="inlineStr">
        <is>
          <t>TOTAL AKTIVA TETAP</t>
        </is>
      </c>
      <c r="I22" s="464" t="inlineStr">
        <is>
          <t>Rp</t>
        </is>
      </c>
      <c r="J22" s="473">
        <f>J20</f>
        <v/>
      </c>
    </row>
    <row r="23">
      <c r="A23" s="425" t="n"/>
      <c r="B23" s="467" t="inlineStr">
        <is>
          <t>BEBAN TIDAK LANGSUNG</t>
        </is>
      </c>
      <c r="C23" s="445" t="n"/>
      <c r="D23" s="452" t="n"/>
      <c r="E23" s="468">
        <f>'Revenue-Cost_2024'!Q750</f>
        <v/>
      </c>
      <c r="F23" s="428" t="n"/>
      <c r="G23" s="457" t="n"/>
      <c r="H23" s="458" t="n"/>
      <c r="I23" s="474" t="n"/>
      <c r="J23" s="451" t="n"/>
    </row>
    <row r="24">
      <c r="A24" s="425" t="n"/>
      <c r="B24" s="452" t="n"/>
      <c r="C24" s="445" t="n"/>
      <c r="D24" s="452" t="n"/>
      <c r="E24" s="468" t="n"/>
      <c r="F24" s="428" t="n"/>
      <c r="G24" s="454" t="inlineStr">
        <is>
          <t>ACTIVA LAIN LAIN</t>
        </is>
      </c>
      <c r="H24" s="476" t="n"/>
      <c r="I24" s="448" t="n"/>
      <c r="J24" s="459" t="n">
        <v>0</v>
      </c>
    </row>
    <row r="25">
      <c r="A25" s="425" t="n"/>
      <c r="B25" s="452" t="n"/>
      <c r="C25" s="445" t="n"/>
      <c r="D25" s="452" t="inlineStr">
        <is>
          <t>Rp</t>
        </is>
      </c>
      <c r="E25" s="468" t="n"/>
      <c r="F25" s="428" t="n"/>
      <c r="G25" s="457" t="n"/>
      <c r="H25" s="458" t="n"/>
      <c r="I25" s="482" t="n"/>
      <c r="J25" s="483" t="n">
        <v>0</v>
      </c>
    </row>
    <row r="26">
      <c r="A26" s="425" t="n"/>
      <c r="B26" s="452" t="n"/>
      <c r="C26" s="445" t="n"/>
      <c r="D26" s="460" t="n"/>
      <c r="E26" s="477" t="n"/>
      <c r="F26" s="428" t="n"/>
      <c r="G26" s="471" t="n"/>
      <c r="H26" s="472" t="inlineStr">
        <is>
          <t>TOTAL AKTIVA LAIN LAIN</t>
        </is>
      </c>
      <c r="I26" s="464" t="inlineStr">
        <is>
          <t>Rp</t>
        </is>
      </c>
      <c r="J26" s="473">
        <f>SUM(J25:J25)</f>
        <v/>
      </c>
    </row>
    <row r="27">
      <c r="A27" s="425" t="n"/>
      <c r="B27" s="462" t="inlineStr">
        <is>
          <t>TOTAL BIAYA TIDAK LANGSUNG</t>
        </is>
      </c>
      <c r="C27" s="463" t="n"/>
      <c r="D27" s="464" t="inlineStr">
        <is>
          <t>Rp</t>
        </is>
      </c>
      <c r="E27" s="478">
        <f>SUM(E22:E26)</f>
        <v/>
      </c>
      <c r="F27" s="428" t="n"/>
      <c r="G27" s="457" t="n"/>
      <c r="H27" s="458" t="n"/>
      <c r="I27" s="484" t="n"/>
      <c r="J27" s="485" t="n"/>
    </row>
    <row r="28">
      <c r="A28" s="425" t="n"/>
      <c r="B28" s="452" t="n"/>
      <c r="C28" s="445" t="n"/>
      <c r="D28" s="446" t="n"/>
      <c r="E28" s="481" t="n"/>
      <c r="F28" s="428" t="n"/>
      <c r="G28" s="462" t="inlineStr">
        <is>
          <t>TOTAL AKTIVA</t>
        </is>
      </c>
      <c r="H28" s="463" t="n"/>
      <c r="I28" s="464" t="inlineStr">
        <is>
          <t>Rp</t>
        </is>
      </c>
      <c r="J28" s="486">
        <f>J26+J22+J16</f>
        <v/>
      </c>
    </row>
    <row r="29">
      <c r="A29" s="425" t="n"/>
      <c r="B29" s="467" t="inlineStr">
        <is>
          <t>BIAYA ADMINISTRASI DAN UMUM</t>
        </is>
      </c>
      <c r="C29" s="445" t="n"/>
      <c r="D29" s="452" t="n"/>
      <c r="E29" s="468" t="n"/>
      <c r="F29" s="428" t="n"/>
      <c r="G29" s="487" t="n"/>
      <c r="H29" s="488" t="n"/>
      <c r="I29" s="487" t="n"/>
      <c r="J29" s="475" t="n"/>
    </row>
    <row r="30">
      <c r="A30" s="425" t="n"/>
      <c r="B30" s="469" t="n"/>
      <c r="C30" s="445" t="inlineStr">
        <is>
          <t>BIAYA ADMINISTRASI</t>
        </is>
      </c>
      <c r="D30" s="452" t="inlineStr">
        <is>
          <t>Rp</t>
        </is>
      </c>
      <c r="E30" s="468">
        <f>'Revenue-Cost_2024'!M750</f>
        <v/>
      </c>
      <c r="F30" s="428" t="n"/>
      <c r="G30" s="489" t="inlineStr">
        <is>
          <t>HUTANG DAN MODAL</t>
        </is>
      </c>
      <c r="H30" s="449" t="n"/>
      <c r="I30" s="489" t="n"/>
      <c r="J30" s="490" t="n"/>
    </row>
    <row r="31">
      <c r="A31" s="425" t="n"/>
      <c r="B31" s="469" t="n"/>
      <c r="C31" s="445" t="inlineStr">
        <is>
          <t>BIAYA PEMBELIAN Barang</t>
        </is>
      </c>
      <c r="D31" s="452" t="inlineStr">
        <is>
          <t>Rp</t>
        </is>
      </c>
      <c r="E31" s="468">
        <f>'Revenue-Cost_2024'!N750</f>
        <v/>
      </c>
      <c r="F31" s="428" t="n"/>
      <c r="G31" s="489" t="n"/>
      <c r="H31" s="449" t="n"/>
      <c r="I31" s="489" t="n"/>
      <c r="J31" s="490" t="n"/>
    </row>
    <row r="32">
      <c r="A32" s="425" t="n"/>
      <c r="B32" s="469" t="n"/>
      <c r="C32" s="445" t="inlineStr">
        <is>
          <t>BIAYA SEWA KANTOR</t>
        </is>
      </c>
      <c r="D32" s="452" t="inlineStr">
        <is>
          <t>Rp</t>
        </is>
      </c>
      <c r="E32" s="468">
        <f>'Revenue-Cost_2024'!O750</f>
        <v/>
      </c>
      <c r="F32" s="428" t="n"/>
      <c r="G32" s="454" t="inlineStr">
        <is>
          <t>HUTANG LANCAR</t>
        </is>
      </c>
      <c r="H32" s="455" t="n"/>
      <c r="I32" s="454" t="n"/>
      <c r="J32" s="456" t="n"/>
    </row>
    <row r="33">
      <c r="A33" s="425" t="n"/>
      <c r="B33" s="469" t="n"/>
      <c r="C33" s="445" t="inlineStr">
        <is>
          <t>BIAYA KESEHATAN</t>
        </is>
      </c>
      <c r="D33" s="452" t="inlineStr">
        <is>
          <t>Rp</t>
        </is>
      </c>
      <c r="E33" s="468">
        <f>'Revenue-Cost_2024'!P750</f>
        <v/>
      </c>
      <c r="F33" s="428" t="n"/>
      <c r="G33" s="457" t="n"/>
      <c r="H33" s="458" t="inlineStr">
        <is>
          <t>HUTANG USAHA</t>
        </is>
      </c>
      <c r="I33" s="452" t="inlineStr">
        <is>
          <t>Rp</t>
        </is>
      </c>
      <c r="J33" s="459" t="n">
        <v>0</v>
      </c>
    </row>
    <row r="34">
      <c r="A34" s="425" t="n"/>
      <c r="B34" s="469" t="n"/>
      <c r="C34" s="445" t="n"/>
      <c r="D34" s="460" t="n"/>
      <c r="E34" s="477" t="n"/>
      <c r="F34" s="428" t="n"/>
      <c r="G34" s="457" t="n"/>
      <c r="H34" s="491" t="inlineStr">
        <is>
          <t>HUTANG GAJI</t>
        </is>
      </c>
      <c r="I34" s="452" t="inlineStr">
        <is>
          <t>Rp</t>
        </is>
      </c>
      <c r="J34" s="459" t="n">
        <v>0</v>
      </c>
    </row>
    <row r="35">
      <c r="A35" s="425" t="n"/>
      <c r="B35" s="462" t="inlineStr">
        <is>
          <t>TOTAL BIAYA ADMINISTRASI DAN UMUM</t>
        </is>
      </c>
      <c r="C35" s="463" t="n"/>
      <c r="D35" s="464" t="inlineStr">
        <is>
          <t>Rp</t>
        </is>
      </c>
      <c r="E35" s="465">
        <f>SUM(E30:E34)</f>
        <v/>
      </c>
      <c r="F35" s="428" t="n"/>
      <c r="G35" s="457" t="n"/>
      <c r="H35" s="458" t="inlineStr">
        <is>
          <t>HUTANG PEMEGANG SAHAM</t>
        </is>
      </c>
      <c r="I35" s="452" t="inlineStr">
        <is>
          <t>Rp</t>
        </is>
      </c>
      <c r="J35" s="459" t="n">
        <v>0</v>
      </c>
    </row>
    <row r="36">
      <c r="A36" s="425" t="n"/>
      <c r="B36" s="469" t="n"/>
      <c r="C36" s="445" t="n"/>
      <c r="D36" s="464" t="n"/>
      <c r="E36" s="492" t="n"/>
      <c r="F36" s="428" t="n"/>
      <c r="G36" s="457" t="n"/>
      <c r="H36" s="458" t="inlineStr">
        <is>
          <t>BIAYA YANG MASIH HARUS DI BAYAR</t>
        </is>
      </c>
      <c r="I36" s="452" t="inlineStr">
        <is>
          <t>Rp</t>
        </is>
      </c>
      <c r="J36" s="459" t="n">
        <v>0</v>
      </c>
    </row>
    <row r="37">
      <c r="A37" s="425" t="n"/>
      <c r="B37" s="462" t="inlineStr">
        <is>
          <t>TOTAL BIAYA</t>
        </is>
      </c>
      <c r="C37" s="463" t="n"/>
      <c r="D37" s="464" t="inlineStr">
        <is>
          <t>Rp</t>
        </is>
      </c>
      <c r="E37" s="465">
        <f>E35+E21+E27</f>
        <v/>
      </c>
      <c r="F37" s="428" t="n"/>
      <c r="G37" s="493" t="n"/>
      <c r="H37" s="494" t="n"/>
      <c r="I37" s="493" t="n"/>
      <c r="J37" s="495" t="n"/>
    </row>
    <row r="38">
      <c r="A38" s="425" t="n"/>
      <c r="B38" s="444" t="n"/>
      <c r="C38" s="496" t="n"/>
      <c r="D38" s="446" t="n"/>
      <c r="E38" s="497" t="n"/>
      <c r="F38" s="428" t="n"/>
      <c r="G38" s="471" t="n"/>
      <c r="H38" s="472" t="inlineStr">
        <is>
          <t>TOTAL HUTANG LANCAR</t>
        </is>
      </c>
      <c r="I38" s="498" t="n"/>
      <c r="J38" s="473">
        <f>SUM(J33:J36)</f>
        <v/>
      </c>
    </row>
    <row r="39">
      <c r="A39" s="425" t="n"/>
      <c r="B39" s="467" t="inlineStr">
        <is>
          <t xml:space="preserve">PENDAPATAN/BEBAN LAIN LAIN </t>
        </is>
      </c>
      <c r="C39" s="445" t="n"/>
      <c r="D39" s="452" t="inlineStr">
        <is>
          <t>Rp</t>
        </is>
      </c>
      <c r="E39" s="499" t="n"/>
      <c r="F39" s="428" t="n"/>
      <c r="G39" s="457" t="n"/>
      <c r="H39" s="476" t="n"/>
      <c r="I39" s="500" t="n"/>
      <c r="J39" s="451" t="n"/>
    </row>
    <row r="40">
      <c r="A40" s="425" t="n"/>
      <c r="B40" s="467" t="n"/>
      <c r="C40" s="445" t="inlineStr">
        <is>
          <t>PENDAPATAN LAINNYA</t>
        </is>
      </c>
      <c r="D40" s="452" t="inlineStr">
        <is>
          <t>Rp</t>
        </is>
      </c>
      <c r="E40" s="453" t="n">
        <v>0</v>
      </c>
      <c r="F40" s="428" t="n"/>
      <c r="G40" s="454" t="inlineStr">
        <is>
          <t>MODAL</t>
        </is>
      </c>
      <c r="H40" s="455" t="n"/>
      <c r="I40" s="454" t="n"/>
      <c r="J40" s="456" t="n"/>
    </row>
    <row r="41">
      <c r="A41" s="425" t="n"/>
      <c r="B41" s="467" t="n"/>
      <c r="C41" s="445" t="n"/>
      <c r="D41" s="460" t="n"/>
      <c r="E41" s="501" t="n"/>
      <c r="F41" s="428" t="n"/>
      <c r="G41" s="457" t="n"/>
      <c r="H41" s="458" t="inlineStr">
        <is>
          <t>MODAL SAHAM</t>
        </is>
      </c>
      <c r="I41" s="452" t="inlineStr">
        <is>
          <t>Rp</t>
        </is>
      </c>
      <c r="J41" s="459" t="n">
        <v>0</v>
      </c>
    </row>
    <row r="42">
      <c r="A42" s="425" t="n"/>
      <c r="B42" s="462" t="inlineStr">
        <is>
          <t>LABA RUGI SEBELUM PAJAK</t>
        </is>
      </c>
      <c r="C42" s="463" t="n"/>
      <c r="D42" s="464" t="inlineStr">
        <is>
          <t>Rp</t>
        </is>
      </c>
      <c r="E42" s="465">
        <f>E12-E37</f>
        <v/>
      </c>
      <c r="F42" s="428" t="n"/>
      <c r="G42" s="457" t="n"/>
      <c r="H42" s="458" t="inlineStr">
        <is>
          <t>LABA DI TAHAN</t>
        </is>
      </c>
      <c r="I42" s="452" t="inlineStr">
        <is>
          <t>Rp</t>
        </is>
      </c>
      <c r="J42" s="459" t="n">
        <v>0</v>
      </c>
    </row>
    <row r="43">
      <c r="A43" s="425" t="n"/>
      <c r="B43" s="502" t="n"/>
      <c r="C43" s="496" t="n"/>
      <c r="D43" s="446" t="n"/>
      <c r="E43" s="466" t="n"/>
      <c r="F43" s="428" t="n"/>
      <c r="G43" s="454" t="n"/>
      <c r="H43" s="458" t="inlineStr">
        <is>
          <t>TOTAL LABA (RUGI) DITAHAN</t>
        </is>
      </c>
      <c r="I43" s="460" t="inlineStr">
        <is>
          <t>Rp</t>
        </is>
      </c>
      <c r="J43" s="483">
        <f>J28-J38-J41-J42</f>
        <v/>
      </c>
    </row>
    <row r="44">
      <c r="A44" s="425" t="n"/>
      <c r="B44" s="467" t="inlineStr">
        <is>
          <t>CORPORATE TAX (PPh 29)</t>
        </is>
      </c>
      <c r="D44" s="452" t="inlineStr">
        <is>
          <t>Rp</t>
        </is>
      </c>
      <c r="E44" s="453" t="n">
        <v>0</v>
      </c>
      <c r="F44" s="428" t="n"/>
      <c r="G44" s="471" t="n"/>
      <c r="H44" s="472" t="inlineStr">
        <is>
          <t>TOTAL MODAL</t>
        </is>
      </c>
      <c r="I44" s="464" t="inlineStr">
        <is>
          <t>Rp</t>
        </is>
      </c>
      <c r="J44" s="473">
        <f>SUM(J41:J43)</f>
        <v/>
      </c>
    </row>
    <row r="45">
      <c r="A45" s="425" t="n"/>
      <c r="B45" s="467" t="n"/>
      <c r="C45" s="445" t="n"/>
      <c r="D45" s="460" t="n"/>
      <c r="E45" s="501" t="n"/>
      <c r="F45" s="428" t="n"/>
      <c r="G45" s="457" t="n"/>
      <c r="H45" s="458" t="n"/>
      <c r="I45" s="484" t="n"/>
      <c r="J45" s="485" t="n"/>
    </row>
    <row r="46" ht="15" customHeight="1" s="297">
      <c r="A46" s="425" t="n"/>
      <c r="B46" s="503" t="inlineStr">
        <is>
          <t>LABA / RUGI BERSIH</t>
        </is>
      </c>
      <c r="C46" s="303" t="n"/>
      <c r="D46" s="504" t="n"/>
      <c r="E46" s="505">
        <f>E42-E44</f>
        <v/>
      </c>
      <c r="F46" s="428" t="n"/>
      <c r="G46" s="506" t="inlineStr">
        <is>
          <t>TOTAL HUTANG DAN MODAL</t>
        </is>
      </c>
      <c r="H46" s="507" t="n"/>
      <c r="I46" s="504" t="inlineStr">
        <is>
          <t>Rp</t>
        </is>
      </c>
      <c r="J46" s="508">
        <f>J44+J38</f>
        <v/>
      </c>
    </row>
    <row r="47" ht="4.5" customHeight="1" s="297">
      <c r="A47" s="425" t="n"/>
      <c r="F47" s="428" t="n"/>
    </row>
    <row r="48" ht="50.65" customHeight="1" s="297">
      <c r="A48" s="425" t="n"/>
      <c r="F48" s="428" t="n"/>
      <c r="G48" s="509" t="n"/>
    </row>
    <row r="49" ht="16.75" customHeight="1" s="297">
      <c r="A49" s="425" t="n"/>
      <c r="B49" s="510" t="n"/>
      <c r="F49" s="428" t="n"/>
      <c r="G49" s="510" t="n"/>
    </row>
    <row r="50" ht="15.65" customHeight="1" s="297">
      <c r="A50" s="445" t="n"/>
      <c r="B50" s="511" t="inlineStr">
        <is>
          <t>Direktur</t>
        </is>
      </c>
      <c r="F50" s="428" t="n"/>
      <c r="G50" s="511" t="inlineStr">
        <is>
          <t>Direktur</t>
        </is>
      </c>
    </row>
    <row r="51">
      <c r="A51" s="445" t="n"/>
      <c r="F51" s="428" t="n"/>
    </row>
    <row r="52">
      <c r="A52" s="445" t="n"/>
      <c r="F52" s="428" t="n"/>
      <c r="J52" s="51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25" t="n"/>
      <c r="B1" s="425" t="n"/>
      <c r="C1" s="425" t="n"/>
      <c r="D1" s="425" t="n"/>
      <c r="E1" s="426" t="n"/>
    </row>
    <row r="2" ht="37.25" customHeight="1" s="297">
      <c r="A2" s="425" t="n"/>
      <c r="B2" s="425" t="n"/>
      <c r="C2" s="425" t="n"/>
      <c r="D2" s="425" t="n"/>
      <c r="E2" s="426" t="n"/>
    </row>
    <row r="3" ht="33.65" customHeight="1" s="297">
      <c r="A3" s="425" t="n"/>
      <c r="B3" s="427" t="inlineStr">
        <is>
          <t>PT. EXSPAN WIRELINE INDONESIA</t>
        </is>
      </c>
      <c r="F3" s="428" t="n"/>
    </row>
    <row r="4" ht="20.5" customHeight="1" s="297">
      <c r="A4" s="425" t="n"/>
      <c r="B4" s="430" t="inlineStr">
        <is>
          <t>BUSINESS SUMMARY | TAHUN 2024</t>
        </is>
      </c>
      <c r="F4" s="428" t="n"/>
    </row>
    <row r="5" ht="6" customHeight="1" s="297">
      <c r="A5" s="425" t="n"/>
      <c r="B5" s="425" t="n"/>
      <c r="C5" s="425" t="n"/>
      <c r="D5" s="425" t="n"/>
      <c r="E5" s="426" t="n"/>
      <c r="F5" s="428" t="n"/>
    </row>
    <row r="6" ht="19" customHeight="1" s="297">
      <c r="A6" s="425" t="n"/>
      <c r="B6" s="513" t="inlineStr">
        <is>
          <t>#</t>
        </is>
      </c>
      <c r="C6" s="513" t="inlineStr">
        <is>
          <t>Items</t>
        </is>
      </c>
      <c r="D6" s="514" t="inlineStr">
        <is>
          <t>Amount</t>
        </is>
      </c>
      <c r="E6" s="279" t="n"/>
      <c r="F6" s="428" t="n"/>
    </row>
    <row r="7" ht="19" customHeight="1" s="297">
      <c r="A7" s="425" t="n"/>
      <c r="B7" s="515" t="n">
        <v>1</v>
      </c>
      <c r="C7" s="516" t="inlineStr">
        <is>
          <t>Revenue</t>
        </is>
      </c>
      <c r="D7" s="517" t="inlineStr">
        <is>
          <t>Rp</t>
        </is>
      </c>
      <c r="E7" s="518">
        <f>'Revenue-Cost_2024'!F22</f>
        <v/>
      </c>
      <c r="F7" s="428" t="n"/>
    </row>
    <row r="8" ht="19" customHeight="1" s="297">
      <c r="A8" s="425" t="n"/>
      <c r="B8" s="515" t="n">
        <v>2</v>
      </c>
      <c r="C8" s="516" t="inlineStr">
        <is>
          <t>Revenue Diterima (Setelah Pajak)</t>
        </is>
      </c>
      <c r="D8" s="517" t="inlineStr">
        <is>
          <t>Rp</t>
        </is>
      </c>
      <c r="E8" s="518">
        <f>E7-'Revenue-Cost_2024'!N22</f>
        <v/>
      </c>
      <c r="F8" s="428" t="n"/>
    </row>
    <row r="9" ht="19" customHeight="1" s="297">
      <c r="A9" s="425" t="n"/>
      <c r="B9" s="515" t="n">
        <v>3</v>
      </c>
      <c r="C9" s="516" t="inlineStr">
        <is>
          <t>Biaya</t>
        </is>
      </c>
      <c r="D9" s="517" t="inlineStr">
        <is>
          <t>Rp</t>
        </is>
      </c>
      <c r="E9" s="518">
        <f>SUM('Revenue-Cost_2024'!I750:Q750)</f>
        <v/>
      </c>
      <c r="F9" s="428" t="n"/>
    </row>
    <row r="10" ht="19" customHeight="1" s="297">
      <c r="A10" s="425" t="n"/>
      <c r="B10" s="515" t="n">
        <v>4</v>
      </c>
      <c r="C10" s="516" t="inlineStr">
        <is>
          <t>Profit SebelumTax</t>
        </is>
      </c>
      <c r="D10" s="517" t="inlineStr">
        <is>
          <t>Rp</t>
        </is>
      </c>
      <c r="E10" s="518">
        <f>E7-E9</f>
        <v/>
      </c>
      <c r="F10" s="428" t="n"/>
    </row>
    <row r="11" ht="19" customHeight="1" s="297">
      <c r="A11" s="425" t="n"/>
      <c r="B11" s="515" t="n">
        <v>5</v>
      </c>
      <c r="C11" s="516" t="inlineStr">
        <is>
          <t>PPh Badan (22%*50%)</t>
        </is>
      </c>
      <c r="D11" s="517" t="inlineStr">
        <is>
          <t>Rp</t>
        </is>
      </c>
      <c r="E11" s="518">
        <f>E10*22%*50%</f>
        <v/>
      </c>
      <c r="F11" s="428" t="n"/>
    </row>
    <row r="12" ht="19" customHeight="1" s="297">
      <c r="A12" s="425" t="n"/>
      <c r="B12" s="515" t="n">
        <v>6</v>
      </c>
      <c r="C12" s="516" t="inlineStr">
        <is>
          <t>PPh 23 Dipotong oleh client</t>
        </is>
      </c>
      <c r="D12" s="517" t="inlineStr">
        <is>
          <t>Rp</t>
        </is>
      </c>
      <c r="E12" s="518">
        <f>'Revenue-Cost_2024'!N22</f>
        <v/>
      </c>
      <c r="F12" s="428" t="n"/>
    </row>
    <row r="13" ht="19" customHeight="1" s="297">
      <c r="A13" s="425" t="n"/>
      <c r="B13" s="515" t="n">
        <v>7</v>
      </c>
      <c r="C13" s="516" t="inlineStr">
        <is>
          <t>Kekurangan Bayar PPh Badan</t>
        </is>
      </c>
      <c r="D13" s="517" t="inlineStr">
        <is>
          <t>Rp</t>
        </is>
      </c>
      <c r="E13" s="519">
        <f>E11-E12</f>
        <v/>
      </c>
      <c r="F13" s="428" t="n"/>
    </row>
    <row r="14" ht="19" customHeight="1" s="297">
      <c r="A14" s="425" t="n"/>
      <c r="B14" s="515" t="n">
        <v>8</v>
      </c>
      <c r="C14" s="516" t="inlineStr">
        <is>
          <t>Profit After Tax</t>
        </is>
      </c>
      <c r="D14" s="517" t="inlineStr">
        <is>
          <t>Rp</t>
        </is>
      </c>
      <c r="E14" s="518">
        <f>E10-E13</f>
        <v/>
      </c>
      <c r="F14" s="428" t="n"/>
    </row>
    <row r="15" ht="19" customHeight="1" s="297">
      <c r="A15" s="425" t="n"/>
      <c r="B15" s="515" t="n">
        <v>9</v>
      </c>
      <c r="C15" s="516" t="inlineStr">
        <is>
          <t>Deviden Dibagi</t>
        </is>
      </c>
      <c r="D15" s="517" t="inlineStr">
        <is>
          <t>Rp</t>
        </is>
      </c>
      <c r="E15" s="518">
        <f>E14-E16</f>
        <v/>
      </c>
      <c r="F15" s="428" t="n"/>
    </row>
    <row r="16" ht="19" customHeight="1" s="297">
      <c r="A16" s="425" t="n"/>
      <c r="B16" s="515" t="n">
        <v>10</v>
      </c>
      <c r="C16" s="516" t="inlineStr">
        <is>
          <t>Profit Ditahan</t>
        </is>
      </c>
      <c r="D16" s="517" t="inlineStr">
        <is>
          <t>Rp</t>
        </is>
      </c>
      <c r="E16" s="518" t="n">
        <v>33763737</v>
      </c>
      <c r="F16" s="428" t="n"/>
    </row>
    <row r="17">
      <c r="A17" s="425" t="n"/>
      <c r="B17" s="425" t="n"/>
      <c r="C17" s="425" t="n"/>
      <c r="D17" s="425" t="n"/>
      <c r="E17" s="426" t="n"/>
      <c r="F17" s="428" t="n"/>
    </row>
    <row r="18" ht="18" customHeight="1" s="297">
      <c r="A18" s="425" t="n"/>
      <c r="B18" s="520" t="inlineStr">
        <is>
          <t>DEVIDEN</t>
        </is>
      </c>
      <c r="F18" s="428" t="n"/>
    </row>
    <row r="19" ht="19" customHeight="1" s="297">
      <c r="A19" s="425" t="n"/>
      <c r="B19" s="521" t="inlineStr">
        <is>
          <t>#</t>
        </is>
      </c>
      <c r="C19" s="521" t="inlineStr">
        <is>
          <t>Nama Lengkap</t>
        </is>
      </c>
      <c r="D19" s="521" t="inlineStr"/>
      <c r="E19" s="522" t="inlineStr">
        <is>
          <t>Amount</t>
        </is>
      </c>
      <c r="F19" s="428" t="inlineStr"/>
      <c r="G19" s="523" t="inlineStr">
        <is>
          <t>Pajak</t>
        </is>
      </c>
    </row>
    <row r="20" ht="19" customHeight="1" s="297">
      <c r="A20" s="425" t="n"/>
      <c r="B20" s="524" t="n">
        <v>1</v>
      </c>
      <c r="C20" s="525" t="inlineStr">
        <is>
          <t>Anevril Chairulsyah</t>
        </is>
      </c>
      <c r="D20" s="525" t="inlineStr">
        <is>
          <t>Rp</t>
        </is>
      </c>
      <c r="E20" s="526">
        <f>IF(C20="","",INT($E$15/COUNTA($C$20:$C$21)))</f>
        <v/>
      </c>
      <c r="F20" s="428" t="n"/>
      <c r="G20" s="527" t="inlineStr">
        <is>
          <t>Pajak 10%</t>
        </is>
      </c>
    </row>
    <row r="21" ht="48.75" customHeight="1" s="297">
      <c r="A21" s="445" t="n"/>
      <c r="B21" s="528" t="n">
        <v>2</v>
      </c>
      <c r="C21" s="528" t="inlineStr">
        <is>
          <t>Alan Muhadjir</t>
        </is>
      </c>
      <c r="D21" s="528" t="inlineStr">
        <is>
          <t>Rp</t>
        </is>
      </c>
      <c r="E21" s="529">
        <f>IF(C21="","",INT($E$15/COUNTA($C$20:$C$21)))</f>
        <v/>
      </c>
      <c r="F21" s="428" t="n"/>
      <c r="G21" t="inlineStr">
        <is>
          <t>Pajak 10%</t>
        </is>
      </c>
    </row>
    <row r="22">
      <c r="A22" s="445" t="n"/>
      <c r="F22" s="42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2026-03-30T04:52:23Z</dcterms:modified>
  <cp:lastModifiedBy>Diofavian - Student</cp:lastModifiedBy>
</cp:coreProperties>
</file>