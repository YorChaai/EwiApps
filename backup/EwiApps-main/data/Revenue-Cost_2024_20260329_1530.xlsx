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0" fillId="11" borderId="0" pivotButton="0" quotePrefix="0" xfId="0"/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3" fontId="8" fillId="11" borderId="4" pivotButton="0" quotePrefix="0" xfId="0"/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10" fillId="11" borderId="8" pivotButton="0" quotePrefix="0" xfId="1"/>
    <xf numFmtId="165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3" fontId="10" fillId="11" borderId="9" pivotButton="0" quotePrefix="0" xfId="2"/>
    <xf numFmtId="3" fontId="10" fillId="11" borderId="0" pivotButton="0" quotePrefix="0" xfId="1"/>
    <xf numFmtId="165" fontId="8" fillId="11" borderId="4" pivotButton="0" quotePrefix="0" xfId="1"/>
    <xf numFmtId="165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8" fillId="11" borderId="4" pivotButton="0" quotePrefix="0" xfId="0"/>
    <xf numFmtId="165" fontId="10" fillId="11" borderId="4" pivotButton="0" quotePrefix="0" xfId="1"/>
    <xf numFmtId="3" fontId="10" fillId="11" borderId="4" pivotButton="0" quotePrefix="0" xfId="0"/>
    <xf numFmtId="0" fontId="16" fillId="11" borderId="4" pivotButton="0" quotePrefix="0" xfId="0"/>
    <xf numFmtId="3" fontId="10" fillId="11" borderId="4" pivotButton="0" quotePrefix="0" xfId="2"/>
    <xf numFmtId="165" fontId="10" fillId="11" borderId="4" applyAlignment="1" pivotButton="0" quotePrefix="0" xfId="2">
      <alignment horizontal="center"/>
    </xf>
    <xf numFmtId="176" fontId="10" fillId="11" borderId="4" applyAlignment="1" pivotButton="0" quotePrefix="0" xfId="2">
      <alignment horizontal="center"/>
    </xf>
    <xf numFmtId="165" fontId="8" fillId="11" borderId="4" pivotButton="0" quotePrefix="0" xfId="2"/>
    <xf numFmtId="3" fontId="8" fillId="11" borderId="4" pivotButton="0" quotePrefix="0" xfId="2"/>
    <xf numFmtId="177" fontId="10" fillId="11" borderId="4" applyAlignment="1" pivotButton="0" quotePrefix="0" xfId="0">
      <alignment horizontal="center" vertical="center"/>
    </xf>
    <xf numFmtId="176" fontId="10" fillId="11" borderId="4" applyAlignment="1" pivotButton="0" quotePrefix="0" xfId="0">
      <alignment horizontal="center"/>
    </xf>
    <xf numFmtId="0" fontId="1" fillId="0" borderId="0" pivotButton="0" quotePrefix="0" xfId="0"/>
    <xf numFmtId="0" fontId="36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0" fontId="36" fillId="0" borderId="4" pivotButton="0" quotePrefix="0" xfId="0"/>
    <xf numFmtId="3" fontId="10" fillId="0" borderId="4" pivotButton="0" quotePrefix="0" xfId="1"/>
    <xf numFmtId="3" fontId="10" fillId="6" borderId="4" pivotButton="0" quotePrefix="0" xfId="1"/>
    <xf numFmtId="176" fontId="10" fillId="6" borderId="4" pivotButton="0" quotePrefix="0" xfId="0"/>
    <xf numFmtId="3" fontId="8" fillId="0" borderId="4" applyAlignment="1" pivotButton="0" quotePrefix="0" xfId="0">
      <alignment vertical="top"/>
    </xf>
    <xf numFmtId="15" fontId="36" fillId="5" borderId="4" pivotButton="0" quotePrefix="0" xfId="0"/>
    <xf numFmtId="167" fontId="8" fillId="5" borderId="4" pivotButton="0" quotePrefix="0" xfId="0"/>
    <xf numFmtId="0" fontId="36" fillId="0" borderId="9" pivotButton="0" quotePrefix="0" xfId="0"/>
    <xf numFmtId="176" fontId="10" fillId="0" borderId="4" applyAlignment="1" pivotButton="0" quotePrefix="0" xfId="0">
      <alignment horizontal="right"/>
    </xf>
    <xf numFmtId="176" fontId="10" fillId="0" borderId="4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0" fontId="36" fillId="5" borderId="4" applyAlignment="1" pivotButton="0" quotePrefix="0" xfId="0">
      <alignment horizontal="left"/>
    </xf>
    <xf numFmtId="0" fontId="36" fillId="0" borderId="4" applyAlignment="1" pivotButton="0" quotePrefix="0" xfId="0">
      <alignment horizontal="left"/>
    </xf>
    <xf numFmtId="3" fontId="8" fillId="0" borderId="4" applyAlignment="1" pivotButton="0" quotePrefix="0" xfId="0">
      <alignment vertical="center"/>
    </xf>
    <xf numFmtId="15" fontId="36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6" fillId="5" borderId="4" applyAlignment="1" pivotButton="0" quotePrefix="0" xfId="0">
      <alignment vertical="center"/>
    </xf>
    <xf numFmtId="164" fontId="36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 vertical="center"/>
    </xf>
    <xf numFmtId="176" fontId="10" fillId="0" borderId="4" applyAlignment="1" pivotButton="0" quotePrefix="0" xfId="0">
      <alignment horizontal="center" vertical="center"/>
    </xf>
    <xf numFmtId="3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Allowance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45388</v>
      </c>
      <c r="C42" s="315" t="n">
        <v>1</v>
      </c>
      <c r="D42" s="317" t="inlineStr">
        <is>
          <t>THR 2024_Yufitri</t>
        </is>
      </c>
      <c r="E42" s="317" t="inlineStr">
        <is>
          <t>BCA</t>
        </is>
      </c>
      <c r="F42" s="324" t="n">
        <v>3000000</v>
      </c>
      <c r="G42" s="319" t="inlineStr">
        <is>
          <t>IDR</t>
        </is>
      </c>
      <c r="H42" s="325" t="n">
        <v>1</v>
      </c>
      <c r="I42" s="320" t="n"/>
      <c r="J42" s="326" t="n">
        <v>3000000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Biaya Bank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45657</v>
      </c>
      <c r="C44" s="315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30" t="n">
        <v>1998587</v>
      </c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23" t="n"/>
      <c r="W44" s="323" t="n"/>
      <c r="X44" s="323" t="n"/>
    </row>
    <row r="45" ht="15.5" customHeight="1" s="297">
      <c r="B45" s="314" t="n"/>
      <c r="C45" s="315" t="n"/>
      <c r="D45" s="331" t="inlineStr">
        <is>
          <t>Biaya Interpretasi Log Data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45413</v>
      </c>
      <c r="C46" s="315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30" t="n">
        <v>122625000</v>
      </c>
      <c r="M46" s="322" t="n"/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>
        <v>45525</v>
      </c>
      <c r="C47" s="315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19" t="inlineStr">
        <is>
          <t>IDR</t>
        </is>
      </c>
      <c r="H47" s="325" t="n">
        <v>1</v>
      </c>
      <c r="I47" s="320" t="n"/>
      <c r="J47" s="321" t="n"/>
      <c r="K47" s="322" t="n"/>
      <c r="L47" s="330" t="n">
        <v>101120000</v>
      </c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/>
      <c r="C48" s="315" t="n"/>
      <c r="D48" s="331" t="inlineStr">
        <is>
          <t>Biaya Operasi</t>
        </is>
      </c>
      <c r="E48" s="327" t="n"/>
      <c r="F48" s="334" t="n"/>
      <c r="G48" s="319" t="n"/>
      <c r="H48" s="319" t="n"/>
      <c r="I48" s="320" t="n"/>
      <c r="J48" s="320" t="n"/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5" t="n">
        <v>45446</v>
      </c>
      <c r="C49" s="315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19" t="inlineStr">
        <is>
          <t>IDR</t>
        </is>
      </c>
      <c r="H49" s="325" t="n">
        <v>1</v>
      </c>
      <c r="I49" s="320" t="n"/>
      <c r="J49" s="326" t="n">
        <v>300000000</v>
      </c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>
        <v>45480</v>
      </c>
      <c r="C50" s="315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19" t="inlineStr">
        <is>
          <t>IDR</t>
        </is>
      </c>
      <c r="H50" s="325" t="n">
        <v>1</v>
      </c>
      <c r="I50" s="320" t="n"/>
      <c r="J50" s="326" t="n">
        <v>25000000</v>
      </c>
      <c r="K50" s="322" t="n"/>
      <c r="L50" s="338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45492</v>
      </c>
      <c r="C51" s="315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19" t="inlineStr">
        <is>
          <t>IDR</t>
        </is>
      </c>
      <c r="H51" s="325" t="n">
        <v>1</v>
      </c>
      <c r="I51" s="320" t="n"/>
      <c r="J51" s="326" t="n">
        <v>25000000</v>
      </c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/>
      <c r="C52" s="315" t="n"/>
      <c r="D52" s="331" t="inlineStr">
        <is>
          <t>Biaya Research (R&amp;D)</t>
        </is>
      </c>
      <c r="E52" s="327" t="n"/>
      <c r="F52" s="339" t="n"/>
      <c r="G52" s="319" t="n"/>
      <c r="H52" s="319" t="n"/>
      <c r="I52" s="320" t="n"/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45364</v>
      </c>
      <c r="C53" s="315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19" t="inlineStr">
        <is>
          <t>IDR</t>
        </is>
      </c>
      <c r="H53" s="325" t="n">
        <v>1</v>
      </c>
      <c r="I53" s="330" t="n">
        <v>100000000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45418</v>
      </c>
      <c r="C54" s="315" t="n">
        <v>9</v>
      </c>
      <c r="D54" s="317" t="inlineStr">
        <is>
          <t>Ralika Jaya Utama | Permbuatan alat Downhole Wireless Telemetry</t>
        </is>
      </c>
      <c r="E54" s="317" t="inlineStr">
        <is>
          <t>BRI</t>
        </is>
      </c>
      <c r="F54" s="333" t="n">
        <v>100000000</v>
      </c>
      <c r="G54" s="319" t="inlineStr">
        <is>
          <t>IDR</t>
        </is>
      </c>
      <c r="H54" s="325" t="n">
        <v>1</v>
      </c>
      <c r="I54" s="326" t="n">
        <v>100000000</v>
      </c>
      <c r="J54" s="320" t="n"/>
      <c r="K54" s="321" t="n"/>
      <c r="L54" s="338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45502</v>
      </c>
      <c r="C55" s="315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19" t="inlineStr">
        <is>
          <t>IDR</t>
        </is>
      </c>
      <c r="H55" s="325" t="n">
        <v>1</v>
      </c>
      <c r="I55" s="330" t="n">
        <v>100000000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>
        <v>45548</v>
      </c>
      <c r="C56" s="315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19" t="inlineStr">
        <is>
          <t>IDR</t>
        </is>
      </c>
      <c r="H56" s="325" t="n">
        <v>1</v>
      </c>
      <c r="I56" s="326" t="n">
        <v>150000000</v>
      </c>
      <c r="J56" s="320" t="n"/>
      <c r="K56" s="322" t="n"/>
      <c r="L56" s="322" t="n"/>
      <c r="M56" s="322" t="n"/>
      <c r="N56" s="322" t="n"/>
      <c r="O56" s="322" t="n"/>
      <c r="P56" s="322" t="n"/>
      <c r="Q56" s="338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45631</v>
      </c>
      <c r="C57" s="315" t="n">
        <v>12</v>
      </c>
      <c r="D57" s="317" t="inlineStr">
        <is>
          <t>Ralika Jaya Utama | Permbuatan alat injeksi listrik (EAS)</t>
        </is>
      </c>
      <c r="E57" s="317" t="inlineStr">
        <is>
          <t>BRI</t>
        </is>
      </c>
      <c r="F57" s="340" t="n">
        <v>400000000</v>
      </c>
      <c r="G57" s="319" t="inlineStr">
        <is>
          <t>IDR</t>
        </is>
      </c>
      <c r="H57" s="325" t="n">
        <v>1</v>
      </c>
      <c r="I57" s="326" t="n">
        <v>400000000</v>
      </c>
      <c r="J57" s="320" t="n"/>
      <c r="K57" s="321" t="n"/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Bisnis Dev</t>
        </is>
      </c>
      <c r="E58" s="327" t="n"/>
      <c r="F58" s="341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45483</v>
      </c>
      <c r="C59" s="315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8" t="n"/>
      <c r="O59" s="322" t="n"/>
      <c r="P59" s="322" t="n"/>
      <c r="Q59" s="330" t="n">
        <v>16650000</v>
      </c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>
        <v>45539</v>
      </c>
      <c r="C60" s="315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19" t="inlineStr">
        <is>
          <t>IDR</t>
        </is>
      </c>
      <c r="H60" s="325" t="n">
        <v>1</v>
      </c>
      <c r="I60" s="320" t="n"/>
      <c r="J60" s="320" t="n"/>
      <c r="K60" s="322" t="n"/>
      <c r="L60" s="322" t="n"/>
      <c r="M60" s="322" t="n"/>
      <c r="N60" s="338" t="n"/>
      <c r="O60" s="322" t="n"/>
      <c r="P60" s="322" t="n"/>
      <c r="Q60" s="330" t="n">
        <v>100000000</v>
      </c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45625</v>
      </c>
      <c r="C61" s="315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22" t="n"/>
      <c r="M61" s="322" t="n"/>
      <c r="N61" s="322" t="n"/>
      <c r="O61" s="322" t="n"/>
      <c r="P61" s="322" t="n"/>
      <c r="Q61" s="330" t="n">
        <v>75000000</v>
      </c>
      <c r="R61" s="323" t="n"/>
      <c r="S61" s="323" t="n"/>
      <c r="T61" s="323" t="n"/>
      <c r="U61" s="323" t="n"/>
      <c r="V61" s="323" t="n"/>
      <c r="W61" s="323" t="n"/>
      <c r="X61" s="323" t="n"/>
    </row>
    <row r="62" ht="15.5" customFormat="1" customHeight="1" s="66">
      <c r="B62" s="314" t="n"/>
      <c r="C62" s="315" t="n"/>
      <c r="D62" s="331" t="inlineStr">
        <is>
          <t>Data Processing</t>
        </is>
      </c>
      <c r="E62" s="327" t="n"/>
      <c r="F62" s="341" t="n"/>
      <c r="G62" s="319" t="n"/>
      <c r="H62" s="319" t="n"/>
      <c r="I62" s="321" t="n"/>
      <c r="J62" s="320" t="n"/>
      <c r="K62" s="322" t="n"/>
      <c r="L62" s="322" t="n"/>
      <c r="M62" s="322" t="n"/>
      <c r="N62" s="322" t="n"/>
      <c r="O62" s="322" t="n"/>
      <c r="P62" s="322" t="n"/>
      <c r="Q62" s="322" t="n"/>
      <c r="R62" s="323" t="n"/>
      <c r="S62" s="323" t="n"/>
      <c r="T62" s="323" t="n"/>
      <c r="U62" s="323" t="n"/>
      <c r="V62" s="323" t="n"/>
      <c r="W62" s="323" t="n"/>
      <c r="X62" s="323" t="n"/>
    </row>
    <row r="63" ht="15.5" customFormat="1" customHeight="1" s="66">
      <c r="B63" s="314" t="n">
        <v>45589</v>
      </c>
      <c r="C63" s="315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19" t="inlineStr">
        <is>
          <t>IDR</t>
        </is>
      </c>
      <c r="H63" s="325" t="n">
        <v>1</v>
      </c>
      <c r="I63" s="320" t="n"/>
      <c r="J63" s="320" t="n"/>
      <c r="K63" s="322" t="n"/>
      <c r="L63" s="330" t="n">
        <v>144000000</v>
      </c>
      <c r="M63" s="322" t="n"/>
      <c r="N63" s="322" t="n"/>
      <c r="O63" s="322" t="n"/>
      <c r="P63" s="322" t="n"/>
      <c r="Q63" s="321" t="n"/>
      <c r="R63" s="323" t="n"/>
      <c r="S63" s="323" t="n"/>
      <c r="T63" s="323" t="n"/>
      <c r="U63" s="323" t="n"/>
      <c r="V63" s="323" t="n"/>
      <c r="W63" s="323" t="n"/>
      <c r="X63" s="323" t="n"/>
    </row>
    <row r="64" ht="15.5" customFormat="1" customHeight="1" s="66">
      <c r="B64" s="314" t="n"/>
      <c r="C64" s="315" t="n"/>
      <c r="D64" s="331" t="inlineStr">
        <is>
          <t>Gaji</t>
        </is>
      </c>
      <c r="E64" s="327" t="n"/>
      <c r="F64" s="341" t="n"/>
      <c r="G64" s="319" t="n"/>
      <c r="H64" s="319" t="n"/>
      <c r="I64" s="321" t="n"/>
      <c r="J64" s="320" t="n"/>
      <c r="K64" s="322" t="n"/>
      <c r="L64" s="322" t="n"/>
      <c r="M64" s="322" t="n"/>
      <c r="N64" s="322" t="n"/>
      <c r="O64" s="322" t="n"/>
      <c r="P64" s="322" t="n"/>
      <c r="Q64" s="322" t="n"/>
      <c r="R64" s="323" t="n"/>
      <c r="S64" s="323" t="n"/>
      <c r="T64" s="323" t="n"/>
      <c r="U64" s="323" t="n"/>
      <c r="V64" s="323" t="n"/>
      <c r="W64" s="323" t="n"/>
      <c r="X64" s="323" t="n"/>
    </row>
    <row r="65" ht="15.5" customFormat="1" customHeight="1" s="66">
      <c r="B65" s="314" t="n">
        <v>45323</v>
      </c>
      <c r="C65" s="315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19" t="inlineStr">
        <is>
          <t>IDR</t>
        </is>
      </c>
      <c r="H65" s="325" t="n">
        <v>1</v>
      </c>
      <c r="I65" s="320" t="n"/>
      <c r="J65" s="326" t="n">
        <v>2500000</v>
      </c>
      <c r="K65" s="322" t="n"/>
      <c r="L65" s="322" t="n"/>
      <c r="M65" s="322" t="n"/>
      <c r="N65" s="322" t="n"/>
      <c r="O65" s="322" t="n"/>
      <c r="P65" s="322" t="n"/>
      <c r="Q65" s="338" t="n"/>
      <c r="R65" s="323" t="n"/>
      <c r="S65" s="323" t="n"/>
      <c r="T65" s="323" t="n"/>
      <c r="U65" s="323" t="n"/>
      <c r="V65" s="323" t="n"/>
      <c r="W65" s="323" t="n"/>
      <c r="X65" s="323" t="n"/>
    </row>
    <row r="66" ht="15.5" customFormat="1" customHeight="1" s="66">
      <c r="B66" s="314" t="n">
        <v>45356</v>
      </c>
      <c r="C66" s="315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19" t="inlineStr">
        <is>
          <t>IDR</t>
        </is>
      </c>
      <c r="H66" s="325" t="n">
        <v>1</v>
      </c>
      <c r="I66" s="320" t="n"/>
      <c r="J66" s="326" t="n">
        <v>3500000</v>
      </c>
      <c r="K66" s="322" t="n"/>
      <c r="L66" s="322" t="n"/>
      <c r="M66" s="322" t="n"/>
      <c r="N66" s="338" t="n"/>
      <c r="O66" s="322" t="n"/>
      <c r="P66" s="322" t="n"/>
      <c r="Q66" s="322" t="n"/>
      <c r="R66" s="323" t="n"/>
      <c r="S66" s="323" t="n"/>
      <c r="T66" s="323" t="n"/>
      <c r="U66" s="323" t="n"/>
      <c r="V66" s="323" t="n"/>
      <c r="W66" s="323" t="n"/>
      <c r="X66" s="323" t="n"/>
    </row>
    <row r="67" ht="15.5" customHeight="1" s="297">
      <c r="B67" s="314" t="n">
        <v>45379</v>
      </c>
      <c r="C67" s="315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19" t="inlineStr">
        <is>
          <t>IDR</t>
        </is>
      </c>
      <c r="H67" s="325" t="n">
        <v>1</v>
      </c>
      <c r="I67" s="320" t="n"/>
      <c r="J67" s="326" t="n">
        <v>3000000</v>
      </c>
      <c r="K67" s="322" t="n"/>
      <c r="L67" s="322" t="n"/>
      <c r="M67" s="322" t="n"/>
      <c r="N67" s="338" t="n"/>
      <c r="O67" s="322" t="n"/>
      <c r="P67" s="322" t="n"/>
      <c r="Q67" s="322" t="n"/>
      <c r="R67" s="323" t="n"/>
      <c r="S67" s="323" t="n"/>
      <c r="T67" s="323" t="n"/>
      <c r="U67" s="323" t="n"/>
      <c r="V67" s="323" t="n"/>
      <c r="W67" s="323" t="n"/>
      <c r="X67" s="323" t="n"/>
    </row>
    <row r="68" ht="15.5" customHeight="1" s="297">
      <c r="A68" s="66" t="n"/>
      <c r="B68" s="314" t="n">
        <v>45416</v>
      </c>
      <c r="C68" s="315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19" t="inlineStr">
        <is>
          <t>IDR</t>
        </is>
      </c>
      <c r="H68" s="325" t="n">
        <v>1</v>
      </c>
      <c r="I68" s="320" t="n"/>
      <c r="J68" s="330" t="n">
        <v>3000000</v>
      </c>
      <c r="K68" s="322" t="n"/>
      <c r="L68" s="322" t="n"/>
      <c r="M68" s="322" t="n"/>
      <c r="N68" s="322" t="n"/>
      <c r="O68" s="322" t="n"/>
      <c r="P68" s="322" t="n"/>
      <c r="Q68" s="322" t="n"/>
      <c r="R68" s="323" t="n"/>
      <c r="S68" s="323" t="n"/>
      <c r="T68" s="323" t="n"/>
      <c r="U68" s="323" t="n"/>
      <c r="V68" s="323" t="n"/>
      <c r="W68" s="323" t="n"/>
      <c r="X68" s="323" t="n"/>
    </row>
    <row r="69" ht="15.5" customHeight="1" s="297">
      <c r="A69" s="66" t="n"/>
      <c r="B69" s="314" t="n">
        <v>45446</v>
      </c>
      <c r="C69" s="315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19" t="inlineStr">
        <is>
          <t>IDR</t>
        </is>
      </c>
      <c r="H69" s="325" t="n">
        <v>1</v>
      </c>
      <c r="I69" s="320" t="n"/>
      <c r="J69" s="326" t="n">
        <v>3000000</v>
      </c>
      <c r="K69" s="322" t="n"/>
      <c r="L69" s="322" t="n"/>
      <c r="M69" s="322" t="n"/>
      <c r="N69" s="322" t="n"/>
      <c r="O69" s="321" t="n"/>
      <c r="P69" s="322" t="n"/>
      <c r="Q69" s="321" t="n"/>
      <c r="R69" s="323" t="n"/>
      <c r="S69" s="323" t="n"/>
      <c r="T69" s="323" t="n"/>
      <c r="U69" s="323" t="n"/>
      <c r="V69" s="323" t="n"/>
      <c r="W69" s="323" t="n"/>
      <c r="X69" s="323" t="n"/>
    </row>
    <row r="70" ht="15.5" customHeight="1" s="297">
      <c r="B70" s="314" t="n">
        <v>45473</v>
      </c>
      <c r="C70" s="315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19" t="inlineStr">
        <is>
          <t>IDR</t>
        </is>
      </c>
      <c r="H70" s="325" t="n">
        <v>1</v>
      </c>
      <c r="I70" s="320" t="n"/>
      <c r="J70" s="326" t="n">
        <v>3000000</v>
      </c>
      <c r="K70" s="322" t="n"/>
      <c r="L70" s="322" t="n"/>
      <c r="M70" s="322" t="n"/>
      <c r="N70" s="343" t="n"/>
      <c r="O70" s="322" t="n"/>
      <c r="P70" s="322" t="n"/>
      <c r="Q70" s="322" t="n"/>
      <c r="R70" s="323" t="n"/>
      <c r="S70" s="323" t="n"/>
      <c r="T70" s="323" t="n"/>
      <c r="U70" s="323" t="n"/>
      <c r="V70" s="323" t="n"/>
      <c r="W70" s="323" t="n"/>
      <c r="X70" s="323" t="n"/>
    </row>
    <row r="71" ht="15.5" customHeight="1" s="297">
      <c r="B71" s="314" t="n">
        <v>45501</v>
      </c>
      <c r="C71" s="315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19" t="inlineStr">
        <is>
          <t>IDR</t>
        </is>
      </c>
      <c r="H71" s="325" t="n">
        <v>1</v>
      </c>
      <c r="I71" s="320" t="n"/>
      <c r="J71" s="326" t="n">
        <v>3000000</v>
      </c>
      <c r="K71" s="322" t="n"/>
      <c r="L71" s="343" t="n"/>
      <c r="M71" s="322" t="n"/>
      <c r="N71" s="322" t="n"/>
      <c r="O71" s="322" t="n"/>
      <c r="P71" s="322" t="n"/>
      <c r="Q71" s="322" t="n"/>
      <c r="R71" s="323" t="n"/>
      <c r="S71" s="323" t="n"/>
      <c r="T71" s="323" t="n"/>
      <c r="U71" s="323" t="n"/>
      <c r="V71" s="323" t="n"/>
      <c r="W71" s="323" t="n"/>
      <c r="X71" s="323" t="n"/>
    </row>
    <row r="72" ht="15.5" customHeight="1" s="297">
      <c r="B72" s="314" t="n">
        <v>45535</v>
      </c>
      <c r="C72" s="315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19" t="inlineStr">
        <is>
          <t>IDR</t>
        </is>
      </c>
      <c r="H72" s="325" t="n">
        <v>1</v>
      </c>
      <c r="I72" s="320" t="n"/>
      <c r="J72" s="326" t="n">
        <v>3000000</v>
      </c>
      <c r="K72" s="322" t="n"/>
      <c r="L72" s="322" t="n"/>
      <c r="M72" s="322" t="n"/>
      <c r="N72" s="322" t="n"/>
      <c r="O72" s="322" t="n"/>
      <c r="P72" s="322" t="n"/>
      <c r="Q72" s="322" t="n"/>
      <c r="R72" s="323" t="n"/>
      <c r="S72" s="323" t="n"/>
      <c r="T72" s="323" t="n"/>
      <c r="U72" s="323" t="n"/>
      <c r="V72" s="323" t="n"/>
      <c r="W72" s="323" t="n"/>
      <c r="X72" s="323" t="n"/>
    </row>
    <row r="73" ht="15.5" customHeight="1" s="297">
      <c r="B73" s="314" t="n">
        <v>45568</v>
      </c>
      <c r="C73" s="315" t="n">
        <v>25</v>
      </c>
      <c r="D73" s="317" t="inlineStr">
        <is>
          <t>Gaji fitri bulan september 2024</t>
        </is>
      </c>
      <c r="E73" s="317" t="inlineStr">
        <is>
          <t>BRI</t>
        </is>
      </c>
      <c r="F73" s="340" t="n">
        <v>3000000</v>
      </c>
      <c r="G73" s="319" t="inlineStr">
        <is>
          <t>IDR</t>
        </is>
      </c>
      <c r="H73" s="325" t="n">
        <v>1</v>
      </c>
      <c r="I73" s="320" t="n"/>
      <c r="J73" s="326" t="n">
        <v>3000000</v>
      </c>
      <c r="K73" s="321" t="n"/>
      <c r="L73" s="322" t="n"/>
      <c r="M73" s="322" t="n"/>
      <c r="N73" s="322" t="n"/>
      <c r="O73" s="322" t="n"/>
      <c r="P73" s="322" t="n"/>
      <c r="Q73" s="322" t="n"/>
      <c r="R73" s="323" t="n"/>
      <c r="S73" s="323" t="n"/>
      <c r="T73" s="323" t="n"/>
      <c r="U73" s="323" t="n"/>
      <c r="V73" s="323" t="n"/>
      <c r="W73" s="323" t="n"/>
      <c r="X73" s="323" t="n"/>
    </row>
    <row r="74" ht="15.5" customHeight="1" s="297">
      <c r="A74" s="66" t="n"/>
      <c r="B74" s="314" t="n">
        <v>45568</v>
      </c>
      <c r="C74" s="315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19" t="inlineStr">
        <is>
          <t>IDR</t>
        </is>
      </c>
      <c r="H74" s="325" t="n">
        <v>1</v>
      </c>
      <c r="I74" s="320" t="n"/>
      <c r="J74" s="326" t="n">
        <v>3000000</v>
      </c>
      <c r="K74" s="322" t="n"/>
      <c r="L74" s="322" t="n"/>
      <c r="M74" s="322" t="n"/>
      <c r="N74" s="322" t="n"/>
      <c r="O74" s="322" t="n"/>
      <c r="P74" s="322" t="n"/>
      <c r="Q74" s="321" t="n"/>
      <c r="R74" s="323" t="n"/>
      <c r="S74" s="323" t="n"/>
      <c r="T74" s="323" t="n"/>
      <c r="U74" s="323" t="n"/>
      <c r="V74" s="323" t="n"/>
      <c r="W74" s="323" t="n"/>
      <c r="X74" s="323" t="n"/>
    </row>
    <row r="75" ht="15.5" customHeight="1" s="297">
      <c r="A75" s="66" t="n"/>
      <c r="B75" s="314" t="n">
        <v>45625</v>
      </c>
      <c r="C75" s="315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19" t="inlineStr">
        <is>
          <t>IDR</t>
        </is>
      </c>
      <c r="H75" s="325" t="n">
        <v>1</v>
      </c>
      <c r="I75" s="320" t="n"/>
      <c r="J75" s="330" t="n">
        <v>3000000</v>
      </c>
      <c r="K75" s="322" t="n"/>
      <c r="L75" s="322" t="n"/>
      <c r="M75" s="322" t="n"/>
      <c r="N75" s="322" t="n"/>
      <c r="O75" s="322" t="n"/>
      <c r="P75" s="322" t="n"/>
      <c r="Q75" s="322" t="n"/>
      <c r="R75" s="323" t="n"/>
      <c r="S75" s="323" t="n"/>
      <c r="T75" s="323" t="n"/>
      <c r="U75" s="323" t="n"/>
      <c r="V75" s="323" t="n"/>
      <c r="W75" s="323" t="n"/>
      <c r="X75" s="323" t="n"/>
    </row>
    <row r="76" ht="15.5" customHeight="1" s="297">
      <c r="B76" s="314" t="n">
        <v>45651</v>
      </c>
      <c r="C76" s="315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19" t="inlineStr">
        <is>
          <t>IDR</t>
        </is>
      </c>
      <c r="H76" s="325" t="n">
        <v>1</v>
      </c>
      <c r="I76" s="320" t="n"/>
      <c r="J76" s="326" t="n">
        <v>15000000</v>
      </c>
      <c r="K76" s="322" t="n"/>
      <c r="L76" s="322" t="n"/>
      <c r="M76" s="322" t="n"/>
      <c r="N76" s="343" t="n"/>
      <c r="O76" s="322" t="n"/>
      <c r="P76" s="322" t="n"/>
      <c r="Q76" s="322" t="n"/>
      <c r="R76" s="323" t="n"/>
      <c r="S76" s="323" t="n"/>
      <c r="T76" s="323" t="n"/>
      <c r="U76" s="323" t="n"/>
      <c r="V76" s="323" t="n"/>
      <c r="W76" s="323" t="n"/>
      <c r="X76" s="323" t="n"/>
    </row>
    <row r="77" ht="15.5" customHeight="1" s="297">
      <c r="B77" s="314" t="n"/>
      <c r="C77" s="315" t="n"/>
      <c r="D77" s="331" t="inlineStr">
        <is>
          <t>Maintenance</t>
        </is>
      </c>
      <c r="E77" s="327" t="n"/>
      <c r="F77" s="344" t="n"/>
      <c r="G77" s="328" t="n"/>
      <c r="H77" s="319" t="n"/>
      <c r="I77" s="320" t="n"/>
      <c r="J77" s="322" t="n"/>
      <c r="K77" s="329" t="n"/>
      <c r="L77" s="322" t="n"/>
      <c r="M77" s="322" t="n"/>
      <c r="N77" s="322" t="n"/>
      <c r="O77" s="322" t="n"/>
      <c r="P77" s="322" t="n"/>
      <c r="Q77" s="322" t="n"/>
      <c r="R77" s="323" t="n"/>
      <c r="S77" s="323" t="n"/>
      <c r="T77" s="323" t="n"/>
      <c r="U77" s="323" t="n"/>
      <c r="V77" s="323" t="n"/>
      <c r="W77" s="323" t="n"/>
      <c r="X77" s="323" t="n"/>
    </row>
    <row r="78" ht="15.5" customHeight="1" s="297">
      <c r="B78" s="314" t="n">
        <v>45478</v>
      </c>
      <c r="C78" s="315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0" t="n"/>
      <c r="J78" s="330" t="n">
        <v>25000000</v>
      </c>
      <c r="K78" s="329" t="n"/>
      <c r="L78" s="322" t="n"/>
      <c r="M78" s="322" t="n"/>
      <c r="N78" s="322" t="n"/>
      <c r="O78" s="322" t="n"/>
      <c r="P78" s="322" t="n"/>
      <c r="Q78" s="322" t="n"/>
      <c r="R78" s="323" t="n"/>
      <c r="S78" s="323" t="n"/>
      <c r="T78" s="323" t="n"/>
      <c r="U78" s="323" t="n"/>
      <c r="V78" s="323" t="n"/>
      <c r="W78" s="323" t="n"/>
      <c r="X78" s="323" t="n"/>
    </row>
    <row r="79" ht="15.5" customHeight="1" s="297">
      <c r="B79" s="314" t="n">
        <v>45493</v>
      </c>
      <c r="C79" s="315" t="n">
        <v>30</v>
      </c>
      <c r="D79" s="317" t="inlineStr">
        <is>
          <t>Repair ESOR panel &amp; Fabricate dummy test load, Payment#1</t>
        </is>
      </c>
      <c r="E79" s="317" t="inlineStr">
        <is>
          <t>BCA</t>
        </is>
      </c>
      <c r="F79" s="345" t="n">
        <v>20000000</v>
      </c>
      <c r="G79" s="319" t="inlineStr">
        <is>
          <t>IDR</t>
        </is>
      </c>
      <c r="H79" s="325" t="n">
        <v>1</v>
      </c>
      <c r="I79" s="320" t="n"/>
      <c r="J79" s="326" t="n">
        <v>20000000</v>
      </c>
      <c r="K79" s="321" t="n"/>
      <c r="L79" s="322" t="n"/>
      <c r="M79" s="322" t="n"/>
      <c r="N79" s="322" t="n"/>
      <c r="O79" s="322" t="n"/>
      <c r="P79" s="322" t="n"/>
      <c r="Q79" s="338" t="n"/>
      <c r="R79" s="323" t="n"/>
      <c r="S79" s="323" t="n"/>
      <c r="T79" s="323" t="n"/>
      <c r="U79" s="323" t="n"/>
      <c r="V79" s="323" t="n"/>
      <c r="W79" s="323" t="n"/>
      <c r="X79" s="323" t="n"/>
    </row>
    <row r="80" ht="15.5" customHeight="1" s="297">
      <c r="B80" s="314" t="n"/>
      <c r="C80" s="315" t="n"/>
      <c r="D80" s="316" t="inlineStr">
        <is>
          <t>Operation</t>
        </is>
      </c>
      <c r="E80" s="317" t="n"/>
      <c r="F80" s="344" t="n"/>
      <c r="G80" s="319" t="n"/>
      <c r="H80" s="319" t="n"/>
      <c r="I80" s="320" t="n"/>
      <c r="J80" s="320" t="n"/>
      <c r="K80" s="321" t="n"/>
      <c r="L80" s="322" t="n"/>
      <c r="M80" s="322" t="n"/>
      <c r="N80" s="322" t="n"/>
      <c r="O80" s="322" t="n"/>
      <c r="P80" s="322" t="n"/>
      <c r="Q80" s="322" t="n"/>
      <c r="R80" s="323" t="n"/>
      <c r="S80" s="323" t="n"/>
      <c r="T80" s="323" t="n"/>
      <c r="U80" s="323" t="n"/>
      <c r="V80" s="323" t="n"/>
      <c r="W80" s="323" t="n"/>
      <c r="X80" s="323" t="n"/>
    </row>
    <row r="81" ht="15.5" customHeight="1" s="297">
      <c r="B81" s="314" t="n">
        <v>45501</v>
      </c>
      <c r="C81" s="315" t="n">
        <v>31</v>
      </c>
      <c r="D81" s="317" t="inlineStr">
        <is>
          <t>Handphone Operational untuk Secretary (Yufitri)</t>
        </is>
      </c>
      <c r="E81" s="317" t="inlineStr">
        <is>
          <t>BCA</t>
        </is>
      </c>
      <c r="F81" s="340" t="n">
        <v>2600000</v>
      </c>
      <c r="G81" s="319" t="inlineStr">
        <is>
          <t>IDR</t>
        </is>
      </c>
      <c r="H81" s="325" t="n">
        <v>1</v>
      </c>
      <c r="I81" s="320" t="n"/>
      <c r="J81" s="320" t="n"/>
      <c r="K81" s="321" t="n"/>
      <c r="L81" s="322" t="n"/>
      <c r="M81" s="322" t="n"/>
      <c r="N81" s="330" t="n">
        <v>2600000</v>
      </c>
      <c r="O81" s="322" t="n"/>
      <c r="P81" s="322" t="n"/>
      <c r="Q81" s="338" t="n"/>
      <c r="R81" s="323" t="n"/>
      <c r="S81" s="323" t="n"/>
      <c r="T81" s="323" t="n"/>
      <c r="U81" s="323" t="n"/>
      <c r="V81" s="323" t="n"/>
      <c r="W81" s="323" t="n"/>
      <c r="X81" s="323" t="n"/>
    </row>
    <row r="82" ht="15.5" customHeight="1" s="297">
      <c r="B82" s="314" t="n"/>
      <c r="C82" s="315" t="n"/>
      <c r="D82" s="316" t="inlineStr">
        <is>
          <t>Pembelian Barang</t>
        </is>
      </c>
      <c r="E82" s="317" t="n"/>
      <c r="F82" s="344" t="n"/>
      <c r="G82" s="319" t="n"/>
      <c r="H82" s="319" t="n"/>
      <c r="I82" s="320" t="n"/>
      <c r="J82" s="320" t="n"/>
      <c r="K82" s="321" t="n"/>
      <c r="L82" s="338" t="n"/>
      <c r="M82" s="322" t="n"/>
      <c r="N82" s="322" t="n"/>
      <c r="O82" s="322" t="n"/>
      <c r="P82" s="322" t="n"/>
      <c r="Q82" s="322" t="n"/>
      <c r="R82" s="323" t="n"/>
      <c r="S82" s="323" t="n"/>
      <c r="T82" s="323" t="n"/>
      <c r="U82" s="323" t="n"/>
      <c r="V82" s="323" t="n"/>
      <c r="W82" s="323" t="n"/>
      <c r="X82" s="323" t="n"/>
    </row>
    <row r="83" ht="15.5" customHeight="1" s="297">
      <c r="B83" s="314" t="n">
        <v>45476</v>
      </c>
      <c r="C83" s="315" t="n">
        <v>32</v>
      </c>
      <c r="D83" s="317" t="inlineStr">
        <is>
          <t>Kekurangan (PPN ) ke PT Garindo sarana Baru (Downhole Sampling)</t>
        </is>
      </c>
      <c r="E83" s="317" t="inlineStr">
        <is>
          <t>BCA</t>
        </is>
      </c>
      <c r="F83" s="345" t="n">
        <v>3582000</v>
      </c>
      <c r="G83" s="319" t="inlineStr">
        <is>
          <t>IDR</t>
        </is>
      </c>
      <c r="H83" s="325" t="n">
        <v>1</v>
      </c>
      <c r="I83" s="320" t="n"/>
      <c r="J83" s="320" t="n"/>
      <c r="K83" s="321" t="n"/>
      <c r="L83" s="322" t="n"/>
      <c r="M83" s="322" t="n"/>
      <c r="N83" s="330" t="n">
        <v>3582000</v>
      </c>
      <c r="O83" s="322" t="n"/>
      <c r="P83" s="322" t="n"/>
      <c r="Q83" s="322" t="n"/>
      <c r="R83" s="323" t="n"/>
      <c r="S83" s="323" t="n"/>
      <c r="T83" s="323" t="n"/>
      <c r="U83" s="323" t="n"/>
      <c r="V83" s="323" t="n"/>
      <c r="W83" s="323" t="n"/>
      <c r="X83" s="323" t="n"/>
    </row>
    <row r="84" ht="15.5" customHeight="1" s="297">
      <c r="A84" s="66" t="n"/>
      <c r="B84" s="314" t="n"/>
      <c r="C84" s="315" t="n"/>
      <c r="D84" s="331" t="inlineStr">
        <is>
          <t>Pembuatan Alat</t>
        </is>
      </c>
      <c r="E84" s="327" t="n"/>
      <c r="F84" s="344" t="n"/>
      <c r="G84" s="319" t="n"/>
      <c r="H84" s="319" t="n"/>
      <c r="I84" s="321" t="n"/>
      <c r="J84" s="320" t="n"/>
      <c r="K84" s="322" t="n"/>
      <c r="L84" s="322" t="n"/>
      <c r="M84" s="322" t="n"/>
      <c r="N84" s="322" t="n"/>
      <c r="O84" s="322" t="n"/>
      <c r="P84" s="322" t="n"/>
      <c r="Q84" s="322" t="n"/>
      <c r="R84" s="323" t="n"/>
      <c r="S84" s="323" t="n"/>
      <c r="T84" s="323" t="n"/>
      <c r="U84" s="323" t="n"/>
      <c r="V84" s="323" t="n"/>
      <c r="W84" s="323" t="n"/>
      <c r="X84" s="323" t="n"/>
    </row>
    <row r="85" ht="15.5" customHeight="1" s="297">
      <c r="B85" s="314" t="n">
        <v>45653</v>
      </c>
      <c r="C85" s="315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6" t="n">
        <v>141500000</v>
      </c>
      <c r="J85" s="322" t="n"/>
      <c r="K85" s="329" t="n"/>
      <c r="L85" s="321" t="n"/>
      <c r="M85" s="322" t="n"/>
      <c r="N85" s="322" t="n"/>
      <c r="O85" s="322" t="n"/>
      <c r="P85" s="322" t="n"/>
      <c r="Q85" s="322" t="n"/>
      <c r="R85" s="323" t="n"/>
      <c r="S85" s="323" t="n"/>
      <c r="T85" s="323" t="n"/>
      <c r="U85" s="323" t="n"/>
      <c r="V85" s="323" t="n"/>
      <c r="W85" s="323" t="n"/>
      <c r="X85" s="323" t="n"/>
    </row>
    <row r="86" ht="15.5" customHeight="1" s="297">
      <c r="B86" s="314" t="n"/>
      <c r="C86" s="315" t="n"/>
      <c r="D86" s="331" t="inlineStr">
        <is>
          <t>Project Operation</t>
        </is>
      </c>
      <c r="E86" s="327" t="n"/>
      <c r="F86" s="344" t="n"/>
      <c r="G86" s="328" t="n"/>
      <c r="H86" s="319" t="n"/>
      <c r="I86" s="321" t="n"/>
      <c r="J86" s="322" t="n"/>
      <c r="K86" s="329" t="n"/>
      <c r="L86" s="322" t="n"/>
      <c r="M86" s="322" t="n"/>
      <c r="N86" s="322" t="n"/>
      <c r="O86" s="322" t="n"/>
      <c r="P86" s="322" t="n"/>
      <c r="Q86" s="322" t="n"/>
      <c r="R86" s="323" t="n"/>
      <c r="S86" s="323" t="n"/>
      <c r="T86" s="323" t="n"/>
      <c r="U86" s="323" t="n"/>
      <c r="V86" s="323" t="n"/>
      <c r="W86" s="323" t="n"/>
      <c r="X86" s="323" t="n"/>
    </row>
    <row r="87" ht="15.5" customHeight="1" s="297">
      <c r="A87" s="66" t="n"/>
      <c r="B87" s="314" t="n">
        <v>45422</v>
      </c>
      <c r="C87" s="315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19" t="inlineStr">
        <is>
          <t>IDR</t>
        </is>
      </c>
      <c r="H87" s="325" t="n">
        <v>1</v>
      </c>
      <c r="I87" s="320" t="n"/>
      <c r="J87" s="326" t="n">
        <v>18000000</v>
      </c>
      <c r="K87" s="322" t="n"/>
      <c r="L87" s="322" t="n"/>
      <c r="M87" s="322" t="n"/>
      <c r="N87" s="322" t="n"/>
      <c r="O87" s="322" t="n"/>
      <c r="P87" s="322" t="n"/>
      <c r="Q87" s="321" t="n"/>
      <c r="R87" s="323" t="n"/>
      <c r="S87" s="323" t="n"/>
      <c r="T87" s="323" t="n"/>
      <c r="U87" s="323" t="n"/>
      <c r="V87" s="323" t="n"/>
      <c r="W87" s="323" t="n"/>
      <c r="X87" s="323" t="n"/>
    </row>
    <row r="88" ht="15.5" customHeight="1" s="297">
      <c r="B88" s="314" t="n">
        <v>45581</v>
      </c>
      <c r="C88" s="315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19" t="inlineStr">
        <is>
          <t>IDR</t>
        </is>
      </c>
      <c r="H88" s="325" t="n">
        <v>1</v>
      </c>
      <c r="I88" s="320" t="n"/>
      <c r="J88" s="330" t="n">
        <v>100000000</v>
      </c>
      <c r="K88" s="329" t="n"/>
      <c r="L88" s="322" t="n"/>
      <c r="M88" s="322" t="n"/>
      <c r="N88" s="322" t="n"/>
      <c r="O88" s="322" t="n"/>
      <c r="P88" s="322" t="n"/>
      <c r="Q88" s="322" t="n"/>
      <c r="R88" s="323" t="n"/>
      <c r="S88" s="323" t="n"/>
      <c r="T88" s="323" t="n"/>
      <c r="U88" s="323" t="n"/>
      <c r="V88" s="323" t="n"/>
      <c r="W88" s="323" t="n"/>
      <c r="X88" s="323" t="n"/>
    </row>
    <row r="89" ht="15.5" customHeight="1" s="297">
      <c r="B89" s="314" t="n"/>
      <c r="C89" s="315" t="n"/>
      <c r="D89" s="331" t="inlineStr">
        <is>
          <t>Rental Tool</t>
        </is>
      </c>
      <c r="E89" s="327" t="n"/>
      <c r="F89" s="344" t="n"/>
      <c r="G89" s="319" t="n"/>
      <c r="H89" s="319" t="n"/>
      <c r="I89" s="320" t="n"/>
      <c r="J89" s="322" t="n"/>
      <c r="K89" s="329" t="n"/>
      <c r="L89" s="322" t="n"/>
      <c r="M89" s="322" t="n"/>
      <c r="N89" s="321" t="n"/>
      <c r="O89" s="322" t="n"/>
      <c r="P89" s="322" t="n"/>
      <c r="Q89" s="322" t="n"/>
      <c r="R89" s="323" t="n"/>
      <c r="S89" s="323" t="n"/>
      <c r="T89" s="323" t="n"/>
      <c r="U89" s="323" t="n"/>
      <c r="V89" s="323" t="n"/>
      <c r="W89" s="323" t="n"/>
      <c r="X89" s="323" t="n"/>
    </row>
    <row r="90" ht="15.5" customHeight="1" s="297">
      <c r="A90" s="66" t="n"/>
      <c r="B90" s="314" t="n">
        <v>45302</v>
      </c>
      <c r="C90" s="315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19" t="inlineStr">
        <is>
          <t>IDR</t>
        </is>
      </c>
      <c r="H90" s="325" t="n">
        <v>1</v>
      </c>
      <c r="I90" s="320" t="n"/>
      <c r="J90" s="321" t="n"/>
      <c r="K90" s="330" t="n">
        <v>29640916</v>
      </c>
      <c r="L90" s="322" t="n"/>
      <c r="M90" s="322" t="n"/>
      <c r="N90" s="322" t="n"/>
      <c r="O90" s="322" t="n"/>
      <c r="P90" s="322" t="n"/>
      <c r="Q90" s="322" t="n"/>
      <c r="R90" s="323" t="n"/>
      <c r="S90" s="323" t="n"/>
      <c r="T90" s="323" t="n"/>
      <c r="U90" s="323" t="n"/>
      <c r="V90" s="323" t="n"/>
      <c r="W90" s="323" t="n"/>
      <c r="X90" s="323" t="n"/>
    </row>
    <row r="91" ht="15.5" customHeight="1" s="297">
      <c r="B91" s="314" t="n">
        <v>45302</v>
      </c>
      <c r="C91" s="315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19" t="inlineStr">
        <is>
          <t>IDR</t>
        </is>
      </c>
      <c r="H91" s="325" t="n">
        <v>1</v>
      </c>
      <c r="I91" s="320" t="n"/>
      <c r="J91" s="320" t="n"/>
      <c r="K91" s="330" t="n">
        <v>29640916</v>
      </c>
      <c r="L91" s="322" t="n"/>
      <c r="M91" s="322" t="n"/>
      <c r="N91" s="322" t="n"/>
      <c r="O91" s="343" t="n"/>
      <c r="P91" s="322" t="n"/>
      <c r="Q91" s="322" t="n"/>
      <c r="R91" s="323" t="n"/>
      <c r="S91" s="323" t="n"/>
      <c r="T91" s="323" t="n"/>
      <c r="U91" s="323" t="n"/>
      <c r="V91" s="323" t="n"/>
      <c r="W91" s="323" t="n"/>
      <c r="X91" s="323" t="n"/>
    </row>
    <row r="92" ht="15.5" customHeight="1" s="297">
      <c r="B92" s="314" t="n">
        <v>45302</v>
      </c>
      <c r="C92" s="315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19" t="inlineStr">
        <is>
          <t>IDR</t>
        </is>
      </c>
      <c r="H92" s="325" t="n">
        <v>1</v>
      </c>
      <c r="I92" s="321" t="n"/>
      <c r="J92" s="320" t="n"/>
      <c r="K92" s="330" t="n">
        <v>29640916</v>
      </c>
      <c r="L92" s="322" t="n"/>
      <c r="M92" s="322" t="n"/>
      <c r="N92" s="322" t="n"/>
      <c r="O92" s="322" t="n"/>
      <c r="P92" s="322" t="n"/>
      <c r="Q92" s="322" t="n"/>
      <c r="R92" s="323" t="n"/>
      <c r="S92" s="323" t="n"/>
      <c r="T92" s="323" t="n"/>
      <c r="U92" s="323" t="n"/>
      <c r="V92" s="323" t="n"/>
      <c r="W92" s="323" t="n"/>
      <c r="X92" s="323" t="n"/>
    </row>
    <row r="93" ht="15.5" customHeight="1" s="297">
      <c r="B93" s="314" t="n">
        <v>45446</v>
      </c>
      <c r="C93" s="315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19" t="inlineStr">
        <is>
          <t>IDR</t>
        </is>
      </c>
      <c r="H93" s="325" t="n">
        <v>1</v>
      </c>
      <c r="I93" s="320" t="n"/>
      <c r="J93" s="320" t="n"/>
      <c r="K93" s="330" t="n">
        <v>29640916</v>
      </c>
      <c r="L93" s="322" t="n"/>
      <c r="M93" s="322" t="n"/>
      <c r="N93" s="322" t="n"/>
      <c r="O93" s="322" t="n"/>
      <c r="P93" s="322" t="n"/>
      <c r="Q93" s="322" t="n"/>
      <c r="R93" s="323" t="n"/>
      <c r="S93" s="323" t="n"/>
      <c r="T93" s="323" t="n"/>
      <c r="U93" s="323" t="n"/>
      <c r="V93" s="323" t="n"/>
      <c r="W93" s="323" t="n"/>
      <c r="X93" s="323" t="n"/>
    </row>
    <row r="94" ht="15.5" customHeight="1" s="297">
      <c r="A94" s="66" t="n"/>
      <c r="B94" s="314" t="n">
        <v>45447</v>
      </c>
      <c r="C94" s="315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19" t="inlineStr">
        <is>
          <t>IDR</t>
        </is>
      </c>
      <c r="H94" s="325" t="n">
        <v>1</v>
      </c>
      <c r="I94" s="320" t="n"/>
      <c r="J94" s="321" t="n"/>
      <c r="K94" s="330" t="n">
        <v>29640916</v>
      </c>
      <c r="L94" s="322" t="n"/>
      <c r="M94" s="322" t="n"/>
      <c r="N94" s="322" t="n"/>
      <c r="O94" s="322" t="n"/>
      <c r="P94" s="322" t="n"/>
      <c r="Q94" s="322" t="n"/>
      <c r="R94" s="323" t="n"/>
      <c r="S94" s="323" t="n"/>
      <c r="T94" s="323" t="n"/>
      <c r="U94" s="323" t="n"/>
      <c r="V94" s="323" t="n"/>
      <c r="W94" s="323" t="n"/>
      <c r="X94" s="323" t="n"/>
    </row>
    <row r="95" ht="15.5" customHeight="1" s="297">
      <c r="B95" s="314" t="n">
        <v>45537</v>
      </c>
      <c r="C95" s="315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2" t="n"/>
      <c r="N95" s="322" t="n"/>
      <c r="O95" s="322" t="n"/>
      <c r="P95" s="322" t="n"/>
      <c r="Q95" s="322" t="n"/>
      <c r="R95" s="323" t="n"/>
      <c r="S95" s="323" t="n"/>
      <c r="T95" s="323" t="n"/>
      <c r="U95" s="323" t="n"/>
      <c r="V95" s="323" t="n"/>
      <c r="W95" s="323" t="n"/>
      <c r="X95" s="323" t="n"/>
    </row>
    <row r="96" ht="15.5" customHeight="1" s="297">
      <c r="B96" s="314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19" t="inlineStr">
        <is>
          <t>IDR</t>
        </is>
      </c>
      <c r="H96" s="325" t="n">
        <v>1</v>
      </c>
      <c r="I96" s="320" t="n"/>
      <c r="J96" s="322" t="n"/>
      <c r="K96" s="326" t="n">
        <v>16165271</v>
      </c>
      <c r="L96" s="322" t="n"/>
      <c r="M96" s="321" t="n"/>
      <c r="N96" s="322" t="n"/>
      <c r="O96" s="322" t="n"/>
      <c r="P96" s="322" t="n"/>
      <c r="Q96" s="322" t="n"/>
      <c r="R96" s="323" t="n"/>
      <c r="S96" s="323" t="n"/>
      <c r="T96" s="323" t="n"/>
      <c r="U96" s="323" t="n"/>
      <c r="V96" s="323" t="n"/>
      <c r="W96" s="323" t="n"/>
      <c r="X96" s="323" t="n"/>
    </row>
    <row r="97" ht="15.5" customHeight="1" s="297">
      <c r="B97" s="352" t="n">
        <v>45569</v>
      </c>
      <c r="C97" s="322" t="n">
        <v>43</v>
      </c>
      <c r="D97" s="322" t="inlineStr">
        <is>
          <t>ALFA Service TGB-033 Pertamina Cirebon - Rental Tool</t>
        </is>
      </c>
      <c r="E97" s="322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1" t="n"/>
      <c r="J97" s="321" t="n"/>
      <c r="K97" s="330" t="n">
        <v>25967616</v>
      </c>
      <c r="L97" s="321" t="n"/>
      <c r="M97" s="321" t="n"/>
      <c r="N97" s="321" t="n"/>
      <c r="O97" s="321" t="n"/>
      <c r="P97" s="321" t="n"/>
      <c r="Q97" s="321" t="n"/>
      <c r="R97" s="323" t="n"/>
      <c r="S97" s="323" t="n"/>
      <c r="T97" s="323" t="n"/>
      <c r="U97" s="323" t="n"/>
      <c r="V97" s="323" t="n"/>
      <c r="W97" s="323" t="n"/>
      <c r="X97" s="323" t="n"/>
    </row>
    <row r="98" ht="15.5" customHeight="1" s="297">
      <c r="A98" s="354" t="n"/>
      <c r="B98" s="314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19" t="inlineStr">
        <is>
          <t>IDR</t>
        </is>
      </c>
      <c r="H98" s="325" t="n">
        <v>1</v>
      </c>
      <c r="I98" s="320" t="n"/>
      <c r="J98" s="322" t="n"/>
      <c r="K98" s="326" t="n">
        <v>32101247</v>
      </c>
      <c r="L98" s="322" t="n"/>
      <c r="M98" s="321" t="n"/>
      <c r="N98" s="322" t="n"/>
      <c r="O98" s="322" t="n"/>
      <c r="P98" s="322" t="n"/>
      <c r="Q98" s="322" t="n"/>
      <c r="R98" s="323" t="n"/>
      <c r="S98" s="323" t="n"/>
      <c r="T98" s="323" t="n"/>
      <c r="U98" s="323" t="n"/>
      <c r="V98" s="323" t="n"/>
      <c r="W98" s="323" t="n"/>
      <c r="X98" s="323" t="n"/>
    </row>
    <row r="99" ht="15.5" customHeight="1" s="297">
      <c r="A99" s="354" t="n"/>
      <c r="B99" s="314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19" t="inlineStr">
        <is>
          <t>IDR</t>
        </is>
      </c>
      <c r="H99" s="325" t="n">
        <v>1</v>
      </c>
      <c r="I99" s="320" t="n"/>
      <c r="J99" s="322" t="n"/>
      <c r="K99" s="326" t="n">
        <v>29640916</v>
      </c>
      <c r="L99" s="322" t="n"/>
      <c r="M99" s="321" t="n"/>
      <c r="N99" s="322" t="n"/>
      <c r="O99" s="322" t="n"/>
      <c r="P99" s="322" t="n"/>
      <c r="Q99" s="322" t="n"/>
      <c r="R99" s="323" t="n"/>
      <c r="S99" s="323" t="n"/>
      <c r="T99" s="323" t="n"/>
      <c r="U99" s="323" t="n"/>
      <c r="V99" s="323" t="n"/>
      <c r="W99" s="323" t="n"/>
      <c r="X99" s="323" t="n"/>
    </row>
    <row r="100" ht="15.5" customHeight="1" s="297">
      <c r="A100" s="354" t="n"/>
      <c r="B100" s="314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19" t="inlineStr">
        <is>
          <t>IDR</t>
        </is>
      </c>
      <c r="H100" s="325" t="n">
        <v>1</v>
      </c>
      <c r="I100" s="320" t="n"/>
      <c r="J100" s="322" t="n"/>
      <c r="K100" s="326" t="n">
        <v>74291457</v>
      </c>
      <c r="L100" s="322" t="n"/>
      <c r="M100" s="321" t="n"/>
      <c r="N100" s="322" t="n"/>
      <c r="O100" s="322" t="n"/>
      <c r="P100" s="322" t="n"/>
      <c r="Q100" s="322" t="n"/>
      <c r="R100" s="323" t="n"/>
      <c r="S100" s="323" t="n"/>
      <c r="T100" s="323" t="n"/>
      <c r="U100" s="323" t="n"/>
      <c r="V100" s="323" t="n"/>
      <c r="W100" s="323" t="n"/>
      <c r="X100" s="323" t="n"/>
    </row>
    <row r="101" ht="15.5" customHeight="1" s="297">
      <c r="A101" s="354" t="n"/>
      <c r="B101" s="314" t="n"/>
      <c r="C101" s="328" t="n"/>
      <c r="D101" s="331" t="inlineStr">
        <is>
          <t>Sales</t>
        </is>
      </c>
      <c r="E101" s="327" t="n"/>
      <c r="F101" s="341" t="n"/>
      <c r="G101" s="319" t="n"/>
      <c r="H101" s="319" t="n"/>
      <c r="I101" s="320" t="n"/>
      <c r="J101" s="322" t="n"/>
      <c r="K101" s="320" t="n"/>
      <c r="L101" s="322" t="n"/>
      <c r="M101" s="321" t="n"/>
      <c r="N101" s="322" t="n"/>
      <c r="O101" s="322" t="n"/>
      <c r="P101" s="322" t="n"/>
      <c r="Q101" s="322" t="n"/>
      <c r="R101" s="323" t="n"/>
      <c r="S101" s="323" t="n"/>
      <c r="T101" s="323" t="n"/>
      <c r="U101" s="323" t="n"/>
      <c r="V101" s="323" t="n"/>
      <c r="W101" s="323" t="n"/>
      <c r="X101" s="323" t="n"/>
    </row>
    <row r="102" ht="15.5" customHeight="1" s="297">
      <c r="A102" s="354" t="n"/>
      <c r="B102" s="314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19" t="inlineStr">
        <is>
          <t>IDR</t>
        </is>
      </c>
      <c r="H102" s="325" t="n">
        <v>1</v>
      </c>
      <c r="I102" s="320" t="n"/>
      <c r="J102" s="330" t="n">
        <v>77672400</v>
      </c>
      <c r="K102" s="320" t="n"/>
      <c r="L102" s="322" t="n"/>
      <c r="M102" s="321" t="n"/>
      <c r="N102" s="322" t="n"/>
      <c r="O102" s="322" t="n"/>
      <c r="P102" s="322" t="n"/>
      <c r="Q102" s="322" t="n"/>
      <c r="R102" s="323" t="n"/>
      <c r="S102" s="323" t="n"/>
      <c r="T102" s="323" t="n"/>
      <c r="U102" s="323" t="n"/>
      <c r="V102" s="323" t="n"/>
      <c r="W102" s="323" t="n"/>
      <c r="X102" s="323" t="n"/>
    </row>
    <row r="103" ht="15.5" customHeight="1" s="297">
      <c r="A103" s="354" t="n"/>
      <c r="B103" s="314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19" t="inlineStr">
        <is>
          <t>IDR</t>
        </is>
      </c>
      <c r="H103" s="325" t="n">
        <v>1</v>
      </c>
      <c r="I103" s="320" t="n"/>
      <c r="J103" s="330" t="n">
        <v>38838700</v>
      </c>
      <c r="K103" s="320" t="n"/>
      <c r="L103" s="322" t="n"/>
      <c r="M103" s="321" t="n"/>
      <c r="N103" s="322" t="n"/>
      <c r="O103" s="322" t="n"/>
      <c r="P103" s="322" t="n"/>
      <c r="Q103" s="322" t="n"/>
      <c r="R103" s="323" t="n"/>
      <c r="S103" s="323" t="n"/>
      <c r="T103" s="323" t="n"/>
      <c r="U103" s="323" t="n"/>
      <c r="V103" s="323" t="n"/>
      <c r="W103" s="323" t="n"/>
      <c r="X103" s="323" t="n"/>
    </row>
    <row r="104" ht="15.5" customHeight="1" s="297">
      <c r="A104" s="354" t="n"/>
      <c r="B104" s="314" t="n"/>
      <c r="C104" s="328" t="n"/>
      <c r="D104" s="331" t="inlineStr">
        <is>
          <t>Sewa Ruangan</t>
        </is>
      </c>
      <c r="E104" s="327" t="n"/>
      <c r="F104" s="341" t="n"/>
      <c r="G104" s="319" t="n"/>
      <c r="H104" s="319" t="n"/>
      <c r="I104" s="320" t="n"/>
      <c r="J104" s="322" t="n"/>
      <c r="K104" s="320" t="n"/>
      <c r="L104" s="322" t="n"/>
      <c r="M104" s="321" t="n"/>
      <c r="N104" s="322" t="n"/>
      <c r="O104" s="322" t="n"/>
      <c r="P104" s="322" t="n"/>
      <c r="Q104" s="322" t="n"/>
      <c r="R104" s="323" t="n"/>
      <c r="S104" s="323" t="n"/>
      <c r="T104" s="323" t="n"/>
      <c r="U104" s="323" t="n"/>
      <c r="V104" s="323" t="n"/>
      <c r="W104" s="323" t="n"/>
      <c r="X104" s="323" t="n"/>
    </row>
    <row r="105" ht="15.5" customHeight="1" s="297">
      <c r="A105" s="354" t="n"/>
      <c r="B105" s="314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19" t="inlineStr">
        <is>
          <t>IDR</t>
        </is>
      </c>
      <c r="H105" s="325" t="n">
        <v>1</v>
      </c>
      <c r="I105" s="320" t="n"/>
      <c r="J105" s="322" t="n"/>
      <c r="K105" s="320" t="n"/>
      <c r="L105" s="322" t="n"/>
      <c r="M105" s="321" t="n"/>
      <c r="N105" s="322" t="n"/>
      <c r="O105" s="322" t="n"/>
      <c r="P105" s="322" t="n"/>
      <c r="Q105" s="330" t="n">
        <v>11270000</v>
      </c>
      <c r="R105" s="323" t="n"/>
      <c r="S105" s="323" t="n"/>
      <c r="T105" s="323" t="n"/>
      <c r="U105" s="323" t="n"/>
      <c r="V105" s="323" t="n"/>
      <c r="W105" s="323" t="n"/>
      <c r="X105" s="323" t="n"/>
    </row>
    <row r="106" ht="15.5" customHeight="1" s="297">
      <c r="A106" s="354" t="n"/>
      <c r="B106" s="314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19" t="inlineStr">
        <is>
          <t>IDR</t>
        </is>
      </c>
      <c r="H106" s="325" t="n">
        <v>1</v>
      </c>
      <c r="I106" s="320" t="n"/>
      <c r="J106" s="322" t="n"/>
      <c r="K106" s="320" t="n"/>
      <c r="L106" s="322" t="n"/>
      <c r="M106" s="321" t="n"/>
      <c r="N106" s="322" t="n"/>
      <c r="O106" s="330" t="n">
        <v>4995000</v>
      </c>
      <c r="P106" s="322" t="n"/>
      <c r="Q106" s="322" t="n"/>
      <c r="R106" s="323" t="n"/>
      <c r="S106" s="323" t="n"/>
      <c r="T106" s="323" t="n"/>
      <c r="U106" s="323" t="n"/>
      <c r="V106" s="323" t="n"/>
      <c r="W106" s="323" t="n"/>
      <c r="X106" s="323" t="n"/>
    </row>
    <row r="107" ht="15.5" customHeight="1" s="297">
      <c r="A107" s="354" t="n"/>
      <c r="B107" s="314" t="n"/>
      <c r="C107" s="328" t="n"/>
      <c r="D107" s="331" t="inlineStr">
        <is>
          <t>Sparepart</t>
        </is>
      </c>
      <c r="E107" s="327" t="n"/>
      <c r="F107" s="341" t="n"/>
      <c r="G107" s="319" t="n"/>
      <c r="H107" s="319" t="n"/>
      <c r="I107" s="320" t="n"/>
      <c r="J107" s="322" t="n"/>
      <c r="K107" s="320" t="n"/>
      <c r="L107" s="322" t="n"/>
      <c r="M107" s="321" t="n"/>
      <c r="N107" s="322" t="n"/>
      <c r="O107" s="322" t="n"/>
      <c r="P107" s="322" t="n"/>
      <c r="Q107" s="322" t="n"/>
      <c r="R107" s="323" t="n"/>
      <c r="S107" s="323" t="n"/>
      <c r="T107" s="323" t="n"/>
      <c r="U107" s="323" t="n"/>
      <c r="V107" s="323" t="n"/>
      <c r="W107" s="323" t="n"/>
      <c r="X107" s="323" t="n"/>
    </row>
    <row r="108" ht="15.5" customHeight="1" s="297">
      <c r="A108" s="354" t="n"/>
      <c r="B108" s="314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19" t="inlineStr">
        <is>
          <t>IDR</t>
        </is>
      </c>
      <c r="H108" s="325" t="n">
        <v>1</v>
      </c>
      <c r="I108" s="320" t="n"/>
      <c r="J108" s="322" t="n"/>
      <c r="K108" s="320" t="n"/>
      <c r="L108" s="322" t="n"/>
      <c r="M108" s="321" t="n"/>
      <c r="N108" s="330" t="n">
        <v>39800000</v>
      </c>
      <c r="O108" s="322" t="n"/>
      <c r="P108" s="322" t="n"/>
      <c r="Q108" s="322" t="n"/>
      <c r="R108" s="323" t="n"/>
      <c r="S108" s="323" t="n"/>
      <c r="T108" s="323" t="n"/>
      <c r="U108" s="323" t="n"/>
      <c r="V108" s="323" t="n"/>
      <c r="W108" s="323" t="n"/>
      <c r="X108" s="323" t="n"/>
    </row>
    <row r="109" ht="15.5" customHeight="1" s="297">
      <c r="A109" s="354" t="n"/>
      <c r="B109" s="314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19" t="inlineStr">
        <is>
          <t>IDR</t>
        </is>
      </c>
      <c r="H109" s="325" t="n">
        <v>1</v>
      </c>
      <c r="I109" s="320" t="n"/>
      <c r="J109" s="322" t="n"/>
      <c r="K109" s="320" t="n"/>
      <c r="L109" s="322" t="n"/>
      <c r="M109" s="321" t="n"/>
      <c r="N109" s="330" t="n">
        <v>53835000</v>
      </c>
      <c r="O109" s="322" t="n"/>
      <c r="P109" s="322" t="n"/>
      <c r="Q109" s="322" t="n"/>
      <c r="R109" s="323" t="n"/>
      <c r="S109" s="323" t="n"/>
      <c r="T109" s="323" t="n"/>
      <c r="U109" s="323" t="n"/>
      <c r="V109" s="323" t="n"/>
      <c r="W109" s="323" t="n"/>
      <c r="X109" s="323" t="n"/>
    </row>
    <row r="110" ht="15.5" customHeight="1" s="297">
      <c r="A110" s="354" t="n"/>
      <c r="B110" s="314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19" t="inlineStr">
        <is>
          <t>IDR</t>
        </is>
      </c>
      <c r="H110" s="325" t="n">
        <v>1</v>
      </c>
      <c r="I110" s="320" t="n"/>
      <c r="J110" s="322" t="n"/>
      <c r="K110" s="320" t="n"/>
      <c r="L110" s="322" t="n"/>
      <c r="M110" s="321" t="n"/>
      <c r="N110" s="330" t="n">
        <v>34299000</v>
      </c>
      <c r="O110" s="322" t="n"/>
      <c r="P110" s="322" t="n"/>
      <c r="Q110" s="322" t="n"/>
      <c r="R110" s="323" t="n"/>
      <c r="S110" s="323" t="n"/>
      <c r="T110" s="323" t="n"/>
      <c r="U110" s="323" t="n"/>
      <c r="V110" s="323" t="n"/>
      <c r="W110" s="323" t="n"/>
      <c r="X110" s="323" t="n"/>
    </row>
    <row r="111" ht="15.5" customHeight="1" s="297">
      <c r="A111" s="354" t="n"/>
      <c r="B111" s="314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19" t="inlineStr">
        <is>
          <t>IDR</t>
        </is>
      </c>
      <c r="H111" s="325" t="n">
        <v>1</v>
      </c>
      <c r="I111" s="320" t="n"/>
      <c r="J111" s="322" t="n"/>
      <c r="K111" s="320" t="n"/>
      <c r="L111" s="322" t="n"/>
      <c r="M111" s="321" t="n"/>
      <c r="N111" s="330" t="n">
        <v>777246</v>
      </c>
      <c r="O111" s="322" t="n"/>
      <c r="P111" s="322" t="n"/>
      <c r="Q111" s="322" t="n"/>
      <c r="R111" s="323" t="n"/>
      <c r="S111" s="323" t="n"/>
      <c r="T111" s="323" t="n"/>
      <c r="U111" s="323" t="n"/>
      <c r="V111" s="323" t="n"/>
      <c r="W111" s="323" t="n"/>
      <c r="X111" s="323" t="n"/>
    </row>
    <row r="112" ht="15.5" customHeight="1" s="297">
      <c r="A112" s="354" t="n"/>
      <c r="B112" s="314" t="n"/>
      <c r="C112" s="328" t="n"/>
      <c r="D112" s="331" t="inlineStr">
        <is>
          <t>Team Building</t>
        </is>
      </c>
      <c r="E112" s="327" t="n"/>
      <c r="F112" s="341" t="n"/>
      <c r="G112" s="319" t="n"/>
      <c r="H112" s="319" t="n"/>
      <c r="I112" s="320" t="n"/>
      <c r="J112" s="322" t="n"/>
      <c r="K112" s="320" t="n"/>
      <c r="L112" s="322" t="n"/>
      <c r="M112" s="321" t="n"/>
      <c r="N112" s="322" t="n"/>
      <c r="O112" s="322" t="n"/>
      <c r="P112" s="322" t="n"/>
      <c r="Q112" s="322" t="n"/>
      <c r="R112" s="323" t="n"/>
      <c r="S112" s="323" t="n"/>
      <c r="T112" s="323" t="n"/>
      <c r="U112" s="323" t="n"/>
      <c r="V112" s="323" t="n"/>
      <c r="W112" s="323" t="n"/>
      <c r="X112" s="323" t="n"/>
    </row>
    <row r="113" ht="15.5" customHeight="1" s="297">
      <c r="A113" s="354" t="n"/>
      <c r="B113" s="314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19" t="inlineStr">
        <is>
          <t>IDR</t>
        </is>
      </c>
      <c r="H113" s="325" t="n">
        <v>1</v>
      </c>
      <c r="I113" s="320" t="n"/>
      <c r="J113" s="330" t="n">
        <v>39201350</v>
      </c>
      <c r="K113" s="320" t="n"/>
      <c r="L113" s="322" t="n"/>
      <c r="M113" s="321" t="n"/>
      <c r="N113" s="322" t="n"/>
      <c r="O113" s="322" t="n"/>
      <c r="P113" s="322" t="n"/>
      <c r="Q113" s="322" t="n"/>
      <c r="R113" s="323" t="n"/>
      <c r="S113" s="323" t="n"/>
      <c r="T113" s="323" t="n"/>
      <c r="U113" s="323" t="n"/>
      <c r="V113" s="323" t="n"/>
      <c r="W113" s="323" t="n"/>
      <c r="X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Accommodation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A117" s="354" t="n"/>
      <c r="B117" s="292" t="n">
        <v>45329</v>
      </c>
      <c r="C117" s="91" t="n">
        <v>1</v>
      </c>
      <c r="D117" s="95" t="inlineStr">
        <is>
          <t>Hotel 7 Feb-8 Feb 2024 (1 days)</t>
        </is>
      </c>
      <c r="E117" s="95" t="n"/>
      <c r="F117" s="360" t="n">
        <v>200000</v>
      </c>
      <c r="G117" s="91" t="inlineStr">
        <is>
          <t>IDR</t>
        </is>
      </c>
      <c r="H117" s="361" t="n">
        <v>1</v>
      </c>
      <c r="I117" s="61" t="n"/>
      <c r="J117" s="362" t="n">
        <v>200000</v>
      </c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Hotel Prabumulih 8 Feb- 7 Mar 2024 (1 Month)</t>
        </is>
      </c>
      <c r="E118" s="95" t="n"/>
      <c r="F118" s="360" t="n">
        <v>3300000</v>
      </c>
      <c r="G118" s="91" t="inlineStr">
        <is>
          <t>IDR</t>
        </is>
      </c>
      <c r="H118" s="361" t="n">
        <v>1</v>
      </c>
      <c r="I118" s="61" t="n"/>
      <c r="J118" s="362" t="n">
        <v>3300000</v>
      </c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A119" s="354" t="n"/>
      <c r="B119" s="292" t="n">
        <v>45355</v>
      </c>
      <c r="C119" s="91" t="n">
        <v>3</v>
      </c>
      <c r="D119" s="95" t="inlineStr">
        <is>
          <t>Laundry 27 days 1 Persons @ 50K IDR/day</t>
        </is>
      </c>
      <c r="E119" s="95" t="n"/>
      <c r="F119" s="360" t="n">
        <v>1350000</v>
      </c>
      <c r="G119" s="91" t="inlineStr">
        <is>
          <t>IDR</t>
        </is>
      </c>
      <c r="H119" s="361" t="n">
        <v>1</v>
      </c>
      <c r="I119" s="61" t="n"/>
      <c r="J119" s="362" t="n">
        <v>1350000</v>
      </c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A120" s="354" t="n"/>
      <c r="B120" s="24" t="n"/>
      <c r="C120" s="91" t="n"/>
      <c r="D120" s="359" t="inlineStr">
        <is>
          <t>Allowance</t>
        </is>
      </c>
      <c r="E120" s="92" t="n"/>
      <c r="F120" s="93" t="n"/>
      <c r="G120" s="91" t="n"/>
      <c r="H120" s="91" t="n"/>
      <c r="I120" s="62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A121" s="354" t="n"/>
      <c r="B121" s="292" t="n">
        <v>45355</v>
      </c>
      <c r="C121" s="91" t="n">
        <v>4</v>
      </c>
      <c r="D121" s="95" t="inlineStr">
        <is>
          <t>Tunjangan Lapangan for 27 days</t>
        </is>
      </c>
      <c r="E121" s="95" t="n"/>
      <c r="F121" s="360" t="n">
        <v>42589800</v>
      </c>
      <c r="G121" s="91" t="inlineStr">
        <is>
          <t>USD</t>
        </is>
      </c>
      <c r="H121" s="361" t="n">
        <v>15774</v>
      </c>
      <c r="I121" s="61" t="n"/>
      <c r="J121" s="362" t="n">
        <v>42589800</v>
      </c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A122" s="354" t="n"/>
      <c r="B122" s="24" t="n"/>
      <c r="C122" s="91" t="n"/>
      <c r="D122" s="359" t="inlineStr">
        <is>
          <t>Logistic</t>
        </is>
      </c>
      <c r="E122" s="92" t="n"/>
      <c r="F122" s="93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A123" s="354" t="n"/>
      <c r="B123" s="292" t="n">
        <v>45329</v>
      </c>
      <c r="C123" s="91" t="n">
        <v>5</v>
      </c>
      <c r="D123" s="95" t="inlineStr">
        <is>
          <t>Gloves</t>
        </is>
      </c>
      <c r="E123" s="95" t="n"/>
      <c r="F123" s="360" t="n">
        <v>58500</v>
      </c>
      <c r="G123" s="91" t="inlineStr">
        <is>
          <t>IDR</t>
        </is>
      </c>
      <c r="H123" s="361" t="n">
        <v>1</v>
      </c>
      <c r="I123" s="61" t="n"/>
      <c r="J123" s="362" t="n"/>
      <c r="K123" s="44" t="n"/>
      <c r="L123" s="44" t="n"/>
      <c r="M123" s="44" t="n"/>
      <c r="N123" s="362" t="n">
        <v>58500</v>
      </c>
      <c r="O123" s="44" t="n"/>
      <c r="P123" s="44" t="n"/>
      <c r="Q123" s="44" t="n"/>
    </row>
    <row r="124" ht="15.5" customHeight="1" s="297">
      <c r="A124" s="354" t="n"/>
      <c r="B124" s="292" t="n">
        <v>45341</v>
      </c>
      <c r="C124" s="91" t="n">
        <v>6</v>
      </c>
      <c r="D124" s="95" t="inlineStr">
        <is>
          <t>Battery A3</t>
        </is>
      </c>
      <c r="E124" s="95" t="n"/>
      <c r="F124" s="360" t="n">
        <v>82100</v>
      </c>
      <c r="G124" s="91" t="inlineStr">
        <is>
          <t>IDR</t>
        </is>
      </c>
      <c r="H124" s="361" t="n">
        <v>1</v>
      </c>
      <c r="I124" s="61" t="n"/>
      <c r="J124" s="362" t="n"/>
      <c r="K124" s="44" t="n"/>
      <c r="L124" s="44" t="n"/>
      <c r="M124" s="44" t="n"/>
      <c r="N124" s="362" t="n">
        <v>82100</v>
      </c>
      <c r="O124" s="44" t="n"/>
      <c r="P124" s="44" t="n"/>
      <c r="Q124" s="44" t="n"/>
    </row>
    <row r="125" ht="15.5" customHeight="1" s="297">
      <c r="A125" s="354" t="n"/>
      <c r="B125" s="292" t="n">
        <v>45341</v>
      </c>
      <c r="C125" s="91" t="n">
        <v>7</v>
      </c>
      <c r="D125" s="95" t="inlineStr">
        <is>
          <t>Steker</t>
        </is>
      </c>
      <c r="E125" s="95" t="n"/>
      <c r="F125" s="360" t="n">
        <v>14000</v>
      </c>
      <c r="G125" s="91" t="inlineStr">
        <is>
          <t>IDR</t>
        </is>
      </c>
      <c r="H125" s="361" t="n">
        <v>1</v>
      </c>
      <c r="I125" s="61" t="n"/>
      <c r="J125" s="362" t="n"/>
      <c r="K125" s="44" t="n"/>
      <c r="L125" s="44" t="n"/>
      <c r="M125" s="44" t="n"/>
      <c r="N125" s="362" t="n">
        <v>14000</v>
      </c>
      <c r="O125" s="44" t="n"/>
      <c r="P125" s="44" t="n"/>
      <c r="Q125" s="44" t="n"/>
    </row>
    <row r="126" ht="15.5" customHeight="1" s="297">
      <c r="A126" s="354" t="n"/>
      <c r="B126" s="292" t="n">
        <v>45344</v>
      </c>
      <c r="C126" s="91" t="n">
        <v>8</v>
      </c>
      <c r="D126" s="95" t="inlineStr">
        <is>
          <t>Gloves</t>
        </is>
      </c>
      <c r="E126" s="95" t="n"/>
      <c r="F126" s="360" t="n">
        <v>65000</v>
      </c>
      <c r="G126" s="91" t="inlineStr">
        <is>
          <t>IDR</t>
        </is>
      </c>
      <c r="H126" s="361" t="n">
        <v>1</v>
      </c>
      <c r="I126" s="61" t="n"/>
      <c r="J126" s="362" t="n"/>
      <c r="K126" s="44" t="n"/>
      <c r="L126" s="44" t="n"/>
      <c r="M126" s="44" t="n"/>
      <c r="N126" s="362" t="n">
        <v>65000</v>
      </c>
      <c r="O126" s="44" t="n"/>
      <c r="P126" s="44" t="n"/>
      <c r="Q126" s="44" t="n"/>
    </row>
    <row r="127" ht="15.5" customHeight="1" s="297">
      <c r="A127" s="354" t="n"/>
      <c r="B127" s="292" t="n">
        <v>45347</v>
      </c>
      <c r="C127" s="91" t="n">
        <v>9</v>
      </c>
      <c r="D127" s="95" t="inlineStr">
        <is>
          <t>White Marker</t>
        </is>
      </c>
      <c r="E127" s="95" t="n"/>
      <c r="F127" s="360" t="n">
        <v>19000</v>
      </c>
      <c r="G127" s="91" t="inlineStr">
        <is>
          <t>IDR</t>
        </is>
      </c>
      <c r="H127" s="361" t="n">
        <v>1</v>
      </c>
      <c r="I127" s="61" t="n"/>
      <c r="J127" s="362" t="n"/>
      <c r="K127" s="44" t="n"/>
      <c r="L127" s="44" t="n"/>
      <c r="M127" s="44" t="n"/>
      <c r="N127" s="362" t="n">
        <v>19000</v>
      </c>
      <c r="O127" s="44" t="n"/>
      <c r="P127" s="44" t="n"/>
      <c r="Q127" s="44" t="n"/>
    </row>
    <row r="128" ht="15.5" customHeight="1" s="297">
      <c r="A128" s="354" t="n"/>
      <c r="B128" s="292" t="n">
        <v>45350</v>
      </c>
      <c r="C128" s="91" t="n">
        <v>10</v>
      </c>
      <c r="D128" s="95" t="inlineStr">
        <is>
          <t>Internet Data</t>
        </is>
      </c>
      <c r="E128" s="95" t="n"/>
      <c r="F128" s="360" t="n">
        <v>87000</v>
      </c>
      <c r="G128" s="91" t="inlineStr">
        <is>
          <t>IDR</t>
        </is>
      </c>
      <c r="H128" s="361" t="n">
        <v>1</v>
      </c>
      <c r="I128" s="61" t="n"/>
      <c r="J128" s="362" t="n"/>
      <c r="K128" s="44" t="n"/>
      <c r="L128" s="44" t="n"/>
      <c r="M128" s="44" t="n"/>
      <c r="N128" s="362" t="n">
        <v>87000</v>
      </c>
      <c r="O128" s="44" t="n"/>
      <c r="P128" s="44" t="n"/>
      <c r="Q128" s="44" t="n"/>
    </row>
    <row r="129" ht="15.5" customHeight="1" s="297">
      <c r="A129" s="354" t="n"/>
      <c r="B129" s="24" t="n"/>
      <c r="C129" s="91" t="n"/>
      <c r="D129" s="359" t="inlineStr">
        <is>
          <t>Meal</t>
        </is>
      </c>
      <c r="E129" s="92" t="n"/>
      <c r="F129" s="93" t="n"/>
      <c r="G129" s="91" t="n"/>
      <c r="H129" s="91" t="n"/>
      <c r="I129" s="62" t="n"/>
      <c r="J129" s="62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297">
      <c r="A130" s="354" t="n"/>
      <c r="B130" s="292" t="n">
        <v>45355</v>
      </c>
      <c r="C130" s="91" t="n">
        <v>11</v>
      </c>
      <c r="D130" s="95" t="inlineStr">
        <is>
          <t>Meal Crew's Operational</t>
        </is>
      </c>
      <c r="E130" s="95" t="n"/>
      <c r="F130" s="360" t="n">
        <v>1966300</v>
      </c>
      <c r="G130" s="91" t="inlineStr">
        <is>
          <t>IDR</t>
        </is>
      </c>
      <c r="H130" s="361" t="n">
        <v>1</v>
      </c>
      <c r="I130" s="61" t="n"/>
      <c r="J130" s="362" t="n">
        <v>1966300</v>
      </c>
      <c r="K130" s="44" t="n"/>
      <c r="L130" s="44" t="n"/>
      <c r="M130" s="44" t="n"/>
      <c r="N130" s="44" t="n"/>
      <c r="O130" s="44" t="n"/>
      <c r="P130" s="44" t="n"/>
      <c r="Q130" s="44" t="n"/>
    </row>
    <row r="131" ht="15.5" customHeight="1" s="297">
      <c r="A131" s="354" t="n"/>
      <c r="B131" s="292" t="n">
        <v>45355</v>
      </c>
      <c r="C131" s="91" t="n">
        <v>12</v>
      </c>
      <c r="D131" s="95" t="inlineStr">
        <is>
          <t>Meals 27 days 1 Persons @ 150K IDR/day</t>
        </is>
      </c>
      <c r="E131" s="95" t="n"/>
      <c r="F131" s="360" t="n">
        <v>4050000</v>
      </c>
      <c r="G131" s="91" t="inlineStr">
        <is>
          <t>IDR</t>
        </is>
      </c>
      <c r="H131" s="361" t="n">
        <v>1</v>
      </c>
      <c r="I131" s="61" t="n"/>
      <c r="J131" s="362" t="n">
        <v>4050000</v>
      </c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297">
      <c r="A132" s="354" t="n"/>
      <c r="B132" s="24" t="n"/>
      <c r="C132" s="91" t="n"/>
      <c r="D132" s="359" t="inlineStr">
        <is>
          <t>Transportation</t>
        </is>
      </c>
      <c r="E132" s="92" t="n"/>
      <c r="F132" s="93" t="n"/>
      <c r="G132" s="91" t="n"/>
      <c r="H132" s="91" t="n"/>
      <c r="I132" s="62" t="n"/>
      <c r="J132" s="62" t="n"/>
      <c r="K132" s="44" t="n"/>
      <c r="L132" s="44" t="n"/>
      <c r="M132" s="44" t="n"/>
      <c r="N132" s="44" t="n"/>
      <c r="O132" s="44" t="n"/>
      <c r="P132" s="44" t="n"/>
      <c r="Q132" s="44" t="n"/>
    </row>
    <row r="133" ht="15.5" customHeight="1" s="297">
      <c r="A133" s="354" t="n"/>
      <c r="B133" s="292" t="n">
        <v>45329</v>
      </c>
      <c r="C133" s="91" t="n">
        <v>13</v>
      </c>
      <c r="D133" s="95" t="inlineStr">
        <is>
          <t>Airplane Ticket CGK-PLM</t>
        </is>
      </c>
      <c r="E133" s="95" t="n"/>
      <c r="F133" s="360" t="n">
        <v>1608000</v>
      </c>
      <c r="G133" s="91" t="inlineStr">
        <is>
          <t>IDR</t>
        </is>
      </c>
      <c r="H133" s="361" t="n">
        <v>1</v>
      </c>
      <c r="I133" s="61" t="n"/>
      <c r="J133" s="362" t="n">
        <v>1608000</v>
      </c>
      <c r="K133" s="44" t="n"/>
      <c r="L133" s="44" t="n"/>
      <c r="M133" s="44" t="n"/>
      <c r="N133" s="44" t="n"/>
      <c r="O133" s="44" t="n"/>
      <c r="P133" s="44" t="n"/>
      <c r="Q133" s="44" t="n"/>
    </row>
    <row r="134" ht="15.5" customHeight="1" s="297">
      <c r="A134" s="354" t="n"/>
      <c r="B134" s="292" t="n">
        <v>45355</v>
      </c>
      <c r="C134" s="91" t="n">
        <v>14</v>
      </c>
      <c r="D134" s="95" t="inlineStr">
        <is>
          <t>Airplane Ticket PLM-CGK</t>
        </is>
      </c>
      <c r="E134" s="95" t="n"/>
      <c r="F134" s="360" t="n">
        <v>1119500</v>
      </c>
      <c r="G134" s="91" t="inlineStr">
        <is>
          <t>IDR</t>
        </is>
      </c>
      <c r="H134" s="361" t="n">
        <v>1</v>
      </c>
      <c r="I134" s="61" t="n"/>
      <c r="J134" s="362" t="n">
        <v>1119500</v>
      </c>
      <c r="K134" s="44" t="n"/>
      <c r="L134" s="44" t="n"/>
      <c r="M134" s="44" t="n"/>
      <c r="N134" s="44" t="n"/>
      <c r="O134" s="44" t="n"/>
      <c r="P134" s="44" t="n"/>
      <c r="Q134" s="44" t="n"/>
    </row>
    <row r="135" ht="15.5" customHeight="1" s="297">
      <c r="A135" s="354" t="n"/>
      <c r="B135" s="292" t="n">
        <v>45329</v>
      </c>
      <c r="C135" s="91" t="n">
        <v>15</v>
      </c>
      <c r="D135" s="95" t="inlineStr">
        <is>
          <t>Taxi Bintaro-CGK</t>
        </is>
      </c>
      <c r="E135" s="95" t="n"/>
      <c r="F135" s="360" t="n">
        <v>250000</v>
      </c>
      <c r="G135" s="91" t="inlineStr">
        <is>
          <t>IDR</t>
        </is>
      </c>
      <c r="H135" s="361" t="n">
        <v>1</v>
      </c>
      <c r="I135" s="61" t="n"/>
      <c r="J135" s="362" t="n">
        <v>250000</v>
      </c>
      <c r="K135" s="44" t="n"/>
      <c r="L135" s="44" t="n"/>
      <c r="M135" s="44" t="n"/>
      <c r="N135" s="44" t="n"/>
      <c r="O135" s="44" t="n"/>
      <c r="P135" s="44" t="n"/>
      <c r="Q135" s="44" t="n"/>
    </row>
    <row r="136" ht="15.5" customHeight="1" s="297">
      <c r="A136" s="354" t="n"/>
      <c r="B136" s="292" t="n">
        <v>45330</v>
      </c>
      <c r="C136" s="91" t="n">
        <v>16</v>
      </c>
      <c r="D136" s="95" t="inlineStr">
        <is>
          <t>Rental Mobil Pajero 1 Hari</t>
        </is>
      </c>
      <c r="E136" s="95" t="n"/>
      <c r="F136" s="360" t="n">
        <v>900000</v>
      </c>
      <c r="G136" s="91" t="inlineStr">
        <is>
          <t>IDR</t>
        </is>
      </c>
      <c r="H136" s="361" t="n">
        <v>1</v>
      </c>
      <c r="I136" s="61" t="n"/>
      <c r="J136" s="362" t="n">
        <v>900000</v>
      </c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297">
      <c r="A137" s="354" t="n"/>
      <c r="B137" s="292" t="n">
        <v>45330</v>
      </c>
      <c r="C137" s="91" t="n">
        <v>17</v>
      </c>
      <c r="D137" s="95" t="inlineStr">
        <is>
          <t>Rental Mobil Pajero Sebulan</t>
        </is>
      </c>
      <c r="E137" s="95" t="n"/>
      <c r="F137" s="360" t="n">
        <v>18000000</v>
      </c>
      <c r="G137" s="91" t="inlineStr">
        <is>
          <t>IDR</t>
        </is>
      </c>
      <c r="H137" s="361" t="n">
        <v>1</v>
      </c>
      <c r="I137" s="61" t="n"/>
      <c r="J137" s="362" t="n">
        <v>18000000</v>
      </c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297">
      <c r="A138" s="354" t="n"/>
      <c r="B138" s="292" t="n">
        <v>45355</v>
      </c>
      <c r="C138" s="91" t="n">
        <v>18</v>
      </c>
      <c r="D138" s="95" t="inlineStr">
        <is>
          <t>Taxi CGK-Bintaro</t>
        </is>
      </c>
      <c r="E138" s="95" t="n"/>
      <c r="F138" s="360" t="n">
        <v>250000</v>
      </c>
      <c r="G138" s="91" t="inlineStr">
        <is>
          <t>IDR</t>
        </is>
      </c>
      <c r="H138" s="361" t="n">
        <v>1</v>
      </c>
      <c r="I138" s="61" t="n"/>
      <c r="J138" s="362" t="n">
        <v>250000</v>
      </c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A139" s="354" t="n"/>
      <c r="B139" s="292" t="n">
        <v>45355</v>
      </c>
      <c r="C139" s="91" t="n">
        <v>19</v>
      </c>
      <c r="D139" s="95" t="inlineStr">
        <is>
          <t>Fuel</t>
        </is>
      </c>
      <c r="E139" s="95" t="n"/>
      <c r="F139" s="360" t="n">
        <v>1498484</v>
      </c>
      <c r="G139" s="91" t="inlineStr">
        <is>
          <t>IDR</t>
        </is>
      </c>
      <c r="H139" s="361" t="n">
        <v>1</v>
      </c>
      <c r="I139" s="61" t="n"/>
      <c r="J139" s="362" t="n">
        <v>1498484</v>
      </c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A140" s="354" t="n"/>
      <c r="B140" s="292" t="n">
        <v>45355</v>
      </c>
      <c r="C140" s="91" t="n">
        <v>20</v>
      </c>
      <c r="D140" s="95" t="inlineStr">
        <is>
          <t>Toll Fee</t>
        </is>
      </c>
      <c r="E140" s="95" t="n"/>
      <c r="F140" s="360" t="n">
        <v>378000</v>
      </c>
      <c r="G140" s="91" t="inlineStr">
        <is>
          <t>IDR</t>
        </is>
      </c>
      <c r="H140" s="361" t="n">
        <v>1</v>
      </c>
      <c r="I140" s="61" t="n"/>
      <c r="J140" s="362" t="n">
        <v>378000</v>
      </c>
      <c r="K140" s="44" t="n"/>
      <c r="L140" s="44" t="n"/>
      <c r="M140" s="44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7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Accommodation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Laundry 30 days 1 Persons @ 50K IDR/day</t>
        </is>
      </c>
      <c r="E146" s="95" t="n"/>
      <c r="F146" s="360" t="n">
        <v>1500000</v>
      </c>
      <c r="G146" s="91" t="inlineStr">
        <is>
          <t>IDR</t>
        </is>
      </c>
      <c r="H146" s="361" t="n">
        <v>1</v>
      </c>
      <c r="I146" s="61" t="n"/>
      <c r="J146" s="362" t="n">
        <v>1500000</v>
      </c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A147" s="354" t="n"/>
      <c r="B147" s="24" t="n"/>
      <c r="C147" s="91" t="n"/>
      <c r="D147" s="359" t="inlineStr">
        <is>
          <t>Allowance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A148" s="354" t="n"/>
      <c r="B148" s="292" t="n">
        <v>45358</v>
      </c>
      <c r="C148" s="91" t="n">
        <v>2</v>
      </c>
      <c r="D148" s="95" t="inlineStr">
        <is>
          <t>Tunjangan Lapangan (Training) untuk 27 days</t>
        </is>
      </c>
      <c r="E148" s="95" t="n"/>
      <c r="F148" s="360" t="n">
        <v>11705250</v>
      </c>
      <c r="G148" s="91" t="inlineStr">
        <is>
          <t>USD</t>
        </is>
      </c>
      <c r="H148" s="361" t="n">
        <v>15607</v>
      </c>
      <c r="I148" s="61" t="n"/>
      <c r="J148" s="362" t="n">
        <v>11705250</v>
      </c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A149" s="354" t="n"/>
      <c r="B149" s="24" t="n"/>
      <c r="C149" s="91" t="n"/>
      <c r="D149" s="359" t="inlineStr">
        <is>
          <t>Logistic</t>
        </is>
      </c>
      <c r="E149" s="94" t="n"/>
      <c r="F149" s="93" t="n"/>
      <c r="G149" s="91" t="n"/>
      <c r="H149" s="91" t="n"/>
      <c r="I149" s="61" t="n"/>
      <c r="J149" s="62" t="n"/>
      <c r="K149" s="44" t="n"/>
      <c r="L149" s="44" t="n"/>
      <c r="M149" s="61" t="n"/>
      <c r="N149" s="44" t="n"/>
      <c r="O149" s="44" t="n"/>
      <c r="P149" s="44" t="n"/>
      <c r="Q149" s="44" t="n"/>
    </row>
    <row r="150" ht="15.5" customHeight="1" s="297">
      <c r="A150" s="354" t="n"/>
      <c r="B150" s="292" t="n">
        <v>45324</v>
      </c>
      <c r="C150" s="91" t="n">
        <v>3</v>
      </c>
      <c r="D150" s="95" t="inlineStr">
        <is>
          <t>Safety Shoes</t>
        </is>
      </c>
      <c r="E150" s="95" t="n"/>
      <c r="F150" s="360" t="n">
        <v>499940</v>
      </c>
      <c r="G150" s="91" t="inlineStr">
        <is>
          <t>IDR</t>
        </is>
      </c>
      <c r="H150" s="361" t="n">
        <v>1</v>
      </c>
      <c r="I150" s="61" t="n"/>
      <c r="J150" s="362" t="n"/>
      <c r="K150" s="44" t="n"/>
      <c r="L150" s="44" t="n"/>
      <c r="M150" s="44" t="n"/>
      <c r="N150" s="362" t="n">
        <v>499940</v>
      </c>
      <c r="O150" s="44" t="n"/>
      <c r="P150" s="44" t="n"/>
      <c r="Q150" s="44" t="n"/>
    </row>
    <row r="151" ht="15.5" customHeight="1" s="297">
      <c r="A151" s="354" t="n"/>
      <c r="B151" s="292" t="n">
        <v>45354</v>
      </c>
      <c r="C151" s="91" t="n">
        <v>4</v>
      </c>
      <c r="D151" s="95" t="inlineStr">
        <is>
          <t>Internet Data</t>
        </is>
      </c>
      <c r="E151" s="95" t="n"/>
      <c r="F151" s="360" t="n">
        <v>70000</v>
      </c>
      <c r="G151" s="91" t="inlineStr">
        <is>
          <t>IDR</t>
        </is>
      </c>
      <c r="H151" s="361" t="n">
        <v>1</v>
      </c>
      <c r="I151" s="61" t="n"/>
      <c r="J151" s="362" t="n"/>
      <c r="K151" s="44" t="n"/>
      <c r="L151" s="44" t="n"/>
      <c r="M151" s="44" t="n"/>
      <c r="N151" s="362" t="n">
        <v>70000</v>
      </c>
      <c r="O151" s="44" t="n"/>
      <c r="P151" s="44" t="n"/>
      <c r="Q151" s="44" t="n"/>
    </row>
    <row r="152" ht="15.5" customHeight="1" s="297">
      <c r="A152" s="354" t="n"/>
      <c r="B152" s="292" t="n">
        <v>45358</v>
      </c>
      <c r="C152" s="91" t="n">
        <v>5</v>
      </c>
      <c r="D152" s="95" t="inlineStr">
        <is>
          <t>Extra Baggage</t>
        </is>
      </c>
      <c r="E152" s="95" t="n"/>
      <c r="F152" s="360" t="n">
        <v>540000</v>
      </c>
      <c r="G152" s="91" t="inlineStr">
        <is>
          <t>IDR</t>
        </is>
      </c>
      <c r="H152" s="361" t="n">
        <v>1</v>
      </c>
      <c r="I152" s="61" t="n"/>
      <c r="J152" s="362" t="n"/>
      <c r="K152" s="44" t="n"/>
      <c r="L152" s="44" t="n"/>
      <c r="M152" s="44" t="n"/>
      <c r="N152" s="362" t="n">
        <v>540000</v>
      </c>
      <c r="O152" s="44" t="n"/>
      <c r="P152" s="44" t="n"/>
      <c r="Q152" s="44" t="n"/>
    </row>
    <row r="153" ht="15.5" customHeight="1" s="297">
      <c r="A153" s="354" t="n"/>
      <c r="B153" s="24" t="n"/>
      <c r="C153" s="91" t="n"/>
      <c r="D153" s="359" t="inlineStr">
        <is>
          <t>Meal</t>
        </is>
      </c>
      <c r="E153" s="94" t="n"/>
      <c r="F153" s="93" t="n"/>
      <c r="G153" s="91" t="n"/>
      <c r="H153" s="91" t="n"/>
      <c r="I153" s="61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A154" s="354" t="n"/>
      <c r="B154" s="292" t="n">
        <v>45358</v>
      </c>
      <c r="C154" s="91" t="n">
        <v>6</v>
      </c>
      <c r="D154" s="95" t="inlineStr">
        <is>
          <t>Meals 30 days 1 Persons @ 150K IDR/day</t>
        </is>
      </c>
      <c r="E154" s="95" t="n"/>
      <c r="F154" s="360" t="n">
        <v>4500000</v>
      </c>
      <c r="G154" s="91" t="inlineStr">
        <is>
          <t>IDR</t>
        </is>
      </c>
      <c r="H154" s="361" t="n">
        <v>1</v>
      </c>
      <c r="I154" s="61" t="n"/>
      <c r="J154" s="362" t="n">
        <v>4500000</v>
      </c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A155" s="354" t="n"/>
      <c r="B155" s="24" t="n"/>
      <c r="C155" s="91" t="n"/>
      <c r="D155" s="359" t="inlineStr">
        <is>
          <t>Transportation</t>
        </is>
      </c>
      <c r="E155" s="94" t="n"/>
      <c r="F155" s="93" t="n"/>
      <c r="G155" s="91" t="n"/>
      <c r="H155" s="91" t="n"/>
      <c r="I155" s="61" t="n"/>
      <c r="J155" s="62" t="n"/>
      <c r="K155" s="44" t="n"/>
      <c r="L155" s="44" t="n"/>
      <c r="M155" s="61" t="n"/>
      <c r="N155" s="44" t="n"/>
      <c r="O155" s="44" t="n"/>
      <c r="P155" s="44" t="n"/>
      <c r="Q155" s="44" t="n"/>
    </row>
    <row r="156" ht="15.5" customHeight="1" s="297">
      <c r="A156" s="354" t="n"/>
      <c r="B156" s="292" t="n">
        <v>45357</v>
      </c>
      <c r="C156" s="91" t="n">
        <v>7</v>
      </c>
      <c r="D156" s="95" t="inlineStr">
        <is>
          <t>Airplane Ticket PLM-CGK</t>
        </is>
      </c>
      <c r="E156" s="95" t="n"/>
      <c r="F156" s="360" t="n">
        <v>1000106</v>
      </c>
      <c r="G156" s="91" t="inlineStr">
        <is>
          <t>IDR</t>
        </is>
      </c>
      <c r="H156" s="361" t="n">
        <v>1</v>
      </c>
      <c r="I156" s="61" t="n"/>
      <c r="J156" s="362" t="n">
        <v>1000106</v>
      </c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A157" s="354" t="n"/>
      <c r="B157" s="292" t="n">
        <v>45329</v>
      </c>
      <c r="C157" s="91" t="n">
        <v>8</v>
      </c>
      <c r="D157" s="95" t="inlineStr">
        <is>
          <t>Taxi Pondok Cabe-CGK</t>
        </is>
      </c>
      <c r="E157" s="95" t="n"/>
      <c r="F157" s="360" t="n">
        <v>250000</v>
      </c>
      <c r="G157" s="91" t="inlineStr">
        <is>
          <t>IDR</t>
        </is>
      </c>
      <c r="H157" s="361" t="n">
        <v>1</v>
      </c>
      <c r="I157" s="61" t="n"/>
      <c r="J157" s="362" t="n">
        <v>250000</v>
      </c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A158" s="354" t="n"/>
      <c r="B158" s="292" t="n">
        <v>45358</v>
      </c>
      <c r="C158" s="91" t="n">
        <v>9</v>
      </c>
      <c r="D158" s="95" t="inlineStr">
        <is>
          <t>Taxi CGK-Pondok Cabe</t>
        </is>
      </c>
      <c r="E158" s="95" t="n"/>
      <c r="F158" s="360" t="n">
        <v>250000</v>
      </c>
      <c r="G158" s="91" t="inlineStr">
        <is>
          <t>IDR</t>
        </is>
      </c>
      <c r="H158" s="361" t="n">
        <v>1</v>
      </c>
      <c r="I158" s="61" t="n"/>
      <c r="J158" s="362" t="n">
        <v>250000</v>
      </c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A159" s="354" t="n"/>
      <c r="B159" s="292" t="n">
        <v>45355</v>
      </c>
      <c r="C159" s="91" t="n">
        <v>10</v>
      </c>
      <c r="D159" s="95" t="inlineStr">
        <is>
          <t>Fuel</t>
        </is>
      </c>
      <c r="E159" s="95" t="n"/>
      <c r="F159" s="360" t="n">
        <v>200000</v>
      </c>
      <c r="G159" s="91" t="inlineStr">
        <is>
          <t>IDR</t>
        </is>
      </c>
      <c r="H159" s="361" t="n">
        <v>1</v>
      </c>
      <c r="I159" s="61" t="n"/>
      <c r="J159" s="362" t="n">
        <v>200000</v>
      </c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A160" s="354" t="n"/>
      <c r="B160" s="292" t="n">
        <v>45358</v>
      </c>
      <c r="C160" s="91" t="n">
        <v>11</v>
      </c>
      <c r="D160" s="95" t="inlineStr">
        <is>
          <t>Toll Fee</t>
        </is>
      </c>
      <c r="E160" s="95" t="n"/>
      <c r="F160" s="360" t="n">
        <v>105000</v>
      </c>
      <c r="G160" s="91" t="inlineStr">
        <is>
          <t>IDR</t>
        </is>
      </c>
      <c r="H160" s="361" t="n">
        <v>1</v>
      </c>
      <c r="I160" s="61" t="n"/>
      <c r="J160" s="362" t="n">
        <v>105000</v>
      </c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Accommodation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Laundry 6 days 1 Persons @ 50K IDR/day</t>
        </is>
      </c>
      <c r="E164" s="95" t="n"/>
      <c r="F164" s="360" t="n">
        <v>300000</v>
      </c>
      <c r="G164" s="91" t="inlineStr">
        <is>
          <t>IDR</t>
        </is>
      </c>
      <c r="H164" s="361" t="n">
        <v>1</v>
      </c>
      <c r="I164" s="61" t="n"/>
      <c r="J164" s="362" t="n">
        <v>300000</v>
      </c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A165" s="354" t="n"/>
      <c r="B165" s="292" t="n"/>
      <c r="C165" s="91" t="n"/>
      <c r="D165" s="359" t="inlineStr">
        <is>
          <t>Allowance</t>
        </is>
      </c>
      <c r="E165" s="94" t="n"/>
      <c r="F165" s="93" t="n"/>
      <c r="G165" s="91" t="n"/>
      <c r="H165" s="91" t="n"/>
      <c r="I165" s="62" t="n"/>
      <c r="J165" s="62" t="n"/>
      <c r="K165" s="44" t="n"/>
      <c r="L165" s="44" t="n"/>
      <c r="M165" s="61" t="n"/>
      <c r="N165" s="44" t="n"/>
      <c r="O165" s="44" t="n"/>
      <c r="P165" s="44" t="n"/>
      <c r="Q165" s="44" t="n"/>
    </row>
    <row r="166" ht="15.5" customHeight="1" s="297">
      <c r="A166" s="354" t="n"/>
      <c r="B166" s="292" t="n">
        <v>45375</v>
      </c>
      <c r="C166" s="91" t="n">
        <v>2</v>
      </c>
      <c r="D166" s="95" t="inlineStr">
        <is>
          <t>Tunjangan Lapangan untuk 6 days</t>
        </is>
      </c>
      <c r="E166" s="95" t="n"/>
      <c r="F166" s="360" t="n">
        <v>9501000</v>
      </c>
      <c r="G166" s="91" t="inlineStr">
        <is>
          <t>USD</t>
        </is>
      </c>
      <c r="H166" s="361" t="n">
        <v>15835</v>
      </c>
      <c r="I166" s="61" t="n"/>
      <c r="J166" s="362" t="n">
        <v>9501000</v>
      </c>
      <c r="K166" s="44" t="n"/>
      <c r="L166" s="44" t="n"/>
      <c r="M166" s="61" t="n"/>
      <c r="N166" s="44" t="n"/>
      <c r="O166" s="44" t="n"/>
      <c r="P166" s="44" t="n"/>
      <c r="Q166" s="44" t="n"/>
    </row>
    <row r="167" ht="15.5" customHeight="1" s="297">
      <c r="A167" s="354" t="n"/>
      <c r="B167" s="292" t="n"/>
      <c r="C167" s="91" t="n"/>
      <c r="D167" s="359" t="inlineStr">
        <is>
          <t>Meal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1" t="n"/>
      <c r="N167" s="44" t="n"/>
      <c r="O167" s="44" t="n"/>
      <c r="P167" s="44" t="n"/>
      <c r="Q167" s="44" t="n"/>
    </row>
    <row r="168" ht="15.5" customHeight="1" s="297">
      <c r="A168" s="354" t="n"/>
      <c r="B168" s="292" t="n">
        <v>45375</v>
      </c>
      <c r="C168" s="91" t="n">
        <v>3</v>
      </c>
      <c r="D168" s="95" t="inlineStr">
        <is>
          <t>Meals 6 days 1 Persons @ 150K IDR/day</t>
        </is>
      </c>
      <c r="E168" s="95" t="n"/>
      <c r="F168" s="360" t="n">
        <v>900000</v>
      </c>
      <c r="G168" s="91" t="inlineStr">
        <is>
          <t>IDR</t>
        </is>
      </c>
      <c r="H168" s="361" t="n">
        <v>1</v>
      </c>
      <c r="I168" s="61" t="n"/>
      <c r="J168" s="362" t="n">
        <v>900000</v>
      </c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A169" s="354" t="n"/>
      <c r="B169" s="292" t="n"/>
      <c r="C169" s="91" t="n"/>
      <c r="D169" s="359" t="inlineStr">
        <is>
          <t>Transportation</t>
        </is>
      </c>
      <c r="E169" s="94" t="n"/>
      <c r="F169" s="93" t="n"/>
      <c r="G169" s="91" t="n"/>
      <c r="H169" s="91" t="n"/>
      <c r="I169" s="62" t="n"/>
      <c r="J169" s="62" t="n"/>
      <c r="K169" s="44" t="n"/>
      <c r="L169" s="44" t="n"/>
      <c r="M169" s="61" t="n"/>
      <c r="N169" s="44" t="n"/>
      <c r="O169" s="44" t="n"/>
      <c r="P169" s="44" t="n"/>
      <c r="Q169" s="44" t="n"/>
    </row>
    <row r="170" ht="15.5" customHeight="1" s="297">
      <c r="A170" s="354" t="n"/>
      <c r="B170" s="292" t="n">
        <v>45370</v>
      </c>
      <c r="C170" s="91" t="n">
        <v>4</v>
      </c>
      <c r="D170" s="95" t="inlineStr">
        <is>
          <t>Taxi Bintaro-CGK</t>
        </is>
      </c>
      <c r="E170" s="95" t="n"/>
      <c r="F170" s="360" t="n">
        <v>250000</v>
      </c>
      <c r="G170" s="91" t="inlineStr">
        <is>
          <t>IDR</t>
        </is>
      </c>
      <c r="H170" s="361" t="n">
        <v>1</v>
      </c>
      <c r="I170" s="61" t="n"/>
      <c r="J170" s="362" t="n">
        <v>250000</v>
      </c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A171" s="354" t="n"/>
      <c r="B171" s="292" t="n">
        <v>45375</v>
      </c>
      <c r="C171" s="91" t="n">
        <v>5</v>
      </c>
      <c r="D171" s="95" t="inlineStr">
        <is>
          <t>Taxi CGK-Bintaro</t>
        </is>
      </c>
      <c r="E171" s="95" t="n"/>
      <c r="F171" s="360" t="n">
        <v>250000</v>
      </c>
      <c r="G171" s="91" t="inlineStr">
        <is>
          <t>IDR</t>
        </is>
      </c>
      <c r="H171" s="361" t="n">
        <v>1</v>
      </c>
      <c r="I171" s="61" t="n"/>
      <c r="J171" s="362" t="n">
        <v>250000</v>
      </c>
      <c r="K171" s="44" t="n"/>
      <c r="L171" s="44" t="n"/>
      <c r="M171" s="61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5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A174" s="354" t="n"/>
      <c r="B174" s="102" t="n">
        <v>45369</v>
      </c>
      <c r="C174" s="15" t="n">
        <v>1</v>
      </c>
      <c r="D174" s="355" t="inlineStr">
        <is>
          <t>Buy Cable type C to A</t>
        </is>
      </c>
      <c r="E174" s="63" t="n"/>
      <c r="F174" s="363" t="n">
        <v>69009</v>
      </c>
      <c r="G174" s="15" t="inlineStr">
        <is>
          <t>IDR</t>
        </is>
      </c>
      <c r="H174" s="364" t="n">
        <v>1</v>
      </c>
      <c r="I174" s="62" t="n"/>
      <c r="J174" s="62" t="n"/>
      <c r="K174" s="44" t="n"/>
      <c r="L174" s="44" t="n"/>
      <c r="M174" s="61" t="n"/>
      <c r="N174" s="362" t="n">
        <v>69009</v>
      </c>
      <c r="O174" s="44" t="n"/>
      <c r="P174" s="44" t="n"/>
      <c r="Q174" s="44" t="n"/>
    </row>
    <row r="175" ht="15.5" customHeight="1" s="297">
      <c r="A175" s="354" t="n"/>
      <c r="B175" s="102" t="n">
        <v>45369</v>
      </c>
      <c r="C175" s="15" t="n">
        <v>2</v>
      </c>
      <c r="D175" s="355" t="inlineStr">
        <is>
          <t>Buy Cable type C to C</t>
        </is>
      </c>
      <c r="E175" s="63" t="n"/>
      <c r="F175" s="363" t="n">
        <v>145800</v>
      </c>
      <c r="G175" s="15" t="inlineStr">
        <is>
          <t>IDR</t>
        </is>
      </c>
      <c r="H175" s="364" t="n">
        <v>1</v>
      </c>
      <c r="I175" s="62" t="n"/>
      <c r="J175" s="62" t="n"/>
      <c r="K175" s="44" t="n"/>
      <c r="L175" s="44" t="n"/>
      <c r="M175" s="61" t="n"/>
      <c r="N175" s="362" t="n">
        <v>145800</v>
      </c>
      <c r="O175" s="44" t="n"/>
      <c r="P175" s="44" t="n"/>
      <c r="Q175" s="44" t="n"/>
    </row>
    <row r="176" ht="15.5" customHeight="1" s="297">
      <c r="A176" s="354" t="n"/>
      <c r="B176" s="102" t="n">
        <v>45369</v>
      </c>
      <c r="C176" s="15" t="n">
        <v>3</v>
      </c>
      <c r="D176" s="355" t="inlineStr">
        <is>
          <t>Buy Jack 3 Pin Socket</t>
        </is>
      </c>
      <c r="E176" s="63" t="n"/>
      <c r="F176" s="363" t="n">
        <v>20891</v>
      </c>
      <c r="G176" s="15" t="inlineStr">
        <is>
          <t>IDR</t>
        </is>
      </c>
      <c r="H176" s="364" t="n">
        <v>1</v>
      </c>
      <c r="I176" s="62" t="n"/>
      <c r="J176" s="62" t="n"/>
      <c r="K176" s="44" t="n"/>
      <c r="L176" s="44" t="n"/>
      <c r="M176" s="61" t="n"/>
      <c r="N176" s="362" t="n">
        <v>20891</v>
      </c>
      <c r="O176" s="44" t="n"/>
      <c r="P176" s="44" t="n"/>
      <c r="Q176" s="44" t="n"/>
    </row>
    <row r="177" ht="15.5" customHeight="1" s="297">
      <c r="A177" s="354" t="n"/>
      <c r="B177" s="102" t="n">
        <v>45369</v>
      </c>
      <c r="C177" s="15" t="n">
        <v>4</v>
      </c>
      <c r="D177" s="355" t="inlineStr">
        <is>
          <t>Buy Powerbank 2 ea 27kmah &amp; 52kmah</t>
        </is>
      </c>
      <c r="E177" s="63" t="n"/>
      <c r="F177" s="363" t="n">
        <v>3325760</v>
      </c>
      <c r="G177" s="15" t="inlineStr">
        <is>
          <t>IDR</t>
        </is>
      </c>
      <c r="H177" s="364" t="n">
        <v>1</v>
      </c>
      <c r="I177" s="62" t="n"/>
      <c r="J177" s="62" t="n"/>
      <c r="K177" s="44" t="n"/>
      <c r="L177" s="44" t="n"/>
      <c r="M177" s="61" t="n"/>
      <c r="N177" s="362" t="n">
        <v>3325760</v>
      </c>
      <c r="O177" s="44" t="n"/>
      <c r="P177" s="44" t="n"/>
      <c r="Q177" s="44" t="n"/>
    </row>
    <row r="178" ht="15.5" customHeight="1" s="297">
      <c r="A178" s="354" t="n"/>
      <c r="B178" s="102" t="n">
        <v>45369</v>
      </c>
      <c r="C178" s="15" t="n">
        <v>5</v>
      </c>
      <c r="D178" s="355" t="inlineStr">
        <is>
          <t>Buy Fluke-117</t>
        </is>
      </c>
      <c r="E178" s="63" t="n"/>
      <c r="F178" s="363" t="n">
        <v>4332000</v>
      </c>
      <c r="G178" s="15" t="inlineStr">
        <is>
          <t>IDR</t>
        </is>
      </c>
      <c r="H178" s="364" t="n">
        <v>1</v>
      </c>
      <c r="I178" s="62" t="n"/>
      <c r="J178" s="62" t="n"/>
      <c r="K178" s="44" t="n"/>
      <c r="L178" s="44" t="n"/>
      <c r="M178" s="61" t="n"/>
      <c r="N178" s="362" t="n">
        <v>4332000</v>
      </c>
      <c r="O178" s="44" t="n"/>
      <c r="P178" s="44" t="n"/>
      <c r="Q178" s="44" t="n"/>
    </row>
    <row r="179" ht="15.5" customHeight="1" s="297">
      <c r="A179" s="354" t="n"/>
      <c r="B179" s="102" t="n">
        <v>45369</v>
      </c>
      <c r="C179" s="15" t="n">
        <v>6</v>
      </c>
      <c r="D179" s="355" t="inlineStr">
        <is>
          <t>Buy SANWA YX360TRF</t>
        </is>
      </c>
      <c r="E179" s="63" t="n"/>
      <c r="F179" s="363" t="n">
        <v>455600</v>
      </c>
      <c r="G179" s="15" t="inlineStr">
        <is>
          <t>IDR</t>
        </is>
      </c>
      <c r="H179" s="364" t="n">
        <v>1</v>
      </c>
      <c r="I179" s="62" t="n"/>
      <c r="J179" s="62" t="n"/>
      <c r="K179" s="44" t="n"/>
      <c r="L179" s="44" t="n"/>
      <c r="M179" s="61" t="n"/>
      <c r="N179" s="362" t="n">
        <v>455600</v>
      </c>
      <c r="O179" s="44" t="n"/>
      <c r="P179" s="44" t="n"/>
      <c r="Q179" s="44" t="n"/>
    </row>
    <row r="180" ht="15.5" customHeight="1" s="297">
      <c r="A180" s="354" t="n"/>
      <c r="B180" s="102" t="n">
        <v>45370</v>
      </c>
      <c r="C180" s="15" t="n">
        <v>7</v>
      </c>
      <c r="D180" s="355" t="inlineStr">
        <is>
          <t>Send Tool from Gowell to TGE</t>
        </is>
      </c>
      <c r="E180" s="63" t="n"/>
      <c r="F180" s="363" t="n">
        <v>168732</v>
      </c>
      <c r="G180" s="15" t="inlineStr">
        <is>
          <t>IDR</t>
        </is>
      </c>
      <c r="H180" s="364" t="n">
        <v>1</v>
      </c>
      <c r="I180" s="62" t="n"/>
      <c r="J180" s="62" t="n"/>
      <c r="K180" s="44" t="n"/>
      <c r="L180" s="44" t="n"/>
      <c r="M180" s="61" t="n"/>
      <c r="N180" s="362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65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Accommodation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45402</v>
      </c>
      <c r="C185" s="91" t="n">
        <v>1</v>
      </c>
      <c r="D185" s="95" t="inlineStr">
        <is>
          <t>Laundry 5 days 1 Persons @ 50K IDR/day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61" t="n"/>
      <c r="J185" s="362" t="n">
        <v>250000</v>
      </c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A186" s="354" t="n"/>
      <c r="B186" s="292" t="n"/>
      <c r="C186" s="91" t="n"/>
      <c r="D186" s="359" t="inlineStr">
        <is>
          <t>Meal</t>
        </is>
      </c>
      <c r="E186" s="94" t="n"/>
      <c r="F186" s="93" t="n"/>
      <c r="G186" s="91" t="n"/>
      <c r="H186" s="91" t="n"/>
      <c r="I186" s="62" t="n"/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A187" s="354" t="n"/>
      <c r="B187" s="292" t="n">
        <v>45402</v>
      </c>
      <c r="C187" s="91" t="n">
        <v>2</v>
      </c>
      <c r="D187" s="95" t="inlineStr">
        <is>
          <t>Meals 5 days 1 Persons @ 150K IDR/day</t>
        </is>
      </c>
      <c r="E187" s="95" t="n"/>
      <c r="F187" s="360" t="n">
        <v>750000</v>
      </c>
      <c r="G187" s="91" t="inlineStr">
        <is>
          <t>IDR</t>
        </is>
      </c>
      <c r="H187" s="361" t="n">
        <v>1</v>
      </c>
      <c r="I187" s="61" t="n"/>
      <c r="J187" s="362" t="n">
        <v>750000</v>
      </c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A188" s="354" t="n"/>
      <c r="B188" s="292" t="n">
        <v>45402</v>
      </c>
      <c r="C188" s="91" t="n">
        <v>3</v>
      </c>
      <c r="D188" s="95" t="inlineStr">
        <is>
          <t>Crews' Food</t>
        </is>
      </c>
      <c r="E188" s="95" t="n"/>
      <c r="F188" s="360" t="n">
        <v>160000</v>
      </c>
      <c r="G188" s="91" t="inlineStr">
        <is>
          <t>IDR</t>
        </is>
      </c>
      <c r="H188" s="361" t="n">
        <v>1</v>
      </c>
      <c r="I188" s="61" t="n"/>
      <c r="J188" s="362" t="n">
        <v>160000</v>
      </c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A189" s="354" t="n"/>
      <c r="B189" s="292" t="n"/>
      <c r="C189" s="91" t="n"/>
      <c r="D189" s="359" t="inlineStr">
        <is>
          <t>Shipping</t>
        </is>
      </c>
      <c r="E189" s="94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A190" s="354" t="n"/>
      <c r="B190" s="292" t="n">
        <v>45385</v>
      </c>
      <c r="C190" s="91" t="n">
        <v>4</v>
      </c>
      <c r="D190" s="95" t="inlineStr">
        <is>
          <t>Send DTR Bintaro - Gowell</t>
        </is>
      </c>
      <c r="E190" s="95" t="n"/>
      <c r="F190" s="360" t="n">
        <v>38121</v>
      </c>
      <c r="G190" s="91" t="inlineStr">
        <is>
          <t>IDR</t>
        </is>
      </c>
      <c r="H190" s="361" t="n">
        <v>1</v>
      </c>
      <c r="I190" s="61" t="n"/>
      <c r="J190" s="362" t="n">
        <v>38121</v>
      </c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A191" s="354" t="n"/>
      <c r="B191" s="292" t="n">
        <v>45398</v>
      </c>
      <c r="C191" s="91" t="n">
        <v>5</v>
      </c>
      <c r="D191" s="95" t="inlineStr">
        <is>
          <t>Send QPS Gowell - TGE</t>
        </is>
      </c>
      <c r="E191" s="95" t="n"/>
      <c r="F191" s="360" t="n">
        <v>105879</v>
      </c>
      <c r="G191" s="91" t="inlineStr">
        <is>
          <t>IDR</t>
        </is>
      </c>
      <c r="H191" s="361" t="n">
        <v>1</v>
      </c>
      <c r="I191" s="61" t="n"/>
      <c r="J191" s="362" t="n">
        <v>105879</v>
      </c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A192" s="354" t="n"/>
      <c r="B192" s="292" t="n">
        <v>45403</v>
      </c>
      <c r="C192" s="91" t="n">
        <v>6</v>
      </c>
      <c r="D192" s="95" t="inlineStr">
        <is>
          <t>Send ALFA Bintaro - Andara</t>
        </is>
      </c>
      <c r="E192" s="95" t="n"/>
      <c r="F192" s="360" t="n">
        <v>39654</v>
      </c>
      <c r="G192" s="91" t="inlineStr">
        <is>
          <t>IDR</t>
        </is>
      </c>
      <c r="H192" s="361" t="n">
        <v>1</v>
      </c>
      <c r="I192" s="61" t="n"/>
      <c r="J192" s="362" t="n">
        <v>39654</v>
      </c>
      <c r="K192" s="44" t="n"/>
      <c r="L192" s="44" t="n"/>
      <c r="M192" s="62" t="n"/>
      <c r="N192" s="44" t="n"/>
      <c r="O192" s="44" t="n"/>
      <c r="P192" s="44" t="n"/>
      <c r="Q192" s="44" t="n"/>
    </row>
    <row r="193" ht="15.5" customHeight="1" s="297">
      <c r="A193" s="354" t="n"/>
      <c r="B193" s="292" t="n">
        <v>45403</v>
      </c>
      <c r="C193" s="91" t="n">
        <v>7</v>
      </c>
      <c r="D193" s="95" t="inlineStr">
        <is>
          <t>Send HPTC Bintaro - Andara</t>
        </is>
      </c>
      <c r="E193" s="95" t="n"/>
      <c r="F193" s="360" t="n">
        <v>39654</v>
      </c>
      <c r="G193" s="91" t="inlineStr">
        <is>
          <t>IDR</t>
        </is>
      </c>
      <c r="H193" s="361" t="n">
        <v>1</v>
      </c>
      <c r="I193" s="61" t="n"/>
      <c r="J193" s="362" t="n">
        <v>39654</v>
      </c>
      <c r="K193" s="44" t="n"/>
      <c r="L193" s="44" t="n"/>
      <c r="M193" s="62" t="n"/>
      <c r="N193" s="44" t="n"/>
      <c r="O193" s="44" t="n"/>
      <c r="P193" s="44" t="n"/>
      <c r="Q193" s="44" t="n"/>
    </row>
    <row r="194" ht="15.5" customHeight="1" s="297">
      <c r="A194" s="354" t="n"/>
      <c r="B194" s="292" t="n">
        <v>45405</v>
      </c>
      <c r="C194" s="91" t="n">
        <v>8</v>
      </c>
      <c r="D194" s="95" t="inlineStr">
        <is>
          <t>Send BA Bintaro - TGE</t>
        </is>
      </c>
      <c r="E194" s="95" t="n"/>
      <c r="F194" s="360" t="n">
        <v>18000</v>
      </c>
      <c r="G194" s="91" t="inlineStr">
        <is>
          <t>IDR</t>
        </is>
      </c>
      <c r="H194" s="361" t="n">
        <v>1</v>
      </c>
      <c r="I194" s="61" t="n"/>
      <c r="J194" s="362" t="n">
        <v>18000</v>
      </c>
      <c r="K194" s="44" t="n"/>
      <c r="L194" s="44" t="n"/>
      <c r="M194" s="62" t="n"/>
      <c r="N194" s="44" t="n"/>
      <c r="O194" s="44" t="n"/>
      <c r="P194" s="44" t="n"/>
      <c r="Q194" s="44" t="n"/>
    </row>
    <row r="195" ht="15.5" customHeight="1" s="297">
      <c r="A195" s="354" t="n"/>
      <c r="B195" s="292" t="n">
        <v>45407</v>
      </c>
      <c r="C195" s="91" t="n">
        <v>9</v>
      </c>
      <c r="D195" s="95" t="inlineStr">
        <is>
          <t>Send MPLT TGE - Gowell</t>
        </is>
      </c>
      <c r="E195" s="95" t="n"/>
      <c r="F195" s="360" t="n">
        <v>167297</v>
      </c>
      <c r="G195" s="91" t="inlineStr">
        <is>
          <t>IDR</t>
        </is>
      </c>
      <c r="H195" s="361" t="n">
        <v>1</v>
      </c>
      <c r="I195" s="61" t="n"/>
      <c r="J195" s="362" t="n">
        <v>167297</v>
      </c>
      <c r="K195" s="44" t="n"/>
      <c r="L195" s="44" t="n"/>
      <c r="M195" s="62" t="n"/>
      <c r="N195" s="44" t="n"/>
      <c r="O195" s="44" t="n"/>
      <c r="P195" s="44" t="n"/>
      <c r="Q195" s="44" t="n"/>
    </row>
    <row r="196" ht="15.5" customHeight="1" s="297">
      <c r="A196" s="354" t="n"/>
      <c r="B196" s="292" t="n"/>
      <c r="C196" s="91" t="n"/>
      <c r="D196" s="359" t="inlineStr">
        <is>
          <t>Transportation</t>
        </is>
      </c>
      <c r="E196" s="94" t="n"/>
      <c r="F196" s="93" t="n"/>
      <c r="G196" s="91" t="n"/>
      <c r="H196" s="91" t="n"/>
      <c r="I196" s="62" t="n"/>
      <c r="J196" s="62" t="n"/>
      <c r="K196" s="44" t="n"/>
      <c r="L196" s="44" t="n"/>
      <c r="M196" s="62" t="n"/>
      <c r="N196" s="44" t="n"/>
      <c r="O196" s="44" t="n"/>
      <c r="P196" s="44" t="n"/>
      <c r="Q196" s="44" t="n"/>
    </row>
    <row r="197" ht="15.5" customHeight="1" s="297">
      <c r="A197" s="354" t="n"/>
      <c r="B197" s="292" t="n">
        <v>45398</v>
      </c>
      <c r="C197" s="91" t="n">
        <v>10</v>
      </c>
      <c r="D197" s="95" t="inlineStr">
        <is>
          <t>Taxi Bintaro-CGK</t>
        </is>
      </c>
      <c r="E197" s="95" t="n"/>
      <c r="F197" s="360" t="n">
        <v>250000</v>
      </c>
      <c r="G197" s="91" t="inlineStr">
        <is>
          <t>IDR</t>
        </is>
      </c>
      <c r="H197" s="361" t="n">
        <v>1</v>
      </c>
      <c r="I197" s="61" t="n"/>
      <c r="J197" s="362" t="n">
        <v>250000</v>
      </c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297">
      <c r="A198" s="354" t="n"/>
      <c r="B198" s="292" t="n">
        <v>45402</v>
      </c>
      <c r="C198" s="91" t="n">
        <v>11</v>
      </c>
      <c r="D198" s="95" t="inlineStr">
        <is>
          <t>Taxi CGK-Bintaro</t>
        </is>
      </c>
      <c r="E198" s="95" t="n"/>
      <c r="F198" s="360" t="n">
        <v>250000</v>
      </c>
      <c r="G198" s="91" t="inlineStr">
        <is>
          <t>IDR</t>
        </is>
      </c>
      <c r="H198" s="361" t="n">
        <v>1</v>
      </c>
      <c r="I198" s="61" t="n"/>
      <c r="J198" s="362" t="n">
        <v>250000</v>
      </c>
      <c r="K198" s="44" t="n"/>
      <c r="L198" s="44" t="n"/>
      <c r="M198" s="62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97" t="n"/>
      <c r="E200" s="97" t="n"/>
      <c r="F200" s="93" t="n"/>
      <c r="G200" s="91" t="n"/>
      <c r="H200" s="91" t="n"/>
      <c r="I200" s="366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9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Accommodation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Hotel 2 days</t>
        </is>
      </c>
      <c r="E204" s="95" t="n"/>
      <c r="F204" s="360" t="n">
        <v>1357481</v>
      </c>
      <c r="G204" s="91" t="inlineStr">
        <is>
          <t>IDR</t>
        </is>
      </c>
      <c r="H204" s="361" t="n">
        <v>1</v>
      </c>
      <c r="I204" s="61" t="n"/>
      <c r="J204" s="362" t="n">
        <v>1357481</v>
      </c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A205" s="354" t="n"/>
      <c r="B205" s="292" t="n">
        <v>45410</v>
      </c>
      <c r="C205" s="91" t="n">
        <v>2</v>
      </c>
      <c r="D205" s="95" t="inlineStr">
        <is>
          <t>Laundry 2 days</t>
        </is>
      </c>
      <c r="E205" s="95" t="n"/>
      <c r="F205" s="360" t="n">
        <v>100000</v>
      </c>
      <c r="G205" s="91" t="inlineStr">
        <is>
          <t>IDR</t>
        </is>
      </c>
      <c r="H205" s="361" t="n">
        <v>1</v>
      </c>
      <c r="I205" s="61" t="n"/>
      <c r="J205" s="362" t="n">
        <v>100000</v>
      </c>
      <c r="K205" s="44" t="n"/>
      <c r="L205" s="44" t="n"/>
      <c r="M205" s="61" t="n"/>
      <c r="N205" s="44" t="n"/>
      <c r="O205" s="44" t="n"/>
      <c r="P205" s="44" t="n"/>
      <c r="Q205" s="44" t="n"/>
    </row>
    <row r="206" ht="15.5" customHeight="1" s="297">
      <c r="A206" s="354" t="n"/>
      <c r="B206" s="24" t="n"/>
      <c r="C206" s="91" t="n"/>
      <c r="D206" s="359" t="inlineStr">
        <is>
          <t>Allowance</t>
        </is>
      </c>
      <c r="E206" s="92" t="n"/>
      <c r="F206" s="93" t="n"/>
      <c r="G206" s="91" t="n"/>
      <c r="H206" s="91" t="n"/>
      <c r="I206" s="105" t="n"/>
      <c r="J206" s="62" t="n"/>
      <c r="K206" s="44" t="n"/>
      <c r="L206" s="44" t="n"/>
      <c r="M206" s="61" t="n"/>
      <c r="N206" s="44" t="n"/>
      <c r="O206" s="44" t="n"/>
      <c r="P206" s="44" t="n"/>
      <c r="Q206" s="44" t="n"/>
    </row>
    <row r="207" ht="15.5" customHeight="1" s="297">
      <c r="A207" s="354" t="n"/>
      <c r="B207" s="292" t="n">
        <v>45410</v>
      </c>
      <c r="C207" s="91" t="n">
        <v>3</v>
      </c>
      <c r="D207" s="95" t="inlineStr">
        <is>
          <t>Tunjangan Lapangan for 2 days</t>
        </is>
      </c>
      <c r="E207" s="95" t="n"/>
      <c r="F207" s="360" t="n">
        <v>3251400</v>
      </c>
      <c r="G207" s="91" t="inlineStr">
        <is>
          <t>USD</t>
        </is>
      </c>
      <c r="H207" s="361" t="n">
        <v>16257</v>
      </c>
      <c r="I207" s="61" t="n"/>
      <c r="J207" s="362" t="n">
        <v>3251400</v>
      </c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A208" s="354" t="n"/>
      <c r="B208" s="24" t="n"/>
      <c r="C208" s="91" t="n"/>
      <c r="D208" s="359" t="inlineStr">
        <is>
          <t>Meal</t>
        </is>
      </c>
      <c r="E208" s="92" t="n"/>
      <c r="F208" s="93" t="n"/>
      <c r="G208" s="91" t="n"/>
      <c r="H208" s="91" t="n"/>
      <c r="I208" s="105" t="n"/>
      <c r="J208" s="62" t="n"/>
      <c r="K208" s="44" t="n"/>
      <c r="L208" s="44" t="n"/>
      <c r="M208" s="61" t="n"/>
      <c r="N208" s="44" t="n"/>
      <c r="O208" s="44" t="n"/>
      <c r="P208" s="44" t="n"/>
      <c r="Q208" s="44" t="n"/>
    </row>
    <row r="209" ht="15.5" customHeight="1" s="297">
      <c r="A209" s="354" t="n"/>
      <c r="B209" s="292" t="n">
        <v>45410</v>
      </c>
      <c r="C209" s="91" t="n">
        <v>4</v>
      </c>
      <c r="D209" s="95" t="inlineStr">
        <is>
          <t>Meals 2 days 1 Persons @ 150K IDR/day</t>
        </is>
      </c>
      <c r="E209" s="95" t="n"/>
      <c r="F209" s="360" t="n">
        <v>300000</v>
      </c>
      <c r="G209" s="91" t="inlineStr">
        <is>
          <t>IDR</t>
        </is>
      </c>
      <c r="H209" s="361" t="n">
        <v>1</v>
      </c>
      <c r="I209" s="61" t="n"/>
      <c r="J209" s="362" t="n">
        <v>300000</v>
      </c>
      <c r="K209" s="44" t="n"/>
      <c r="L209" s="44" t="n"/>
      <c r="M209" s="61" t="n"/>
      <c r="N209" s="44" t="n"/>
      <c r="O209" s="44" t="n"/>
      <c r="P209" s="44" t="n"/>
      <c r="Q209" s="44" t="n"/>
    </row>
    <row r="210" ht="15.5" customHeight="1" s="297">
      <c r="A210" s="354" t="n"/>
      <c r="B210" s="24" t="n"/>
      <c r="C210" s="91" t="n"/>
      <c r="D210" s="359" t="inlineStr">
        <is>
          <t>Transportation</t>
        </is>
      </c>
      <c r="E210" s="92" t="n"/>
      <c r="F210" s="93" t="n"/>
      <c r="G210" s="91" t="n"/>
      <c r="H210" s="91" t="n"/>
      <c r="I210" s="105" t="n"/>
      <c r="J210" s="62" t="n"/>
      <c r="K210" s="44" t="n"/>
      <c r="L210" s="44" t="n"/>
      <c r="M210" s="61" t="n"/>
      <c r="N210" s="44" t="n"/>
      <c r="O210" s="44" t="n"/>
      <c r="P210" s="44" t="n"/>
      <c r="Q210" s="44" t="n"/>
    </row>
    <row r="211" ht="15.5" customHeight="1" s="297">
      <c r="A211" s="354" t="n"/>
      <c r="B211" s="292" t="n">
        <v>45408</v>
      </c>
      <c r="C211" s="91" t="n">
        <v>5</v>
      </c>
      <c r="D211" s="95" t="inlineStr">
        <is>
          <t>Fuels</t>
        </is>
      </c>
      <c r="E211" s="95" t="n"/>
      <c r="F211" s="360" t="n">
        <v>284308</v>
      </c>
      <c r="G211" s="91" t="inlineStr">
        <is>
          <t>IDR</t>
        </is>
      </c>
      <c r="H211" s="361" t="n">
        <v>1</v>
      </c>
      <c r="I211" s="61" t="n"/>
      <c r="J211" s="362" t="n">
        <v>284308</v>
      </c>
      <c r="K211" s="44" t="n"/>
      <c r="L211" s="44" t="n"/>
      <c r="M211" s="61" t="n"/>
      <c r="N211" s="44" t="n"/>
      <c r="O211" s="44" t="n"/>
      <c r="P211" s="44" t="n"/>
      <c r="Q211" s="44" t="n"/>
    </row>
    <row r="212" ht="15.5" customHeight="1" s="297">
      <c r="A212" s="354" t="n"/>
      <c r="B212" s="292" t="n">
        <v>45410</v>
      </c>
      <c r="C212" s="91" t="n">
        <v>6</v>
      </c>
      <c r="D212" s="95" t="inlineStr">
        <is>
          <t>Toll</t>
        </is>
      </c>
      <c r="E212" s="95" t="n"/>
      <c r="F212" s="360" t="n">
        <v>298000</v>
      </c>
      <c r="G212" s="91" t="inlineStr">
        <is>
          <t>IDR</t>
        </is>
      </c>
      <c r="H212" s="361" t="n">
        <v>1</v>
      </c>
      <c r="I212" s="61" t="n"/>
      <c r="J212" s="362" t="n">
        <v>298000</v>
      </c>
      <c r="K212" s="44" t="n"/>
      <c r="L212" s="44" t="n"/>
      <c r="M212" s="61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7" t="inlineStr">
        <is>
          <t>Accommodation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45420</v>
      </c>
      <c r="C215" s="15" t="n">
        <v>1</v>
      </c>
      <c r="D215" s="18" t="inlineStr">
        <is>
          <t>Hotel</t>
        </is>
      </c>
      <c r="E215" s="18" t="n"/>
      <c r="F215" s="368" t="n">
        <v>360000</v>
      </c>
      <c r="G215" s="15" t="inlineStr">
        <is>
          <t>IDR</t>
        </is>
      </c>
      <c r="H215" s="364" t="n">
        <v>1</v>
      </c>
      <c r="I215" s="61" t="n"/>
      <c r="J215" s="362" t="n">
        <v>360000</v>
      </c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A216" s="354" t="n"/>
      <c r="B216" s="14" t="n"/>
      <c r="C216" s="15" t="n"/>
      <c r="D216" s="367" t="inlineStr">
        <is>
          <t>Meal</t>
        </is>
      </c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A217" s="354" t="n"/>
      <c r="B217" s="102" t="n">
        <v>45419</v>
      </c>
      <c r="C217" s="15" t="n">
        <v>2</v>
      </c>
      <c r="D217" s="18" t="inlineStr">
        <is>
          <t>Dinner (Dwi, Febri, Ilham)</t>
        </is>
      </c>
      <c r="E217" s="18" t="n"/>
      <c r="F217" s="368" t="n">
        <v>103400</v>
      </c>
      <c r="G217" s="15" t="inlineStr">
        <is>
          <t>IDR</t>
        </is>
      </c>
      <c r="H217" s="364" t="n">
        <v>1</v>
      </c>
      <c r="I217" s="61" t="n"/>
      <c r="J217" s="362" t="n">
        <v>103400</v>
      </c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A218" s="354" t="n"/>
      <c r="B218" s="14" t="n"/>
      <c r="C218" s="15" t="n"/>
      <c r="D218" s="367" t="inlineStr">
        <is>
          <t>Transportation</t>
        </is>
      </c>
      <c r="E218" s="106" t="n"/>
      <c r="F218" s="21" t="n"/>
      <c r="G218" s="15" t="n"/>
      <c r="H218" s="15" t="n"/>
      <c r="I218" s="62" t="n"/>
      <c r="J218" s="62" t="n"/>
      <c r="K218" s="44" t="n"/>
      <c r="L218" s="44" t="n"/>
      <c r="M218" s="62" t="n"/>
      <c r="N218" s="44" t="n"/>
      <c r="O218" s="44" t="n"/>
      <c r="P218" s="44" t="n"/>
      <c r="Q218" s="44" t="n"/>
    </row>
    <row r="219" ht="15.5" customHeight="1" s="297">
      <c r="A219" s="354" t="n"/>
      <c r="B219" s="102" t="n">
        <v>45418</v>
      </c>
      <c r="C219" s="15" t="n">
        <v>3</v>
      </c>
      <c r="D219" s="18" t="inlineStr">
        <is>
          <t>Jakarta - Palembang - Jakarta</t>
        </is>
      </c>
      <c r="E219" s="18" t="n"/>
      <c r="F219" s="368" t="n">
        <v>1387800</v>
      </c>
      <c r="G219" s="15" t="inlineStr">
        <is>
          <t>IDR</t>
        </is>
      </c>
      <c r="H219" s="364" t="n">
        <v>1</v>
      </c>
      <c r="I219" s="61" t="n"/>
      <c r="J219" s="362" t="n">
        <v>1387800</v>
      </c>
      <c r="K219" s="44" t="n"/>
      <c r="L219" s="44" t="n"/>
      <c r="M219" s="61" t="n"/>
      <c r="N219" s="44" t="n"/>
      <c r="O219" s="44" t="n"/>
      <c r="P219" s="44" t="n"/>
      <c r="Q219" s="44" t="n"/>
    </row>
    <row r="220" ht="15.5" customHeight="1" s="297">
      <c r="A220" s="354" t="n"/>
      <c r="B220" s="102" t="n">
        <v>45419</v>
      </c>
      <c r="C220" s="15" t="n">
        <v>4</v>
      </c>
      <c r="D220" s="18" t="inlineStr">
        <is>
          <t>Taxi + Tol to Airport Jakarta</t>
        </is>
      </c>
      <c r="E220" s="18" t="n"/>
      <c r="F220" s="368" t="n">
        <v>234140</v>
      </c>
      <c r="G220" s="15" t="inlineStr">
        <is>
          <t>IDR</t>
        </is>
      </c>
      <c r="H220" s="364" t="n">
        <v>1</v>
      </c>
      <c r="I220" s="61" t="n"/>
      <c r="J220" s="362" t="n">
        <v>234140</v>
      </c>
      <c r="K220" s="44" t="n"/>
      <c r="L220" s="44" t="n"/>
      <c r="M220" s="61" t="n"/>
      <c r="N220" s="44" t="n"/>
      <c r="O220" s="44" t="n"/>
      <c r="P220" s="44" t="n"/>
      <c r="Q220" s="44" t="n"/>
    </row>
    <row r="221" ht="15.5" customHeight="1" s="297">
      <c r="A221" s="354" t="n"/>
      <c r="B221" s="102" t="n">
        <v>45419</v>
      </c>
      <c r="C221" s="15" t="n">
        <v>5</v>
      </c>
      <c r="D221" s="18" t="inlineStr">
        <is>
          <t>Airport park + fuel + tol Indralaya</t>
        </is>
      </c>
      <c r="E221" s="18" t="n"/>
      <c r="F221" s="368" t="n">
        <v>232000</v>
      </c>
      <c r="G221" s="15" t="inlineStr">
        <is>
          <t>IDR</t>
        </is>
      </c>
      <c r="H221" s="364" t="n">
        <v>1</v>
      </c>
      <c r="I221" s="61" t="n"/>
      <c r="J221" s="362" t="n">
        <v>232000</v>
      </c>
      <c r="K221" s="44" t="n"/>
      <c r="L221" s="44" t="n"/>
      <c r="M221" s="61" t="n"/>
      <c r="N221" s="44" t="n"/>
      <c r="O221" s="44" t="n"/>
      <c r="P221" s="44" t="n"/>
      <c r="Q221" s="44" t="n"/>
    </row>
    <row r="222" ht="15.5" customHeight="1" s="297">
      <c r="A222" s="354" t="n"/>
      <c r="B222" s="102" t="n">
        <v>45420</v>
      </c>
      <c r="C222" s="15" t="n">
        <v>6</v>
      </c>
      <c r="D222" s="18" t="inlineStr">
        <is>
          <t>Car Rental</t>
        </is>
      </c>
      <c r="E222" s="18" t="n"/>
      <c r="F222" s="368" t="n">
        <v>600000</v>
      </c>
      <c r="G222" s="15" t="inlineStr">
        <is>
          <t>IDR</t>
        </is>
      </c>
      <c r="H222" s="364" t="n">
        <v>1</v>
      </c>
      <c r="I222" s="61" t="n"/>
      <c r="J222" s="362" t="n">
        <v>600000</v>
      </c>
      <c r="K222" s="44" t="n"/>
      <c r="L222" s="44" t="n"/>
      <c r="M222" s="61" t="n"/>
      <c r="N222" s="44" t="n"/>
      <c r="O222" s="44" t="n"/>
      <c r="P222" s="44" t="n"/>
      <c r="Q222" s="44" t="n"/>
    </row>
    <row r="223" ht="15.5" customHeight="1" s="297">
      <c r="A223" s="354" t="n"/>
      <c r="B223" s="102" t="n">
        <v>45420</v>
      </c>
      <c r="C223" s="15" t="n">
        <v>7</v>
      </c>
      <c r="D223" s="18" t="inlineStr">
        <is>
          <t>Tol Indralaya</t>
        </is>
      </c>
      <c r="E223" s="18" t="n"/>
      <c r="F223" s="368" t="n">
        <v>27000</v>
      </c>
      <c r="G223" s="15" t="inlineStr">
        <is>
          <t>IDR</t>
        </is>
      </c>
      <c r="H223" s="364" t="n">
        <v>1</v>
      </c>
      <c r="I223" s="61" t="n"/>
      <c r="J223" s="362" t="n">
        <v>27000</v>
      </c>
      <c r="K223" s="44" t="n"/>
      <c r="L223" s="44" t="n"/>
      <c r="M223" s="61" t="n"/>
      <c r="N223" s="44" t="n"/>
      <c r="O223" s="44" t="n"/>
      <c r="P223" s="44" t="n"/>
      <c r="Q223" s="44" t="n"/>
    </row>
    <row r="224" ht="15.5" customHeight="1" s="297">
      <c r="A224" s="354" t="n"/>
      <c r="B224" s="102" t="n">
        <v>45421</v>
      </c>
      <c r="C224" s="15" t="n">
        <v>8</v>
      </c>
      <c r="D224" s="18" t="inlineStr">
        <is>
          <t>Tol + Taxi From Airport Jakarta</t>
        </is>
      </c>
      <c r="E224" s="18" t="n"/>
      <c r="F224" s="368" t="n">
        <v>276900</v>
      </c>
      <c r="G224" s="15" t="inlineStr">
        <is>
          <t>IDR</t>
        </is>
      </c>
      <c r="H224" s="364" t="n">
        <v>1</v>
      </c>
      <c r="I224" s="61" t="n"/>
      <c r="J224" s="362" t="n">
        <v>276900</v>
      </c>
      <c r="K224" s="44" t="n"/>
      <c r="L224" s="44" t="n"/>
      <c r="M224" s="61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7" t="inlineStr">
        <is>
          <t>Accommodation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Laundry 3 days @ Rp. 50.000</t>
        </is>
      </c>
      <c r="E228" s="63" t="n"/>
      <c r="F228" s="368" t="n">
        <v>150000</v>
      </c>
      <c r="G228" s="15" t="inlineStr">
        <is>
          <t>IDR</t>
        </is>
      </c>
      <c r="H228" s="364" t="n">
        <v>1</v>
      </c>
      <c r="I228" s="61" t="n"/>
      <c r="J228" s="362" t="n">
        <v>150000</v>
      </c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A229" s="354" t="n"/>
      <c r="B229" s="102" t="n"/>
      <c r="C229" s="15" t="n"/>
      <c r="D229" s="367" t="inlineStr">
        <is>
          <t>Allowance</t>
        </is>
      </c>
      <c r="E229" s="106" t="n"/>
      <c r="F229" s="21" t="n"/>
      <c r="G229" s="15" t="n"/>
      <c r="H229" s="15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A230" s="354" t="n"/>
      <c r="B230" s="102" t="n">
        <v>45403</v>
      </c>
      <c r="C230" s="15" t="n">
        <v>2</v>
      </c>
      <c r="D230" s="63" t="inlineStr">
        <is>
          <t>Uang makan utk 3 hari (19-21 apr-24) @150.000</t>
        </is>
      </c>
      <c r="E230" s="63" t="n"/>
      <c r="F230" s="368" t="n">
        <v>450000</v>
      </c>
      <c r="G230" s="15" t="inlineStr">
        <is>
          <t>IDR</t>
        </is>
      </c>
      <c r="H230" s="364" t="n">
        <v>1</v>
      </c>
      <c r="I230" s="61" t="n"/>
      <c r="J230" s="362" t="n">
        <v>450000</v>
      </c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A231" s="354" t="n"/>
      <c r="B231" s="102" t="n">
        <v>45403</v>
      </c>
      <c r="C231" s="15" t="n">
        <v>3</v>
      </c>
      <c r="D231" s="63" t="inlineStr">
        <is>
          <t>Tunajngan lapangan for 3 days (19-21 apr24) Anevril</t>
        </is>
      </c>
      <c r="E231" s="63" t="n"/>
      <c r="F231" s="368" t="n">
        <v>4815300</v>
      </c>
      <c r="G231" s="15" t="inlineStr">
        <is>
          <t>USD</t>
        </is>
      </c>
      <c r="H231" s="364" t="n">
        <v>16051</v>
      </c>
      <c r="I231" s="61" t="n"/>
      <c r="J231" s="362" t="n">
        <v>4815300</v>
      </c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A232" s="354" t="n"/>
      <c r="B232" s="102" t="n">
        <v>45420</v>
      </c>
      <c r="C232" s="15" t="n">
        <v>4</v>
      </c>
      <c r="D232" s="63" t="inlineStr">
        <is>
          <t>Dinner (Dwi, Febri, Ilham)</t>
        </is>
      </c>
      <c r="E232" s="63" t="n"/>
      <c r="F232" s="368" t="n">
        <v>128000</v>
      </c>
      <c r="G232" s="15" t="inlineStr">
        <is>
          <t>IDR</t>
        </is>
      </c>
      <c r="H232" s="364" t="n">
        <v>1</v>
      </c>
      <c r="I232" s="61" t="n"/>
      <c r="J232" s="362" t="n">
        <v>128000</v>
      </c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A233" s="354" t="n"/>
      <c r="B233" s="102" t="n"/>
      <c r="C233" s="15" t="n"/>
      <c r="D233" s="367" t="inlineStr">
        <is>
          <t>Transportation</t>
        </is>
      </c>
      <c r="E233" s="106" t="n"/>
      <c r="F233" s="21" t="n"/>
      <c r="G233" s="15" t="n"/>
      <c r="H233" s="15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A234" s="354" t="n"/>
      <c r="B234" s="102" t="n">
        <v>45403</v>
      </c>
      <c r="C234" s="15" t="n">
        <v>5</v>
      </c>
      <c r="D234" s="63" t="inlineStr">
        <is>
          <t>Train (Jati barang - Jati Negara)</t>
        </is>
      </c>
      <c r="E234" s="63" t="n"/>
      <c r="F234" s="368" t="n">
        <v>255500</v>
      </c>
      <c r="G234" s="15" t="inlineStr">
        <is>
          <t>IDR</t>
        </is>
      </c>
      <c r="H234" s="364" t="n">
        <v>1</v>
      </c>
      <c r="I234" s="61" t="n"/>
      <c r="J234" s="362" t="n">
        <v>255500</v>
      </c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A235" s="354" t="n"/>
      <c r="B235" s="102" t="n">
        <v>45403</v>
      </c>
      <c r="C235" s="15" t="n">
        <v>6</v>
      </c>
      <c r="D235" s="63" t="inlineStr">
        <is>
          <t>Taksi</t>
        </is>
      </c>
      <c r="E235" s="63" t="n"/>
      <c r="F235" s="368" t="n">
        <v>150000</v>
      </c>
      <c r="G235" s="15" t="inlineStr">
        <is>
          <t>IDR</t>
        </is>
      </c>
      <c r="H235" s="364" t="n">
        <v>1</v>
      </c>
      <c r="I235" s="61" t="n"/>
      <c r="J235" s="362" t="n">
        <v>150000</v>
      </c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5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9" t="n">
        <v>3292802</v>
      </c>
      <c r="G239" s="98" t="inlineStr">
        <is>
          <t>IDR</t>
        </is>
      </c>
      <c r="H239" s="361" t="n">
        <v>1</v>
      </c>
      <c r="I239" s="61" t="n"/>
      <c r="J239" s="362" t="n">
        <v>3292802</v>
      </c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A240" s="354" t="n"/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9" t="n">
        <v>350000</v>
      </c>
      <c r="G240" s="98" t="inlineStr">
        <is>
          <t>IDR</t>
        </is>
      </c>
      <c r="H240" s="361" t="n">
        <v>1</v>
      </c>
      <c r="I240" s="61" t="n"/>
      <c r="J240" s="362" t="n">
        <v>350000</v>
      </c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A241" s="354" t="n"/>
      <c r="B241" s="292" t="n"/>
      <c r="C241" s="91" t="n"/>
      <c r="D241" s="365" t="inlineStr">
        <is>
          <t>Allowance</t>
        </is>
      </c>
      <c r="E241" s="97" t="n"/>
      <c r="F241" s="103" t="n"/>
      <c r="G241" s="98" t="n"/>
      <c r="H241" s="98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A242" s="354" t="n"/>
      <c r="B242" s="292" t="n">
        <v>45407</v>
      </c>
      <c r="C242" s="91" t="n">
        <v>3</v>
      </c>
      <c r="D242" s="95" t="inlineStr">
        <is>
          <t>Field Bonus for 7 days (25$/Day)</t>
        </is>
      </c>
      <c r="E242" s="95" t="n"/>
      <c r="F242" s="369" t="n">
        <v>1203813.75</v>
      </c>
      <c r="G242" s="98" t="inlineStr">
        <is>
          <t>USD</t>
        </is>
      </c>
      <c r="H242" s="361" t="n">
        <v>16050.85</v>
      </c>
      <c r="I242" s="61" t="n"/>
      <c r="J242" s="362" t="n">
        <v>1203813.75</v>
      </c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A243" s="354" t="n"/>
      <c r="B243" s="292" t="n">
        <v>45407</v>
      </c>
      <c r="C243" s="91" t="n">
        <v>4</v>
      </c>
      <c r="D243" s="95" t="inlineStr">
        <is>
          <t>Field Bonus for 4 days 29 April-2 May 2024 (100$/Day</t>
        </is>
      </c>
      <c r="E243" s="95" t="n"/>
      <c r="F243" s="369" t="n">
        <v>6420340</v>
      </c>
      <c r="G243" s="98" t="inlineStr">
        <is>
          <t>USD</t>
        </is>
      </c>
      <c r="H243" s="361" t="n">
        <v>16050.85</v>
      </c>
      <c r="I243" s="61" t="n"/>
      <c r="J243" s="362" t="n">
        <v>6420340</v>
      </c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A244" s="354" t="n"/>
      <c r="B244" s="292" t="n"/>
      <c r="C244" s="91" t="n"/>
      <c r="D244" s="365" t="inlineStr">
        <is>
          <t>Logistic</t>
        </is>
      </c>
      <c r="E244" s="97" t="n"/>
      <c r="F244" s="103" t="n"/>
      <c r="G244" s="98" t="n"/>
      <c r="H244" s="98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A245" s="354" t="n"/>
      <c r="B245" s="292" t="n">
        <v>45401</v>
      </c>
      <c r="C245" s="91" t="n">
        <v>5</v>
      </c>
      <c r="D245" s="95" t="inlineStr">
        <is>
          <t>Tekiro Kunci L, Tekiro Tang, Obeng Set</t>
        </is>
      </c>
      <c r="E245" s="95" t="n"/>
      <c r="F245" s="369" t="n">
        <v>349000</v>
      </c>
      <c r="G245" s="98" t="inlineStr">
        <is>
          <t>IDR</t>
        </is>
      </c>
      <c r="H245" s="361" t="n">
        <v>1</v>
      </c>
      <c r="I245" s="61" t="n"/>
      <c r="J245" s="362" t="n"/>
      <c r="K245" s="44" t="n"/>
      <c r="L245" s="44" t="n"/>
      <c r="M245" s="44" t="n"/>
      <c r="N245" s="362" t="n">
        <v>349000</v>
      </c>
      <c r="O245" s="44" t="n"/>
      <c r="P245" s="44" t="n"/>
      <c r="Q245" s="44" t="n"/>
    </row>
    <row r="246" ht="15.5" customHeight="1" s="297">
      <c r="A246" s="354" t="n"/>
      <c r="B246" s="292" t="n">
        <v>45411</v>
      </c>
      <c r="C246" s="91" t="n">
        <v>6</v>
      </c>
      <c r="D246" s="95" t="inlineStr">
        <is>
          <t>Internet Data</t>
        </is>
      </c>
      <c r="E246" s="95" t="n"/>
      <c r="F246" s="369" t="n">
        <v>75000</v>
      </c>
      <c r="G246" s="98" t="inlineStr">
        <is>
          <t>IDR</t>
        </is>
      </c>
      <c r="H246" s="361" t="n">
        <v>1</v>
      </c>
      <c r="I246" s="61" t="n"/>
      <c r="J246" s="362" t="n">
        <v>75000</v>
      </c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A247" s="354" t="n"/>
      <c r="B247" s="292" t="n"/>
      <c r="C247" s="91" t="n"/>
      <c r="D247" s="365" t="inlineStr">
        <is>
          <t>Meal</t>
        </is>
      </c>
      <c r="E247" s="97" t="n"/>
      <c r="F247" s="103" t="n"/>
      <c r="G247" s="98" t="n"/>
      <c r="H247" s="98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A248" s="354" t="n"/>
      <c r="B248" s="292" t="n">
        <v>45407</v>
      </c>
      <c r="C248" s="91" t="n">
        <v>7</v>
      </c>
      <c r="D248" s="95" t="inlineStr">
        <is>
          <t>Crew's Operational</t>
        </is>
      </c>
      <c r="E248" s="95" t="n"/>
      <c r="F248" s="369" t="n">
        <v>657000</v>
      </c>
      <c r="G248" s="98" t="inlineStr">
        <is>
          <t>IDR</t>
        </is>
      </c>
      <c r="H248" s="361" t="n">
        <v>1</v>
      </c>
      <c r="I248" s="61" t="n"/>
      <c r="J248" s="362" t="n">
        <v>657000</v>
      </c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A249" s="354" t="n"/>
      <c r="B249" s="292" t="n">
        <v>45407</v>
      </c>
      <c r="C249" s="91" t="n">
        <v>8</v>
      </c>
      <c r="D249" s="95" t="inlineStr">
        <is>
          <t>Meals 7 days 1 Persons @ 150K IDR/day</t>
        </is>
      </c>
      <c r="E249" s="95" t="n"/>
      <c r="F249" s="369" t="n">
        <v>1050000</v>
      </c>
      <c r="G249" s="98" t="inlineStr">
        <is>
          <t>IDR</t>
        </is>
      </c>
      <c r="H249" s="361" t="n">
        <v>1</v>
      </c>
      <c r="I249" s="61" t="n"/>
      <c r="J249" s="362" t="n">
        <v>1050000</v>
      </c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5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9" t="n">
        <v>1950000</v>
      </c>
      <c r="G253" s="98" t="inlineStr">
        <is>
          <t>IDR</t>
        </is>
      </c>
      <c r="H253" s="370" t="n">
        <v>1</v>
      </c>
      <c r="I253" s="61" t="n"/>
      <c r="J253" s="362" t="n">
        <v>1950000</v>
      </c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A254" s="354" t="n"/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9" t="n">
        <v>200000</v>
      </c>
      <c r="G254" s="98" t="inlineStr">
        <is>
          <t>IDR</t>
        </is>
      </c>
      <c r="H254" s="370" t="n">
        <v>1</v>
      </c>
      <c r="I254" s="61" t="n"/>
      <c r="J254" s="362" t="n">
        <v>200000</v>
      </c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A255" s="354" t="n"/>
      <c r="B255" s="292" t="n"/>
      <c r="C255" s="91" t="n"/>
      <c r="D255" s="365" t="inlineStr">
        <is>
          <t>Allowance</t>
        </is>
      </c>
      <c r="E255" s="97" t="n"/>
      <c r="F255" s="103" t="n"/>
      <c r="G255" s="98" t="n"/>
      <c r="H255" s="98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A256" s="354" t="n"/>
      <c r="B256" s="292" t="n">
        <v>45401</v>
      </c>
      <c r="C256" s="91" t="n">
        <v>3</v>
      </c>
      <c r="D256" s="95" t="inlineStr">
        <is>
          <t>Field Bonus for 4 days (25$/Day)</t>
        </is>
      </c>
      <c r="E256" s="95" t="n"/>
      <c r="F256" s="369" t="n">
        <v>1605085</v>
      </c>
      <c r="G256" s="98" t="inlineStr">
        <is>
          <t>USD</t>
        </is>
      </c>
      <c r="H256" s="370" t="n">
        <v>16050.85</v>
      </c>
      <c r="I256" s="61" t="n"/>
      <c r="J256" s="362" t="n">
        <v>1605085</v>
      </c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A257" s="354" t="n"/>
      <c r="B257" s="292" t="n"/>
      <c r="C257" s="91" t="n"/>
      <c r="D257" s="365" t="inlineStr">
        <is>
          <t>Logistic</t>
        </is>
      </c>
      <c r="E257" s="97" t="n"/>
      <c r="F257" s="103" t="n"/>
      <c r="G257" s="98" t="n"/>
      <c r="H257" s="98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A258" s="354" t="n"/>
      <c r="B258" s="292" t="n">
        <v>45401</v>
      </c>
      <c r="C258" s="91" t="n">
        <v>4</v>
      </c>
      <c r="D258" s="95" t="inlineStr">
        <is>
          <t>Battery A2</t>
        </is>
      </c>
      <c r="E258" s="95" t="n"/>
      <c r="F258" s="369" t="n">
        <v>101800</v>
      </c>
      <c r="G258" s="98" t="inlineStr">
        <is>
          <t>IDR</t>
        </is>
      </c>
      <c r="H258" s="370" t="n">
        <v>1</v>
      </c>
      <c r="I258" s="61" t="n"/>
      <c r="J258" s="362" t="n">
        <v>101800</v>
      </c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A259" s="354" t="n"/>
      <c r="B259" s="292" t="n"/>
      <c r="C259" s="91" t="n"/>
      <c r="D259" s="365" t="inlineStr">
        <is>
          <t>Meal</t>
        </is>
      </c>
      <c r="E259" s="97" t="n"/>
      <c r="F259" s="103" t="n"/>
      <c r="G259" s="98" t="n"/>
      <c r="H259" s="98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A260" s="354" t="n"/>
      <c r="B260" s="292" t="n">
        <v>45401</v>
      </c>
      <c r="C260" s="91" t="n">
        <v>5</v>
      </c>
      <c r="D260" s="95" t="inlineStr">
        <is>
          <t>Crew's Operational</t>
        </is>
      </c>
      <c r="E260" s="95" t="n"/>
      <c r="F260" s="369" t="n">
        <v>481900</v>
      </c>
      <c r="G260" s="98" t="inlineStr">
        <is>
          <t>IDR</t>
        </is>
      </c>
      <c r="H260" s="370" t="n">
        <v>1</v>
      </c>
      <c r="I260" s="61" t="n"/>
      <c r="J260" s="362" t="n">
        <v>481900</v>
      </c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A261" s="354" t="n"/>
      <c r="B261" s="292" t="n">
        <v>45401</v>
      </c>
      <c r="C261" s="91" t="n">
        <v>6</v>
      </c>
      <c r="D261" s="95" t="inlineStr">
        <is>
          <t>Meals 4 days 1 Persons @ 150K IDR/day</t>
        </is>
      </c>
      <c r="E261" s="95" t="n"/>
      <c r="F261" s="369" t="n">
        <v>600000</v>
      </c>
      <c r="G261" s="98" t="inlineStr">
        <is>
          <t>IDR</t>
        </is>
      </c>
      <c r="H261" s="370" t="n">
        <v>1</v>
      </c>
      <c r="I261" s="61" t="n"/>
      <c r="J261" s="362" t="n">
        <v>600000</v>
      </c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A262" s="354" t="n"/>
      <c r="B262" s="292" t="n"/>
      <c r="C262" s="91" t="n"/>
      <c r="D262" s="365" t="inlineStr">
        <is>
          <t>Transportation</t>
        </is>
      </c>
      <c r="E262" s="97" t="n"/>
      <c r="F262" s="103" t="n"/>
      <c r="G262" s="98" t="n"/>
      <c r="H262" s="98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A263" s="354" t="n"/>
      <c r="B263" s="292" t="n">
        <v>45404</v>
      </c>
      <c r="C263" s="91" t="n">
        <v>7</v>
      </c>
      <c r="D263" s="95" t="inlineStr">
        <is>
          <t>Taxi Bintaro-Wisma Mas</t>
        </is>
      </c>
      <c r="E263" s="95" t="n"/>
      <c r="F263" s="369" t="n">
        <v>78500</v>
      </c>
      <c r="G263" s="98" t="inlineStr">
        <is>
          <t>IDR</t>
        </is>
      </c>
      <c r="H263" s="370" t="n">
        <v>1</v>
      </c>
      <c r="I263" s="61" t="n"/>
      <c r="J263" s="362" t="n">
        <v>78500</v>
      </c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5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67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A269" s="354" t="n"/>
      <c r="B269" s="14" t="n">
        <v>45432</v>
      </c>
      <c r="C269" s="15" t="n">
        <v>1</v>
      </c>
      <c r="D269" s="367" t="inlineStr">
        <is>
          <t>MCU Paket Umum Basic 1</t>
        </is>
      </c>
      <c r="E269" s="18" t="n"/>
      <c r="F269" s="368" t="n">
        <v>5322000</v>
      </c>
      <c r="G269" s="15" t="inlineStr">
        <is>
          <t>IDR</t>
        </is>
      </c>
      <c r="H269" s="364" t="n">
        <v>1</v>
      </c>
      <c r="I269" s="62" t="n"/>
      <c r="J269" s="62" t="n"/>
      <c r="K269" s="44" t="n"/>
      <c r="L269" s="44" t="n"/>
      <c r="M269" s="44" t="n"/>
      <c r="N269" s="44" t="n"/>
      <c r="O269" s="44" t="n"/>
      <c r="P269" s="362" t="n">
        <v>5322000</v>
      </c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67" t="inlineStr">
        <is>
          <t>Kesehatan</t>
        </is>
      </c>
      <c r="E271" s="1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44" t="n"/>
      <c r="O271" s="44" t="n"/>
      <c r="P271" s="62" t="n"/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A273" s="354" t="n"/>
      <c r="B273" s="102" t="n"/>
      <c r="C273" s="15" t="n"/>
      <c r="D273" s="355" t="inlineStr">
        <is>
          <t>Allowance</t>
        </is>
      </c>
      <c r="E273" s="114" t="n"/>
      <c r="F273" s="21" t="n"/>
      <c r="G273" s="15" t="n"/>
      <c r="H273" s="15" t="n"/>
      <c r="I273" s="62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A274" s="354" t="n"/>
      <c r="B274" s="102" t="n">
        <v>45437</v>
      </c>
      <c r="C274" s="15" t="n">
        <v>1</v>
      </c>
      <c r="D274" s="355" t="inlineStr">
        <is>
          <t>Uang makan (25 - 30 May 2024)</t>
        </is>
      </c>
      <c r="E274" s="114" t="n"/>
      <c r="F274" s="368" t="n">
        <v>900000</v>
      </c>
      <c r="G274" s="15" t="inlineStr">
        <is>
          <t>IDR</t>
        </is>
      </c>
      <c r="H274" s="364" t="n">
        <v>1</v>
      </c>
      <c r="I274" s="62" t="n"/>
      <c r="J274" s="362" t="n">
        <v>900000</v>
      </c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A275" s="354" t="n"/>
      <c r="B275" s="102" t="n">
        <v>45437</v>
      </c>
      <c r="C275" s="15" t="n">
        <v>2</v>
      </c>
      <c r="D275" s="355" t="inlineStr">
        <is>
          <t>Tunjangan Lapangan JRK-193 (25 - 30 May 2024)</t>
        </is>
      </c>
      <c r="E275" s="114" t="n"/>
      <c r="F275" s="368" t="n">
        <v>2430000</v>
      </c>
      <c r="G275" s="15" t="inlineStr">
        <is>
          <t>$</t>
        </is>
      </c>
      <c r="H275" s="364" t="n">
        <v>16200</v>
      </c>
      <c r="I275" s="62" t="n"/>
      <c r="J275" s="362" t="n">
        <v>2430000</v>
      </c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Biaya Operasi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A277" s="354" t="n"/>
      <c r="B277" s="102" t="n">
        <v>45433</v>
      </c>
      <c r="C277" s="15" t="n">
        <v>3</v>
      </c>
      <c r="D277" s="355" t="inlineStr">
        <is>
          <t>Tiket Pesawat Citilink (CGK-PLM 25 Mei 2024)</t>
        </is>
      </c>
      <c r="E277" s="114" t="n"/>
      <c r="F277" s="368" t="n">
        <v>773238</v>
      </c>
      <c r="G277" s="15" t="inlineStr">
        <is>
          <t>IDR</t>
        </is>
      </c>
      <c r="H277" s="364" t="n">
        <v>1</v>
      </c>
      <c r="I277" s="62" t="n"/>
      <c r="J277" s="362" t="n">
        <v>773238</v>
      </c>
      <c r="K277" s="44" t="n"/>
      <c r="L277" s="44" t="n"/>
      <c r="M277" s="44" t="n"/>
      <c r="N277" s="44" t="n"/>
      <c r="O277" s="44" t="n"/>
      <c r="P277" s="44" t="n"/>
      <c r="Q277" s="44" t="n"/>
    </row>
    <row r="278" ht="15.5" customHeight="1" s="297">
      <c r="A278" s="354" t="n"/>
      <c r="B278" s="102" t="n">
        <v>45436</v>
      </c>
      <c r="C278" s="15" t="n">
        <v>4</v>
      </c>
      <c r="D278" s="355" t="inlineStr">
        <is>
          <t>Reschedule Tiket Pesawat dari Citilink ke Super Air Jet (CGK-PLg)</t>
        </is>
      </c>
      <c r="E278" s="114" t="n"/>
      <c r="F278" s="368" t="n">
        <v>296853</v>
      </c>
      <c r="G278" s="15" t="inlineStr">
        <is>
          <t>IDR</t>
        </is>
      </c>
      <c r="H278" s="364" t="n">
        <v>1</v>
      </c>
      <c r="I278" s="62" t="n"/>
      <c r="J278" s="362" t="n">
        <v>296853</v>
      </c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A279" s="354" t="n"/>
      <c r="B279" s="102" t="n">
        <v>45436</v>
      </c>
      <c r="C279" s="15" t="n">
        <v>5</v>
      </c>
      <c r="D279" s="355" t="inlineStr">
        <is>
          <t>Taxi + Tol To Airport CGK</t>
        </is>
      </c>
      <c r="E279" s="114" t="n"/>
      <c r="F279" s="368" t="n">
        <v>250000</v>
      </c>
      <c r="G279" s="15" t="inlineStr">
        <is>
          <t>IDR</t>
        </is>
      </c>
      <c r="H279" s="364" t="n">
        <v>1</v>
      </c>
      <c r="I279" s="62" t="n"/>
      <c r="J279" s="362" t="n">
        <v>250000</v>
      </c>
      <c r="K279" s="44" t="n"/>
      <c r="L279" s="44" t="n"/>
      <c r="M279" s="44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7" t="inlineStr">
        <is>
          <t>Allowance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Uang Makan (25 - 30 May 2024)</t>
        </is>
      </c>
      <c r="E283" s="63" t="n"/>
      <c r="F283" s="368" t="n">
        <v>900000</v>
      </c>
      <c r="G283" s="15" t="inlineStr">
        <is>
          <t>IDR</t>
        </is>
      </c>
      <c r="H283" s="364" t="n">
        <v>1</v>
      </c>
      <c r="I283" s="61" t="n"/>
      <c r="J283" s="362" t="n">
        <v>900000</v>
      </c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A284" s="354" t="n"/>
      <c r="B284" s="107" t="n">
        <v>45437</v>
      </c>
      <c r="C284" s="15" t="n">
        <v>2</v>
      </c>
      <c r="D284" s="63" t="inlineStr">
        <is>
          <t>Tunjangan Lapangan JRK-193 (25 - 30 May 2024). 1US$=16.200</t>
        </is>
      </c>
      <c r="E284" s="63" t="n"/>
      <c r="F284" s="368" t="n">
        <v>150</v>
      </c>
      <c r="G284" s="15" t="inlineStr">
        <is>
          <t>IDR</t>
        </is>
      </c>
      <c r="H284" s="364" t="n">
        <v>16200</v>
      </c>
      <c r="I284" s="61" t="n"/>
      <c r="J284" s="362" t="n">
        <v>150</v>
      </c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A285" s="354" t="n"/>
      <c r="B285" s="102" t="n"/>
      <c r="C285" s="15" t="n"/>
      <c r="D285" s="367" t="inlineStr">
        <is>
          <t>Hand Tools</t>
        </is>
      </c>
      <c r="E285" s="106" t="n"/>
      <c r="F285" s="21" t="n"/>
      <c r="G285" s="15" t="n"/>
      <c r="H285" s="15" t="n"/>
      <c r="I285" s="116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297">
      <c r="A286" s="354" t="n"/>
      <c r="B286" s="107" t="n">
        <v>45443</v>
      </c>
      <c r="C286" s="15" t="n">
        <v>3</v>
      </c>
      <c r="D286" s="63" t="inlineStr">
        <is>
          <t>Allen key, pliers, screwdrivers</t>
        </is>
      </c>
      <c r="E286" s="63" t="n"/>
      <c r="F286" s="368" t="n">
        <v>268000</v>
      </c>
      <c r="G286" s="15" t="inlineStr">
        <is>
          <t>IDR</t>
        </is>
      </c>
      <c r="H286" s="364" t="n">
        <v>1</v>
      </c>
      <c r="I286" s="61" t="n"/>
      <c r="J286" s="362" t="n"/>
      <c r="K286" s="44" t="n"/>
      <c r="L286" s="44" t="n"/>
      <c r="M286" s="44" t="n"/>
      <c r="N286" s="371" t="n">
        <v>268000</v>
      </c>
      <c r="O286" s="44" t="n"/>
      <c r="P286" s="44" t="n"/>
      <c r="Q286" s="44" t="n"/>
    </row>
    <row r="287" ht="15.5" customHeight="1" s="297">
      <c r="A287" s="354" t="n"/>
      <c r="B287" s="102" t="n"/>
      <c r="C287" s="15" t="n"/>
      <c r="D287" s="367" t="inlineStr">
        <is>
          <t>Laundry</t>
        </is>
      </c>
      <c r="E287" s="106" t="n"/>
      <c r="F287" s="21" t="n"/>
      <c r="G287" s="15" t="n"/>
      <c r="H287" s="15" t="n"/>
      <c r="I287" s="116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297">
      <c r="A288" s="354" t="n"/>
      <c r="B288" s="107" t="n">
        <v>45437</v>
      </c>
      <c r="C288" s="15" t="n">
        <v>4</v>
      </c>
      <c r="D288" s="63" t="inlineStr">
        <is>
          <t>Laundry (25 - 30 May 2024)</t>
        </is>
      </c>
      <c r="E288" s="63" t="n"/>
      <c r="F288" s="368" t="n">
        <v>300000</v>
      </c>
      <c r="G288" s="15" t="inlineStr">
        <is>
          <t>IDR</t>
        </is>
      </c>
      <c r="H288" s="364" t="n">
        <v>1</v>
      </c>
      <c r="I288" s="61" t="n"/>
      <c r="J288" s="362" t="n">
        <v>300000</v>
      </c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A289" s="354" t="n"/>
      <c r="B289" s="102" t="n"/>
      <c r="C289" s="15" t="n"/>
      <c r="D289" s="367" t="inlineStr">
        <is>
          <t>Logistic</t>
        </is>
      </c>
      <c r="E289" s="106" t="n"/>
      <c r="F289" s="21" t="n"/>
      <c r="G289" s="15" t="n"/>
      <c r="H289" s="15" t="n"/>
      <c r="I289" s="116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A290" s="354" t="n"/>
      <c r="B290" s="107" t="n">
        <v>45437</v>
      </c>
      <c r="C290" s="15" t="n">
        <v>5</v>
      </c>
      <c r="D290" s="63" t="inlineStr">
        <is>
          <t>Wrapping Alfa Box</t>
        </is>
      </c>
      <c r="E290" s="63" t="n"/>
      <c r="F290" s="368" t="n">
        <v>80000</v>
      </c>
      <c r="G290" s="15" t="inlineStr">
        <is>
          <t>IDR</t>
        </is>
      </c>
      <c r="H290" s="364" t="n">
        <v>1</v>
      </c>
      <c r="I290" s="61" t="n"/>
      <c r="J290" s="362" t="n"/>
      <c r="K290" s="44" t="n"/>
      <c r="L290" s="44" t="n"/>
      <c r="M290" s="44" t="n"/>
      <c r="N290" s="371" t="n">
        <v>80000</v>
      </c>
      <c r="O290" s="44" t="n"/>
      <c r="P290" s="44" t="n"/>
      <c r="Q290" s="44" t="n"/>
    </row>
    <row r="291" ht="15.5" customHeight="1" s="297">
      <c r="A291" s="354" t="n"/>
      <c r="B291" s="107" t="n">
        <v>45439</v>
      </c>
      <c r="C291" s="15" t="n">
        <v>6</v>
      </c>
      <c r="D291" s="63" t="inlineStr">
        <is>
          <t>Hand gloves</t>
        </is>
      </c>
      <c r="E291" s="63" t="n"/>
      <c r="F291" s="368" t="n">
        <v>21900</v>
      </c>
      <c r="G291" s="15" t="inlineStr">
        <is>
          <t>IDR</t>
        </is>
      </c>
      <c r="H291" s="364" t="n">
        <v>1</v>
      </c>
      <c r="I291" s="61" t="n"/>
      <c r="J291" s="362" t="n"/>
      <c r="K291" s="44" t="n"/>
      <c r="L291" s="44" t="n"/>
      <c r="M291" s="44" t="n"/>
      <c r="N291" s="371" t="n">
        <v>21900</v>
      </c>
      <c r="O291" s="44" t="n"/>
      <c r="P291" s="44" t="n"/>
      <c r="Q291" s="44" t="n"/>
    </row>
    <row r="292" ht="15.5" customHeight="1" s="297">
      <c r="A292" s="354" t="n"/>
      <c r="B292" s="102" t="n"/>
      <c r="C292" s="15" t="n"/>
      <c r="D292" s="367" t="inlineStr">
        <is>
          <t>Transportation</t>
        </is>
      </c>
      <c r="E292" s="106" t="n"/>
      <c r="F292" s="21" t="n"/>
      <c r="G292" s="15" t="n"/>
      <c r="H292" s="15" t="n"/>
      <c r="I292" s="116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A293" s="354" t="n"/>
      <c r="B293" s="107" t="n">
        <v>45437</v>
      </c>
      <c r="C293" s="15" t="n">
        <v>7</v>
      </c>
      <c r="D293" s="63" t="inlineStr">
        <is>
          <t>Taxi + Tol to Airport Jakarta</t>
        </is>
      </c>
      <c r="E293" s="63" t="n"/>
      <c r="F293" s="368" t="n">
        <v>232520</v>
      </c>
      <c r="G293" s="15" t="inlineStr">
        <is>
          <t>IDR</t>
        </is>
      </c>
      <c r="H293" s="364" t="n">
        <v>1</v>
      </c>
      <c r="I293" s="61" t="n"/>
      <c r="J293" s="362" t="n">
        <v>232520</v>
      </c>
      <c r="K293" s="44" t="n"/>
      <c r="L293" s="44" t="n"/>
      <c r="M293" s="44" t="n"/>
      <c r="N293" s="61" t="n"/>
      <c r="O293" s="44" t="n"/>
      <c r="P293" s="44" t="n"/>
      <c r="Q293" s="44" t="n"/>
    </row>
    <row r="294" ht="15.5" customHeight="1" s="297">
      <c r="A294" s="354" t="n"/>
      <c r="B294" s="107" t="n">
        <v>45437</v>
      </c>
      <c r="C294" s="15" t="n">
        <v>8</v>
      </c>
      <c r="D294" s="63" t="inlineStr">
        <is>
          <t>fuel + tol PLM-Prabu</t>
        </is>
      </c>
      <c r="E294" s="63" t="n"/>
      <c r="F294" s="368" t="n">
        <v>312000</v>
      </c>
      <c r="G294" s="15" t="inlineStr">
        <is>
          <t>IDR</t>
        </is>
      </c>
      <c r="H294" s="364" t="n">
        <v>1</v>
      </c>
      <c r="I294" s="61" t="n"/>
      <c r="J294" s="362" t="n">
        <v>312000</v>
      </c>
      <c r="K294" s="44" t="n"/>
      <c r="L294" s="44" t="n"/>
      <c r="M294" s="44" t="n"/>
      <c r="N294" s="61" t="n"/>
      <c r="O294" s="44" t="n"/>
      <c r="P294" s="44" t="n"/>
      <c r="Q294" s="44" t="n"/>
    </row>
    <row r="295" hidden="1" ht="15.5" customHeight="1" s="297">
      <c r="B295" s="102" t="n"/>
      <c r="C295" s="15" t="n"/>
      <c r="D295" s="108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5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62" t="n"/>
      <c r="J299" s="362" t="n">
        <v>1650000</v>
      </c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A300" s="354" t="n"/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62" t="n"/>
      <c r="J300" s="362" t="n">
        <v>300000</v>
      </c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A301" s="354" t="n"/>
      <c r="B301" s="292" t="n"/>
      <c r="C301" s="91" t="n"/>
      <c r="D301" s="365" t="inlineStr">
        <is>
          <t>Allowance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A302" s="354" t="n"/>
      <c r="B302" s="292" t="n">
        <v>45437</v>
      </c>
      <c r="C302" s="91" t="n">
        <v>3</v>
      </c>
      <c r="D302" s="95" t="inlineStr">
        <is>
          <t>Tunjangan Lapangan for 6 days</t>
        </is>
      </c>
      <c r="E302" s="95" t="n"/>
      <c r="F302" s="360" t="n">
        <v>9717600</v>
      </c>
      <c r="G302" s="91" t="inlineStr">
        <is>
          <t>USD</t>
        </is>
      </c>
      <c r="H302" s="361" t="n">
        <v>16196</v>
      </c>
      <c r="I302" s="62" t="n"/>
      <c r="J302" s="362" t="n">
        <v>9717600</v>
      </c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A303" s="354" t="n"/>
      <c r="B303" s="292" t="n"/>
      <c r="C303" s="91" t="n"/>
      <c r="D303" s="365" t="inlineStr">
        <is>
          <t>Meal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A304" s="354" t="n"/>
      <c r="B304" s="292" t="n">
        <v>45437</v>
      </c>
      <c r="C304" s="91" t="n">
        <v>4</v>
      </c>
      <c r="D304" s="95" t="inlineStr">
        <is>
          <t>Meal Crew's Operational</t>
        </is>
      </c>
      <c r="E304" s="95" t="n"/>
      <c r="F304" s="360" t="n">
        <v>709300</v>
      </c>
      <c r="G304" s="91" t="inlineStr">
        <is>
          <t>IDR</t>
        </is>
      </c>
      <c r="H304" s="361" t="n">
        <v>1</v>
      </c>
      <c r="I304" s="62" t="n"/>
      <c r="J304" s="362" t="n">
        <v>709300</v>
      </c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A305" s="354" t="n"/>
      <c r="B305" s="292" t="n">
        <v>45437</v>
      </c>
      <c r="C305" s="91" t="n">
        <v>5</v>
      </c>
      <c r="D305" s="95" t="inlineStr">
        <is>
          <t>Meals 7 days 1 Persons @ 150K IDR/day</t>
        </is>
      </c>
      <c r="E305" s="95" t="n"/>
      <c r="F305" s="360" t="n">
        <v>900000</v>
      </c>
      <c r="G305" s="91" t="inlineStr">
        <is>
          <t>IDR</t>
        </is>
      </c>
      <c r="H305" s="361" t="n">
        <v>1</v>
      </c>
      <c r="I305" s="62" t="n"/>
      <c r="J305" s="362" t="n">
        <v>900000</v>
      </c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A306" s="354" t="n"/>
      <c r="B306" s="292" t="n"/>
      <c r="C306" s="91" t="n"/>
      <c r="D306" s="365" t="inlineStr">
        <is>
          <t>Transportation</t>
        </is>
      </c>
      <c r="E306" s="97" t="n"/>
      <c r="F306" s="93" t="n"/>
      <c r="G306" s="91" t="n"/>
      <c r="H306" s="91" t="n"/>
      <c r="I306" s="62" t="n"/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A307" s="354" t="n"/>
      <c r="B307" s="292" t="n">
        <v>45437</v>
      </c>
      <c r="C307" s="91" t="n">
        <v>6</v>
      </c>
      <c r="D307" s="95" t="inlineStr">
        <is>
          <t>Airplane Ticket CGK-PLM (2 Person)</t>
        </is>
      </c>
      <c r="E307" s="95" t="n"/>
      <c r="F307" s="360" t="n">
        <v>1418800</v>
      </c>
      <c r="G307" s="91" t="inlineStr">
        <is>
          <t>IDR</t>
        </is>
      </c>
      <c r="H307" s="361" t="n">
        <v>1</v>
      </c>
      <c r="I307" s="62" t="n"/>
      <c r="J307" s="362" t="n">
        <v>1418800</v>
      </c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A308" s="354" t="n"/>
      <c r="B308" s="292" t="n">
        <v>45437</v>
      </c>
      <c r="C308" s="91" t="n">
        <v>7</v>
      </c>
      <c r="D308" s="95" t="inlineStr">
        <is>
          <t>Taxi Pondok Cabe-CGK</t>
        </is>
      </c>
      <c r="E308" s="95" t="n"/>
      <c r="F308" s="360" t="n">
        <v>166000</v>
      </c>
      <c r="G308" s="91" t="inlineStr">
        <is>
          <t>IDR</t>
        </is>
      </c>
      <c r="H308" s="361" t="n">
        <v>1</v>
      </c>
      <c r="I308" s="62" t="n"/>
      <c r="J308" s="362" t="n">
        <v>166000</v>
      </c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A309" s="354" t="n"/>
      <c r="B309" s="292" t="n">
        <v>45437</v>
      </c>
      <c r="C309" s="91" t="n">
        <v>8</v>
      </c>
      <c r="D309" s="95" t="inlineStr">
        <is>
          <t>Toll (Pondok Cabe-CGK)</t>
        </is>
      </c>
      <c r="E309" s="95" t="n"/>
      <c r="F309" s="360" t="n">
        <v>60000</v>
      </c>
      <c r="G309" s="91" t="inlineStr">
        <is>
          <t>IDR</t>
        </is>
      </c>
      <c r="H309" s="361" t="n">
        <v>1</v>
      </c>
      <c r="I309" s="62" t="n"/>
      <c r="J309" s="362" t="n">
        <v>60000</v>
      </c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A310" s="354" t="n"/>
      <c r="B310" s="292" t="n">
        <v>45437</v>
      </c>
      <c r="C310" s="91" t="n">
        <v>9</v>
      </c>
      <c r="D310" s="95" t="inlineStr">
        <is>
          <t>Rent Car 6 Days</t>
        </is>
      </c>
      <c r="E310" s="95" t="n"/>
      <c r="F310" s="360" t="n">
        <v>2900000</v>
      </c>
      <c r="G310" s="91" t="inlineStr">
        <is>
          <t>IDR</t>
        </is>
      </c>
      <c r="H310" s="361" t="n">
        <v>1</v>
      </c>
      <c r="I310" s="62" t="n"/>
      <c r="J310" s="362" t="n">
        <v>2900000</v>
      </c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A311" s="354" t="n"/>
      <c r="B311" s="292" t="n">
        <v>45437</v>
      </c>
      <c r="C311" s="91" t="n">
        <v>10</v>
      </c>
      <c r="D311" s="95" t="inlineStr">
        <is>
          <t>Gasoline</t>
        </is>
      </c>
      <c r="E311" s="95" t="n"/>
      <c r="F311" s="360" t="n">
        <v>400000</v>
      </c>
      <c r="G311" s="91" t="inlineStr">
        <is>
          <t>IDR</t>
        </is>
      </c>
      <c r="H311" s="361" t="n">
        <v>1</v>
      </c>
      <c r="I311" s="62" t="n"/>
      <c r="J311" s="362" t="n">
        <v>400000</v>
      </c>
      <c r="K311" s="44" t="n"/>
      <c r="L311" s="44" t="n"/>
      <c r="M311" s="44" t="n"/>
      <c r="N311" s="44" t="n"/>
      <c r="O311" s="44" t="n"/>
      <c r="P311" s="44" t="n"/>
      <c r="Q311" s="44" t="n"/>
    </row>
    <row r="312" ht="15.5" customHeight="1" s="297">
      <c r="A312" s="354" t="n"/>
      <c r="B312" s="292" t="n">
        <v>45442</v>
      </c>
      <c r="C312" s="91" t="n">
        <v>11</v>
      </c>
      <c r="D312" s="95" t="inlineStr">
        <is>
          <t>Taxi CGK-Pondok Cabe (inc Toll+Parking)</t>
        </is>
      </c>
      <c r="E312" s="95" t="n"/>
      <c r="F312" s="360" t="n">
        <v>300000</v>
      </c>
      <c r="G312" s="91" t="inlineStr">
        <is>
          <t>IDR</t>
        </is>
      </c>
      <c r="H312" s="361" t="n">
        <v>1</v>
      </c>
      <c r="I312" s="62" t="n"/>
      <c r="J312" s="362" t="n">
        <v>300000</v>
      </c>
      <c r="K312" s="44" t="n"/>
      <c r="L312" s="44" t="n"/>
      <c r="M312" s="44" t="n"/>
      <c r="N312" s="44" t="n"/>
      <c r="O312" s="44" t="n"/>
      <c r="P312" s="44" t="n"/>
      <c r="Q312" s="44" t="n"/>
    </row>
    <row r="313" ht="15.5" customHeight="1" s="297">
      <c r="A313" s="354" t="n"/>
      <c r="B313" s="292" t="n">
        <v>45442</v>
      </c>
      <c r="C313" s="91" t="n">
        <v>12</v>
      </c>
      <c r="D313" s="95" t="inlineStr">
        <is>
          <t>Airplane Ticket PLM-CGK (2 Person)</t>
        </is>
      </c>
      <c r="E313" s="95" t="n"/>
      <c r="F313" s="360" t="n">
        <v>1326410</v>
      </c>
      <c r="G313" s="91" t="inlineStr">
        <is>
          <t>IDR</t>
        </is>
      </c>
      <c r="H313" s="361" t="n">
        <v>1</v>
      </c>
      <c r="I313" s="62" t="n"/>
      <c r="J313" s="362" t="n">
        <v>1326410</v>
      </c>
      <c r="K313" s="44" t="n"/>
      <c r="L313" s="44" t="n"/>
      <c r="M313" s="44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7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8" t="n">
        <v>9693878</v>
      </c>
      <c r="G317" s="15" t="inlineStr">
        <is>
          <t>IDR</t>
        </is>
      </c>
      <c r="H317" s="364" t="n">
        <v>1</v>
      </c>
      <c r="I317" s="61" t="n"/>
      <c r="J317" s="362" t="n">
        <v>9693878</v>
      </c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A318" s="354" t="n"/>
      <c r="B318" s="14" t="n"/>
      <c r="C318" s="15" t="n"/>
      <c r="D318" s="367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A319" s="354" t="n"/>
      <c r="B319" s="14" t="n">
        <v>45448</v>
      </c>
      <c r="C319" s="15" t="n">
        <v>2</v>
      </c>
      <c r="D319" s="18" t="inlineStr">
        <is>
          <t>Personal Car from Home to PT. LTJ (converted) DAY-1</t>
        </is>
      </c>
      <c r="E319" s="18" t="n"/>
      <c r="F319" s="368" t="n">
        <v>233000</v>
      </c>
      <c r="G319" s="15" t="inlineStr">
        <is>
          <t>IDR</t>
        </is>
      </c>
      <c r="H319" s="364" t="n">
        <v>1</v>
      </c>
      <c r="I319" s="61" t="n"/>
      <c r="J319" s="362" t="n">
        <v>233000</v>
      </c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A320" s="354" t="n"/>
      <c r="B320" s="14" t="n">
        <v>45449</v>
      </c>
      <c r="C320" s="15" t="n">
        <v>3</v>
      </c>
      <c r="D320" s="18" t="inlineStr">
        <is>
          <t>Transport DAY - 2 BOSIET</t>
        </is>
      </c>
      <c r="E320" s="18" t="n"/>
      <c r="F320" s="368" t="n">
        <v>73000</v>
      </c>
      <c r="G320" s="15" t="inlineStr">
        <is>
          <t>IDR</t>
        </is>
      </c>
      <c r="H320" s="364" t="n">
        <v>1</v>
      </c>
      <c r="I320" s="61" t="n"/>
      <c r="J320" s="362" t="n">
        <v>73000</v>
      </c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297">
      <c r="A321" s="354" t="n"/>
      <c r="B321" s="14" t="n">
        <v>45450</v>
      </c>
      <c r="C321" s="15" t="n">
        <v>4</v>
      </c>
      <c r="D321" s="18" t="inlineStr">
        <is>
          <t>Transport DAY - 3 BOSIET</t>
        </is>
      </c>
      <c r="E321" s="18" t="n"/>
      <c r="F321" s="368" t="n">
        <v>59000</v>
      </c>
      <c r="G321" s="15" t="inlineStr">
        <is>
          <t>IDR</t>
        </is>
      </c>
      <c r="H321" s="364" t="n">
        <v>1</v>
      </c>
      <c r="I321" s="61" t="n"/>
      <c r="J321" s="362" t="n">
        <v>59000</v>
      </c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5" t="inlineStr">
        <is>
          <t>Accommodation</t>
        </is>
      </c>
      <c r="E323" s="97" t="n"/>
      <c r="F323" s="103" t="n"/>
      <c r="G323" s="91" t="n"/>
      <c r="H323" s="91" t="n"/>
      <c r="I323" s="366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9" t="n">
        <v>720000</v>
      </c>
      <c r="G324" s="91" t="inlineStr">
        <is>
          <t>IDR</t>
        </is>
      </c>
      <c r="H324" s="361" t="n">
        <v>1</v>
      </c>
      <c r="I324" s="366" t="n"/>
      <c r="J324" s="362" t="n">
        <v>720000</v>
      </c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A325" s="354" t="n"/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9" t="n">
        <v>200000</v>
      </c>
      <c r="G325" s="91" t="inlineStr">
        <is>
          <t>IDR</t>
        </is>
      </c>
      <c r="H325" s="361" t="n">
        <v>1</v>
      </c>
      <c r="I325" s="366" t="n"/>
      <c r="J325" s="362" t="n">
        <v>200000</v>
      </c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A326" s="354" t="n"/>
      <c r="B326" s="292" t="n"/>
      <c r="C326" s="91" t="n"/>
      <c r="D326" s="365" t="inlineStr">
        <is>
          <t>Allowance</t>
        </is>
      </c>
      <c r="E326" s="97" t="n"/>
      <c r="F326" s="103" t="n"/>
      <c r="G326" s="91" t="n"/>
      <c r="H326" s="91" t="n"/>
      <c r="I326" s="366" t="n"/>
      <c r="J326" s="62" t="n"/>
      <c r="K326" s="62" t="n"/>
      <c r="L326" s="62" t="n"/>
      <c r="M326" s="62" t="n"/>
      <c r="N326" s="62" t="n"/>
      <c r="O326" s="62" t="n"/>
      <c r="P326" s="62" t="n"/>
      <c r="Q326" s="62" t="n"/>
    </row>
    <row r="327" ht="15.5" customHeight="1" s="297">
      <c r="A327" s="354" t="n"/>
      <c r="B327" s="292" t="n">
        <v>45428</v>
      </c>
      <c r="C327" s="91" t="n">
        <v>3</v>
      </c>
      <c r="D327" s="95" t="inlineStr">
        <is>
          <t>Tunjangan Lapangan for 4 days</t>
        </is>
      </c>
      <c r="E327" s="95" t="n"/>
      <c r="F327" s="369" t="n">
        <v>6551200</v>
      </c>
      <c r="G327" s="91" t="inlineStr">
        <is>
          <t>USD</t>
        </is>
      </c>
      <c r="H327" s="361" t="n">
        <v>16378</v>
      </c>
      <c r="I327" s="366" t="n"/>
      <c r="J327" s="362" t="n">
        <v>6551200</v>
      </c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A328" s="354" t="n"/>
      <c r="B328" s="292" t="n"/>
      <c r="C328" s="91" t="n"/>
      <c r="D328" s="365" t="inlineStr">
        <is>
          <t>Logistic</t>
        </is>
      </c>
      <c r="E328" s="97" t="n"/>
      <c r="F328" s="103" t="n"/>
      <c r="G328" s="91" t="n"/>
      <c r="H328" s="91" t="n"/>
      <c r="I328" s="366" t="n"/>
      <c r="J328" s="62" t="n"/>
      <c r="K328" s="62" t="n"/>
      <c r="L328" s="62" t="n"/>
      <c r="M328" s="62" t="n"/>
      <c r="N328" s="62" t="n"/>
      <c r="O328" s="62" t="n"/>
      <c r="P328" s="62" t="n"/>
      <c r="Q328" s="62" t="n"/>
    </row>
    <row r="329" ht="15.5" customHeight="1" s="297">
      <c r="A329" s="354" t="n"/>
      <c r="B329" s="292" t="n">
        <v>45428</v>
      </c>
      <c r="C329" s="91" t="n">
        <v>4</v>
      </c>
      <c r="D329" s="95" t="inlineStr">
        <is>
          <t>Uneed Power Station</t>
        </is>
      </c>
      <c r="E329" s="95" t="n"/>
      <c r="F329" s="369" t="n">
        <v>2371000</v>
      </c>
      <c r="G329" s="91" t="inlineStr">
        <is>
          <t>IDR</t>
        </is>
      </c>
      <c r="H329" s="361" t="n">
        <v>1</v>
      </c>
      <c r="I329" s="366" t="n"/>
      <c r="J329" s="362" t="n"/>
      <c r="K329" s="44" t="n"/>
      <c r="L329" s="44" t="n"/>
      <c r="M329" s="44" t="n"/>
      <c r="N329" s="362" t="n">
        <v>2371000</v>
      </c>
      <c r="O329" s="44" t="n"/>
      <c r="P329" s="44" t="n"/>
      <c r="Q329" s="44" t="n"/>
    </row>
    <row r="330" ht="15.5" customHeight="1" s="297">
      <c r="A330" s="354" t="n"/>
      <c r="B330" s="292" t="n"/>
      <c r="C330" s="91" t="n"/>
      <c r="D330" s="365" t="inlineStr">
        <is>
          <t>Meal</t>
        </is>
      </c>
      <c r="E330" s="97" t="n"/>
      <c r="F330" s="103" t="n"/>
      <c r="G330" s="91" t="n"/>
      <c r="H330" s="91" t="n"/>
      <c r="I330" s="366" t="n"/>
      <c r="J330" s="62" t="n"/>
      <c r="K330" s="62" t="n"/>
      <c r="L330" s="62" t="n"/>
      <c r="M330" s="62" t="n"/>
      <c r="N330" s="62" t="n"/>
      <c r="O330" s="62" t="n"/>
      <c r="P330" s="62" t="n"/>
      <c r="Q330" s="62" t="n"/>
    </row>
    <row r="331" ht="15.5" customHeight="1" s="297">
      <c r="A331" s="354" t="n"/>
      <c r="B331" s="292" t="n">
        <v>45428</v>
      </c>
      <c r="C331" s="91" t="n">
        <v>5</v>
      </c>
      <c r="D331" s="95" t="inlineStr">
        <is>
          <t>Meals 4 days 1 Persons @ 150K IDR/day</t>
        </is>
      </c>
      <c r="E331" s="95" t="n"/>
      <c r="F331" s="369" t="n">
        <v>600000</v>
      </c>
      <c r="G331" s="91" t="inlineStr">
        <is>
          <t>IDR</t>
        </is>
      </c>
      <c r="H331" s="361" t="n">
        <v>1</v>
      </c>
      <c r="I331" s="366" t="n"/>
      <c r="J331" s="362" t="n">
        <v>600000</v>
      </c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297">
      <c r="A332" s="354" t="n"/>
      <c r="B332" s="292" t="n"/>
      <c r="C332" s="91" t="n"/>
      <c r="D332" s="365" t="inlineStr">
        <is>
          <t>Transportation</t>
        </is>
      </c>
      <c r="E332" s="97" t="n"/>
      <c r="F332" s="103" t="n"/>
      <c r="G332" s="91" t="n"/>
      <c r="H332" s="91" t="n"/>
      <c r="I332" s="366" t="n"/>
      <c r="J332" s="62" t="n"/>
      <c r="K332" s="62" t="n"/>
      <c r="L332" s="62" t="n"/>
      <c r="M332" s="62" t="n"/>
      <c r="N332" s="62" t="n"/>
      <c r="O332" s="62" t="n"/>
      <c r="P332" s="62" t="n"/>
      <c r="Q332" s="62" t="n"/>
    </row>
    <row r="333" ht="15.5" customHeight="1" s="297">
      <c r="A333" s="354" t="n"/>
      <c r="B333" s="292" t="n">
        <v>45428</v>
      </c>
      <c r="C333" s="91" t="n">
        <v>6</v>
      </c>
      <c r="D333" s="95" t="inlineStr">
        <is>
          <t>Airplane Ticket CGK-PLM</t>
        </is>
      </c>
      <c r="E333" s="95" t="n"/>
      <c r="F333" s="369" t="n">
        <v>995500</v>
      </c>
      <c r="G333" s="91" t="inlineStr">
        <is>
          <t>IDR</t>
        </is>
      </c>
      <c r="H333" s="361" t="n">
        <v>1</v>
      </c>
      <c r="I333" s="366" t="n"/>
      <c r="J333" s="362" t="n">
        <v>995500</v>
      </c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297">
      <c r="A334" s="354" t="n"/>
      <c r="B334" s="292" t="n">
        <v>45428</v>
      </c>
      <c r="C334" s="91" t="n">
        <v>7</v>
      </c>
      <c r="D334" s="95" t="inlineStr">
        <is>
          <t>Taxi Pondok Cabe-CGK</t>
        </is>
      </c>
      <c r="E334" s="95" t="n"/>
      <c r="F334" s="369" t="n">
        <v>273500</v>
      </c>
      <c r="G334" s="91" t="inlineStr">
        <is>
          <t>IDR</t>
        </is>
      </c>
      <c r="H334" s="361" t="n">
        <v>1</v>
      </c>
      <c r="I334" s="366" t="n"/>
      <c r="J334" s="362" t="n">
        <v>273500</v>
      </c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297">
      <c r="A335" s="354" t="n"/>
      <c r="B335" s="292" t="n">
        <v>45428</v>
      </c>
      <c r="C335" s="91" t="n">
        <v>8</v>
      </c>
      <c r="D335" s="95" t="inlineStr">
        <is>
          <t>Toll Prabumulih (PP)</t>
        </is>
      </c>
      <c r="E335" s="95" t="n"/>
      <c r="F335" s="369" t="n">
        <v>224000</v>
      </c>
      <c r="G335" s="91" t="inlineStr">
        <is>
          <t>IDR</t>
        </is>
      </c>
      <c r="H335" s="361" t="n">
        <v>1</v>
      </c>
      <c r="I335" s="366" t="n"/>
      <c r="J335" s="362" t="n">
        <v>224000</v>
      </c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297">
      <c r="A336" s="354" t="n"/>
      <c r="B336" s="292" t="n">
        <v>45428</v>
      </c>
      <c r="C336" s="91" t="n">
        <v>9</v>
      </c>
      <c r="D336" s="95" t="inlineStr">
        <is>
          <t>Rent Car 4 Days</t>
        </is>
      </c>
      <c r="E336" s="95" t="n"/>
      <c r="F336" s="369" t="n">
        <v>2000000</v>
      </c>
      <c r="G336" s="91" t="inlineStr">
        <is>
          <t>IDR</t>
        </is>
      </c>
      <c r="H336" s="361" t="n">
        <v>1</v>
      </c>
      <c r="I336" s="366" t="n"/>
      <c r="J336" s="362" t="n">
        <v>2000000</v>
      </c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297">
      <c r="A337" s="354" t="n"/>
      <c r="B337" s="292" t="n">
        <v>45428</v>
      </c>
      <c r="C337" s="91" t="n">
        <v>10</v>
      </c>
      <c r="D337" s="95" t="inlineStr">
        <is>
          <t>Gasoline</t>
        </is>
      </c>
      <c r="E337" s="95" t="n"/>
      <c r="F337" s="369" t="n">
        <v>330000</v>
      </c>
      <c r="G337" s="91" t="inlineStr">
        <is>
          <t>IDR</t>
        </is>
      </c>
      <c r="H337" s="361" t="n">
        <v>1</v>
      </c>
      <c r="I337" s="366" t="n"/>
      <c r="J337" s="362" t="n">
        <v>330000</v>
      </c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A338" s="354" t="n"/>
      <c r="B338" s="292" t="n">
        <v>45428</v>
      </c>
      <c r="C338" s="91" t="n">
        <v>11</v>
      </c>
      <c r="D338" s="95" t="inlineStr">
        <is>
          <t>Taxi HLP-Pondok Cabe (inc Toll+Parking)</t>
        </is>
      </c>
      <c r="E338" s="95" t="n"/>
      <c r="F338" s="369" t="n">
        <v>270000</v>
      </c>
      <c r="G338" s="91" t="inlineStr">
        <is>
          <t>IDR</t>
        </is>
      </c>
      <c r="H338" s="361" t="n">
        <v>1</v>
      </c>
      <c r="I338" s="366" t="n"/>
      <c r="J338" s="362" t="n">
        <v>270000</v>
      </c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A339" s="354" t="n"/>
      <c r="B339" s="292" t="n">
        <v>45428</v>
      </c>
      <c r="C339" s="91" t="n">
        <v>12</v>
      </c>
      <c r="D339" s="95" t="inlineStr">
        <is>
          <t>Airplane Ticket PLM-HLP</t>
        </is>
      </c>
      <c r="E339" s="95" t="n"/>
      <c r="F339" s="369" t="n">
        <v>1004000</v>
      </c>
      <c r="G339" s="91" t="inlineStr">
        <is>
          <t>IDR</t>
        </is>
      </c>
      <c r="H339" s="361" t="n">
        <v>1</v>
      </c>
      <c r="I339" s="366" t="n"/>
      <c r="J339" s="362" t="n">
        <v>1004000</v>
      </c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5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1</v>
      </c>
      <c r="D342" s="95" t="inlineStr">
        <is>
          <t>Pin Punch</t>
        </is>
      </c>
      <c r="E342" s="95" t="n"/>
      <c r="F342" s="369" t="n">
        <v>381960</v>
      </c>
      <c r="G342" s="91" t="inlineStr">
        <is>
          <t>IDR</t>
        </is>
      </c>
      <c r="H342" s="361" t="n">
        <v>1</v>
      </c>
      <c r="I342" s="61" t="n"/>
      <c r="J342" s="62" t="n"/>
      <c r="K342" s="44" t="n"/>
      <c r="L342" s="44" t="n"/>
      <c r="M342" s="61" t="n"/>
      <c r="N342" s="362" t="n">
        <v>381960</v>
      </c>
      <c r="O342" s="44" t="n"/>
      <c r="P342" s="44" t="n"/>
      <c r="Q342" s="44" t="n"/>
    </row>
    <row r="343" ht="15.5" customHeight="1" s="297">
      <c r="A343" s="354" t="n"/>
      <c r="B343" s="292" t="n">
        <v>45483</v>
      </c>
      <c r="C343" s="91" t="n">
        <v>2</v>
      </c>
      <c r="D343" s="95" t="inlineStr">
        <is>
          <t>Hardcase Custom</t>
        </is>
      </c>
      <c r="E343" s="95" t="n"/>
      <c r="F343" s="369" t="n">
        <v>3595000</v>
      </c>
      <c r="G343" s="91" t="inlineStr">
        <is>
          <t>IDR</t>
        </is>
      </c>
      <c r="H343" s="361" t="n">
        <v>1</v>
      </c>
      <c r="I343" s="61" t="n"/>
      <c r="J343" s="62" t="n"/>
      <c r="K343" s="44" t="n"/>
      <c r="L343" s="44" t="n"/>
      <c r="M343" s="61" t="n"/>
      <c r="N343" s="362" t="n">
        <v>3595000</v>
      </c>
      <c r="O343" s="44" t="n"/>
      <c r="P343" s="44" t="n"/>
      <c r="Q343" s="44" t="n"/>
    </row>
    <row r="344" ht="15.5" customHeight="1" s="297">
      <c r="A344" s="354" t="n"/>
      <c r="B344" s="292" t="n"/>
      <c r="C344" s="91" t="n"/>
      <c r="D344" s="365" t="inlineStr">
        <is>
          <t>Transportation</t>
        </is>
      </c>
      <c r="E344" s="97" t="n"/>
      <c r="F344" s="103" t="n"/>
      <c r="G344" s="91" t="n"/>
      <c r="H344" s="91" t="n"/>
      <c r="I344" s="62" t="n"/>
      <c r="J344" s="62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297">
      <c r="A345" s="354" t="n"/>
      <c r="B345" s="292" t="n">
        <v>45478</v>
      </c>
      <c r="C345" s="91" t="n">
        <v>3</v>
      </c>
      <c r="D345" s="95" t="inlineStr">
        <is>
          <t>Lalamove Gowell-Bogor-Gowell</t>
        </is>
      </c>
      <c r="E345" s="95" t="n"/>
      <c r="F345" s="369" t="n">
        <v>594804</v>
      </c>
      <c r="G345" s="91" t="inlineStr">
        <is>
          <t>IDR</t>
        </is>
      </c>
      <c r="H345" s="361" t="n">
        <v>1</v>
      </c>
      <c r="I345" s="61" t="n"/>
      <c r="J345" s="362" t="n">
        <v>594804</v>
      </c>
      <c r="K345" s="44" t="n"/>
      <c r="L345" s="44" t="n"/>
      <c r="M345" s="61" t="n"/>
      <c r="N345" s="362" t="n"/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5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6" t="n"/>
      <c r="J348" s="362" t="n">
        <v>344305</v>
      </c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A349" s="354" t="n"/>
      <c r="B349" s="292" t="n">
        <v>45481</v>
      </c>
      <c r="C349" s="91" t="n">
        <v>2</v>
      </c>
      <c r="D349" s="95" t="inlineStr">
        <is>
          <t>Hotel Tax Foreigner</t>
        </is>
      </c>
      <c r="E349" s="95" t="n"/>
      <c r="F349" s="360" t="n">
        <v>34620</v>
      </c>
      <c r="G349" s="91" t="inlineStr">
        <is>
          <t>MYR</t>
        </is>
      </c>
      <c r="H349" s="361" t="n">
        <v>3462</v>
      </c>
      <c r="I349" s="366" t="n"/>
      <c r="J349" s="362" t="n">
        <v>34620</v>
      </c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A350" s="354" t="n"/>
      <c r="B350" s="292" t="n"/>
      <c r="C350" s="91" t="n"/>
      <c r="D350" s="365" t="inlineStr">
        <is>
          <t>Logistic</t>
        </is>
      </c>
      <c r="E350" s="97" t="n"/>
      <c r="F350" s="93" t="n"/>
      <c r="G350" s="91" t="n"/>
      <c r="H350" s="91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A351" s="354" t="n"/>
      <c r="B351" s="292" t="n">
        <v>45483</v>
      </c>
      <c r="C351" s="91" t="n">
        <v>3</v>
      </c>
      <c r="D351" s="95" t="inlineStr">
        <is>
          <t>Asus Slate 13 (tablet asus)</t>
        </is>
      </c>
      <c r="E351" s="95" t="n"/>
      <c r="F351" s="360" t="n">
        <v>9778400</v>
      </c>
      <c r="G351" s="91" t="inlineStr">
        <is>
          <t>IDR</t>
        </is>
      </c>
      <c r="H351" s="361" t="n">
        <v>1</v>
      </c>
      <c r="I351" s="366" t="n"/>
      <c r="J351" s="362" t="n"/>
      <c r="K351" s="44" t="n"/>
      <c r="L351" s="44" t="n"/>
      <c r="M351" s="44" t="n"/>
      <c r="N351" s="362" t="n">
        <v>9778400</v>
      </c>
      <c r="O351" s="44" t="n"/>
      <c r="P351" s="44" t="n"/>
      <c r="Q351" s="44" t="n"/>
    </row>
    <row r="352" ht="15.5" customHeight="1" s="297">
      <c r="A352" s="354" t="n"/>
      <c r="B352" s="292" t="n">
        <v>45483</v>
      </c>
      <c r="C352" s="91" t="n">
        <v>4</v>
      </c>
      <c r="D352" s="95" t="inlineStr">
        <is>
          <t>OTG Type C</t>
        </is>
      </c>
      <c r="E352" s="95" t="n"/>
      <c r="F352" s="360" t="n">
        <v>163100</v>
      </c>
      <c r="G352" s="91" t="inlineStr">
        <is>
          <t>IDR</t>
        </is>
      </c>
      <c r="H352" s="361" t="n">
        <v>1</v>
      </c>
      <c r="I352" s="366" t="n"/>
      <c r="J352" s="362" t="n"/>
      <c r="K352" s="44" t="n"/>
      <c r="L352" s="44" t="n"/>
      <c r="M352" s="44" t="n"/>
      <c r="N352" s="362" t="n">
        <v>163100</v>
      </c>
      <c r="O352" s="44" t="n"/>
      <c r="P352" s="44" t="n"/>
      <c r="Q352" s="44" t="n"/>
    </row>
    <row r="353" ht="15.5" customHeight="1" s="297">
      <c r="A353" s="354" t="n"/>
      <c r="B353" s="292" t="n"/>
      <c r="C353" s="91" t="n"/>
      <c r="D353" s="365" t="inlineStr">
        <is>
          <t>Transportation</t>
        </is>
      </c>
      <c r="E353" s="97" t="n"/>
      <c r="F353" s="93" t="n"/>
      <c r="G353" s="91" t="n"/>
      <c r="H353" s="91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A354" s="354" t="n"/>
      <c r="B354" s="292" t="n">
        <v>45481</v>
      </c>
      <c r="C354" s="91" t="n">
        <v>5</v>
      </c>
      <c r="D354" s="95" t="inlineStr">
        <is>
          <t>Airplane Ticket CGK-KLIA</t>
        </is>
      </c>
      <c r="E354" s="95" t="n"/>
      <c r="F354" s="360" t="n">
        <v>4912100</v>
      </c>
      <c r="G354" s="91" t="inlineStr">
        <is>
          <t>IDR</t>
        </is>
      </c>
      <c r="H354" s="361" t="n">
        <v>1</v>
      </c>
      <c r="I354" s="366" t="n"/>
      <c r="J354" s="362" t="n">
        <v>4912100</v>
      </c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A355" s="354" t="n"/>
      <c r="B355" s="292" t="n">
        <v>45481</v>
      </c>
      <c r="C355" s="91" t="n">
        <v>6</v>
      </c>
      <c r="D355" s="95" t="inlineStr">
        <is>
          <t>Taxi Home - CGK</t>
        </is>
      </c>
      <c r="E355" s="95" t="n"/>
      <c r="F355" s="360" t="n">
        <v>250000</v>
      </c>
      <c r="G355" s="91" t="inlineStr">
        <is>
          <t>IDR</t>
        </is>
      </c>
      <c r="H355" s="361" t="n">
        <v>1</v>
      </c>
      <c r="I355" s="366" t="n"/>
      <c r="J355" s="362" t="n">
        <v>250000</v>
      </c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297">
      <c r="A356" s="354" t="n"/>
      <c r="B356" s="292" t="n">
        <v>45481</v>
      </c>
      <c r="C356" s="91" t="n">
        <v>7</v>
      </c>
      <c r="D356" s="95" t="inlineStr">
        <is>
          <t>Taxi KLIA - Hotel</t>
        </is>
      </c>
      <c r="E356" s="95" t="n"/>
      <c r="F356" s="360" t="n">
        <v>249264</v>
      </c>
      <c r="G356" s="91" t="inlineStr">
        <is>
          <t>MYR</t>
        </is>
      </c>
      <c r="H356" s="361" t="n">
        <v>3462</v>
      </c>
      <c r="I356" s="366" t="n"/>
      <c r="J356" s="362" t="n">
        <v>249264</v>
      </c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297">
      <c r="A357" s="354" t="n"/>
      <c r="B357" s="292" t="n">
        <v>45482</v>
      </c>
      <c r="C357" s="91" t="n">
        <v>8</v>
      </c>
      <c r="D357" s="95" t="inlineStr">
        <is>
          <t>Taxi Hyperseal - Hotel</t>
        </is>
      </c>
      <c r="E357" s="95" t="n"/>
      <c r="F357" s="360" t="n">
        <v>27696</v>
      </c>
      <c r="G357" s="91" t="inlineStr">
        <is>
          <t>MYR</t>
        </is>
      </c>
      <c r="H357" s="361" t="n">
        <v>3462</v>
      </c>
      <c r="I357" s="366" t="n"/>
      <c r="J357" s="362" t="n">
        <v>27696</v>
      </c>
      <c r="K357" s="44" t="n"/>
      <c r="L357" s="44" t="n"/>
      <c r="M357" s="44" t="n"/>
      <c r="N357" s="44" t="n"/>
      <c r="O357" s="44" t="n"/>
      <c r="P357" s="44" t="n"/>
      <c r="Q357" s="44" t="n"/>
    </row>
    <row r="358" ht="15.5" customHeight="1" s="297">
      <c r="A358" s="354" t="n"/>
      <c r="B358" s="292" t="n">
        <v>45482</v>
      </c>
      <c r="C358" s="91" t="n">
        <v>9</v>
      </c>
      <c r="D358" s="95" t="inlineStr">
        <is>
          <t>Taxi Hotel - KLIA</t>
        </is>
      </c>
      <c r="E358" s="95" t="n"/>
      <c r="F358" s="360" t="n">
        <v>283987.86</v>
      </c>
      <c r="G358" s="91" t="inlineStr">
        <is>
          <t>MYR</t>
        </is>
      </c>
      <c r="H358" s="361" t="n">
        <v>3462</v>
      </c>
      <c r="I358" s="366" t="n"/>
      <c r="J358" s="362" t="n">
        <v>283987.86</v>
      </c>
      <c r="K358" s="44" t="n"/>
      <c r="L358" s="44" t="n"/>
      <c r="M358" s="44" t="n"/>
      <c r="N358" s="44" t="n"/>
      <c r="O358" s="44" t="n"/>
      <c r="P358" s="44" t="n"/>
      <c r="Q358" s="44" t="n"/>
    </row>
    <row r="359" ht="15.5" customHeight="1" s="297">
      <c r="A359" s="354" t="n"/>
      <c r="B359" s="292" t="n">
        <v>45482</v>
      </c>
      <c r="C359" s="91" t="n">
        <v>10</v>
      </c>
      <c r="D359" s="95" t="inlineStr">
        <is>
          <t>Taxi CGK - Home</t>
        </is>
      </c>
      <c r="E359" s="95" t="n"/>
      <c r="F359" s="360" t="n">
        <v>259120</v>
      </c>
      <c r="G359" s="91" t="inlineStr">
        <is>
          <t>IDR</t>
        </is>
      </c>
      <c r="H359" s="361" t="n">
        <v>1</v>
      </c>
      <c r="I359" s="366" t="n"/>
      <c r="J359" s="362" t="n">
        <v>259120</v>
      </c>
      <c r="K359" s="44" t="n"/>
      <c r="L359" s="44" t="n"/>
      <c r="M359" s="44" t="n"/>
      <c r="N359" s="44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7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8" t="n">
        <v>206000</v>
      </c>
      <c r="G362" s="15" t="inlineStr">
        <is>
          <t>IDR</t>
        </is>
      </c>
      <c r="H362" s="364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206000</v>
      </c>
      <c r="Q362" s="44" t="n"/>
    </row>
    <row r="363" ht="15.5" customHeight="1" s="297">
      <c r="A363" s="354" t="n"/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8" t="n">
        <v>1474000</v>
      </c>
      <c r="G363" s="15" t="inlineStr">
        <is>
          <t>IDR</t>
        </is>
      </c>
      <c r="H363" s="364" t="n">
        <v>1</v>
      </c>
      <c r="I363" s="44" t="n"/>
      <c r="J363" s="44" t="n"/>
      <c r="K363" s="44" t="n"/>
      <c r="L363" s="44" t="n"/>
      <c r="M363" s="62" t="n"/>
      <c r="N363" s="44" t="n"/>
      <c r="O363" s="44" t="n"/>
      <c r="P363" s="362" t="n">
        <v>1474000</v>
      </c>
      <c r="Q363" s="44" t="n"/>
    </row>
    <row r="364" ht="15.5" customHeight="1" s="297">
      <c r="A364" s="354" t="n"/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8" t="n">
        <v>206000</v>
      </c>
      <c r="G364" s="15" t="inlineStr">
        <is>
          <t>IDR</t>
        </is>
      </c>
      <c r="H364" s="364" t="n">
        <v>1</v>
      </c>
      <c r="I364" s="44" t="n"/>
      <c r="J364" s="44" t="n"/>
      <c r="K364" s="44" t="n"/>
      <c r="L364" s="44" t="n"/>
      <c r="M364" s="62" t="n"/>
      <c r="N364" s="44" t="n"/>
      <c r="O364" s="44" t="n"/>
      <c r="P364" s="362" t="n">
        <v>206000</v>
      </c>
      <c r="Q364" s="44" t="n"/>
    </row>
    <row r="365" ht="15.5" customHeight="1" s="297">
      <c r="A365" s="354" t="n"/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8" t="n">
        <v>109000</v>
      </c>
      <c r="G365" s="15" t="inlineStr">
        <is>
          <t>IDR</t>
        </is>
      </c>
      <c r="H365" s="364" t="n">
        <v>1</v>
      </c>
      <c r="I365" s="44" t="n"/>
      <c r="J365" s="44" t="n"/>
      <c r="K365" s="44" t="n"/>
      <c r="L365" s="44" t="n"/>
      <c r="M365" s="62" t="n"/>
      <c r="N365" s="44" t="n"/>
      <c r="O365" s="44" t="n"/>
      <c r="P365" s="362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7" t="inlineStr">
        <is>
          <t>Accommodation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45500</v>
      </c>
      <c r="C368" s="15" t="n">
        <v>1</v>
      </c>
      <c r="D368" s="18" t="inlineStr">
        <is>
          <t>Lodge 21-27 Jul 2024 (3 rooms)</t>
        </is>
      </c>
      <c r="E368" s="18" t="n"/>
      <c r="F368" s="368" t="n">
        <v>2160000</v>
      </c>
      <c r="G368" s="15" t="inlineStr">
        <is>
          <t>IDR</t>
        </is>
      </c>
      <c r="H368" s="364" t="n">
        <v>1</v>
      </c>
      <c r="I368" s="61" t="n"/>
      <c r="J368" s="362" t="n">
        <v>2160000</v>
      </c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A369" s="354" t="n"/>
      <c r="B369" s="14" t="n"/>
      <c r="C369" s="15" t="n"/>
      <c r="D369" s="367" t="inlineStr">
        <is>
          <t>Allowance</t>
        </is>
      </c>
      <c r="E369" s="106" t="n"/>
      <c r="F369" s="21" t="n"/>
      <c r="G369" s="15" t="n"/>
      <c r="H369" s="15" t="n"/>
      <c r="I369" s="61" t="n"/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A370" s="354" t="n"/>
      <c r="B370" s="102" t="n">
        <v>45500</v>
      </c>
      <c r="C370" s="15" t="n">
        <v>2</v>
      </c>
      <c r="D370" s="18" t="inlineStr">
        <is>
          <t>Uang Makan (21 - 27 Juli 2024)</t>
        </is>
      </c>
      <c r="E370" s="18" t="n"/>
      <c r="F370" s="368" t="n">
        <v>1050000</v>
      </c>
      <c r="G370" s="15" t="inlineStr">
        <is>
          <t>IDR</t>
        </is>
      </c>
      <c r="H370" s="364" t="n">
        <v>1</v>
      </c>
      <c r="I370" s="61" t="n"/>
      <c r="J370" s="362" t="n">
        <v>1050000</v>
      </c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A371" s="354" t="n"/>
      <c r="B371" s="102" t="n">
        <v>45500</v>
      </c>
      <c r="C371" s="15" t="n">
        <v>3</v>
      </c>
      <c r="D371" s="18" t="inlineStr">
        <is>
          <t>Tunajngan Lapangan JRK-163 (21-27 Juli 2024). 1US$=16.200</t>
        </is>
      </c>
      <c r="E371" s="18" t="n"/>
      <c r="F371" s="368" t="n">
        <v>700</v>
      </c>
      <c r="G371" s="15" t="inlineStr">
        <is>
          <t>IDR</t>
        </is>
      </c>
      <c r="H371" s="364" t="n">
        <v>16200</v>
      </c>
      <c r="I371" s="61" t="n"/>
      <c r="J371" s="362" t="n">
        <v>700</v>
      </c>
      <c r="K371" s="44" t="n"/>
      <c r="L371" s="44" t="n"/>
      <c r="M371" s="61" t="n"/>
      <c r="N371" s="44" t="n"/>
      <c r="O371" s="44" t="n"/>
      <c r="P371" s="44" t="n"/>
      <c r="Q371" s="44" t="n"/>
    </row>
    <row r="372" ht="15.5" customHeight="1" s="297">
      <c r="A372" s="354" t="n"/>
      <c r="B372" s="14" t="n"/>
      <c r="C372" s="15" t="n"/>
      <c r="D372" s="367" t="inlineStr">
        <is>
          <t>Laundry</t>
        </is>
      </c>
      <c r="E372" s="106" t="n"/>
      <c r="F372" s="21" t="n"/>
      <c r="G372" s="15" t="n"/>
      <c r="H372" s="15" t="n"/>
      <c r="I372" s="61" t="n"/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A373" s="354" t="n"/>
      <c r="B373" s="102" t="n">
        <v>45500</v>
      </c>
      <c r="C373" s="15" t="n">
        <v>4</v>
      </c>
      <c r="D373" s="18" t="inlineStr">
        <is>
          <t>Laundry (21 - 27 Juli 2024)</t>
        </is>
      </c>
      <c r="E373" s="18" t="n"/>
      <c r="F373" s="368" t="n">
        <v>350000</v>
      </c>
      <c r="G373" s="15" t="inlineStr">
        <is>
          <t>IDR</t>
        </is>
      </c>
      <c r="H373" s="364" t="n">
        <v>1</v>
      </c>
      <c r="I373" s="61" t="n"/>
      <c r="J373" s="362" t="n">
        <v>350000</v>
      </c>
      <c r="K373" s="44" t="n"/>
      <c r="L373" s="44" t="n"/>
      <c r="M373" s="61" t="n"/>
      <c r="N373" s="44" t="n"/>
      <c r="O373" s="44" t="n"/>
      <c r="P373" s="44" t="n"/>
      <c r="Q373" s="44" t="n"/>
    </row>
    <row r="374" ht="15.5" customHeight="1" s="297">
      <c r="A374" s="354" t="n"/>
      <c r="B374" s="14" t="n"/>
      <c r="C374" s="15" t="n"/>
      <c r="D374" s="367" t="inlineStr">
        <is>
          <t>Operation</t>
        </is>
      </c>
      <c r="E374" s="106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A375" s="354" t="n"/>
      <c r="B375" s="102" t="n">
        <v>45495</v>
      </c>
      <c r="C375" s="15" t="n">
        <v>5</v>
      </c>
      <c r="D375" s="18" t="inlineStr">
        <is>
          <t>Rags - Gloves</t>
        </is>
      </c>
      <c r="E375" s="18" t="n"/>
      <c r="F375" s="368" t="n">
        <v>70000</v>
      </c>
      <c r="G375" s="15" t="inlineStr">
        <is>
          <t>IDR</t>
        </is>
      </c>
      <c r="H375" s="364" t="n">
        <v>1</v>
      </c>
      <c r="I375" s="61" t="n"/>
      <c r="J375" s="362" t="n"/>
      <c r="K375" s="44" t="n"/>
      <c r="L375" s="44" t="n"/>
      <c r="M375" s="61" t="n"/>
      <c r="N375" s="362" t="n">
        <v>70000</v>
      </c>
      <c r="O375" s="44" t="n"/>
      <c r="P375" s="44" t="n"/>
      <c r="Q375" s="44" t="n"/>
    </row>
    <row r="376" ht="15.5" customHeight="1" s="297">
      <c r="A376" s="354" t="n"/>
      <c r="B376" s="102" t="n">
        <v>45498</v>
      </c>
      <c r="C376" s="15" t="n">
        <v>6</v>
      </c>
      <c r="D376" s="18" t="inlineStr">
        <is>
          <t>Snacks</t>
        </is>
      </c>
      <c r="E376" s="18" t="n"/>
      <c r="F376" s="368" t="n">
        <v>195000</v>
      </c>
      <c r="G376" s="15" t="inlineStr">
        <is>
          <t>IDR</t>
        </is>
      </c>
      <c r="H376" s="364" t="n">
        <v>1</v>
      </c>
      <c r="I376" s="61" t="n"/>
      <c r="J376" s="362" t="n"/>
      <c r="K376" s="44" t="n"/>
      <c r="L376" s="44" t="n"/>
      <c r="M376" s="61" t="n"/>
      <c r="N376" s="362" t="n">
        <v>195000</v>
      </c>
      <c r="O376" s="44" t="n"/>
      <c r="P376" s="44" t="n"/>
      <c r="Q376" s="44" t="n"/>
    </row>
    <row r="377" ht="15.5" customHeight="1" s="297">
      <c r="A377" s="354" t="n"/>
      <c r="B377" s="102" t="n">
        <v>45498</v>
      </c>
      <c r="C377" s="15" t="n">
        <v>7</v>
      </c>
      <c r="D377" s="18" t="inlineStr">
        <is>
          <t>Battery for DTR (Spare)</t>
        </is>
      </c>
      <c r="E377" s="18" t="n"/>
      <c r="F377" s="368" t="n">
        <v>38900</v>
      </c>
      <c r="G377" s="15" t="inlineStr">
        <is>
          <t>IDR</t>
        </is>
      </c>
      <c r="H377" s="364" t="n">
        <v>1</v>
      </c>
      <c r="I377" s="61" t="n"/>
      <c r="J377" s="362" t="n"/>
      <c r="K377" s="44" t="n"/>
      <c r="L377" s="44" t="n"/>
      <c r="M377" s="61" t="n"/>
      <c r="N377" s="362" t="n">
        <v>38900</v>
      </c>
      <c r="O377" s="44" t="n"/>
      <c r="P377" s="44" t="n"/>
      <c r="Q377" s="44" t="n"/>
    </row>
    <row r="378" ht="15.5" customHeight="1" s="297">
      <c r="A378" s="354" t="n"/>
      <c r="B378" s="14" t="n"/>
      <c r="C378" s="15" t="n"/>
      <c r="D378" s="367" t="inlineStr">
        <is>
          <t>Transportation</t>
        </is>
      </c>
      <c r="E378" s="106" t="n"/>
      <c r="F378" s="21" t="n"/>
      <c r="G378" s="15" t="n"/>
      <c r="H378" s="15" t="n"/>
      <c r="I378" s="61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A379" s="354" t="n"/>
      <c r="B379" s="102" t="n">
        <v>45494</v>
      </c>
      <c r="C379" s="15" t="n">
        <v>8</v>
      </c>
      <c r="D379" s="18" t="inlineStr">
        <is>
          <t>Jakarta - Palembang</t>
        </is>
      </c>
      <c r="E379" s="18" t="n"/>
      <c r="F379" s="368" t="n">
        <v>985367</v>
      </c>
      <c r="G379" s="15" t="inlineStr">
        <is>
          <t>IDR</t>
        </is>
      </c>
      <c r="H379" s="364" t="n">
        <v>1</v>
      </c>
      <c r="I379" s="61" t="n"/>
      <c r="J379" s="362" t="n">
        <v>985367</v>
      </c>
      <c r="K379" s="44" t="n"/>
      <c r="L379" s="44" t="n"/>
      <c r="M379" s="61" t="n"/>
      <c r="N379" s="44" t="n"/>
      <c r="O379" s="44" t="n"/>
      <c r="P379" s="44" t="n"/>
      <c r="Q379" s="44" t="n"/>
    </row>
    <row r="380" ht="15.5" customHeight="1" s="297">
      <c r="A380" s="354" t="n"/>
      <c r="B380" s="102" t="n">
        <v>45500</v>
      </c>
      <c r="C380" s="15" t="n">
        <v>9</v>
      </c>
      <c r="D380" s="18" t="inlineStr">
        <is>
          <t>Palembang - Jakarta + Extra Bagage</t>
        </is>
      </c>
      <c r="E380" s="18" t="n"/>
      <c r="F380" s="368" t="n">
        <v>1175717</v>
      </c>
      <c r="G380" s="15" t="inlineStr">
        <is>
          <t>IDR</t>
        </is>
      </c>
      <c r="H380" s="364" t="n">
        <v>1</v>
      </c>
      <c r="I380" s="61" t="n"/>
      <c r="J380" s="362" t="n">
        <v>1175717</v>
      </c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A381" s="354" t="n"/>
      <c r="B381" s="102" t="n">
        <v>45494</v>
      </c>
      <c r="C381" s="15" t="n">
        <v>10</v>
      </c>
      <c r="D381" s="18" t="inlineStr">
        <is>
          <t>Taxi + Tol to Airport Jakarta</t>
        </is>
      </c>
      <c r="E381" s="18" t="n"/>
      <c r="F381" s="368" t="n">
        <v>225520</v>
      </c>
      <c r="G381" s="15" t="inlineStr">
        <is>
          <t>IDR</t>
        </is>
      </c>
      <c r="H381" s="364" t="n">
        <v>1</v>
      </c>
      <c r="I381" s="61" t="n"/>
      <c r="J381" s="362" t="n">
        <v>225520</v>
      </c>
      <c r="K381" s="44" t="n"/>
      <c r="L381" s="44" t="n"/>
      <c r="M381" s="61" t="n"/>
      <c r="N381" s="44" t="n"/>
      <c r="O381" s="44" t="n"/>
      <c r="P381" s="44" t="n"/>
      <c r="Q381" s="44" t="n"/>
    </row>
    <row r="382" ht="15.5" customHeight="1" s="297">
      <c r="A382" s="354" t="n"/>
      <c r="B382" s="102" t="n">
        <v>45494</v>
      </c>
      <c r="C382" s="15" t="n">
        <v>11</v>
      </c>
      <c r="D382" s="18" t="inlineStr">
        <is>
          <t>fuel + tol PLM-Prabu</t>
        </is>
      </c>
      <c r="E382" s="18" t="n"/>
      <c r="F382" s="368" t="n">
        <v>292060</v>
      </c>
      <c r="G382" s="15" t="inlineStr">
        <is>
          <t>IDR</t>
        </is>
      </c>
      <c r="H382" s="364" t="n">
        <v>1</v>
      </c>
      <c r="I382" s="61" t="n"/>
      <c r="J382" s="362" t="n">
        <v>292060</v>
      </c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A383" s="354" t="n"/>
      <c r="B383" s="102" t="n">
        <v>45497</v>
      </c>
      <c r="C383" s="15" t="n">
        <v>12</v>
      </c>
      <c r="D383" s="18" t="inlineStr">
        <is>
          <t>fuel</t>
        </is>
      </c>
      <c r="E383" s="18" t="n"/>
      <c r="F383" s="368" t="n">
        <v>190430</v>
      </c>
      <c r="G383" s="15" t="inlineStr">
        <is>
          <t>IDR</t>
        </is>
      </c>
      <c r="H383" s="364" t="n">
        <v>1</v>
      </c>
      <c r="I383" s="61" t="n"/>
      <c r="J383" s="362" t="n">
        <v>190430</v>
      </c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A384" s="354" t="n"/>
      <c r="B384" s="102" t="n">
        <v>45500</v>
      </c>
      <c r="C384" s="15" t="n">
        <v>13</v>
      </c>
      <c r="D384" s="18" t="inlineStr">
        <is>
          <t>Tol Prabu - PLM + Fuel</t>
        </is>
      </c>
      <c r="E384" s="18" t="n"/>
      <c r="F384" s="368" t="n">
        <v>262000</v>
      </c>
      <c r="G384" s="15" t="inlineStr">
        <is>
          <t>IDR</t>
        </is>
      </c>
      <c r="H384" s="364" t="n">
        <v>1</v>
      </c>
      <c r="I384" s="61" t="n"/>
      <c r="J384" s="362" t="n">
        <v>262000</v>
      </c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A385" s="354" t="n"/>
      <c r="B385" s="102" t="n">
        <v>45500</v>
      </c>
      <c r="C385" s="15" t="n">
        <v>14</v>
      </c>
      <c r="D385" s="18" t="inlineStr">
        <is>
          <t>Tol + Taxi From Airport Jakarta</t>
        </is>
      </c>
      <c r="E385" s="18" t="n"/>
      <c r="F385" s="368" t="n">
        <v>235000</v>
      </c>
      <c r="G385" s="15" t="inlineStr">
        <is>
          <t>IDR</t>
        </is>
      </c>
      <c r="H385" s="364" t="n">
        <v>1</v>
      </c>
      <c r="I385" s="61" t="n"/>
      <c r="J385" s="362" t="n">
        <v>235000</v>
      </c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A386" s="354" t="n"/>
      <c r="B386" s="102" t="n">
        <v>45500</v>
      </c>
      <c r="C386" s="15" t="n">
        <v>15</v>
      </c>
      <c r="D386" s="18" t="inlineStr">
        <is>
          <t>Car rental 21 - 27 Jul 2024</t>
        </is>
      </c>
      <c r="E386" s="18" t="n"/>
      <c r="F386" s="368" t="n">
        <v>3500000</v>
      </c>
      <c r="G386" s="15" t="inlineStr">
        <is>
          <t>IDR</t>
        </is>
      </c>
      <c r="H386" s="364" t="n">
        <v>1</v>
      </c>
      <c r="I386" s="61" t="n"/>
      <c r="J386" s="362" t="n">
        <v>3500000</v>
      </c>
      <c r="K386" s="44" t="n"/>
      <c r="L386" s="44" t="n"/>
      <c r="M386" s="61" t="n"/>
      <c r="N386" s="44" t="n"/>
      <c r="O386" s="44" t="n"/>
      <c r="P386" s="44" t="n"/>
      <c r="Q386" s="44" t="n"/>
    </row>
    <row r="387" ht="15.5" customHeight="1" s="297">
      <c r="A387" s="354" t="n"/>
      <c r="B387" s="102" t="n">
        <v>45494</v>
      </c>
      <c r="C387" s="15" t="n">
        <v>16</v>
      </c>
      <c r="D387" s="18" t="inlineStr">
        <is>
          <t>Jakarta - Palembang</t>
        </is>
      </c>
      <c r="E387" s="18" t="n"/>
      <c r="F387" s="368" t="n">
        <v>400000</v>
      </c>
      <c r="G387" s="15" t="inlineStr">
        <is>
          <t>IDR</t>
        </is>
      </c>
      <c r="H387" s="364" t="n">
        <v>1</v>
      </c>
      <c r="I387" s="61" t="n"/>
      <c r="J387" s="362" t="n">
        <v>400000</v>
      </c>
      <c r="K387" s="44" t="n"/>
      <c r="L387" s="44" t="n"/>
      <c r="M387" s="61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8" t="n">
        <v>600000</v>
      </c>
      <c r="G393" s="15" t="inlineStr">
        <is>
          <t>IDR</t>
        </is>
      </c>
      <c r="H393" s="364" t="n">
        <v>1</v>
      </c>
      <c r="I393" s="62" t="n"/>
      <c r="J393" s="362" t="n">
        <v>600000</v>
      </c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A394" s="354" t="n"/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8" t="n">
        <v>200000</v>
      </c>
      <c r="G394" s="15" t="inlineStr">
        <is>
          <t>IDR</t>
        </is>
      </c>
      <c r="H394" s="364" t="n">
        <v>1</v>
      </c>
      <c r="I394" s="62" t="n"/>
      <c r="J394" s="362" t="n">
        <v>200000</v>
      </c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A395" s="354" t="n"/>
      <c r="B395" s="102" t="n">
        <v>45501</v>
      </c>
      <c r="C395" s="15" t="n">
        <v>3</v>
      </c>
      <c r="D395" s="63" t="inlineStr">
        <is>
          <t>Uang makan (21 - 27 Juli 2024)</t>
        </is>
      </c>
      <c r="E395" s="63" t="n"/>
      <c r="F395" s="368" t="n">
        <v>1050000</v>
      </c>
      <c r="G395" s="15" t="inlineStr">
        <is>
          <t>IDR</t>
        </is>
      </c>
      <c r="H395" s="364" t="n">
        <v>1</v>
      </c>
      <c r="I395" s="62" t="n"/>
      <c r="J395" s="362" t="n">
        <v>1050000</v>
      </c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A396" s="354" t="n"/>
      <c r="B396" s="102" t="n">
        <v>45501</v>
      </c>
      <c r="C396" s="15" t="n">
        <v>4</v>
      </c>
      <c r="D396" s="63" t="inlineStr">
        <is>
          <t>Laundry (21 - 27 Juli 2024)</t>
        </is>
      </c>
      <c r="E396" s="63" t="n"/>
      <c r="F396" s="368" t="n">
        <v>350000</v>
      </c>
      <c r="G396" s="15" t="inlineStr">
        <is>
          <t>IDR</t>
        </is>
      </c>
      <c r="H396" s="364" t="n">
        <v>1</v>
      </c>
      <c r="I396" s="62" t="n"/>
      <c r="J396" s="362" t="n">
        <v>350000</v>
      </c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297">
      <c r="A397" s="354" t="n"/>
      <c r="B397" s="102" t="n">
        <v>45463</v>
      </c>
      <c r="C397" s="15" t="n">
        <v>5</v>
      </c>
      <c r="D397" s="63" t="inlineStr">
        <is>
          <t>Tunjangan LapanganJRK-163 (16 - 19 Juni 2024) pending job</t>
        </is>
      </c>
      <c r="E397" s="63" t="n"/>
      <c r="F397" s="368" t="n">
        <v>1630000</v>
      </c>
      <c r="G397" s="15" t="inlineStr">
        <is>
          <t>$</t>
        </is>
      </c>
      <c r="H397" s="364" t="n">
        <v>16300</v>
      </c>
      <c r="I397" s="62" t="n"/>
      <c r="J397" s="362" t="n">
        <v>1630000</v>
      </c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A398" s="354" t="n"/>
      <c r="B398" s="102" t="n">
        <v>45501</v>
      </c>
      <c r="C398" s="15" t="n">
        <v>6</v>
      </c>
      <c r="D398" s="63" t="inlineStr">
        <is>
          <t>Tunjangan Lapangan JRK-163 (21 - 27 Juli 2024)</t>
        </is>
      </c>
      <c r="E398" s="63" t="n"/>
      <c r="F398" s="368" t="n">
        <v>2852500</v>
      </c>
      <c r="G398" s="15" t="inlineStr">
        <is>
          <t>$</t>
        </is>
      </c>
      <c r="H398" s="364" t="n">
        <v>16300</v>
      </c>
      <c r="I398" s="62" t="n"/>
      <c r="J398" s="362" t="n">
        <v>2852500</v>
      </c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2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5" t="inlineStr">
        <is>
          <t>Allowance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60" t="n">
        <v>16100000</v>
      </c>
      <c r="G402" s="91" t="inlineStr">
        <is>
          <t>USD</t>
        </is>
      </c>
      <c r="H402" s="361" t="n">
        <v>16100</v>
      </c>
      <c r="I402" s="62" t="n"/>
      <c r="J402" s="362" t="n">
        <v>16100000</v>
      </c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A403" s="354" t="n"/>
      <c r="B403" s="292" t="n"/>
      <c r="C403" s="91" t="n"/>
      <c r="D403" s="365" t="inlineStr">
        <is>
          <t>Laundry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A404" s="354" t="n"/>
      <c r="B404" s="292" t="n">
        <v>45511</v>
      </c>
      <c r="C404" s="91" t="n">
        <v>2</v>
      </c>
      <c r="D404" s="95" t="inlineStr">
        <is>
          <t>Laundry 10 days 1 Persons @ 50K IDR/day</t>
        </is>
      </c>
      <c r="E404" s="95" t="n"/>
      <c r="F404" s="360" t="n">
        <v>500000</v>
      </c>
      <c r="G404" s="91" t="inlineStr">
        <is>
          <t>IDR</t>
        </is>
      </c>
      <c r="H404" s="361" t="n">
        <v>1</v>
      </c>
      <c r="I404" s="62" t="n"/>
      <c r="J404" s="362" t="n">
        <v>500000</v>
      </c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A405" s="354" t="n"/>
      <c r="B405" s="292" t="n"/>
      <c r="C405" s="91" t="n"/>
      <c r="D405" s="365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A406" s="354" t="n"/>
      <c r="B406" s="292" t="n">
        <v>45516</v>
      </c>
      <c r="C406" s="91" t="n">
        <v>3</v>
      </c>
      <c r="D406" s="95" t="inlineStr">
        <is>
          <t>Pelican Long Case 1770</t>
        </is>
      </c>
      <c r="E406" s="95" t="n"/>
      <c r="F406" s="360" t="n">
        <v>15166600</v>
      </c>
      <c r="G406" s="91" t="inlineStr">
        <is>
          <t>IDR</t>
        </is>
      </c>
      <c r="H406" s="361" t="n">
        <v>1</v>
      </c>
      <c r="I406" s="62" t="n"/>
      <c r="J406" s="362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t="15.5" customHeight="1" s="297">
      <c r="A407" s="354" t="n"/>
      <c r="B407" s="292" t="n"/>
      <c r="C407" s="91" t="n"/>
      <c r="D407" s="365" t="inlineStr">
        <is>
          <t>Meal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A408" s="354" t="n"/>
      <c r="B408" s="292" t="n">
        <v>45511</v>
      </c>
      <c r="C408" s="91" t="n">
        <v>4</v>
      </c>
      <c r="D408" s="95" t="inlineStr">
        <is>
          <t>Meals 10 days 1 Persons @ 150K IDR/day</t>
        </is>
      </c>
      <c r="E408" s="95" t="n"/>
      <c r="F408" s="360" t="n">
        <v>1500000</v>
      </c>
      <c r="G408" s="91" t="inlineStr">
        <is>
          <t>IDR</t>
        </is>
      </c>
      <c r="H408" s="361" t="n">
        <v>1</v>
      </c>
      <c r="I408" s="62" t="n"/>
      <c r="J408" s="362" t="n">
        <v>1500000</v>
      </c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7" t="inlineStr">
        <is>
          <t>Accommodation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Hotel 3 Aug - 6 Aug 2024 (2 rooms)</t>
        </is>
      </c>
      <c r="E411" s="18" t="n"/>
      <c r="F411" s="363" t="n">
        <v>1591200</v>
      </c>
      <c r="G411" s="15" t="inlineStr">
        <is>
          <t>IDR</t>
        </is>
      </c>
      <c r="H411" s="364" t="n">
        <v>1</v>
      </c>
      <c r="I411" s="61" t="n"/>
      <c r="J411" s="362" t="n">
        <v>1591200</v>
      </c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A412" s="354" t="n"/>
      <c r="B412" s="102" t="n">
        <v>45509</v>
      </c>
      <c r="C412" s="15" t="n">
        <v>2</v>
      </c>
      <c r="D412" s="18" t="inlineStr">
        <is>
          <t>Hotel 6 Aug - 7 Aug 2024 (2 rooms)</t>
        </is>
      </c>
      <c r="E412" s="18" t="n"/>
      <c r="F412" s="363" t="n">
        <v>795600</v>
      </c>
      <c r="G412" s="15" t="inlineStr">
        <is>
          <t>IDR</t>
        </is>
      </c>
      <c r="H412" s="364" t="n">
        <v>1</v>
      </c>
      <c r="I412" s="61" t="n"/>
      <c r="J412" s="362" t="n">
        <v>795600</v>
      </c>
      <c r="K412" s="44" t="n"/>
      <c r="L412" s="44" t="n"/>
      <c r="M412" s="61" t="n"/>
      <c r="N412" s="61" t="n"/>
      <c r="O412" s="44" t="n"/>
      <c r="P412" s="44" t="n"/>
      <c r="Q412" s="44" t="n"/>
    </row>
    <row r="413" ht="15.5" customHeight="1" s="297">
      <c r="A413" s="354" t="n"/>
      <c r="B413" s="14" t="n"/>
      <c r="C413" s="15" t="n"/>
      <c r="D413" s="367" t="inlineStr">
        <is>
          <t>Allowance</t>
        </is>
      </c>
      <c r="E413" s="106" t="n"/>
      <c r="F413" s="96" t="n"/>
      <c r="G413" s="15" t="n"/>
      <c r="H413" s="15" t="n"/>
      <c r="I413" s="44" t="n"/>
      <c r="J413" s="44" t="n"/>
      <c r="K413" s="44" t="n"/>
      <c r="L413" s="44" t="n"/>
      <c r="M413" s="62" t="n"/>
      <c r="N413" s="44" t="n"/>
      <c r="O413" s="44" t="n"/>
      <c r="P413" s="44" t="n"/>
      <c r="Q413" s="44" t="n"/>
    </row>
    <row r="414" ht="15.5" customHeight="1" s="297">
      <c r="A414" s="354" t="n"/>
      <c r="B414" s="102" t="n">
        <v>45511</v>
      </c>
      <c r="C414" s="15" t="n">
        <v>3</v>
      </c>
      <c r="D414" s="18" t="inlineStr">
        <is>
          <t>Uang Makan (3 - 7 Aug 2024)</t>
        </is>
      </c>
      <c r="E414" s="18" t="n"/>
      <c r="F414" s="363" t="n">
        <v>750000</v>
      </c>
      <c r="G414" s="15" t="inlineStr">
        <is>
          <t>IDR</t>
        </is>
      </c>
      <c r="H414" s="364" t="n">
        <v>1</v>
      </c>
      <c r="I414" s="61" t="n"/>
      <c r="J414" s="362" t="n">
        <v>750000</v>
      </c>
      <c r="K414" s="44" t="n"/>
      <c r="L414" s="44" t="n"/>
      <c r="M414" s="61" t="n"/>
      <c r="N414" s="61" t="n"/>
      <c r="O414" s="44" t="n"/>
      <c r="P414" s="44" t="n"/>
      <c r="Q414" s="44" t="n"/>
    </row>
    <row r="415" ht="15.5" customHeight="1" s="297">
      <c r="A415" s="354" t="n"/>
      <c r="B415" s="102" t="n">
        <v>45511</v>
      </c>
      <c r="C415" s="15" t="n">
        <v>4</v>
      </c>
      <c r="D415" s="18" t="inlineStr">
        <is>
          <t>Tunjangan LapanganRBG-3B PT. TIS (3-7 Aug 2024)</t>
        </is>
      </c>
      <c r="E415" s="18" t="n"/>
      <c r="F415" s="363" t="n">
        <v>500</v>
      </c>
      <c r="G415" s="15" t="inlineStr">
        <is>
          <t>IDR</t>
        </is>
      </c>
      <c r="H415" s="364" t="n">
        <v>15900</v>
      </c>
      <c r="I415" s="61" t="n"/>
      <c r="J415" s="362" t="n">
        <v>500</v>
      </c>
      <c r="K415" s="44" t="n"/>
      <c r="L415" s="44" t="n"/>
      <c r="M415" s="61" t="n"/>
      <c r="N415" s="61" t="n"/>
      <c r="O415" s="44" t="n"/>
      <c r="P415" s="44" t="n"/>
      <c r="Q415" s="44" t="n"/>
    </row>
    <row r="416" ht="15.5" customHeight="1" s="297">
      <c r="A416" s="354" t="n"/>
      <c r="B416" s="14" t="n"/>
      <c r="C416" s="15" t="n"/>
      <c r="D416" s="367" t="inlineStr">
        <is>
          <t>Laundry</t>
        </is>
      </c>
      <c r="E416" s="106" t="n"/>
      <c r="F416" s="96" t="n"/>
      <c r="G416" s="15" t="n"/>
      <c r="H416" s="15" t="n"/>
      <c r="I416" s="44" t="n"/>
      <c r="J416" s="44" t="n"/>
      <c r="K416" s="44" t="n"/>
      <c r="L416" s="44" t="n"/>
      <c r="M416" s="62" t="n"/>
      <c r="N416" s="44" t="n"/>
      <c r="O416" s="44" t="n"/>
      <c r="P416" s="44" t="n"/>
      <c r="Q416" s="44" t="n"/>
    </row>
    <row r="417" ht="15.5" customHeight="1" s="297">
      <c r="A417" s="354" t="n"/>
      <c r="B417" s="102" t="n">
        <v>45511</v>
      </c>
      <c r="C417" s="15" t="n">
        <v>5</v>
      </c>
      <c r="D417" s="18" t="inlineStr">
        <is>
          <t>Laundry (3 - 7 Aug 2024)</t>
        </is>
      </c>
      <c r="E417" s="18" t="n"/>
      <c r="F417" s="363" t="n">
        <v>250000</v>
      </c>
      <c r="G417" s="15" t="inlineStr">
        <is>
          <t>IDR</t>
        </is>
      </c>
      <c r="H417" s="364" t="n">
        <v>1</v>
      </c>
      <c r="I417" s="61" t="n"/>
      <c r="J417" s="362" t="n">
        <v>250000</v>
      </c>
      <c r="K417" s="44" t="n"/>
      <c r="L417" s="44" t="n"/>
      <c r="M417" s="61" t="n"/>
      <c r="N417" s="61" t="n"/>
      <c r="O417" s="44" t="n"/>
      <c r="P417" s="44" t="n"/>
      <c r="Q417" s="44" t="n"/>
    </row>
    <row r="418" ht="15.5" customHeight="1" s="297">
      <c r="A418" s="354" t="n"/>
      <c r="B418" s="14" t="n"/>
      <c r="C418" s="15" t="n"/>
      <c r="D418" s="367" t="inlineStr">
        <is>
          <t>Transportation</t>
        </is>
      </c>
      <c r="E418" s="106" t="n"/>
      <c r="F418" s="96" t="n"/>
      <c r="G418" s="15" t="n"/>
      <c r="H418" s="15" t="n"/>
      <c r="I418" s="44" t="n"/>
      <c r="J418" s="44" t="n"/>
      <c r="K418" s="44" t="n"/>
      <c r="L418" s="44" t="n"/>
      <c r="M418" s="62" t="n"/>
      <c r="N418" s="44" t="n"/>
      <c r="O418" s="44" t="n"/>
      <c r="P418" s="44" t="n"/>
      <c r="Q418" s="44" t="n"/>
    </row>
    <row r="419" ht="15.5" customHeight="1" s="297">
      <c r="A419" s="354" t="n"/>
      <c r="B419" s="102" t="n">
        <v>45507</v>
      </c>
      <c r="C419" s="15" t="n">
        <v>6</v>
      </c>
      <c r="D419" s="18" t="inlineStr">
        <is>
          <t>Jakarta - Semarang</t>
        </is>
      </c>
      <c r="E419" s="18" t="n"/>
      <c r="F419" s="363" t="n">
        <v>673500</v>
      </c>
      <c r="G419" s="15" t="inlineStr">
        <is>
          <t>IDR</t>
        </is>
      </c>
      <c r="H419" s="364" t="n">
        <v>1</v>
      </c>
      <c r="I419" s="61" t="n"/>
      <c r="J419" s="362" t="n">
        <v>673500</v>
      </c>
      <c r="K419" s="44" t="n"/>
      <c r="L419" s="44" t="n"/>
      <c r="M419" s="61" t="n"/>
      <c r="N419" s="61" t="n"/>
      <c r="O419" s="44" t="n"/>
      <c r="P419" s="44" t="n"/>
      <c r="Q419" s="44" t="n"/>
    </row>
    <row r="420" ht="15.5" customHeight="1" s="297">
      <c r="A420" s="354" t="n"/>
      <c r="B420" s="102" t="n">
        <v>45507</v>
      </c>
      <c r="C420" s="15" t="n">
        <v>7</v>
      </c>
      <c r="D420" s="18" t="inlineStr">
        <is>
          <t>Taxi+Tol Serpong - Gambir</t>
        </is>
      </c>
      <c r="E420" s="18" t="n"/>
      <c r="F420" s="363" t="n">
        <v>154000</v>
      </c>
      <c r="G420" s="15" t="inlineStr">
        <is>
          <t>IDR</t>
        </is>
      </c>
      <c r="H420" s="364" t="n">
        <v>1</v>
      </c>
      <c r="I420" s="61" t="n"/>
      <c r="J420" s="362" t="n">
        <v>154000</v>
      </c>
      <c r="K420" s="44" t="n"/>
      <c r="L420" s="44" t="n"/>
      <c r="M420" s="61" t="n"/>
      <c r="N420" s="61" t="n"/>
      <c r="O420" s="44" t="n"/>
      <c r="P420" s="44" t="n"/>
      <c r="Q420" s="44" t="n"/>
    </row>
    <row r="421" ht="15.5" customHeight="1" s="297">
      <c r="A421" s="354" t="n"/>
      <c r="B421" s="102" t="n">
        <v>45507</v>
      </c>
      <c r="C421" s="15" t="n">
        <v>8</v>
      </c>
      <c r="D421" s="18" t="inlineStr">
        <is>
          <t>Gocar St. Tawang - PT. TIS</t>
        </is>
      </c>
      <c r="E421" s="18" t="n"/>
      <c r="F421" s="363" t="n">
        <v>129000</v>
      </c>
      <c r="G421" s="15" t="inlineStr">
        <is>
          <t>IDR</t>
        </is>
      </c>
      <c r="H421" s="364" t="n">
        <v>1</v>
      </c>
      <c r="I421" s="61" t="n"/>
      <c r="J421" s="362" t="n">
        <v>129000</v>
      </c>
      <c r="K421" s="44" t="n"/>
      <c r="L421" s="44" t="n"/>
      <c r="M421" s="61" t="n"/>
      <c r="N421" s="61" t="n"/>
      <c r="O421" s="44" t="n"/>
      <c r="P421" s="44" t="n"/>
      <c r="Q421" s="44" t="n"/>
    </row>
    <row r="422" ht="15.5" customHeight="1" s="297">
      <c r="A422" s="354" t="n"/>
      <c r="B422" s="102" t="n">
        <v>45511</v>
      </c>
      <c r="C422" s="15" t="n">
        <v>9</v>
      </c>
      <c r="D422" s="18" t="inlineStr">
        <is>
          <t>Gocar Hotel to Tawang</t>
        </is>
      </c>
      <c r="E422" s="18" t="n"/>
      <c r="F422" s="363" t="n">
        <v>45000</v>
      </c>
      <c r="G422" s="15" t="inlineStr">
        <is>
          <t>IDR</t>
        </is>
      </c>
      <c r="H422" s="364" t="n">
        <v>1</v>
      </c>
      <c r="I422" s="61" t="n"/>
      <c r="J422" s="362" t="n">
        <v>45000</v>
      </c>
      <c r="K422" s="44" t="n"/>
      <c r="L422" s="44" t="n"/>
      <c r="M422" s="61" t="n"/>
      <c r="N422" s="61" t="n"/>
      <c r="O422" s="44" t="n"/>
      <c r="P422" s="44" t="n"/>
      <c r="Q422" s="44" t="n"/>
    </row>
    <row r="423" hidden="1" ht="15.5" customHeight="1" s="297">
      <c r="B423" s="102" t="n"/>
      <c r="C423" s="15" t="n"/>
      <c r="D423" s="108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7" t="inlineStr">
        <is>
          <t>Logistic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45497</v>
      </c>
      <c r="C427" s="15" t="n">
        <v>1</v>
      </c>
      <c r="D427" s="18" t="inlineStr">
        <is>
          <t>Buy Tang Bnegkok (Tekiro)</t>
        </is>
      </c>
      <c r="E427" s="18" t="n"/>
      <c r="F427" s="368" t="n">
        <v>75000</v>
      </c>
      <c r="G427" s="15" t="inlineStr">
        <is>
          <t>IDR</t>
        </is>
      </c>
      <c r="H427" s="364" t="n">
        <v>1</v>
      </c>
      <c r="I427" s="44" t="n"/>
      <c r="J427" s="44" t="n"/>
      <c r="K427" s="44" t="n"/>
      <c r="L427" s="44" t="n"/>
      <c r="M427" s="61" t="n"/>
      <c r="N427" s="362" t="n">
        <v>75000</v>
      </c>
      <c r="O427" s="44" t="n"/>
      <c r="P427" s="62" t="n"/>
      <c r="Q427" s="44" t="n"/>
    </row>
    <row r="428" ht="15.5" customHeight="1" s="297">
      <c r="A428" s="354" t="n"/>
      <c r="B428" s="14" t="n">
        <v>45498</v>
      </c>
      <c r="C428" s="15" t="n">
        <v>2</v>
      </c>
      <c r="D428" s="18" t="inlineStr">
        <is>
          <t>Buy Hose 1/4"</t>
        </is>
      </c>
      <c r="E428" s="18" t="n"/>
      <c r="F428" s="368" t="n">
        <v>133000</v>
      </c>
      <c r="G428" s="15" t="inlineStr">
        <is>
          <t>IDR</t>
        </is>
      </c>
      <c r="H428" s="364" t="n">
        <v>1</v>
      </c>
      <c r="I428" s="44" t="n"/>
      <c r="J428" s="44" t="n"/>
      <c r="K428" s="44" t="n"/>
      <c r="L428" s="44" t="n"/>
      <c r="M428" s="61" t="n"/>
      <c r="N428" s="362" t="n">
        <v>133000</v>
      </c>
      <c r="O428" s="44" t="n"/>
      <c r="P428" s="62" t="n"/>
      <c r="Q428" s="44" t="n"/>
    </row>
    <row r="429" ht="15.5" customHeight="1" s="297">
      <c r="A429" s="354" t="n"/>
      <c r="B429" s="14" t="n">
        <v>45498</v>
      </c>
      <c r="C429" s="15" t="n">
        <v>3</v>
      </c>
      <c r="D429" s="18" t="inlineStr">
        <is>
          <t>Buy Needle Neple</t>
        </is>
      </c>
      <c r="E429" s="18" t="n"/>
      <c r="F429" s="368" t="n">
        <v>700000</v>
      </c>
      <c r="G429" s="15" t="inlineStr">
        <is>
          <t>IDR</t>
        </is>
      </c>
      <c r="H429" s="364" t="n">
        <v>1</v>
      </c>
      <c r="I429" s="44" t="n"/>
      <c r="J429" s="44" t="n"/>
      <c r="K429" s="44" t="n"/>
      <c r="L429" s="44" t="n"/>
      <c r="M429" s="61" t="n"/>
      <c r="N429" s="362" t="n">
        <v>700000</v>
      </c>
      <c r="O429" s="44" t="n"/>
      <c r="P429" s="62" t="n"/>
      <c r="Q429" s="44" t="n"/>
    </row>
    <row r="430" ht="15.5" customHeight="1" s="297">
      <c r="A430" s="354" t="n"/>
      <c r="B430" s="14" t="n">
        <v>45499</v>
      </c>
      <c r="C430" s="15" t="n">
        <v>4</v>
      </c>
      <c r="D430" s="18" t="inlineStr">
        <is>
          <t>buy Adapter</t>
        </is>
      </c>
      <c r="E430" s="18" t="n"/>
      <c r="F430" s="368" t="n">
        <v>20000</v>
      </c>
      <c r="G430" s="15" t="inlineStr">
        <is>
          <t>IDR</t>
        </is>
      </c>
      <c r="H430" s="364" t="n">
        <v>1</v>
      </c>
      <c r="I430" s="44" t="n"/>
      <c r="J430" s="44" t="n"/>
      <c r="K430" s="44" t="n"/>
      <c r="L430" s="44" t="n"/>
      <c r="M430" s="61" t="n"/>
      <c r="N430" s="362" t="n">
        <v>20000</v>
      </c>
      <c r="O430" s="44" t="n"/>
      <c r="P430" s="62" t="n"/>
      <c r="Q430" s="44" t="n"/>
    </row>
    <row r="431" ht="15.5" customHeight="1" s="297">
      <c r="A431" s="354" t="n"/>
      <c r="B431" s="14" t="n">
        <v>45500</v>
      </c>
      <c r="C431" s="15" t="n">
        <v>5</v>
      </c>
      <c r="D431" s="18" t="inlineStr">
        <is>
          <t>Buy Hose 1/4"</t>
        </is>
      </c>
      <c r="E431" s="18" t="n"/>
      <c r="F431" s="368" t="n">
        <v>155000</v>
      </c>
      <c r="G431" s="15" t="inlineStr">
        <is>
          <t>IDR</t>
        </is>
      </c>
      <c r="H431" s="364" t="n">
        <v>1</v>
      </c>
      <c r="I431" s="44" t="n"/>
      <c r="J431" s="44" t="n"/>
      <c r="K431" s="44" t="n"/>
      <c r="L431" s="44" t="n"/>
      <c r="M431" s="61" t="n"/>
      <c r="N431" s="362" t="n">
        <v>155000</v>
      </c>
      <c r="O431" s="44" t="n"/>
      <c r="P431" s="62" t="n"/>
      <c r="Q431" s="44" t="n"/>
    </row>
    <row r="432" ht="15.5" customHeight="1" s="297">
      <c r="A432" s="354" t="n"/>
      <c r="B432" s="14" t="n">
        <v>45500</v>
      </c>
      <c r="C432" s="15" t="n">
        <v>6</v>
      </c>
      <c r="D432" s="18" t="inlineStr">
        <is>
          <t>Buy Needle Neple</t>
        </is>
      </c>
      <c r="E432" s="18" t="n"/>
      <c r="F432" s="368" t="n">
        <v>660000</v>
      </c>
      <c r="G432" s="15" t="inlineStr">
        <is>
          <t>IDR</t>
        </is>
      </c>
      <c r="H432" s="364" t="n">
        <v>1</v>
      </c>
      <c r="I432" s="44" t="n"/>
      <c r="J432" s="44" t="n"/>
      <c r="K432" s="44" t="n"/>
      <c r="L432" s="44" t="n"/>
      <c r="M432" s="61" t="n"/>
      <c r="N432" s="362" t="n">
        <v>660000</v>
      </c>
      <c r="O432" s="44" t="n"/>
      <c r="P432" s="62" t="n"/>
      <c r="Q432" s="44" t="n"/>
    </row>
    <row r="433" ht="15.5" customHeight="1" s="297">
      <c r="A433" s="354" t="n"/>
      <c r="B433" s="14" t="n">
        <v>45500</v>
      </c>
      <c r="C433" s="15" t="n">
        <v>7</v>
      </c>
      <c r="D433" s="18" t="inlineStr">
        <is>
          <t>Buy Connection 1/4"</t>
        </is>
      </c>
      <c r="E433" s="18" t="n"/>
      <c r="F433" s="368" t="n">
        <v>1760000</v>
      </c>
      <c r="G433" s="15" t="inlineStr">
        <is>
          <t>IDR</t>
        </is>
      </c>
      <c r="H433" s="364" t="n">
        <v>1</v>
      </c>
      <c r="I433" s="44" t="n"/>
      <c r="J433" s="44" t="n"/>
      <c r="K433" s="44" t="n"/>
      <c r="L433" s="44" t="n"/>
      <c r="M433" s="61" t="n"/>
      <c r="N433" s="362" t="n">
        <v>1760000</v>
      </c>
      <c r="O433" s="44" t="n"/>
      <c r="P433" s="62" t="n"/>
      <c r="Q433" s="44" t="n"/>
    </row>
    <row r="434" ht="15.5" customHeight="1" s="297">
      <c r="A434" s="354" t="n"/>
      <c r="B434" s="14" t="n">
        <v>45501</v>
      </c>
      <c r="C434" s="15" t="n">
        <v>8</v>
      </c>
      <c r="D434" s="18" t="inlineStr">
        <is>
          <t>Buy Case for tools box dan hydraulic pump</t>
        </is>
      </c>
      <c r="E434" s="18" t="n"/>
      <c r="F434" s="368" t="n">
        <v>2636800</v>
      </c>
      <c r="G434" s="15" t="inlineStr">
        <is>
          <t>IDR</t>
        </is>
      </c>
      <c r="H434" s="364" t="n">
        <v>1</v>
      </c>
      <c r="I434" s="44" t="n"/>
      <c r="J434" s="44" t="n"/>
      <c r="K434" s="44" t="n"/>
      <c r="L434" s="44" t="n"/>
      <c r="M434" s="61" t="n"/>
      <c r="N434" s="362" t="n">
        <v>2636800</v>
      </c>
      <c r="O434" s="44" t="n"/>
      <c r="P434" s="62" t="n"/>
      <c r="Q434" s="44" t="n"/>
    </row>
    <row r="435" ht="15.5" customHeight="1" s="297">
      <c r="A435" s="354" t="n"/>
      <c r="B435" s="14" t="n"/>
      <c r="C435" s="15" t="n"/>
      <c r="D435" s="367" t="inlineStr">
        <is>
          <t>Meal</t>
        </is>
      </c>
      <c r="E435" s="44" t="n"/>
      <c r="F435" s="21" t="n"/>
      <c r="G435" s="15" t="n"/>
      <c r="H435" s="15" t="n"/>
      <c r="I435" s="44" t="n"/>
      <c r="J435" s="44" t="n"/>
      <c r="K435" s="44" t="n"/>
      <c r="L435" s="44" t="n"/>
      <c r="M435" s="61" t="n"/>
      <c r="N435" s="44" t="n"/>
      <c r="O435" s="44" t="n"/>
      <c r="P435" s="44" t="n"/>
      <c r="Q435" s="44" t="n"/>
    </row>
    <row r="436" ht="15.5" customHeight="1" s="297">
      <c r="A436" s="354" t="n"/>
      <c r="B436" s="14" t="n">
        <v>45476</v>
      </c>
      <c r="C436" s="15" t="n">
        <v>9</v>
      </c>
      <c r="D436" s="18" t="inlineStr">
        <is>
          <t>Coffe drink visit to MEPI Jakarta ( Bondan)</t>
        </is>
      </c>
      <c r="E436" s="18" t="n"/>
      <c r="F436" s="368" t="n">
        <v>144100</v>
      </c>
      <c r="G436" s="15" t="inlineStr">
        <is>
          <t>IDR</t>
        </is>
      </c>
      <c r="H436" s="364" t="n">
        <v>1</v>
      </c>
      <c r="I436" s="44" t="n"/>
      <c r="J436" s="362" t="n">
        <v>144100</v>
      </c>
      <c r="K436" s="44" t="n"/>
      <c r="L436" s="44" t="n"/>
      <c r="M436" s="61" t="n"/>
      <c r="N436" s="362" t="n"/>
      <c r="O436" s="44" t="n"/>
      <c r="P436" s="62" t="n"/>
      <c r="Q436" s="44" t="n"/>
    </row>
    <row r="437" ht="15.5" customHeight="1" s="297">
      <c r="A437" s="354" t="n"/>
      <c r="B437" s="14" t="n">
        <v>45477</v>
      </c>
      <c r="C437" s="15" t="n">
        <v>10</v>
      </c>
      <c r="D437" s="18" t="inlineStr">
        <is>
          <t>Meal lunch when inspect Sample tool</t>
        </is>
      </c>
      <c r="E437" s="18" t="n"/>
      <c r="F437" s="368" t="n">
        <v>157000</v>
      </c>
      <c r="G437" s="15" t="inlineStr">
        <is>
          <t>IDR</t>
        </is>
      </c>
      <c r="H437" s="364" t="n">
        <v>1</v>
      </c>
      <c r="I437" s="44" t="n"/>
      <c r="J437" s="362" t="n">
        <v>157000</v>
      </c>
      <c r="K437" s="44" t="n"/>
      <c r="L437" s="44" t="n"/>
      <c r="M437" s="61" t="n"/>
      <c r="N437" s="362" t="n"/>
      <c r="O437" s="44" t="n"/>
      <c r="P437" s="62" t="n"/>
      <c r="Q437" s="44" t="n"/>
    </row>
    <row r="438" ht="15.5" customHeight="1" s="297">
      <c r="A438" s="354" t="n"/>
      <c r="B438" s="14" t="n">
        <v>45484</v>
      </c>
      <c r="C438" s="15" t="n">
        <v>11</v>
      </c>
      <c r="D438" s="18" t="inlineStr">
        <is>
          <t>Meal lunch when visit to Lemigas (Sample Botol)</t>
        </is>
      </c>
      <c r="E438" s="18" t="n"/>
      <c r="F438" s="368" t="n">
        <v>81000</v>
      </c>
      <c r="G438" s="15" t="inlineStr">
        <is>
          <t>IDR</t>
        </is>
      </c>
      <c r="H438" s="364" t="n">
        <v>1</v>
      </c>
      <c r="I438" s="44" t="n"/>
      <c r="J438" s="362" t="n">
        <v>81000</v>
      </c>
      <c r="K438" s="44" t="n"/>
      <c r="L438" s="44" t="n"/>
      <c r="M438" s="61" t="n"/>
      <c r="N438" s="362" t="n"/>
      <c r="O438" s="44" t="n"/>
      <c r="P438" s="62" t="n"/>
      <c r="Q438" s="44" t="n"/>
    </row>
    <row r="439" ht="15.5" customHeight="1" s="297">
      <c r="A439" s="354" t="n"/>
      <c r="B439" s="14" t="n"/>
      <c r="C439" s="15" t="n"/>
      <c r="D439" s="367" t="inlineStr">
        <is>
          <t>Medical</t>
        </is>
      </c>
      <c r="E439" s="44" t="n"/>
      <c r="F439" s="21" t="n"/>
      <c r="G439" s="15" t="n"/>
      <c r="H439" s="15" t="n"/>
      <c r="I439" s="44" t="n"/>
      <c r="J439" s="44" t="n"/>
      <c r="K439" s="44" t="n"/>
      <c r="L439" s="44" t="n"/>
      <c r="M439" s="61" t="n"/>
      <c r="N439" s="44" t="n"/>
      <c r="O439" s="44" t="n"/>
      <c r="P439" s="44" t="n"/>
      <c r="Q439" s="44" t="n"/>
    </row>
    <row r="440" ht="15.5" customHeight="1" s="297">
      <c r="A440" s="354" t="n"/>
      <c r="B440" s="14" t="n">
        <v>45474</v>
      </c>
      <c r="C440" s="15" t="n">
        <v>12</v>
      </c>
      <c r="D440" s="18" t="inlineStr">
        <is>
          <t>Biaya MCU di RSPP</t>
        </is>
      </c>
      <c r="E440" s="18" t="n"/>
      <c r="F440" s="368" t="n">
        <v>5630000</v>
      </c>
      <c r="G440" s="15" t="inlineStr">
        <is>
          <t>IDR</t>
        </is>
      </c>
      <c r="H440" s="364" t="n">
        <v>1</v>
      </c>
      <c r="I440" s="44" t="n"/>
      <c r="J440" s="44" t="n"/>
      <c r="K440" s="44" t="n"/>
      <c r="L440" s="44" t="n"/>
      <c r="M440" s="61" t="n"/>
      <c r="N440" s="362" t="n"/>
      <c r="O440" s="44" t="n"/>
      <c r="P440" s="362" t="n">
        <v>5630000</v>
      </c>
      <c r="Q440" s="44" t="n"/>
    </row>
    <row r="441" ht="15.5" customHeight="1" s="297">
      <c r="A441" s="354" t="n"/>
      <c r="B441" s="14" t="n">
        <v>45476</v>
      </c>
      <c r="C441" s="15" t="n">
        <v>13</v>
      </c>
      <c r="D441" s="18" t="inlineStr">
        <is>
          <t>Biaya Konsul Dokter Jantung</t>
        </is>
      </c>
      <c r="E441" s="18" t="n"/>
      <c r="F441" s="368" t="n">
        <v>460000</v>
      </c>
      <c r="G441" s="15" t="inlineStr">
        <is>
          <t>IDR</t>
        </is>
      </c>
      <c r="H441" s="364" t="n">
        <v>1</v>
      </c>
      <c r="I441" s="44" t="n"/>
      <c r="J441" s="44" t="n"/>
      <c r="K441" s="44" t="n"/>
      <c r="L441" s="44" t="n"/>
      <c r="M441" s="61" t="n"/>
      <c r="N441" s="362" t="n"/>
      <c r="O441" s="44" t="n"/>
      <c r="P441" s="362" t="n">
        <v>460000</v>
      </c>
      <c r="Q441" s="44" t="n"/>
    </row>
    <row r="442" ht="15.5" customHeight="1" s="297">
      <c r="A442" s="354" t="n"/>
      <c r="B442" s="14" t="n">
        <v>45476</v>
      </c>
      <c r="C442" s="15" t="n">
        <v>14</v>
      </c>
      <c r="D442" s="18" t="inlineStr">
        <is>
          <t>Biaya Echo_ kardio non Invasif</t>
        </is>
      </c>
      <c r="E442" s="18" t="n"/>
      <c r="F442" s="368" t="n">
        <v>2108000</v>
      </c>
      <c r="G442" s="15" t="inlineStr">
        <is>
          <t>IDR</t>
        </is>
      </c>
      <c r="H442" s="364" t="n">
        <v>1</v>
      </c>
      <c r="I442" s="44" t="n"/>
      <c r="J442" s="44" t="n"/>
      <c r="K442" s="44" t="n"/>
      <c r="L442" s="44" t="n"/>
      <c r="M442" s="61" t="n"/>
      <c r="N442" s="362" t="n"/>
      <c r="O442" s="44" t="n"/>
      <c r="P442" s="362" t="n">
        <v>2108000</v>
      </c>
      <c r="Q442" s="44" t="n"/>
    </row>
    <row r="443" ht="15.5" customHeight="1" s="297">
      <c r="A443" s="354" t="n"/>
      <c r="B443" s="14" t="n">
        <v>45483</v>
      </c>
      <c r="C443" s="15" t="n">
        <v>15</v>
      </c>
      <c r="D443" s="18" t="inlineStr">
        <is>
          <t>Biaya Obat Candesartan</t>
        </is>
      </c>
      <c r="E443" s="18" t="n"/>
      <c r="F443" s="368" t="n">
        <v>149850</v>
      </c>
      <c r="G443" s="15" t="inlineStr">
        <is>
          <t>IDR</t>
        </is>
      </c>
      <c r="H443" s="364" t="n">
        <v>1</v>
      </c>
      <c r="I443" s="44" t="n"/>
      <c r="J443" s="44" t="n"/>
      <c r="K443" s="44" t="n"/>
      <c r="L443" s="44" t="n"/>
      <c r="M443" s="61" t="n"/>
      <c r="N443" s="362" t="n"/>
      <c r="O443" s="44" t="n"/>
      <c r="P443" s="362" t="n">
        <v>149850</v>
      </c>
      <c r="Q443" s="44" t="n"/>
    </row>
    <row r="444" ht="15.5" customHeight="1" s="297">
      <c r="A444" s="354" t="n"/>
      <c r="B444" s="14" t="n">
        <v>45482</v>
      </c>
      <c r="C444" s="15" t="n">
        <v>16</v>
      </c>
      <c r="D444" s="18" t="inlineStr">
        <is>
          <t>Fisioterapi 1st</t>
        </is>
      </c>
      <c r="E444" s="18" t="n"/>
      <c r="F444" s="368" t="n">
        <v>285000</v>
      </c>
      <c r="G444" s="15" t="inlineStr">
        <is>
          <t>IDR</t>
        </is>
      </c>
      <c r="H444" s="364" t="n">
        <v>1</v>
      </c>
      <c r="I444" s="44" t="n"/>
      <c r="J444" s="44" t="n"/>
      <c r="K444" s="44" t="n"/>
      <c r="L444" s="44" t="n"/>
      <c r="M444" s="61" t="n"/>
      <c r="N444" s="362" t="n"/>
      <c r="O444" s="44" t="n"/>
      <c r="P444" s="362" t="n">
        <v>285000</v>
      </c>
      <c r="Q444" s="44" t="n"/>
    </row>
    <row r="445" ht="15.5" customHeight="1" s="297">
      <c r="A445" s="354" t="n"/>
      <c r="B445" s="14" t="n">
        <v>45483</v>
      </c>
      <c r="C445" s="15" t="n">
        <v>17</v>
      </c>
      <c r="D445" s="18" t="inlineStr">
        <is>
          <t>Fisioterapi 2nd</t>
        </is>
      </c>
      <c r="E445" s="18" t="n"/>
      <c r="F445" s="368" t="n">
        <v>285000</v>
      </c>
      <c r="G445" s="15" t="inlineStr">
        <is>
          <t>IDR</t>
        </is>
      </c>
      <c r="H445" s="364" t="n">
        <v>1</v>
      </c>
      <c r="I445" s="44" t="n"/>
      <c r="J445" s="44" t="n"/>
      <c r="K445" s="44" t="n"/>
      <c r="L445" s="44" t="n"/>
      <c r="M445" s="61" t="n"/>
      <c r="N445" s="362" t="n"/>
      <c r="O445" s="44" t="n"/>
      <c r="P445" s="362" t="n">
        <v>285000</v>
      </c>
      <c r="Q445" s="44" t="n"/>
    </row>
    <row r="446" ht="15.5" customHeight="1" s="297">
      <c r="A446" s="354" t="n"/>
      <c r="B446" s="14" t="n">
        <v>45484</v>
      </c>
      <c r="C446" s="15" t="n">
        <v>18</v>
      </c>
      <c r="D446" s="18" t="inlineStr">
        <is>
          <t>Fisioterapi 3rd</t>
        </is>
      </c>
      <c r="E446" s="18" t="n"/>
      <c r="F446" s="368" t="n">
        <v>285000</v>
      </c>
      <c r="G446" s="15" t="inlineStr">
        <is>
          <t>IDR</t>
        </is>
      </c>
      <c r="H446" s="364" t="n">
        <v>1</v>
      </c>
      <c r="I446" s="44" t="n"/>
      <c r="J446" s="44" t="n"/>
      <c r="K446" s="44" t="n"/>
      <c r="L446" s="44" t="n"/>
      <c r="M446" s="61" t="n"/>
      <c r="N446" s="362" t="n"/>
      <c r="O446" s="44" t="n"/>
      <c r="P446" s="362" t="n">
        <v>285000</v>
      </c>
      <c r="Q446" s="44" t="n"/>
    </row>
    <row r="447" ht="15.5" customHeight="1" s="297">
      <c r="A447" s="354" t="n"/>
      <c r="B447" s="14" t="n"/>
      <c r="C447" s="15" t="n"/>
      <c r="D447" s="367" t="inlineStr">
        <is>
          <t>Transportation</t>
        </is>
      </c>
      <c r="E447" s="44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44" t="n"/>
      <c r="Q447" s="44" t="n"/>
    </row>
    <row r="448" ht="15.5" customHeight="1" s="297">
      <c r="A448" s="354" t="n"/>
      <c r="B448" s="14" t="n">
        <v>45484</v>
      </c>
      <c r="C448" s="15" t="n">
        <v>19</v>
      </c>
      <c r="D448" s="18" t="inlineStr">
        <is>
          <t>Fuel ( trip ambil tool Sampler and to Andara )</t>
        </is>
      </c>
      <c r="E448" s="18" t="n"/>
      <c r="F448" s="368" t="n">
        <v>164100</v>
      </c>
      <c r="G448" s="15" t="inlineStr">
        <is>
          <t>IDR</t>
        </is>
      </c>
      <c r="H448" s="364" t="n">
        <v>1</v>
      </c>
      <c r="I448" s="44" t="n"/>
      <c r="J448" s="362" t="n">
        <v>164100</v>
      </c>
      <c r="K448" s="44" t="n"/>
      <c r="L448" s="44" t="n"/>
      <c r="M448" s="61" t="n"/>
      <c r="N448" s="362" t="n"/>
      <c r="O448" s="44" t="n"/>
      <c r="P448" s="62" t="n"/>
      <c r="Q448" s="44" t="n"/>
    </row>
    <row r="449" ht="15.5" customHeight="1" s="297">
      <c r="A449" s="354" t="n"/>
      <c r="B449" s="14" t="n">
        <v>45484</v>
      </c>
      <c r="C449" s="15" t="n">
        <v>20</v>
      </c>
      <c r="D449" s="18" t="inlineStr">
        <is>
          <t>Fuel ( trip ke Lemigas and Workshop sampler)</t>
        </is>
      </c>
      <c r="E449" s="18" t="n"/>
      <c r="F449" s="368" t="n">
        <v>291000</v>
      </c>
      <c r="G449" s="15" t="inlineStr">
        <is>
          <t>IDR</t>
        </is>
      </c>
      <c r="H449" s="364" t="n">
        <v>1</v>
      </c>
      <c r="I449" s="44" t="n"/>
      <c r="J449" s="362" t="n">
        <v>291000</v>
      </c>
      <c r="K449" s="44" t="n"/>
      <c r="L449" s="44" t="n"/>
      <c r="M449" s="61" t="n"/>
      <c r="N449" s="362" t="n"/>
      <c r="O449" s="44" t="n"/>
      <c r="P449" s="62" t="n"/>
      <c r="Q449" s="44" t="n"/>
    </row>
    <row r="450" ht="15.5" customHeight="1" s="297">
      <c r="A450" s="354" t="n"/>
      <c r="B450" s="14" t="n">
        <v>45490</v>
      </c>
      <c r="C450" s="15" t="n">
        <v>21</v>
      </c>
      <c r="D450" s="18" t="inlineStr">
        <is>
          <t>Fuel ( trip ke Lemigas and Workshop sampler)</t>
        </is>
      </c>
      <c r="E450" s="18" t="n"/>
      <c r="F450" s="368" t="n">
        <v>177350</v>
      </c>
      <c r="G450" s="15" t="inlineStr">
        <is>
          <t>IDR</t>
        </is>
      </c>
      <c r="H450" s="364" t="n">
        <v>1</v>
      </c>
      <c r="I450" s="44" t="n"/>
      <c r="J450" s="362" t="n">
        <v>177350</v>
      </c>
      <c r="K450" s="44" t="n"/>
      <c r="L450" s="44" t="n"/>
      <c r="M450" s="61" t="n"/>
      <c r="N450" s="362" t="n"/>
      <c r="O450" s="44" t="n"/>
      <c r="P450" s="62" t="n"/>
      <c r="Q450" s="44" t="n"/>
    </row>
    <row r="451" ht="15.5" customHeight="1" s="297">
      <c r="A451" s="354" t="n"/>
      <c r="B451" s="14" t="n">
        <v>45498</v>
      </c>
      <c r="C451" s="15" t="n">
        <v>22</v>
      </c>
      <c r="D451" s="18" t="inlineStr">
        <is>
          <t>Fuel ( trip ke Barekin Bogor, inspeksi tool)</t>
        </is>
      </c>
      <c r="E451" s="18" t="n"/>
      <c r="F451" s="368" t="n">
        <v>319700</v>
      </c>
      <c r="G451" s="15" t="inlineStr">
        <is>
          <t>IDR</t>
        </is>
      </c>
      <c r="H451" s="364" t="n">
        <v>1</v>
      </c>
      <c r="I451" s="44" t="n"/>
      <c r="J451" s="362" t="n">
        <v>319700</v>
      </c>
      <c r="K451" s="44" t="n"/>
      <c r="L451" s="44" t="n"/>
      <c r="M451" s="61" t="n"/>
      <c r="N451" s="362" t="n"/>
      <c r="O451" s="44" t="n"/>
      <c r="P451" s="62" t="n"/>
      <c r="Q451" s="44" t="n"/>
    </row>
    <row r="452" ht="15.5" customHeight="1" s="297">
      <c r="A452" s="354" t="n"/>
      <c r="B452" s="14" t="n">
        <v>45501</v>
      </c>
      <c r="C452" s="15" t="n">
        <v>23</v>
      </c>
      <c r="D452" s="18" t="inlineStr">
        <is>
          <t>Fuel trip ke Glodok buy Hydralic pump assesories</t>
        </is>
      </c>
      <c r="E452" s="18" t="n"/>
      <c r="F452" s="368" t="n">
        <v>217350</v>
      </c>
      <c r="G452" s="15" t="inlineStr">
        <is>
          <t>IDR</t>
        </is>
      </c>
      <c r="H452" s="364" t="n">
        <v>1</v>
      </c>
      <c r="I452" s="44" t="n"/>
      <c r="J452" s="362" t="n">
        <v>217350</v>
      </c>
      <c r="K452" s="44" t="n"/>
      <c r="L452" s="44" t="n"/>
      <c r="M452" s="61" t="n"/>
      <c r="N452" s="362" t="n"/>
      <c r="O452" s="44" t="n"/>
      <c r="P452" s="62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7" t="inlineStr">
        <is>
          <t>Accommodation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Laundry dor 10 days @Rp.50.000.</t>
        </is>
      </c>
      <c r="E457" s="63" t="n"/>
      <c r="F457" s="368" t="n">
        <v>500000</v>
      </c>
      <c r="G457" s="15" t="inlineStr">
        <is>
          <t>IDR</t>
        </is>
      </c>
      <c r="H457" s="364" t="n">
        <v>1</v>
      </c>
      <c r="I457" s="61" t="n"/>
      <c r="J457" s="362" t="n">
        <v>500000</v>
      </c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A458" s="354" t="n"/>
      <c r="B458" s="102" t="n">
        <v>45507</v>
      </c>
      <c r="C458" s="15" t="n">
        <v>2</v>
      </c>
      <c r="D458" s="63" t="inlineStr">
        <is>
          <t>Hotel for 6 days ( 29 Jul - 3 aug 24)</t>
        </is>
      </c>
      <c r="E458" s="63" t="n"/>
      <c r="F458" s="368" t="n">
        <v>2700000</v>
      </c>
      <c r="G458" s="15" t="inlineStr">
        <is>
          <t>IDR</t>
        </is>
      </c>
      <c r="H458" s="364" t="n">
        <v>1</v>
      </c>
      <c r="I458" s="61" t="n"/>
      <c r="J458" s="362" t="n">
        <v>2700000</v>
      </c>
      <c r="K458" s="44" t="n"/>
      <c r="L458" s="44" t="n"/>
      <c r="M458" s="44" t="n"/>
      <c r="N458" s="44" t="n"/>
      <c r="O458" s="44" t="n"/>
      <c r="P458" s="44" t="n"/>
      <c r="Q458" s="44" t="n"/>
    </row>
    <row r="459" ht="15.5" customHeight="1" s="297">
      <c r="A459" s="354" t="n"/>
      <c r="B459" s="14" t="n"/>
      <c r="C459" s="15" t="n"/>
      <c r="D459" s="367" t="inlineStr">
        <is>
          <t>Allowance</t>
        </is>
      </c>
      <c r="E459" s="124" t="n"/>
      <c r="F459" s="21" t="n"/>
      <c r="G459" s="15" t="n"/>
      <c r="H459" s="15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A460" s="354" t="n"/>
      <c r="B460" s="102" t="n">
        <v>45511</v>
      </c>
      <c r="C460" s="15" t="n">
        <v>3</v>
      </c>
      <c r="D460" s="63" t="inlineStr">
        <is>
          <t>Meal utk 10 hari (29 Jul -7Aug-24) @Rp. 150.000</t>
        </is>
      </c>
      <c r="E460" s="63" t="n"/>
      <c r="F460" s="368" t="n">
        <v>1500000</v>
      </c>
      <c r="G460" s="15" t="inlineStr">
        <is>
          <t>IDR</t>
        </is>
      </c>
      <c r="H460" s="364" t="n">
        <v>1</v>
      </c>
      <c r="I460" s="61" t="n"/>
      <c r="J460" s="362" t="n">
        <v>1500000</v>
      </c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A461" s="354" t="n"/>
      <c r="B461" s="102" t="n">
        <v>45511</v>
      </c>
      <c r="C461" s="15" t="n">
        <v>4</v>
      </c>
      <c r="D461" s="63" t="inlineStr">
        <is>
          <t>Tunjangan lapangan for 10 days (29Jul - 07Aug24) Anevril</t>
        </is>
      </c>
      <c r="E461" s="63" t="n"/>
      <c r="F461" s="368" t="n">
        <v>16100000</v>
      </c>
      <c r="G461" s="15" t="inlineStr">
        <is>
          <t>USD</t>
        </is>
      </c>
      <c r="H461" s="364" t="n">
        <v>16100</v>
      </c>
      <c r="I461" s="61" t="n"/>
      <c r="J461" s="362" t="n">
        <v>16100000</v>
      </c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A462" s="354" t="n"/>
      <c r="B462" s="14" t="n"/>
      <c r="C462" s="15" t="n"/>
      <c r="D462" s="367" t="inlineStr">
        <is>
          <t>Logistic</t>
        </is>
      </c>
      <c r="E462" s="124" t="n"/>
      <c r="F462" s="21" t="n"/>
      <c r="G462" s="15" t="n"/>
      <c r="H462" s="15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 ht="15.5" customHeight="1" s="297">
      <c r="A463" s="354" t="n"/>
      <c r="B463" s="102" t="n">
        <v>45502</v>
      </c>
      <c r="C463" s="15" t="n">
        <v>5</v>
      </c>
      <c r="D463" s="63" t="inlineStr">
        <is>
          <t>buy Zirolic</t>
        </is>
      </c>
      <c r="E463" s="63" t="n"/>
      <c r="F463" s="368" t="n">
        <v>34200</v>
      </c>
      <c r="G463" s="15" t="inlineStr">
        <is>
          <t>IDR</t>
        </is>
      </c>
      <c r="H463" s="364" t="n">
        <v>1</v>
      </c>
      <c r="I463" s="61" t="n"/>
      <c r="J463" s="362" t="n"/>
      <c r="K463" s="44" t="n"/>
      <c r="L463" s="44" t="n"/>
      <c r="M463" s="44" t="n"/>
      <c r="N463" s="44" t="n"/>
      <c r="O463" s="44" t="n"/>
      <c r="P463" s="362" t="n">
        <v>34200</v>
      </c>
      <c r="Q463" s="44" t="n"/>
    </row>
    <row r="464" ht="15.5" customHeight="1" s="297">
      <c r="A464" s="354" t="n"/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8" t="n">
        <v>199900</v>
      </c>
      <c r="G464" s="15" t="inlineStr">
        <is>
          <t>IDR</t>
        </is>
      </c>
      <c r="H464" s="364" t="n">
        <v>1</v>
      </c>
      <c r="I464" s="61" t="n"/>
      <c r="J464" s="362" t="n">
        <v>199900</v>
      </c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A465" s="354" t="n"/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8" t="n">
        <v>69000</v>
      </c>
      <c r="G465" s="15" t="inlineStr">
        <is>
          <t>IDR</t>
        </is>
      </c>
      <c r="H465" s="364" t="n">
        <v>1</v>
      </c>
      <c r="I465" s="61" t="n"/>
      <c r="J465" s="362" t="n">
        <v>69000</v>
      </c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A466" s="354" t="n"/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8" t="n">
        <v>98000</v>
      </c>
      <c r="G466" s="15" t="inlineStr">
        <is>
          <t>IDR</t>
        </is>
      </c>
      <c r="H466" s="364" t="n">
        <v>1</v>
      </c>
      <c r="I466" s="61" t="n"/>
      <c r="J466" s="362" t="n">
        <v>98000</v>
      </c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A467" s="354" t="n"/>
      <c r="B467" s="102" t="n">
        <v>45505</v>
      </c>
      <c r="C467" s="15" t="n">
        <v>9</v>
      </c>
      <c r="D467" s="63" t="inlineStr">
        <is>
          <t>Buy WD 40</t>
        </is>
      </c>
      <c r="E467" s="63" t="n"/>
      <c r="F467" s="368" t="n">
        <v>65000</v>
      </c>
      <c r="G467" s="15" t="inlineStr">
        <is>
          <t>IDR</t>
        </is>
      </c>
      <c r="H467" s="364" t="n">
        <v>1</v>
      </c>
      <c r="I467" s="61" t="n"/>
      <c r="J467" s="362" t="n"/>
      <c r="K467" s="44" t="n"/>
      <c r="L467" s="44" t="n"/>
      <c r="M467" s="44" t="n"/>
      <c r="N467" s="362" t="n">
        <v>65000</v>
      </c>
      <c r="O467" s="44" t="n"/>
      <c r="P467" s="44" t="n"/>
      <c r="Q467" s="44" t="n"/>
    </row>
    <row r="468" ht="15.5" customHeight="1" s="297">
      <c r="A468" s="354" t="n"/>
      <c r="B468" s="102" t="n">
        <v>45505</v>
      </c>
      <c r="C468" s="15" t="n">
        <v>10</v>
      </c>
      <c r="D468" s="63" t="inlineStr">
        <is>
          <t>buy Soft drink</t>
        </is>
      </c>
      <c r="E468" s="63" t="n"/>
      <c r="F468" s="368" t="n">
        <v>109800</v>
      </c>
      <c r="G468" s="15" t="inlineStr">
        <is>
          <t>IDR</t>
        </is>
      </c>
      <c r="H468" s="364" t="n">
        <v>1</v>
      </c>
      <c r="I468" s="61" t="n"/>
      <c r="J468" s="362" t="n">
        <v>109800</v>
      </c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A469" s="354" t="n"/>
      <c r="B469" s="102" t="n">
        <v>45507</v>
      </c>
      <c r="C469" s="15" t="n">
        <v>11</v>
      </c>
      <c r="D469" s="63" t="inlineStr">
        <is>
          <t>buy Soft drink</t>
        </is>
      </c>
      <c r="E469" s="63" t="n"/>
      <c r="F469" s="368" t="n">
        <v>96600</v>
      </c>
      <c r="G469" s="15" t="inlineStr">
        <is>
          <t>IDR</t>
        </is>
      </c>
      <c r="H469" s="364" t="n">
        <v>1</v>
      </c>
      <c r="I469" s="61" t="n"/>
      <c r="J469" s="362" t="n">
        <v>96600</v>
      </c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A470" s="354" t="n"/>
      <c r="B470" s="102" t="n">
        <v>45508</v>
      </c>
      <c r="C470" s="15" t="n">
        <v>12</v>
      </c>
      <c r="D470" s="63" t="inlineStr">
        <is>
          <t>buy Soft drink</t>
        </is>
      </c>
      <c r="E470" s="63" t="n"/>
      <c r="F470" s="368" t="n">
        <v>56600</v>
      </c>
      <c r="G470" s="15" t="inlineStr">
        <is>
          <t>IDR</t>
        </is>
      </c>
      <c r="H470" s="364" t="n">
        <v>1</v>
      </c>
      <c r="I470" s="61" t="n"/>
      <c r="J470" s="362" t="n">
        <v>56600</v>
      </c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A471" s="354" t="n"/>
      <c r="B471" s="102" t="n">
        <v>45509</v>
      </c>
      <c r="C471" s="15" t="n">
        <v>13</v>
      </c>
      <c r="D471" s="63" t="inlineStr">
        <is>
          <t>Buy connection T dan nipple</t>
        </is>
      </c>
      <c r="E471" s="63" t="n"/>
      <c r="F471" s="368" t="n">
        <v>72500</v>
      </c>
      <c r="G471" s="15" t="inlineStr">
        <is>
          <t>IDR</t>
        </is>
      </c>
      <c r="H471" s="364" t="n">
        <v>1</v>
      </c>
      <c r="I471" s="61" t="n"/>
      <c r="J471" s="362" t="n"/>
      <c r="K471" s="44" t="n"/>
      <c r="L471" s="44" t="n"/>
      <c r="M471" s="44" t="n"/>
      <c r="N471" s="362" t="n">
        <v>72500</v>
      </c>
      <c r="O471" s="44" t="n"/>
      <c r="P471" s="44" t="n"/>
      <c r="Q471" s="44" t="n"/>
    </row>
    <row r="472" ht="15.5" customHeight="1" s="297">
      <c r="A472" s="354" t="n"/>
      <c r="B472" s="102" t="n">
        <v>45509</v>
      </c>
      <c r="C472" s="15" t="n">
        <v>14</v>
      </c>
      <c r="D472" s="63" t="inlineStr">
        <is>
          <t>Buy Quick connection</t>
        </is>
      </c>
      <c r="E472" s="63" t="n"/>
      <c r="F472" s="368" t="n">
        <v>400000</v>
      </c>
      <c r="G472" s="15" t="inlineStr">
        <is>
          <t>IDR</t>
        </is>
      </c>
      <c r="H472" s="364" t="n">
        <v>1</v>
      </c>
      <c r="I472" s="61" t="n"/>
      <c r="J472" s="362" t="n"/>
      <c r="K472" s="44" t="n"/>
      <c r="L472" s="44" t="n"/>
      <c r="M472" s="44" t="n"/>
      <c r="N472" s="362" t="n">
        <v>400000</v>
      </c>
      <c r="O472" s="44" t="n"/>
      <c r="P472" s="44" t="n"/>
      <c r="Q472" s="44" t="n"/>
    </row>
    <row r="473" ht="15.5" customHeight="1" s="297">
      <c r="A473" s="354" t="n"/>
      <c r="B473" s="102" t="n">
        <v>45510</v>
      </c>
      <c r="C473" s="15" t="n">
        <v>15</v>
      </c>
      <c r="D473" s="63" t="inlineStr">
        <is>
          <t>Buy Paint nippon</t>
        </is>
      </c>
      <c r="E473" s="63" t="n"/>
      <c r="F473" s="368" t="n">
        <v>60000</v>
      </c>
      <c r="G473" s="15" t="inlineStr">
        <is>
          <t>IDR</t>
        </is>
      </c>
      <c r="H473" s="364" t="n">
        <v>1</v>
      </c>
      <c r="I473" s="61" t="n"/>
      <c r="J473" s="362" t="n"/>
      <c r="K473" s="44" t="n"/>
      <c r="L473" s="44" t="n"/>
      <c r="M473" s="44" t="n"/>
      <c r="N473" s="362" t="n">
        <v>60000</v>
      </c>
      <c r="O473" s="44" t="n"/>
      <c r="P473" s="44" t="n"/>
      <c r="Q473" s="44" t="n"/>
    </row>
    <row r="474" ht="15.5" customHeight="1" s="297">
      <c r="A474" s="354" t="n"/>
      <c r="B474" s="102" t="n">
        <v>45510</v>
      </c>
      <c r="C474" s="15" t="n">
        <v>16</v>
      </c>
      <c r="D474" s="63" t="inlineStr">
        <is>
          <t>buy Soft drink</t>
        </is>
      </c>
      <c r="E474" s="63" t="n"/>
      <c r="F474" s="368" t="n">
        <v>118100</v>
      </c>
      <c r="G474" s="15" t="inlineStr">
        <is>
          <t>IDR</t>
        </is>
      </c>
      <c r="H474" s="364" t="n">
        <v>1</v>
      </c>
      <c r="I474" s="61" t="n"/>
      <c r="J474" s="362" t="n">
        <v>118100</v>
      </c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A475" s="354" t="n"/>
      <c r="B475" s="14" t="n"/>
      <c r="C475" s="15" t="n"/>
      <c r="D475" s="367" t="inlineStr">
        <is>
          <t>Meal</t>
        </is>
      </c>
      <c r="E475" s="124" t="n"/>
      <c r="F475" s="21" t="n"/>
      <c r="G475" s="15" t="n"/>
      <c r="H475" s="15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 ht="15.5" customHeight="1" s="297">
      <c r="A476" s="354" t="n"/>
      <c r="B476" s="102" t="n">
        <v>45502</v>
      </c>
      <c r="C476" s="15" t="n">
        <v>17</v>
      </c>
      <c r="D476" s="63" t="inlineStr">
        <is>
          <t>w/ Crew Barekin</t>
        </is>
      </c>
      <c r="E476" s="63" t="n"/>
      <c r="F476" s="368" t="n">
        <v>275000</v>
      </c>
      <c r="G476" s="15" t="inlineStr">
        <is>
          <t>IDR</t>
        </is>
      </c>
      <c r="H476" s="364" t="n">
        <v>1</v>
      </c>
      <c r="I476" s="61" t="n"/>
      <c r="J476" s="362" t="n">
        <v>275000</v>
      </c>
      <c r="K476" s="44" t="n"/>
      <c r="L476" s="44" t="n"/>
      <c r="M476" s="44" t="n"/>
      <c r="N476" s="44" t="n"/>
      <c r="O476" s="44" t="n"/>
      <c r="P476" s="44" t="n"/>
      <c r="Q476" s="44" t="n"/>
    </row>
    <row r="477" ht="15.5" customHeight="1" s="297">
      <c r="A477" s="354" t="n"/>
      <c r="B477" s="102" t="n">
        <v>45505</v>
      </c>
      <c r="C477" s="15" t="n">
        <v>18</v>
      </c>
      <c r="D477" s="63" t="inlineStr">
        <is>
          <t>W/ TIS Petroleum personnel</t>
        </is>
      </c>
      <c r="E477" s="63" t="n"/>
      <c r="F477" s="368" t="n">
        <v>157000</v>
      </c>
      <c r="G477" s="15" t="inlineStr">
        <is>
          <t>IDR</t>
        </is>
      </c>
      <c r="H477" s="364" t="n">
        <v>1</v>
      </c>
      <c r="I477" s="61" t="n"/>
      <c r="J477" s="362" t="n">
        <v>157000</v>
      </c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A478" s="354" t="n"/>
      <c r="B478" s="102" t="n">
        <v>45506</v>
      </c>
      <c r="C478" s="15" t="n">
        <v>19</v>
      </c>
      <c r="D478" s="63" t="inlineStr">
        <is>
          <t>w/ Crew Barekin (buy ice sirop) No reciept</t>
        </is>
      </c>
      <c r="E478" s="63" t="n"/>
      <c r="F478" s="368" t="n">
        <v>80000</v>
      </c>
      <c r="G478" s="15" t="inlineStr">
        <is>
          <t>IDR</t>
        </is>
      </c>
      <c r="H478" s="364" t="n">
        <v>1</v>
      </c>
      <c r="I478" s="61" t="n"/>
      <c r="J478" s="362" t="n">
        <v>80000</v>
      </c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A479" s="354" t="n"/>
      <c r="B479" s="102" t="n">
        <v>45507</v>
      </c>
      <c r="C479" s="15" t="n">
        <v>20</v>
      </c>
      <c r="D479" s="63" t="inlineStr">
        <is>
          <t>w/ TIS Lemigas Personnel</t>
        </is>
      </c>
      <c r="E479" s="63" t="n"/>
      <c r="F479" s="368" t="n">
        <v>270350</v>
      </c>
      <c r="G479" s="15" t="inlineStr">
        <is>
          <t>IDR</t>
        </is>
      </c>
      <c r="H479" s="364" t="n">
        <v>1</v>
      </c>
      <c r="I479" s="61" t="n"/>
      <c r="J479" s="362" t="n">
        <v>270350</v>
      </c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A480" s="354" t="n"/>
      <c r="B480" s="102" t="n">
        <v>45507</v>
      </c>
      <c r="C480" s="15" t="n">
        <v>21</v>
      </c>
      <c r="D480" s="63" t="inlineStr">
        <is>
          <t>w/ TIS Petroleum Personnel</t>
        </is>
      </c>
      <c r="E480" s="63" t="n"/>
      <c r="F480" s="368" t="n">
        <v>401000</v>
      </c>
      <c r="G480" s="15" t="inlineStr">
        <is>
          <t>IDR</t>
        </is>
      </c>
      <c r="H480" s="364" t="n">
        <v>1</v>
      </c>
      <c r="I480" s="61" t="n"/>
      <c r="J480" s="362" t="n">
        <v>401000</v>
      </c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297">
      <c r="A481" s="354" t="n"/>
      <c r="B481" s="14" t="n"/>
      <c r="C481" s="15" t="n"/>
      <c r="D481" s="367" t="inlineStr">
        <is>
          <t>Transportation</t>
        </is>
      </c>
      <c r="E481" s="124" t="n"/>
      <c r="F481" s="21" t="n"/>
      <c r="G481" s="15" t="n"/>
      <c r="H481" s="15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297">
      <c r="A482" s="354" t="n"/>
      <c r="B482" s="102" t="n">
        <v>45511</v>
      </c>
      <c r="C482" s="15" t="n">
        <v>22</v>
      </c>
      <c r="D482" s="63" t="inlineStr">
        <is>
          <t>Rental car (include Fuel ) 10 days, @Rp1.100.000</t>
        </is>
      </c>
      <c r="E482" s="63" t="n"/>
      <c r="F482" s="368" t="n">
        <v>11000000</v>
      </c>
      <c r="G482" s="15" t="inlineStr">
        <is>
          <t>IDR</t>
        </is>
      </c>
      <c r="H482" s="364" t="n">
        <v>1</v>
      </c>
      <c r="I482" s="61" t="n"/>
      <c r="J482" s="362" t="n">
        <v>11000000</v>
      </c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A483" s="354" t="n"/>
      <c r="B483" s="102" t="n">
        <v>45502</v>
      </c>
      <c r="C483" s="15" t="n">
        <v>23</v>
      </c>
      <c r="D483" s="63" t="inlineStr">
        <is>
          <t>Toll (Jkt Blora - PP)</t>
        </is>
      </c>
      <c r="E483" s="63" t="n"/>
      <c r="F483" s="368" t="n">
        <v>483000</v>
      </c>
      <c r="G483" s="15" t="inlineStr">
        <is>
          <t>IDR</t>
        </is>
      </c>
      <c r="H483" s="364" t="n">
        <v>1</v>
      </c>
      <c r="I483" s="61" t="n"/>
      <c r="J483" s="362" t="n">
        <v>483000</v>
      </c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A484" s="354" t="n"/>
      <c r="B484" s="102" t="n">
        <v>45511</v>
      </c>
      <c r="C484" s="15" t="n">
        <v>24</v>
      </c>
      <c r="D484" s="63" t="inlineStr">
        <is>
          <t>Toll (Gubug - Jakarta)</t>
        </is>
      </c>
      <c r="E484" s="63" t="n"/>
      <c r="F484" s="368" t="n">
        <v>496000</v>
      </c>
      <c r="G484" s="15" t="inlineStr">
        <is>
          <t>IDR</t>
        </is>
      </c>
      <c r="H484" s="364" t="n">
        <v>1</v>
      </c>
      <c r="I484" s="61" t="n"/>
      <c r="J484" s="362" t="n">
        <v>496000</v>
      </c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5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62" t="n"/>
      <c r="J488" s="362" t="n">
        <v>159682</v>
      </c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A489" s="354" t="n"/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62" t="n"/>
      <c r="J489" s="362" t="n">
        <v>500000</v>
      </c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A490" s="354" t="n"/>
      <c r="B490" s="292" t="n"/>
      <c r="C490" s="91" t="n"/>
      <c r="D490" s="365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A491" s="354" t="n"/>
      <c r="B491" s="292" t="n">
        <v>45502</v>
      </c>
      <c r="C491" s="91" t="n">
        <v>3</v>
      </c>
      <c r="D491" s="95" t="inlineStr">
        <is>
          <t>Tunjangan Lapangan for 10 days</t>
        </is>
      </c>
      <c r="E491" s="95" t="n"/>
      <c r="F491" s="360" t="n">
        <v>15513000</v>
      </c>
      <c r="G491" s="91" t="inlineStr">
        <is>
          <t>USD</t>
        </is>
      </c>
      <c r="H491" s="361" t="n">
        <v>15513</v>
      </c>
      <c r="I491" s="62" t="n"/>
      <c r="J491" s="362" t="n">
        <v>15513000</v>
      </c>
      <c r="K491" s="44" t="n"/>
      <c r="L491" s="44" t="n"/>
      <c r="M491" s="44" t="n"/>
      <c r="N491" s="44" t="n"/>
      <c r="O491" s="44" t="n"/>
      <c r="P491" s="44" t="n"/>
      <c r="Q491" s="44" t="n"/>
    </row>
    <row r="492" ht="15.5" customHeight="1" s="297">
      <c r="A492" s="354" t="n"/>
      <c r="B492" s="292" t="n"/>
      <c r="C492" s="91" t="n"/>
      <c r="D492" s="365" t="inlineStr">
        <is>
          <t>Meal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297">
      <c r="A493" s="354" t="n"/>
      <c r="B493" s="292" t="n">
        <v>45502</v>
      </c>
      <c r="C493" s="91" t="n">
        <v>4</v>
      </c>
      <c r="D493" s="95" t="inlineStr">
        <is>
          <t>Meal Crew's Operational</t>
        </is>
      </c>
      <c r="E493" s="95" t="n"/>
      <c r="F493" s="360" t="n">
        <v>263200</v>
      </c>
      <c r="G493" s="91" t="inlineStr">
        <is>
          <t>IDR</t>
        </is>
      </c>
      <c r="H493" s="361" t="n">
        <v>1</v>
      </c>
      <c r="I493" s="62" t="n"/>
      <c r="J493" s="362" t="n">
        <v>263200</v>
      </c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297">
      <c r="A494" s="354" t="n"/>
      <c r="B494" s="292" t="n">
        <v>45502</v>
      </c>
      <c r="C494" s="91" t="n">
        <v>5</v>
      </c>
      <c r="D494" s="95" t="inlineStr">
        <is>
          <t>Meals 10 days 1 Persons @ 150K IDR/day</t>
        </is>
      </c>
      <c r="E494" s="95" t="n"/>
      <c r="F494" s="360" t="n">
        <v>1500000</v>
      </c>
      <c r="G494" s="91" t="inlineStr">
        <is>
          <t>IDR</t>
        </is>
      </c>
      <c r="H494" s="361" t="n">
        <v>1</v>
      </c>
      <c r="I494" s="62" t="n"/>
      <c r="J494" s="362" t="n">
        <v>1500000</v>
      </c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297">
      <c r="A495" s="354" t="n"/>
      <c r="B495" s="292" t="n"/>
      <c r="C495" s="91" t="n"/>
      <c r="D495" s="365" t="inlineStr">
        <is>
          <t>Operation</t>
        </is>
      </c>
      <c r="E495" s="9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297">
      <c r="A496" s="354" t="n"/>
      <c r="B496" s="292" t="n">
        <v>45499</v>
      </c>
      <c r="C496" s="91" t="n">
        <v>6</v>
      </c>
      <c r="D496" s="95" t="inlineStr">
        <is>
          <t>TOP 1 High Temp Grease</t>
        </is>
      </c>
      <c r="E496" s="95" t="n"/>
      <c r="F496" s="360" t="n">
        <v>144900</v>
      </c>
      <c r="G496" s="91" t="inlineStr">
        <is>
          <t>IDR</t>
        </is>
      </c>
      <c r="H496" s="361" t="n">
        <v>1</v>
      </c>
      <c r="I496" s="62" t="n"/>
      <c r="J496" s="362" t="n"/>
      <c r="K496" s="44" t="n"/>
      <c r="L496" s="44" t="n"/>
      <c r="M496" s="44" t="n"/>
      <c r="N496" s="362" t="n">
        <v>144900</v>
      </c>
      <c r="O496" s="44" t="n"/>
      <c r="P496" s="44" t="n"/>
      <c r="Q496" s="44" t="n"/>
    </row>
    <row r="497" ht="15.5" customHeight="1" s="297">
      <c r="A497" s="354" t="n"/>
      <c r="B497" s="292" t="n"/>
      <c r="C497" s="91" t="n"/>
      <c r="D497" s="365" t="inlineStr">
        <is>
          <t>Transportation</t>
        </is>
      </c>
      <c r="E497" s="97" t="n"/>
      <c r="F497" s="93" t="n"/>
      <c r="G497" s="91" t="n"/>
      <c r="H497" s="91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297">
      <c r="A498" s="354" t="n"/>
      <c r="B498" s="292" t="n">
        <v>45499</v>
      </c>
      <c r="C498" s="91" t="n">
        <v>7</v>
      </c>
      <c r="D498" s="95" t="inlineStr">
        <is>
          <t>Lalamove Base to Barikin</t>
        </is>
      </c>
      <c r="E498" s="95" t="n"/>
      <c r="F498" s="360" t="n">
        <v>276500</v>
      </c>
      <c r="G498" s="91" t="inlineStr">
        <is>
          <t>IDR</t>
        </is>
      </c>
      <c r="H498" s="361" t="n">
        <v>1</v>
      </c>
      <c r="I498" s="62" t="n"/>
      <c r="J498" s="362" t="n">
        <v>276500</v>
      </c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A499" s="354" t="n"/>
      <c r="B499" s="292" t="n">
        <v>45499</v>
      </c>
      <c r="C499" s="91" t="n">
        <v>8</v>
      </c>
      <c r="D499" s="95" t="inlineStr">
        <is>
          <t>Lalamove Pak Subi to Base</t>
        </is>
      </c>
      <c r="E499" s="95" t="n"/>
      <c r="F499" s="360" t="n">
        <v>63568</v>
      </c>
      <c r="G499" s="91" t="inlineStr">
        <is>
          <t>IDR</t>
        </is>
      </c>
      <c r="H499" s="361" t="n">
        <v>1</v>
      </c>
      <c r="I499" s="62" t="n"/>
      <c r="J499" s="362" t="n">
        <v>63568</v>
      </c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A500" s="354" t="n"/>
      <c r="B500" s="292" t="n">
        <v>45517</v>
      </c>
      <c r="C500" s="91" t="n">
        <v>9</v>
      </c>
      <c r="D500" s="95" t="inlineStr">
        <is>
          <t>Lalamove Barikin to Base</t>
        </is>
      </c>
      <c r="E500" s="95" t="n"/>
      <c r="F500" s="360" t="n">
        <v>161885</v>
      </c>
      <c r="G500" s="91" t="inlineStr">
        <is>
          <t>IDR</t>
        </is>
      </c>
      <c r="H500" s="361" t="n">
        <v>1</v>
      </c>
      <c r="I500" s="62" t="n"/>
      <c r="J500" s="362" t="n">
        <v>161885</v>
      </c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8" t="n">
        <v>900000</v>
      </c>
      <c r="G504" s="15" t="inlineStr">
        <is>
          <t>IDR</t>
        </is>
      </c>
      <c r="H504" s="364" t="n">
        <v>1</v>
      </c>
      <c r="I504" s="62" t="n"/>
      <c r="J504" s="362" t="n">
        <v>900000</v>
      </c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A505" s="354" t="n"/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8" t="n">
        <v>300000</v>
      </c>
      <c r="G505" s="15" t="inlineStr">
        <is>
          <t>IDR</t>
        </is>
      </c>
      <c r="H505" s="364" t="n">
        <v>1</v>
      </c>
      <c r="I505" s="62" t="n"/>
      <c r="J505" s="362" t="n">
        <v>300000</v>
      </c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A506" s="354" t="n"/>
      <c r="B506" s="102" t="n">
        <v>45548</v>
      </c>
      <c r="C506" s="15" t="n">
        <v>3</v>
      </c>
      <c r="D506" s="63" t="inlineStr">
        <is>
          <t>Tunjangan Lapangan PBM - 009 (6 - 11 September 2024)</t>
        </is>
      </c>
      <c r="E506" s="63" t="n"/>
      <c r="F506" s="368" t="n">
        <v>2317500</v>
      </c>
      <c r="G506" s="15" t="inlineStr">
        <is>
          <t>$</t>
        </is>
      </c>
      <c r="H506" s="364" t="n">
        <v>15450</v>
      </c>
      <c r="I506" s="62" t="n"/>
      <c r="J506" s="362" t="n">
        <v>2317500</v>
      </c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3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5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6" t="n"/>
      <c r="J510" s="362" t="n">
        <v>1800000</v>
      </c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A511" s="354" t="n"/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6" t="n"/>
      <c r="J511" s="362" t="n">
        <v>300000</v>
      </c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A512" s="354" t="n"/>
      <c r="B512" s="292" t="n"/>
      <c r="C512" s="91" t="n"/>
      <c r="D512" s="365" t="inlineStr">
        <is>
          <t>Allowance</t>
        </is>
      </c>
      <c r="E512" s="127" t="n"/>
      <c r="F512" s="93" t="n"/>
      <c r="G512" s="91" t="n"/>
      <c r="H512" s="91" t="n"/>
      <c r="I512" s="6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A513" s="354" t="n"/>
      <c r="B513" s="292" t="n">
        <v>45541</v>
      </c>
      <c r="C513" s="91" t="n">
        <v>3</v>
      </c>
      <c r="D513" s="95" t="inlineStr">
        <is>
          <t>Field Allowance</t>
        </is>
      </c>
      <c r="E513" s="95" t="n"/>
      <c r="F513" s="360" t="n">
        <v>9262800</v>
      </c>
      <c r="G513" s="91" t="inlineStr">
        <is>
          <t>USD</t>
        </is>
      </c>
      <c r="H513" s="361" t="n">
        <v>15438</v>
      </c>
      <c r="I513" s="366" t="n"/>
      <c r="J513" s="362" t="n">
        <v>9262800</v>
      </c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A514" s="354" t="n"/>
      <c r="B514" s="292" t="n">
        <v>45541</v>
      </c>
      <c r="C514" s="91" t="n">
        <v>4</v>
      </c>
      <c r="D514" s="95" t="inlineStr">
        <is>
          <t>Meals</t>
        </is>
      </c>
      <c r="E514" s="95" t="n"/>
      <c r="F514" s="360" t="n">
        <v>900000</v>
      </c>
      <c r="G514" s="91" t="inlineStr">
        <is>
          <t>IDR</t>
        </is>
      </c>
      <c r="H514" s="361" t="n">
        <v>1</v>
      </c>
      <c r="I514" s="366" t="n"/>
      <c r="J514" s="362" t="n">
        <v>900000</v>
      </c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A515" s="354" t="n"/>
      <c r="B515" s="292" t="n"/>
      <c r="C515" s="91" t="n"/>
      <c r="D515" s="365" t="inlineStr">
        <is>
          <t>Transportation</t>
        </is>
      </c>
      <c r="E515" s="127" t="n"/>
      <c r="F515" s="93" t="n"/>
      <c r="G515" s="91" t="n"/>
      <c r="H515" s="91" t="n"/>
      <c r="I515" s="61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A516" s="354" t="n"/>
      <c r="B516" s="292" t="n">
        <v>45541</v>
      </c>
      <c r="C516" s="91" t="n">
        <v>5</v>
      </c>
      <c r="D516" s="95" t="inlineStr">
        <is>
          <t>Airplane Ticket CGK-PLM</t>
        </is>
      </c>
      <c r="E516" s="95" t="n"/>
      <c r="F516" s="360" t="n">
        <v>904682</v>
      </c>
      <c r="G516" s="91" t="inlineStr">
        <is>
          <t>IDR</t>
        </is>
      </c>
      <c r="H516" s="361" t="n">
        <v>1</v>
      </c>
      <c r="I516" s="366" t="n"/>
      <c r="J516" s="362" t="n">
        <v>904682</v>
      </c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A517" s="354" t="n"/>
      <c r="B517" s="292" t="n">
        <v>45541</v>
      </c>
      <c r="C517" s="91" t="n">
        <v>6</v>
      </c>
      <c r="D517" s="95" t="inlineStr">
        <is>
          <t>Taxi Pondok Cabe-Vania-CGK (inc Toll)</t>
        </is>
      </c>
      <c r="E517" s="95" t="n"/>
      <c r="F517" s="360" t="n">
        <v>256500</v>
      </c>
      <c r="G517" s="91" t="inlineStr">
        <is>
          <t>IDR</t>
        </is>
      </c>
      <c r="H517" s="361" t="n">
        <v>1</v>
      </c>
      <c r="I517" s="366" t="n"/>
      <c r="J517" s="362" t="n">
        <v>256500</v>
      </c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A518" s="354" t="n"/>
      <c r="B518" s="292" t="n">
        <v>45541</v>
      </c>
      <c r="C518" s="91" t="n">
        <v>7</v>
      </c>
      <c r="D518" s="95" t="inlineStr">
        <is>
          <t>Toll (PLM-Prabumulih-PLM)</t>
        </is>
      </c>
      <c r="E518" s="95" t="n"/>
      <c r="F518" s="360" t="n">
        <v>224000</v>
      </c>
      <c r="G518" s="91" t="inlineStr">
        <is>
          <t>IDR</t>
        </is>
      </c>
      <c r="H518" s="361" t="n">
        <v>1</v>
      </c>
      <c r="I518" s="366" t="n"/>
      <c r="J518" s="362" t="n">
        <v>224000</v>
      </c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A519" s="354" t="n"/>
      <c r="B519" s="292" t="n">
        <v>45541</v>
      </c>
      <c r="C519" s="91" t="n">
        <v>8</v>
      </c>
      <c r="D519" s="95" t="inlineStr">
        <is>
          <t>Rent Car 6 Days</t>
        </is>
      </c>
      <c r="E519" s="95" t="n"/>
      <c r="F519" s="360" t="n">
        <v>3000000</v>
      </c>
      <c r="G519" s="91" t="inlineStr">
        <is>
          <t>IDR</t>
        </is>
      </c>
      <c r="H519" s="361" t="n">
        <v>1</v>
      </c>
      <c r="I519" s="366" t="n"/>
      <c r="J519" s="362" t="n">
        <v>3000000</v>
      </c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A520" s="354" t="n"/>
      <c r="B520" s="292" t="n">
        <v>45541</v>
      </c>
      <c r="C520" s="91" t="n">
        <v>9</v>
      </c>
      <c r="D520" s="95" t="inlineStr">
        <is>
          <t>Gasoline</t>
        </is>
      </c>
      <c r="E520" s="95" t="n"/>
      <c r="F520" s="360" t="n">
        <v>400000</v>
      </c>
      <c r="G520" s="91" t="inlineStr">
        <is>
          <t>IDR</t>
        </is>
      </c>
      <c r="H520" s="361" t="n">
        <v>1</v>
      </c>
      <c r="I520" s="366" t="n"/>
      <c r="J520" s="362" t="n">
        <v>400000</v>
      </c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A521" s="354" t="n"/>
      <c r="B521" s="292" t="n">
        <v>45541</v>
      </c>
      <c r="C521" s="91" t="n">
        <v>10</v>
      </c>
      <c r="D521" s="95" t="inlineStr">
        <is>
          <t>Taxi CGK-Pondok Cabe (inc Toll+Parking)</t>
        </is>
      </c>
      <c r="E521" s="95" t="n"/>
      <c r="F521" s="360" t="n">
        <v>310660</v>
      </c>
      <c r="G521" s="91" t="inlineStr">
        <is>
          <t>IDR</t>
        </is>
      </c>
      <c r="H521" s="361" t="n">
        <v>1</v>
      </c>
      <c r="I521" s="366" t="n"/>
      <c r="J521" s="362" t="n">
        <v>310660</v>
      </c>
      <c r="K521" s="44" t="n"/>
      <c r="L521" s="44" t="n"/>
      <c r="M521" s="44" t="n"/>
      <c r="N521" s="44" t="n"/>
      <c r="O521" s="44" t="n"/>
      <c r="P521" s="44" t="n"/>
      <c r="Q521" s="44" t="n"/>
    </row>
    <row r="522" ht="15.5" customHeight="1" s="297">
      <c r="A522" s="354" t="n"/>
      <c r="B522" s="292" t="n">
        <v>45543</v>
      </c>
      <c r="C522" s="91" t="n">
        <v>11</v>
      </c>
      <c r="D522" s="95" t="inlineStr">
        <is>
          <t>Airplane Ticket PLM-CGK</t>
        </is>
      </c>
      <c r="E522" s="95" t="n"/>
      <c r="F522" s="360" t="n">
        <v>836100</v>
      </c>
      <c r="G522" s="91" t="inlineStr">
        <is>
          <t>IDR</t>
        </is>
      </c>
      <c r="H522" s="361" t="n">
        <v>1</v>
      </c>
      <c r="I522" s="366" t="n"/>
      <c r="J522" s="362" t="n">
        <v>836100</v>
      </c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3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4" t="inlineStr">
        <is>
          <t>Allowance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45561</v>
      </c>
      <c r="C525" s="15" t="n">
        <v>1</v>
      </c>
      <c r="D525" s="63" t="inlineStr">
        <is>
          <t>Uang Makan (22 - 26 Sept 2024)</t>
        </is>
      </c>
      <c r="E525" s="63" t="n"/>
      <c r="F525" s="368" t="n">
        <v>750000</v>
      </c>
      <c r="G525" s="18" t="inlineStr">
        <is>
          <t>IDR</t>
        </is>
      </c>
      <c r="H525" s="375" t="n">
        <v>1</v>
      </c>
      <c r="I525" s="61" t="n"/>
      <c r="J525" s="362" t="n">
        <v>750000</v>
      </c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A526" s="354" t="n"/>
      <c r="B526" s="107" t="n">
        <v>45561</v>
      </c>
      <c r="C526" s="15" t="n">
        <v>2</v>
      </c>
      <c r="D526" s="63" t="inlineStr">
        <is>
          <t>Field Bonus SKW#26 (22 - 26 Sept 2024). 1US$=15.100</t>
        </is>
      </c>
      <c r="E526" s="63" t="n"/>
      <c r="F526" s="368" t="n">
        <v>500</v>
      </c>
      <c r="G526" s="18" t="inlineStr">
        <is>
          <t>IDR</t>
        </is>
      </c>
      <c r="H526" s="375" t="n">
        <v>15100</v>
      </c>
      <c r="I526" s="61" t="n"/>
      <c r="J526" s="362" t="n">
        <v>500</v>
      </c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A527" s="354" t="n"/>
      <c r="B527" s="128" t="n"/>
      <c r="C527" s="129" t="n"/>
      <c r="D527" s="374" t="inlineStr">
        <is>
          <t>Laundry</t>
        </is>
      </c>
      <c r="E527" s="130" t="n"/>
      <c r="F527" s="25" t="n"/>
      <c r="G527" s="131" t="n"/>
      <c r="H527" s="132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A528" s="354" t="n"/>
      <c r="B528" s="107" t="n">
        <v>45561</v>
      </c>
      <c r="C528" s="15" t="n">
        <v>3</v>
      </c>
      <c r="D528" s="63" t="inlineStr">
        <is>
          <t>Laundry (22 - 26 Sept 2024)</t>
        </is>
      </c>
      <c r="E528" s="63" t="n"/>
      <c r="F528" s="368" t="n">
        <v>250000</v>
      </c>
      <c r="G528" s="18" t="inlineStr">
        <is>
          <t>IDR</t>
        </is>
      </c>
      <c r="H528" s="375" t="n">
        <v>1</v>
      </c>
      <c r="I528" s="61" t="n"/>
      <c r="J528" s="362" t="n">
        <v>250000</v>
      </c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A529" s="354" t="n"/>
      <c r="B529" s="128" t="n"/>
      <c r="C529" s="129" t="n"/>
      <c r="D529" s="374" t="inlineStr">
        <is>
          <t>Transportation</t>
        </is>
      </c>
      <c r="E529" s="130" t="n"/>
      <c r="F529" s="25" t="n"/>
      <c r="G529" s="131" t="n"/>
      <c r="H529" s="132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A530" s="354" t="n"/>
      <c r="B530" s="107" t="n">
        <v>45557</v>
      </c>
      <c r="C530" s="15" t="n">
        <v>4</v>
      </c>
      <c r="D530" s="63" t="inlineStr">
        <is>
          <t>Taxi+Tol Serpong - Gambir</t>
        </is>
      </c>
      <c r="E530" s="63" t="n"/>
      <c r="F530" s="368" t="n">
        <v>241280</v>
      </c>
      <c r="G530" s="18" t="inlineStr">
        <is>
          <t>IDR</t>
        </is>
      </c>
      <c r="H530" s="375" t="n">
        <v>1</v>
      </c>
      <c r="I530" s="61" t="n"/>
      <c r="J530" s="362" t="n">
        <v>241280</v>
      </c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A531" s="354" t="n"/>
      <c r="B531" s="107" t="n">
        <v>45558</v>
      </c>
      <c r="C531" s="15" t="n">
        <v>5</v>
      </c>
      <c r="D531" s="63" t="inlineStr">
        <is>
          <t>Gocar St. Cepu, Kalog - Bojonegoro</t>
        </is>
      </c>
      <c r="E531" s="63" t="n"/>
      <c r="F531" s="368" t="n">
        <v>250000</v>
      </c>
      <c r="G531" s="18" t="inlineStr">
        <is>
          <t>IDR</t>
        </is>
      </c>
      <c r="H531" s="375" t="n">
        <v>1</v>
      </c>
      <c r="I531" s="61" t="n"/>
      <c r="J531" s="362" t="n">
        <v>250000</v>
      </c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A532" s="354" t="n"/>
      <c r="B532" s="107" t="n">
        <v>45561</v>
      </c>
      <c r="C532" s="15" t="n">
        <v>6</v>
      </c>
      <c r="D532" s="63" t="inlineStr">
        <is>
          <t>Taxi+Tol Gambir - Serpong</t>
        </is>
      </c>
      <c r="E532" s="63" t="n"/>
      <c r="F532" s="368" t="n">
        <v>240000</v>
      </c>
      <c r="G532" s="18" t="inlineStr">
        <is>
          <t>IDR</t>
        </is>
      </c>
      <c r="H532" s="375" t="n">
        <v>1</v>
      </c>
      <c r="I532" s="61" t="n"/>
      <c r="J532" s="362" t="n">
        <v>240000</v>
      </c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6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5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61" t="n"/>
      <c r="J536" s="362" t="n">
        <v>1680000</v>
      </c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A537" s="354" t="n"/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61" t="n"/>
      <c r="J537" s="362" t="n">
        <v>350000</v>
      </c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A538" s="354" t="n"/>
      <c r="B538" s="292" t="n"/>
      <c r="C538" s="91" t="n"/>
      <c r="D538" s="365" t="inlineStr">
        <is>
          <t>Allowance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A539" s="354" t="n"/>
      <c r="B539" s="292" t="n">
        <v>45563</v>
      </c>
      <c r="C539" s="91" t="n">
        <v>3</v>
      </c>
      <c r="D539" s="95" t="inlineStr">
        <is>
          <t>Field Allowance 20 Sept - 27 Sept 2024</t>
        </is>
      </c>
      <c r="E539" s="95" t="n"/>
      <c r="F539" s="360" t="n">
        <v>2668750</v>
      </c>
      <c r="G539" s="91" t="inlineStr">
        <is>
          <t>USD</t>
        </is>
      </c>
      <c r="H539" s="361" t="n">
        <v>15250</v>
      </c>
      <c r="I539" s="61" t="n"/>
      <c r="J539" s="362" t="n">
        <v>2668750</v>
      </c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A540" s="354" t="n"/>
      <c r="B540" s="292" t="n">
        <v>45563</v>
      </c>
      <c r="C540" s="91" t="n">
        <v>4</v>
      </c>
      <c r="D540" s="95" t="inlineStr">
        <is>
          <t>Meals 20 Sept - 27 Sept 2024 7 days</t>
        </is>
      </c>
      <c r="E540" s="95" t="n"/>
      <c r="F540" s="360" t="n">
        <v>1050000</v>
      </c>
      <c r="G540" s="91" t="inlineStr">
        <is>
          <t>IDR</t>
        </is>
      </c>
      <c r="H540" s="361" t="n">
        <v>1</v>
      </c>
      <c r="I540" s="61" t="n"/>
      <c r="J540" s="362" t="n">
        <v>1050000</v>
      </c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A541" s="354" t="n"/>
      <c r="B541" s="292" t="n"/>
      <c r="C541" s="91" t="n"/>
      <c r="D541" s="365" t="inlineStr">
        <is>
          <t>Operation</t>
        </is>
      </c>
      <c r="E541" s="97" t="n"/>
      <c r="F541" s="93" t="n"/>
      <c r="G541" s="91" t="n"/>
      <c r="H541" s="91" t="n"/>
      <c r="I541" s="61" t="n"/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A542" s="354" t="n"/>
      <c r="B542" s="292" t="n">
        <v>45563</v>
      </c>
      <c r="C542" s="91" t="n">
        <v>5</v>
      </c>
      <c r="D542" s="95" t="inlineStr">
        <is>
          <t>Aqua 600 ML + Sunlight</t>
        </is>
      </c>
      <c r="E542" s="95" t="n"/>
      <c r="F542" s="360" t="n">
        <v>65000</v>
      </c>
      <c r="G542" s="91" t="inlineStr">
        <is>
          <t>IDR</t>
        </is>
      </c>
      <c r="H542" s="361" t="n">
        <v>1</v>
      </c>
      <c r="I542" s="61" t="n"/>
      <c r="J542" s="362" t="n">
        <v>65000</v>
      </c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A543" s="354" t="n"/>
      <c r="B543" s="292" t="n">
        <v>45563</v>
      </c>
      <c r="C543" s="91" t="n">
        <v>6</v>
      </c>
      <c r="D543" s="95" t="inlineStr">
        <is>
          <t>Fried Food + Soft Drink</t>
        </is>
      </c>
      <c r="E543" s="95" t="n"/>
      <c r="F543" s="360" t="n">
        <v>150000</v>
      </c>
      <c r="G543" s="91" t="inlineStr">
        <is>
          <t>IDR</t>
        </is>
      </c>
      <c r="H543" s="361" t="n">
        <v>1</v>
      </c>
      <c r="I543" s="61" t="n"/>
      <c r="J543" s="362" t="n">
        <v>150000</v>
      </c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A544" s="354" t="n"/>
      <c r="B544" s="292" t="n">
        <v>45563</v>
      </c>
      <c r="C544" s="91" t="n">
        <v>7</v>
      </c>
      <c r="D544" s="95" t="inlineStr">
        <is>
          <t>Meal's Crew</t>
        </is>
      </c>
      <c r="E544" s="95" t="n"/>
      <c r="F544" s="360" t="n">
        <v>120000</v>
      </c>
      <c r="G544" s="91" t="inlineStr">
        <is>
          <t>IDR</t>
        </is>
      </c>
      <c r="H544" s="361" t="n">
        <v>1</v>
      </c>
      <c r="I544" s="61" t="n"/>
      <c r="J544" s="362" t="n">
        <v>120000</v>
      </c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A545" s="354" t="n"/>
      <c r="B545" s="292" t="n">
        <v>45563</v>
      </c>
      <c r="C545" s="91" t="n">
        <v>8</v>
      </c>
      <c r="D545" s="95" t="inlineStr">
        <is>
          <t>Snack's Crew</t>
        </is>
      </c>
      <c r="E545" s="95" t="n"/>
      <c r="F545" s="360" t="n">
        <v>172000</v>
      </c>
      <c r="G545" s="91" t="inlineStr">
        <is>
          <t>IDR</t>
        </is>
      </c>
      <c r="H545" s="361" t="n">
        <v>1</v>
      </c>
      <c r="I545" s="61" t="n"/>
      <c r="J545" s="362" t="n">
        <v>172000</v>
      </c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A546" s="354" t="n"/>
      <c r="B546" s="292" t="n">
        <v>45563</v>
      </c>
      <c r="C546" s="91" t="n">
        <v>9</v>
      </c>
      <c r="D546" s="95" t="inlineStr">
        <is>
          <t>Meal's + Soft Drink Crew</t>
        </is>
      </c>
      <c r="E546" s="95" t="n"/>
      <c r="F546" s="360" t="n">
        <v>300000</v>
      </c>
      <c r="G546" s="91" t="inlineStr">
        <is>
          <t>IDR</t>
        </is>
      </c>
      <c r="H546" s="361" t="n">
        <v>1</v>
      </c>
      <c r="I546" s="61" t="n"/>
      <c r="J546" s="362" t="n">
        <v>300000</v>
      </c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A547" s="354" t="n"/>
      <c r="B547" s="292" t="n">
        <v>45563</v>
      </c>
      <c r="C547" s="91" t="n">
        <v>10</v>
      </c>
      <c r="D547" s="95" t="inlineStr">
        <is>
          <t>Aqua 600 ML</t>
        </is>
      </c>
      <c r="E547" s="95" t="n"/>
      <c r="F547" s="360" t="n">
        <v>65000</v>
      </c>
      <c r="G547" s="91" t="inlineStr">
        <is>
          <t>IDR</t>
        </is>
      </c>
      <c r="H547" s="361" t="n">
        <v>1</v>
      </c>
      <c r="I547" s="61" t="n"/>
      <c r="J547" s="362" t="n">
        <v>65000</v>
      </c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A548" s="354" t="n"/>
      <c r="B548" s="292" t="n">
        <v>45563</v>
      </c>
      <c r="C548" s="91" t="n">
        <v>11</v>
      </c>
      <c r="D548" s="95" t="inlineStr">
        <is>
          <t>Meal's Crws + Ice Tea</t>
        </is>
      </c>
      <c r="E548" s="95" t="n"/>
      <c r="F548" s="360" t="n">
        <v>200000</v>
      </c>
      <c r="G548" s="91" t="inlineStr">
        <is>
          <t>IDR</t>
        </is>
      </c>
      <c r="H548" s="361" t="n">
        <v>1</v>
      </c>
      <c r="I548" s="61" t="n"/>
      <c r="J548" s="362" t="n">
        <v>200000</v>
      </c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A549" s="354" t="n"/>
      <c r="B549" s="292" t="n">
        <v>45563</v>
      </c>
      <c r="C549" s="91" t="n">
        <v>12</v>
      </c>
      <c r="D549" s="95" t="inlineStr">
        <is>
          <t>Snack's Crew</t>
        </is>
      </c>
      <c r="E549" s="95" t="n"/>
      <c r="F549" s="360" t="n">
        <v>240000</v>
      </c>
      <c r="G549" s="91" t="inlineStr">
        <is>
          <t>IDR</t>
        </is>
      </c>
      <c r="H549" s="361" t="n">
        <v>1</v>
      </c>
      <c r="I549" s="61" t="n"/>
      <c r="J549" s="362" t="n">
        <v>240000</v>
      </c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A550" s="354" t="n"/>
      <c r="B550" s="292" t="n">
        <v>45563</v>
      </c>
      <c r="C550" s="91" t="n">
        <v>13</v>
      </c>
      <c r="D550" s="95" t="inlineStr">
        <is>
          <t>Meal's + Soft Drink Crew</t>
        </is>
      </c>
      <c r="E550" s="95" t="n"/>
      <c r="F550" s="360" t="n">
        <v>230000</v>
      </c>
      <c r="G550" s="91" t="inlineStr">
        <is>
          <t>IDR</t>
        </is>
      </c>
      <c r="H550" s="361" t="n">
        <v>1</v>
      </c>
      <c r="I550" s="61" t="n"/>
      <c r="J550" s="362" t="n">
        <v>230000</v>
      </c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A551" s="354" t="n"/>
      <c r="B551" s="292" t="n">
        <v>45563</v>
      </c>
      <c r="C551" s="91" t="n">
        <v>14</v>
      </c>
      <c r="D551" s="95" t="inlineStr">
        <is>
          <t>Soft Drink</t>
        </is>
      </c>
      <c r="E551" s="95" t="n"/>
      <c r="F551" s="360" t="n">
        <v>110000</v>
      </c>
      <c r="G551" s="91" t="inlineStr">
        <is>
          <t>IDR</t>
        </is>
      </c>
      <c r="H551" s="361" t="n">
        <v>1</v>
      </c>
      <c r="I551" s="61" t="n"/>
      <c r="J551" s="362" t="n">
        <v>110000</v>
      </c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297">
      <c r="A552" s="354" t="n"/>
      <c r="B552" s="292" t="n">
        <v>45563</v>
      </c>
      <c r="C552" s="91" t="n">
        <v>15</v>
      </c>
      <c r="D552" s="95" t="inlineStr">
        <is>
          <t>Black Coffe</t>
        </is>
      </c>
      <c r="E552" s="95" t="n"/>
      <c r="F552" s="360" t="n">
        <v>47000</v>
      </c>
      <c r="G552" s="91" t="inlineStr">
        <is>
          <t>IDR</t>
        </is>
      </c>
      <c r="H552" s="361" t="n">
        <v>1</v>
      </c>
      <c r="I552" s="61" t="n"/>
      <c r="J552" s="362" t="n">
        <v>47000</v>
      </c>
      <c r="K552" s="44" t="n"/>
      <c r="L552" s="44" t="n"/>
      <c r="M552" s="44" t="n"/>
      <c r="N552" s="44" t="n"/>
      <c r="O552" s="44" t="n"/>
      <c r="P552" s="44" t="n"/>
      <c r="Q552" s="44" t="n"/>
    </row>
    <row r="553" ht="15.5" customHeight="1" s="297">
      <c r="A553" s="354" t="n"/>
      <c r="B553" s="292" t="n"/>
      <c r="C553" s="91" t="n"/>
      <c r="D553" s="365" t="inlineStr">
        <is>
          <t>Transportation</t>
        </is>
      </c>
      <c r="E553" s="97" t="n"/>
      <c r="F553" s="93" t="n"/>
      <c r="G553" s="91" t="n"/>
      <c r="H553" s="91" t="n"/>
      <c r="I553" s="61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A554" s="354" t="n"/>
      <c r="B554" s="292" t="n">
        <v>45563</v>
      </c>
      <c r="C554" s="91" t="n">
        <v>16</v>
      </c>
      <c r="D554" s="95" t="inlineStr">
        <is>
          <t>Gasoline</t>
        </is>
      </c>
      <c r="E554" s="95" t="n"/>
      <c r="F554" s="360" t="n">
        <v>200000</v>
      </c>
      <c r="G554" s="91" t="inlineStr">
        <is>
          <t>IDR</t>
        </is>
      </c>
      <c r="H554" s="361" t="n">
        <v>1</v>
      </c>
      <c r="I554" s="61" t="n"/>
      <c r="J554" s="362" t="n">
        <v>200000</v>
      </c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A555" s="354" t="n"/>
      <c r="B555" s="292" t="n">
        <v>45563</v>
      </c>
      <c r="C555" s="91" t="n">
        <v>17</v>
      </c>
      <c r="D555" s="95" t="inlineStr">
        <is>
          <t>Gasoline</t>
        </is>
      </c>
      <c r="E555" s="95" t="n"/>
      <c r="F555" s="360" t="n">
        <v>215000</v>
      </c>
      <c r="G555" s="91" t="inlineStr">
        <is>
          <t>IDR</t>
        </is>
      </c>
      <c r="H555" s="361" t="n">
        <v>1</v>
      </c>
      <c r="I555" s="61" t="n"/>
      <c r="J555" s="362" t="n">
        <v>215000</v>
      </c>
      <c r="K555" s="44" t="n"/>
      <c r="L555" s="44" t="n"/>
      <c r="M555" s="44" t="n"/>
      <c r="N555" s="44" t="n"/>
      <c r="O555" s="44" t="n"/>
      <c r="P555" s="44" t="n"/>
      <c r="Q555" s="44" t="n"/>
    </row>
    <row r="556" ht="15.5" customHeight="1" s="297">
      <c r="A556" s="354" t="n"/>
      <c r="B556" s="292" t="n">
        <v>45563</v>
      </c>
      <c r="C556" s="91" t="n">
        <v>18</v>
      </c>
      <c r="D556" s="95" t="inlineStr">
        <is>
          <t>Gasoline</t>
        </is>
      </c>
      <c r="E556" s="95" t="n"/>
      <c r="F556" s="360" t="n">
        <v>197000</v>
      </c>
      <c r="G556" s="91" t="inlineStr">
        <is>
          <t>IDR</t>
        </is>
      </c>
      <c r="H556" s="361" t="n">
        <v>1</v>
      </c>
      <c r="I556" s="61" t="n"/>
      <c r="J556" s="362" t="n">
        <v>197000</v>
      </c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A557" s="354" t="n"/>
      <c r="B557" s="292" t="n">
        <v>45563</v>
      </c>
      <c r="C557" s="91" t="n">
        <v>19</v>
      </c>
      <c r="D557" s="95" t="inlineStr">
        <is>
          <t>Gasoline</t>
        </is>
      </c>
      <c r="E557" s="95" t="n"/>
      <c r="F557" s="360" t="n">
        <v>200000</v>
      </c>
      <c r="G557" s="91" t="inlineStr">
        <is>
          <t>IDR</t>
        </is>
      </c>
      <c r="H557" s="361" t="n">
        <v>1</v>
      </c>
      <c r="I557" s="61" t="n"/>
      <c r="J557" s="362" t="n">
        <v>200000</v>
      </c>
      <c r="K557" s="44" t="n"/>
      <c r="L557" s="44" t="n"/>
      <c r="M557" s="44" t="n"/>
      <c r="N557" s="44" t="n"/>
      <c r="O557" s="44" t="n"/>
      <c r="P557" s="44" t="n"/>
      <c r="Q557" s="44" t="n"/>
    </row>
    <row r="558" ht="15.5" customHeight="1" s="297">
      <c r="A558" s="354" t="n"/>
      <c r="B558" s="292" t="n">
        <v>45563</v>
      </c>
      <c r="C558" s="91" t="n">
        <v>20</v>
      </c>
      <c r="D558" s="95" t="inlineStr">
        <is>
          <t>Gasoline</t>
        </is>
      </c>
      <c r="E558" s="95" t="n"/>
      <c r="F558" s="360" t="n">
        <v>220000</v>
      </c>
      <c r="G558" s="91" t="inlineStr">
        <is>
          <t>IDR</t>
        </is>
      </c>
      <c r="H558" s="361" t="n">
        <v>1</v>
      </c>
      <c r="I558" s="61" t="n"/>
      <c r="J558" s="362" t="n">
        <v>220000</v>
      </c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A559" s="354" t="n"/>
      <c r="B559" s="292" t="n">
        <v>45563</v>
      </c>
      <c r="C559" s="91" t="n">
        <v>21</v>
      </c>
      <c r="D559" s="95" t="inlineStr">
        <is>
          <t>Toll (PLM-Prabumulih)</t>
        </is>
      </c>
      <c r="E559" s="95" t="n"/>
      <c r="F559" s="360" t="n">
        <v>112000</v>
      </c>
      <c r="G559" s="91" t="inlineStr">
        <is>
          <t>IDR</t>
        </is>
      </c>
      <c r="H559" s="361" t="n">
        <v>1</v>
      </c>
      <c r="I559" s="61" t="n"/>
      <c r="J559" s="362" t="n">
        <v>112000</v>
      </c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297">
      <c r="A560" s="354" t="n"/>
      <c r="B560" s="292" t="n">
        <v>45563</v>
      </c>
      <c r="C560" s="91" t="n">
        <v>22</v>
      </c>
      <c r="D560" s="95" t="inlineStr">
        <is>
          <t>Toll (Prabumulih-PLM)</t>
        </is>
      </c>
      <c r="E560" s="95" t="n"/>
      <c r="F560" s="360" t="n">
        <v>117000</v>
      </c>
      <c r="G560" s="91" t="inlineStr">
        <is>
          <t>IDR</t>
        </is>
      </c>
      <c r="H560" s="361" t="n">
        <v>1</v>
      </c>
      <c r="I560" s="61" t="n"/>
      <c r="J560" s="362" t="n">
        <v>117000</v>
      </c>
      <c r="K560" s="44" t="n"/>
      <c r="L560" s="44" t="n"/>
      <c r="M560" s="44" t="n"/>
      <c r="N560" s="44" t="n"/>
      <c r="O560" s="44" t="n"/>
      <c r="P560" s="44" t="n"/>
      <c r="Q560" s="44" t="n"/>
    </row>
    <row r="561" ht="15.5" customHeight="1" s="297">
      <c r="A561" s="354" t="n"/>
      <c r="B561" s="292" t="n">
        <v>45563</v>
      </c>
      <c r="C561" s="91" t="n">
        <v>23</v>
      </c>
      <c r="D561" s="95" t="inlineStr">
        <is>
          <t>Car Wash</t>
        </is>
      </c>
      <c r="E561" s="95" t="n"/>
      <c r="F561" s="360" t="n">
        <v>40000</v>
      </c>
      <c r="G561" s="91" t="inlineStr">
        <is>
          <t>IDR</t>
        </is>
      </c>
      <c r="H561" s="361" t="n">
        <v>1</v>
      </c>
      <c r="I561" s="61" t="n"/>
      <c r="J561" s="362" t="n">
        <v>40000</v>
      </c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7" t="inlineStr">
        <is>
          <t>Accommodation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1</v>
      </c>
      <c r="D564" s="18" t="inlineStr">
        <is>
          <t>Laundry 8 days @ 50K IDR/day</t>
        </is>
      </c>
      <c r="E564" s="18" t="n"/>
      <c r="F564" s="368" t="n">
        <v>400000</v>
      </c>
      <c r="G564" s="15" t="inlineStr">
        <is>
          <t>IDR</t>
        </is>
      </c>
      <c r="H564" s="364" t="n">
        <v>1</v>
      </c>
      <c r="I564" s="61" t="n"/>
      <c r="J564" s="362" t="n">
        <v>400000</v>
      </c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A565" s="354" t="n"/>
      <c r="B565" s="14" t="n"/>
      <c r="C565" s="15" t="n"/>
      <c r="D565" s="367" t="inlineStr">
        <is>
          <t>Allowance</t>
        </is>
      </c>
      <c r="E565" s="106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A566" s="354" t="n"/>
      <c r="B566" s="102" t="n">
        <v>45564</v>
      </c>
      <c r="C566" s="15" t="n">
        <v>2</v>
      </c>
      <c r="D566" s="18" t="inlineStr">
        <is>
          <t>Meals 8 days @ 150K IDR/day</t>
        </is>
      </c>
      <c r="E566" s="18" t="n"/>
      <c r="F566" s="368" t="n">
        <v>900000</v>
      </c>
      <c r="G566" s="15" t="inlineStr">
        <is>
          <t>IDR</t>
        </is>
      </c>
      <c r="H566" s="364" t="n">
        <v>1</v>
      </c>
      <c r="I566" s="61" t="n"/>
      <c r="J566" s="362" t="n">
        <v>900000</v>
      </c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A567" s="354" t="n"/>
      <c r="B567" s="102" t="n">
        <v>45565</v>
      </c>
      <c r="C567" s="15" t="n">
        <v>3</v>
      </c>
      <c r="D567" s="18" t="inlineStr">
        <is>
          <t>Tunjangan lapaangan for 8 days- (job at JRK-095)</t>
        </is>
      </c>
      <c r="E567" s="18" t="n"/>
      <c r="F567" s="368" t="n">
        <v>12160000</v>
      </c>
      <c r="G567" s="15" t="inlineStr">
        <is>
          <t>USD</t>
        </is>
      </c>
      <c r="H567" s="364" t="n">
        <v>15200</v>
      </c>
      <c r="I567" s="61" t="n"/>
      <c r="J567" s="362" t="n">
        <v>12160000</v>
      </c>
      <c r="K567" s="44" t="n"/>
      <c r="L567" s="44" t="n"/>
      <c r="M567" s="44" t="n"/>
      <c r="N567" s="44" t="n"/>
      <c r="O567" s="44" t="n"/>
      <c r="P567" s="44" t="n"/>
      <c r="Q567" s="44" t="n"/>
    </row>
    <row r="568" ht="15.5" customHeight="1" s="297">
      <c r="A568" s="354" t="n"/>
      <c r="B568" s="14" t="n"/>
      <c r="C568" s="15" t="n"/>
      <c r="D568" s="367" t="inlineStr">
        <is>
          <t>Transportation</t>
        </is>
      </c>
      <c r="E568" s="106" t="n"/>
      <c r="F568" s="21" t="n"/>
      <c r="G568" s="15" t="n"/>
      <c r="H568" s="15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A569" s="354" t="n"/>
      <c r="B569" s="102" t="n">
        <v>45556</v>
      </c>
      <c r="C569" s="15" t="n">
        <v>4</v>
      </c>
      <c r="D569" s="18" t="inlineStr">
        <is>
          <t>Air ticket Anevril JKT-Palembang</t>
        </is>
      </c>
      <c r="E569" s="18" t="n"/>
      <c r="F569" s="368" t="n">
        <v>796800</v>
      </c>
      <c r="G569" s="15" t="inlineStr">
        <is>
          <t>IDR</t>
        </is>
      </c>
      <c r="H569" s="364" t="n">
        <v>1</v>
      </c>
      <c r="I569" s="61" t="n"/>
      <c r="J569" s="362" t="n">
        <v>796800</v>
      </c>
      <c r="K569" s="44" t="n"/>
      <c r="L569" s="44" t="n"/>
      <c r="M569" s="44" t="n"/>
      <c r="N569" s="44" t="n"/>
      <c r="O569" s="44" t="n"/>
      <c r="P569" s="44" t="n"/>
      <c r="Q569" s="44" t="n"/>
    </row>
    <row r="570" ht="15.5" customHeight="1" s="297">
      <c r="A570" s="354" t="n"/>
      <c r="B570" s="102" t="n">
        <v>45564</v>
      </c>
      <c r="C570" s="15" t="n">
        <v>5</v>
      </c>
      <c r="D570" s="18" t="inlineStr">
        <is>
          <t>Air ticket Anevril Palembang-JKT</t>
        </is>
      </c>
      <c r="E570" s="18" t="n"/>
      <c r="F570" s="368" t="n">
        <v>804500</v>
      </c>
      <c r="G570" s="15" t="inlineStr">
        <is>
          <t>IDR</t>
        </is>
      </c>
      <c r="H570" s="364" t="n">
        <v>1</v>
      </c>
      <c r="I570" s="61" t="n"/>
      <c r="J570" s="362" t="n">
        <v>804500</v>
      </c>
      <c r="K570" s="44" t="n"/>
      <c r="L570" s="44" t="n"/>
      <c r="M570" s="44" t="n"/>
      <c r="N570" s="44" t="n"/>
      <c r="O570" s="44" t="n"/>
      <c r="P570" s="44" t="n"/>
      <c r="Q570" s="44" t="n"/>
    </row>
    <row r="571" ht="15.5" customHeight="1" s="297">
      <c r="A571" s="354" t="n"/>
      <c r="B571" s="102" t="n">
        <v>45556</v>
      </c>
      <c r="C571" s="15" t="n">
        <v>6</v>
      </c>
      <c r="D571" s="18" t="inlineStr">
        <is>
          <t>Taxi Anevril Home - CGK Airport</t>
        </is>
      </c>
      <c r="E571" s="18" t="n"/>
      <c r="F571" s="368" t="n">
        <v>250000</v>
      </c>
      <c r="G571" s="15" t="inlineStr">
        <is>
          <t>IDR</t>
        </is>
      </c>
      <c r="H571" s="364" t="n">
        <v>1</v>
      </c>
      <c r="I571" s="61" t="n"/>
      <c r="J571" s="362" t="n">
        <v>250000</v>
      </c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A572" s="354" t="n"/>
      <c r="B572" s="102" t="n">
        <v>45564</v>
      </c>
      <c r="C572" s="15" t="n">
        <v>7</v>
      </c>
      <c r="D572" s="18" t="inlineStr">
        <is>
          <t>Taxi Anevril CGK Airport - Home</t>
        </is>
      </c>
      <c r="E572" s="18" t="n"/>
      <c r="F572" s="368" t="n">
        <v>250000</v>
      </c>
      <c r="G572" s="15" t="inlineStr">
        <is>
          <t>IDR</t>
        </is>
      </c>
      <c r="H572" s="364" t="n">
        <v>1</v>
      </c>
      <c r="I572" s="61" t="n"/>
      <c r="J572" s="362" t="n">
        <v>250000</v>
      </c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297">
      <c r="A573" s="354" t="n"/>
      <c r="B573" s="102" t="n">
        <v>45564</v>
      </c>
      <c r="C573" s="15" t="n">
        <v>8</v>
      </c>
      <c r="D573" s="18" t="inlineStr">
        <is>
          <t>Sewa mobil 8 hari (21/09/24 - 29/09/24)</t>
        </is>
      </c>
      <c r="E573" s="18" t="n"/>
      <c r="F573" s="368" t="n">
        <v>4000000</v>
      </c>
      <c r="G573" s="15" t="inlineStr">
        <is>
          <t>IDR</t>
        </is>
      </c>
      <c r="H573" s="364" t="n">
        <v>1</v>
      </c>
      <c r="I573" s="61" t="n"/>
      <c r="J573" s="362" t="n">
        <v>4000000</v>
      </c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108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6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Accommodation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45552</v>
      </c>
      <c r="C579" s="15" t="n">
        <v>1</v>
      </c>
      <c r="D579" s="63" t="inlineStr">
        <is>
          <t>Hotel</t>
        </is>
      </c>
      <c r="E579" s="63" t="n"/>
      <c r="F579" s="368" t="n">
        <v>700000</v>
      </c>
      <c r="G579" s="18" t="inlineStr">
        <is>
          <t>IDR</t>
        </is>
      </c>
      <c r="H579" s="376" t="n">
        <v>1</v>
      </c>
      <c r="I579" s="61" t="n"/>
      <c r="J579" s="362" t="n">
        <v>700000</v>
      </c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A580" s="354" t="n"/>
      <c r="B580" s="14" t="n">
        <v>45553</v>
      </c>
      <c r="C580" s="15" t="n">
        <v>2</v>
      </c>
      <c r="D580" s="63" t="inlineStr">
        <is>
          <t>Loundry 2 days @Rp. 50.000</t>
        </is>
      </c>
      <c r="E580" s="63" t="n"/>
      <c r="F580" s="368" t="n">
        <v>100000</v>
      </c>
      <c r="G580" s="18" t="inlineStr">
        <is>
          <t>IDR</t>
        </is>
      </c>
      <c r="H580" s="376" t="n">
        <v>1</v>
      </c>
      <c r="I580" s="61" t="n"/>
      <c r="J580" s="362" t="n">
        <v>100000</v>
      </c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A581" s="354" t="n"/>
      <c r="B581" s="102" t="n"/>
      <c r="C581" s="15" t="n"/>
      <c r="D581" s="355" t="inlineStr">
        <is>
          <t>Meal</t>
        </is>
      </c>
      <c r="E581" s="108" t="n"/>
      <c r="F581" s="21" t="n"/>
      <c r="G581" s="18" t="n"/>
      <c r="H581" s="18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A582" s="354" t="n"/>
      <c r="B582" s="14" t="n">
        <v>45546</v>
      </c>
      <c r="C582" s="15" t="n">
        <v>3</v>
      </c>
      <c r="D582" s="63" t="inlineStr">
        <is>
          <t>lunch when check MTD tool at workshop Gowell</t>
        </is>
      </c>
      <c r="E582" s="63" t="n"/>
      <c r="F582" s="368" t="n">
        <v>171000</v>
      </c>
      <c r="G582" s="18" t="inlineStr">
        <is>
          <t>IDR</t>
        </is>
      </c>
      <c r="H582" s="376" t="n">
        <v>1</v>
      </c>
      <c r="I582" s="61" t="n"/>
      <c r="J582" s="362" t="n">
        <v>171000</v>
      </c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A583" s="354" t="n"/>
      <c r="B583" s="14" t="n">
        <v>45553</v>
      </c>
      <c r="C583" s="15" t="n">
        <v>4</v>
      </c>
      <c r="D583" s="63" t="inlineStr">
        <is>
          <t>Uang makan utk 3 hari (17-18 Sept-24) @150.000</t>
        </is>
      </c>
      <c r="E583" s="63" t="n"/>
      <c r="F583" s="368" t="n">
        <v>300000</v>
      </c>
      <c r="G583" s="18" t="inlineStr">
        <is>
          <t>IDR</t>
        </is>
      </c>
      <c r="H583" s="376" t="n">
        <v>1</v>
      </c>
      <c r="I583" s="61" t="n"/>
      <c r="J583" s="362" t="n">
        <v>300000</v>
      </c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A584" s="354" t="n"/>
      <c r="B584" s="102" t="n"/>
      <c r="C584" s="15" t="n"/>
      <c r="D584" s="355" t="inlineStr">
        <is>
          <t>Transportation</t>
        </is>
      </c>
      <c r="E584" s="108" t="n"/>
      <c r="F584" s="21" t="n"/>
      <c r="G584" s="18" t="n"/>
      <c r="H584" s="18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297">
      <c r="A585" s="354" t="n"/>
      <c r="B585" s="14" t="n">
        <v>45526</v>
      </c>
      <c r="C585" s="15" t="n">
        <v>5</v>
      </c>
      <c r="D585" s="63" t="inlineStr">
        <is>
          <t>Fuel ( trip modified tool Sampler to Mr suby)</t>
        </is>
      </c>
      <c r="E585" s="63" t="n"/>
      <c r="F585" s="368" t="n">
        <v>274000</v>
      </c>
      <c r="G585" s="18" t="inlineStr">
        <is>
          <t>IDR</t>
        </is>
      </c>
      <c r="H585" s="376" t="n">
        <v>1</v>
      </c>
      <c r="I585" s="61" t="n"/>
      <c r="J585" s="362" t="n">
        <v>274000</v>
      </c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A586" s="354" t="n"/>
      <c r="B586" s="14" t="n">
        <v>45544</v>
      </c>
      <c r="C586" s="15" t="n">
        <v>6</v>
      </c>
      <c r="D586" s="63" t="inlineStr">
        <is>
          <t>Gocar ( trip Bintaro - Instrutek solusindo)</t>
        </is>
      </c>
      <c r="E586" s="63" t="n"/>
      <c r="F586" s="368" t="n">
        <v>144500</v>
      </c>
      <c r="G586" s="18" t="inlineStr">
        <is>
          <t>IDR</t>
        </is>
      </c>
      <c r="H586" s="376" t="n">
        <v>1</v>
      </c>
      <c r="I586" s="61" t="n"/>
      <c r="J586" s="362" t="n">
        <v>144500</v>
      </c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A587" s="354" t="n"/>
      <c r="B587" s="14" t="n">
        <v>45544</v>
      </c>
      <c r="C587" s="15" t="n">
        <v>7</v>
      </c>
      <c r="D587" s="63" t="inlineStr">
        <is>
          <t>Gocar ( trip Instrutek solusindo - Bintaro)</t>
        </is>
      </c>
      <c r="E587" s="63" t="n"/>
      <c r="F587" s="368" t="n">
        <v>160000</v>
      </c>
      <c r="G587" s="18" t="inlineStr">
        <is>
          <t>IDR</t>
        </is>
      </c>
      <c r="H587" s="376" t="n">
        <v>1</v>
      </c>
      <c r="I587" s="61" t="n"/>
      <c r="J587" s="362" t="n">
        <v>160000</v>
      </c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A588" s="354" t="n"/>
      <c r="B588" s="14" t="n">
        <v>45545</v>
      </c>
      <c r="C588" s="15" t="n">
        <v>8</v>
      </c>
      <c r="D588" s="63" t="inlineStr">
        <is>
          <t>Fuel ( trip to Sclumberger Cikaranga,SIT seeting tool )</t>
        </is>
      </c>
      <c r="E588" s="63" t="n"/>
      <c r="F588" s="368" t="n">
        <v>232500</v>
      </c>
      <c r="G588" s="18" t="inlineStr">
        <is>
          <t>IDR</t>
        </is>
      </c>
      <c r="H588" s="376" t="n">
        <v>1</v>
      </c>
      <c r="I588" s="61" t="n"/>
      <c r="J588" s="362" t="n">
        <v>232500</v>
      </c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A589" s="354" t="n"/>
      <c r="B589" s="14" t="n">
        <v>45548</v>
      </c>
      <c r="C589" s="15" t="n">
        <v>9</v>
      </c>
      <c r="D589" s="63" t="inlineStr">
        <is>
          <t>Fuel ( trip to workshop Gowell &amp; ktr Pajak)</t>
        </is>
      </c>
      <c r="E589" s="63" t="n"/>
      <c r="F589" s="368" t="n">
        <v>256800</v>
      </c>
      <c r="G589" s="18" t="inlineStr">
        <is>
          <t>IDR</t>
        </is>
      </c>
      <c r="H589" s="376" t="n">
        <v>1</v>
      </c>
      <c r="I589" s="61" t="n"/>
      <c r="J589" s="362" t="n">
        <v>256800</v>
      </c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A590" s="354" t="n"/>
      <c r="B590" s="14" t="n">
        <v>45544</v>
      </c>
      <c r="C590" s="15" t="n">
        <v>10</v>
      </c>
      <c r="D590" s="63" t="inlineStr">
        <is>
          <t>Tol ( trip Bintaro - Instrutek solusindo) No reciept</t>
        </is>
      </c>
      <c r="E590" s="63" t="n"/>
      <c r="F590" s="368" t="n">
        <v>64500</v>
      </c>
      <c r="G590" s="18" t="inlineStr">
        <is>
          <t>IDR</t>
        </is>
      </c>
      <c r="H590" s="376" t="n">
        <v>1</v>
      </c>
      <c r="I590" s="61" t="n"/>
      <c r="J590" s="362" t="n">
        <v>64500</v>
      </c>
      <c r="K590" s="44" t="n"/>
      <c r="L590" s="44" t="n"/>
      <c r="M590" s="44" t="n"/>
      <c r="N590" s="44" t="n"/>
      <c r="O590" s="44" t="n"/>
      <c r="P590" s="62" t="n"/>
      <c r="Q590" s="44" t="n"/>
    </row>
    <row r="591" ht="15.5" customHeight="1" s="297">
      <c r="A591" s="354" t="n"/>
      <c r="B591" s="14" t="n">
        <v>45544</v>
      </c>
      <c r="C591" s="15" t="n">
        <v>11</v>
      </c>
      <c r="D591" s="63" t="inlineStr">
        <is>
          <t>Tol ( trip Instrutek solusindo - Bintaro) No Reciept</t>
        </is>
      </c>
      <c r="E591" s="63" t="n"/>
      <c r="F591" s="368" t="n">
        <v>64500</v>
      </c>
      <c r="G591" s="18" t="inlineStr">
        <is>
          <t>IDR</t>
        </is>
      </c>
      <c r="H591" s="376" t="n">
        <v>1</v>
      </c>
      <c r="I591" s="61" t="n"/>
      <c r="J591" s="362" t="n">
        <v>64500</v>
      </c>
      <c r="K591" s="44" t="n"/>
      <c r="L591" s="44" t="n"/>
      <c r="M591" s="44" t="n"/>
      <c r="N591" s="44" t="n"/>
      <c r="O591" s="44" t="n"/>
      <c r="P591" s="62" t="n"/>
      <c r="Q591" s="44" t="n"/>
    </row>
    <row r="592" ht="15.5" customHeight="1" s="297">
      <c r="A592" s="354" t="n"/>
      <c r="B592" s="14" t="n">
        <v>45545</v>
      </c>
      <c r="C592" s="15" t="n">
        <v>12</v>
      </c>
      <c r="D592" s="63" t="inlineStr">
        <is>
          <t>tol (Bintaro - Cikarang)</t>
        </is>
      </c>
      <c r="E592" s="63" t="n"/>
      <c r="F592" s="368" t="n">
        <v>112500</v>
      </c>
      <c r="G592" s="18" t="inlineStr">
        <is>
          <t>IDR</t>
        </is>
      </c>
      <c r="H592" s="376" t="n">
        <v>1</v>
      </c>
      <c r="I592" s="61" t="n"/>
      <c r="J592" s="362" t="n">
        <v>112500</v>
      </c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A593" s="354" t="n"/>
      <c r="B593" s="14" t="n">
        <v>45545</v>
      </c>
      <c r="C593" s="15" t="n">
        <v>13</v>
      </c>
      <c r="D593" s="63" t="inlineStr">
        <is>
          <t>tol (Cikarang - Bekasi -Bintaro)</t>
        </is>
      </c>
      <c r="E593" s="63" t="n"/>
      <c r="F593" s="368" t="n">
        <v>50500</v>
      </c>
      <c r="G593" s="18" t="inlineStr">
        <is>
          <t>IDR</t>
        </is>
      </c>
      <c r="H593" s="376" t="n">
        <v>1</v>
      </c>
      <c r="I593" s="61" t="n"/>
      <c r="J593" s="362" t="n">
        <v>50500</v>
      </c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A594" s="354" t="n"/>
      <c r="B594" s="14" t="n">
        <v>45546</v>
      </c>
      <c r="C594" s="15" t="n">
        <v>14</v>
      </c>
      <c r="D594" s="63" t="inlineStr">
        <is>
          <t>tol (Bintaro - Cinere)</t>
        </is>
      </c>
      <c r="E594" s="63" t="n"/>
      <c r="F594" s="368" t="n">
        <v>59000</v>
      </c>
      <c r="G594" s="18" t="inlineStr">
        <is>
          <t>IDR</t>
        </is>
      </c>
      <c r="H594" s="376" t="n">
        <v>1</v>
      </c>
      <c r="I594" s="61" t="n"/>
      <c r="J594" s="362" t="n">
        <v>59000</v>
      </c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A595" s="354" t="n"/>
      <c r="B595" s="102" t="n"/>
      <c r="C595" s="15" t="n"/>
      <c r="D595" s="355" t="inlineStr">
        <is>
          <t>Trip</t>
        </is>
      </c>
      <c r="E595" s="108" t="n"/>
      <c r="F595" s="21" t="n"/>
      <c r="G595" s="18" t="n"/>
      <c r="H595" s="18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297">
      <c r="A596" s="354" t="n"/>
      <c r="B596" s="14" t="n">
        <v>45552</v>
      </c>
      <c r="C596" s="15" t="n">
        <v>15</v>
      </c>
      <c r="D596" s="63" t="inlineStr">
        <is>
          <t>Tol  Jakarta - Cirebon</t>
        </is>
      </c>
      <c r="E596" s="63" t="n"/>
      <c r="F596" s="368" t="n">
        <v>245000</v>
      </c>
      <c r="G596" s="18" t="inlineStr">
        <is>
          <t>IDR</t>
        </is>
      </c>
      <c r="H596" s="376" t="n">
        <v>1</v>
      </c>
      <c r="I596" s="61" t="n"/>
      <c r="J596" s="362" t="n">
        <v>245000</v>
      </c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A597" s="354" t="n"/>
      <c r="B597" s="14" t="n">
        <v>45552</v>
      </c>
      <c r="C597" s="15" t="n">
        <v>16</v>
      </c>
      <c r="D597" s="63" t="inlineStr">
        <is>
          <t>Fuel</t>
        </is>
      </c>
      <c r="E597" s="63" t="n"/>
      <c r="F597" s="368" t="n">
        <v>180000</v>
      </c>
      <c r="G597" s="18" t="inlineStr">
        <is>
          <t>IDR</t>
        </is>
      </c>
      <c r="H597" s="376" t="n">
        <v>1</v>
      </c>
      <c r="I597" s="61" t="n"/>
      <c r="J597" s="362" t="n">
        <v>180000</v>
      </c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A598" s="354" t="n"/>
      <c r="B598" s="14" t="n">
        <v>45553</v>
      </c>
      <c r="C598" s="15" t="n">
        <v>17</v>
      </c>
      <c r="D598" s="63" t="inlineStr">
        <is>
          <t>Tol  Cirebon - Jakarta</t>
        </is>
      </c>
      <c r="E598" s="63" t="n"/>
      <c r="F598" s="368" t="n">
        <v>166000</v>
      </c>
      <c r="G598" s="18" t="inlineStr">
        <is>
          <t>IDR</t>
        </is>
      </c>
      <c r="H598" s="376" t="n">
        <v>1</v>
      </c>
      <c r="I598" s="61" t="n"/>
      <c r="J598" s="362" t="n">
        <v>166000</v>
      </c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A599" s="354" t="n"/>
      <c r="B599" s="14" t="n">
        <v>45553</v>
      </c>
      <c r="C599" s="15" t="n">
        <v>18</v>
      </c>
      <c r="D599" s="63" t="inlineStr">
        <is>
          <t>Fuel</t>
        </is>
      </c>
      <c r="E599" s="63" t="n"/>
      <c r="F599" s="368" t="n">
        <v>222650</v>
      </c>
      <c r="G599" s="18" t="inlineStr">
        <is>
          <t>IDR</t>
        </is>
      </c>
      <c r="H599" s="376" t="n">
        <v>1</v>
      </c>
      <c r="I599" s="61" t="n"/>
      <c r="J599" s="362" t="n">
        <v>222650</v>
      </c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7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45530</v>
      </c>
      <c r="C602" s="15" t="n">
        <v>1</v>
      </c>
      <c r="D602" s="18" t="inlineStr">
        <is>
          <t>Biaya Konsul Dokter Penyakit dalam</t>
        </is>
      </c>
      <c r="E602" s="18" t="n"/>
      <c r="F602" s="368" t="n">
        <v>854100</v>
      </c>
      <c r="G602" s="15" t="inlineStr">
        <is>
          <t>IDR</t>
        </is>
      </c>
      <c r="H602" s="364" t="n">
        <v>1</v>
      </c>
      <c r="I602" s="44" t="n"/>
      <c r="J602" s="44" t="n"/>
      <c r="K602" s="44" t="n"/>
      <c r="L602" s="44" t="n"/>
      <c r="M602" s="44" t="n"/>
      <c r="N602" s="44" t="n"/>
      <c r="O602" s="44" t="n"/>
      <c r="P602" s="362" t="n">
        <v>854100</v>
      </c>
      <c r="Q602" s="44" t="n"/>
    </row>
    <row r="603" ht="15.5" customHeight="1" s="297">
      <c r="A603" s="354" t="n"/>
      <c r="B603" s="14" t="n">
        <v>45532</v>
      </c>
      <c r="C603" s="15" t="n">
        <v>2</v>
      </c>
      <c r="D603" s="18" t="inlineStr">
        <is>
          <t>Fisioterapi 1st</t>
        </is>
      </c>
      <c r="E603" s="18" t="n"/>
      <c r="F603" s="368" t="n">
        <v>285000</v>
      </c>
      <c r="G603" s="15" t="inlineStr">
        <is>
          <t>IDR</t>
        </is>
      </c>
      <c r="H603" s="364" t="n">
        <v>1</v>
      </c>
      <c r="I603" s="44" t="n"/>
      <c r="J603" s="44" t="n"/>
      <c r="K603" s="44" t="n"/>
      <c r="L603" s="44" t="n"/>
      <c r="M603" s="44" t="n"/>
      <c r="N603" s="44" t="n"/>
      <c r="O603" s="44" t="n"/>
      <c r="P603" s="362" t="n">
        <v>285000</v>
      </c>
      <c r="Q603" s="44" t="n"/>
    </row>
    <row r="604" ht="15.5" customHeight="1" s="297">
      <c r="A604" s="354" t="n"/>
      <c r="B604" s="14" t="n">
        <v>45533</v>
      </c>
      <c r="C604" s="15" t="n">
        <v>3</v>
      </c>
      <c r="D604" s="18" t="inlineStr">
        <is>
          <t>Fisioterapi 2nd</t>
        </is>
      </c>
      <c r="E604" s="18" t="n"/>
      <c r="F604" s="368" t="n">
        <v>285000</v>
      </c>
      <c r="G604" s="15" t="inlineStr">
        <is>
          <t>IDR</t>
        </is>
      </c>
      <c r="H604" s="364" t="n">
        <v>1</v>
      </c>
      <c r="I604" s="44" t="n"/>
      <c r="J604" s="44" t="n"/>
      <c r="K604" s="44" t="n"/>
      <c r="L604" s="44" t="n"/>
      <c r="M604" s="44" t="n"/>
      <c r="N604" s="44" t="n"/>
      <c r="O604" s="44" t="n"/>
      <c r="P604" s="362" t="n">
        <v>285000</v>
      </c>
      <c r="Q604" s="44" t="n"/>
    </row>
    <row r="605" ht="15.5" customHeight="1" s="297">
      <c r="A605" s="354" t="n"/>
      <c r="B605" s="14" t="n">
        <v>45534</v>
      </c>
      <c r="C605" s="15" t="n">
        <v>4</v>
      </c>
      <c r="D605" s="18" t="inlineStr">
        <is>
          <t>Fisioterapi 3rd</t>
        </is>
      </c>
      <c r="E605" s="18" t="n"/>
      <c r="F605" s="368" t="n">
        <v>285000</v>
      </c>
      <c r="G605" s="15" t="inlineStr">
        <is>
          <t>IDR</t>
        </is>
      </c>
      <c r="H605" s="364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2" t="n">
        <v>285000</v>
      </c>
      <c r="Q605" s="44" t="n"/>
    </row>
    <row r="606" ht="15.5" customHeight="1" s="297">
      <c r="A606" s="354" t="n"/>
      <c r="B606" s="14" t="n">
        <v>45537</v>
      </c>
      <c r="C606" s="15" t="n">
        <v>5</v>
      </c>
      <c r="D606" s="18" t="inlineStr">
        <is>
          <t>Biaya Konsul Dokter Syaraf</t>
        </is>
      </c>
      <c r="E606" s="18" t="n"/>
      <c r="F606" s="368" t="n">
        <v>2906650</v>
      </c>
      <c r="G606" s="15" t="inlineStr">
        <is>
          <t>IDR</t>
        </is>
      </c>
      <c r="H606" s="364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2" t="n">
        <v>2906650</v>
      </c>
      <c r="Q606" s="44" t="n"/>
    </row>
    <row r="607" ht="15.5" customHeight="1" s="297">
      <c r="A607" s="354" t="n"/>
      <c r="B607" s="14" t="n">
        <v>45528</v>
      </c>
      <c r="C607" s="15" t="n">
        <v>6</v>
      </c>
      <c r="D607" s="18" t="inlineStr">
        <is>
          <t>Medicine</t>
        </is>
      </c>
      <c r="E607" s="18" t="n"/>
      <c r="F607" s="368" t="n">
        <v>36000</v>
      </c>
      <c r="G607" s="15" t="inlineStr">
        <is>
          <t>IDR</t>
        </is>
      </c>
      <c r="H607" s="364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2" t="n">
        <v>36000</v>
      </c>
      <c r="Q607" s="44" t="n"/>
    </row>
    <row r="608" ht="15.5" customHeight="1" s="297">
      <c r="A608" s="354" t="n"/>
      <c r="B608" s="14" t="n">
        <v>45536</v>
      </c>
      <c r="C608" s="15" t="n">
        <v>7</v>
      </c>
      <c r="D608" s="18" t="inlineStr">
        <is>
          <t>medicine</t>
        </is>
      </c>
      <c r="E608" s="18" t="n"/>
      <c r="F608" s="368" t="n">
        <v>45000</v>
      </c>
      <c r="G608" s="15" t="inlineStr">
        <is>
          <t>IDR</t>
        </is>
      </c>
      <c r="H608" s="364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45000</v>
      </c>
      <c r="Q608" s="44" t="n"/>
    </row>
    <row r="609" ht="15.5" customHeight="1" s="297">
      <c r="A609" s="354" t="n"/>
      <c r="B609" s="14" t="n">
        <v>45547</v>
      </c>
      <c r="C609" s="15" t="n">
        <v>8</v>
      </c>
      <c r="D609" s="18" t="inlineStr">
        <is>
          <t>Medicine</t>
        </is>
      </c>
      <c r="E609" s="18" t="n"/>
      <c r="F609" s="368" t="n">
        <v>241100</v>
      </c>
      <c r="G609" s="15" t="inlineStr">
        <is>
          <t>IDR</t>
        </is>
      </c>
      <c r="H609" s="364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241100</v>
      </c>
      <c r="Q609" s="44" t="n"/>
    </row>
    <row r="610" ht="15.5" customHeight="1" s="297">
      <c r="A610" s="354" t="n"/>
      <c r="B610" s="14" t="n">
        <v>45566</v>
      </c>
      <c r="C610" s="15" t="n">
        <v>9</v>
      </c>
      <c r="D610" s="18" t="inlineStr">
        <is>
          <t>Biaya Konsul ke 2, Dokter Jantung</t>
        </is>
      </c>
      <c r="E610" s="18" t="n"/>
      <c r="F610" s="368" t="n">
        <v>1370000</v>
      </c>
      <c r="G610" s="15" t="inlineStr">
        <is>
          <t>IDR</t>
        </is>
      </c>
      <c r="H610" s="364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2" t="n">
        <v>1370000</v>
      </c>
      <c r="Q610" s="44" t="n"/>
    </row>
    <row r="611" ht="15.5" customHeight="1" s="297">
      <c r="A611" s="354" t="n"/>
      <c r="B611" s="14" t="n"/>
      <c r="C611" s="15" t="n"/>
      <c r="D611" s="367" t="inlineStr">
        <is>
          <t>Shipping</t>
        </is>
      </c>
      <c r="E611" s="124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A612" s="354" t="n"/>
      <c r="B612" s="14" t="n">
        <v>45537</v>
      </c>
      <c r="C612" s="15" t="n">
        <v>10</v>
      </c>
      <c r="D612" s="18" t="inlineStr">
        <is>
          <t>Pengiriman dokumen ke Yufitri</t>
        </is>
      </c>
      <c r="E612" s="18" t="n"/>
      <c r="F612" s="368" t="n">
        <v>10000</v>
      </c>
      <c r="G612" s="15" t="inlineStr">
        <is>
          <t>IDR</t>
        </is>
      </c>
      <c r="H612" s="364" t="n">
        <v>1</v>
      </c>
      <c r="I612" s="44" t="n"/>
      <c r="J612" s="362" t="n">
        <v>10000</v>
      </c>
      <c r="K612" s="44" t="n"/>
      <c r="L612" s="44" t="n"/>
      <c r="M612" s="44" t="n"/>
      <c r="N612" s="44" t="n"/>
      <c r="O612" s="44" t="n"/>
      <c r="P612" s="362" t="n"/>
      <c r="Q612" s="44" t="n"/>
    </row>
    <row r="613" ht="15.5" customHeight="1" s="297">
      <c r="A613" s="354" t="n"/>
      <c r="B613" s="14" t="n">
        <v>45520</v>
      </c>
      <c r="C613" s="15" t="n">
        <v>11</v>
      </c>
      <c r="D613" s="18" t="inlineStr">
        <is>
          <t>Pengiriman dokumen ke Yulia - LBU</t>
        </is>
      </c>
      <c r="E613" s="18" t="n"/>
      <c r="F613" s="368" t="n">
        <v>18000</v>
      </c>
      <c r="G613" s="15" t="inlineStr">
        <is>
          <t>IDR</t>
        </is>
      </c>
      <c r="H613" s="364" t="n">
        <v>1</v>
      </c>
      <c r="I613" s="44" t="n"/>
      <c r="J613" s="362" t="n">
        <v>18000</v>
      </c>
      <c r="K613" s="44" t="n"/>
      <c r="L613" s="44" t="n"/>
      <c r="M613" s="44" t="n"/>
      <c r="N613" s="44" t="n"/>
      <c r="O613" s="44" t="n"/>
      <c r="P613" s="362" t="n"/>
      <c r="Q613" s="44" t="n"/>
    </row>
    <row r="614" ht="15.5" customHeight="1" s="297">
      <c r="A614" s="354" t="n"/>
      <c r="B614" s="14" t="n">
        <v>45537</v>
      </c>
      <c r="C614" s="15" t="n">
        <v>12</v>
      </c>
      <c r="D614" s="18" t="inlineStr">
        <is>
          <t>Pengiriman dokumen ke Rachmansyah-Sijak</t>
        </is>
      </c>
      <c r="E614" s="18" t="n"/>
      <c r="F614" s="368" t="n">
        <v>18000</v>
      </c>
      <c r="G614" s="15" t="inlineStr">
        <is>
          <t>IDR</t>
        </is>
      </c>
      <c r="H614" s="364" t="n">
        <v>1</v>
      </c>
      <c r="I614" s="44" t="n"/>
      <c r="J614" s="362" t="n">
        <v>18000</v>
      </c>
      <c r="K614" s="44" t="n"/>
      <c r="L614" s="44" t="n"/>
      <c r="M614" s="44" t="n"/>
      <c r="N614" s="44" t="n"/>
      <c r="O614" s="44" t="n"/>
      <c r="P614" s="362" t="n"/>
      <c r="Q614" s="44" t="n"/>
    </row>
    <row r="615" ht="15.5" customHeight="1" s="297">
      <c r="A615" s="354" t="n"/>
      <c r="B615" s="14" t="n">
        <v>45436</v>
      </c>
      <c r="C615" s="15" t="n">
        <v>13</v>
      </c>
      <c r="D615" s="18" t="inlineStr">
        <is>
          <t>Buy lag ban 2 ea</t>
        </is>
      </c>
      <c r="E615" s="18" t="n"/>
      <c r="F615" s="368" t="n">
        <v>25000</v>
      </c>
      <c r="G615" s="15" t="inlineStr">
        <is>
          <t>IDR</t>
        </is>
      </c>
      <c r="H615" s="364" t="n">
        <v>1</v>
      </c>
      <c r="I615" s="44" t="n"/>
      <c r="J615" s="362" t="n">
        <v>25000</v>
      </c>
      <c r="K615" s="44" t="n"/>
      <c r="L615" s="44" t="n"/>
      <c r="M615" s="44" t="n"/>
      <c r="N615" s="44" t="n"/>
      <c r="O615" s="44" t="n"/>
      <c r="P615" s="362" t="n"/>
      <c r="Q615" s="44" t="n"/>
    </row>
    <row r="616" ht="15.5" customHeight="1" s="297">
      <c r="A616" s="354" t="n"/>
      <c r="B616" s="14" t="n">
        <v>45530</v>
      </c>
      <c r="C616" s="15" t="n">
        <v>14</v>
      </c>
      <c r="D616" s="18" t="inlineStr">
        <is>
          <t>printing di snappy</t>
        </is>
      </c>
      <c r="E616" s="18" t="n"/>
      <c r="F616" s="368" t="n">
        <v>31000</v>
      </c>
      <c r="G616" s="15" t="inlineStr">
        <is>
          <t>IDR</t>
        </is>
      </c>
      <c r="H616" s="364" t="n">
        <v>1</v>
      </c>
      <c r="I616" s="44" t="n"/>
      <c r="J616" s="362" t="n">
        <v>31000</v>
      </c>
      <c r="K616" s="44" t="n"/>
      <c r="L616" s="44" t="n"/>
      <c r="M616" s="44" t="n"/>
      <c r="N616" s="44" t="n"/>
      <c r="O616" s="44" t="n"/>
      <c r="P616" s="362" t="n"/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5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9" t="n">
        <v>1584184</v>
      </c>
      <c r="G619" s="91" t="inlineStr">
        <is>
          <t>IDR</t>
        </is>
      </c>
      <c r="H619" s="361" t="n">
        <v>1</v>
      </c>
      <c r="I619" s="62" t="n"/>
      <c r="J619" s="362" t="n">
        <v>1584184</v>
      </c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A620" s="354" t="n"/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9" t="n">
        <v>250000</v>
      </c>
      <c r="G620" s="91" t="inlineStr">
        <is>
          <t>IDR</t>
        </is>
      </c>
      <c r="H620" s="361" t="n">
        <v>1</v>
      </c>
      <c r="I620" s="62" t="n"/>
      <c r="J620" s="362" t="n">
        <v>250000</v>
      </c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A621" s="354" t="n"/>
      <c r="B621" s="292" t="n"/>
      <c r="C621" s="91" t="n"/>
      <c r="D621" s="365" t="inlineStr">
        <is>
          <t>Allowance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A622" s="354" t="n"/>
      <c r="B622" s="292" t="n">
        <v>45558</v>
      </c>
      <c r="C622" s="91" t="n">
        <v>3</v>
      </c>
      <c r="D622" s="95" t="inlineStr">
        <is>
          <t>Field Allowance</t>
        </is>
      </c>
      <c r="E622" s="95" t="n"/>
      <c r="F622" s="369" t="n">
        <v>7615500</v>
      </c>
      <c r="G622" s="91" t="inlineStr">
        <is>
          <t>USD</t>
        </is>
      </c>
      <c r="H622" s="361" t="n">
        <v>15231</v>
      </c>
      <c r="I622" s="62" t="n"/>
      <c r="J622" s="362" t="n">
        <v>7615500</v>
      </c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A623" s="354" t="n"/>
      <c r="B623" s="292" t="n">
        <v>45558</v>
      </c>
      <c r="C623" s="91" t="n">
        <v>4</v>
      </c>
      <c r="D623" s="95" t="inlineStr">
        <is>
          <t>Meals</t>
        </is>
      </c>
      <c r="E623" s="95" t="n"/>
      <c r="F623" s="369" t="n">
        <v>750000</v>
      </c>
      <c r="G623" s="91" t="inlineStr">
        <is>
          <t>IDR</t>
        </is>
      </c>
      <c r="H623" s="361" t="n">
        <v>1</v>
      </c>
      <c r="I623" s="62" t="n"/>
      <c r="J623" s="362" t="n">
        <v>750000</v>
      </c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A624" s="354" t="n"/>
      <c r="B624" s="292" t="n"/>
      <c r="C624" s="91" t="n"/>
      <c r="D624" s="365" t="inlineStr">
        <is>
          <t>Transportation</t>
        </is>
      </c>
      <c r="E624" s="97" t="n"/>
      <c r="F624" s="103" t="n"/>
      <c r="G624" s="91" t="n"/>
      <c r="H624" s="91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A625" s="354" t="n"/>
      <c r="B625" s="292" t="n">
        <v>45558</v>
      </c>
      <c r="C625" s="91" t="n">
        <v>5</v>
      </c>
      <c r="D625" s="95" t="inlineStr">
        <is>
          <t>Train Ticket Gambir-Cepu (2 pax)</t>
        </is>
      </c>
      <c r="E625" s="95" t="n"/>
      <c r="F625" s="369" t="n">
        <v>1213500</v>
      </c>
      <c r="G625" s="91" t="inlineStr">
        <is>
          <t>IDR</t>
        </is>
      </c>
      <c r="H625" s="361" t="n">
        <v>1</v>
      </c>
      <c r="I625" s="62" t="n"/>
      <c r="J625" s="362" t="n">
        <v>1213500</v>
      </c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A626" s="354" t="n"/>
      <c r="B626" s="292" t="n">
        <v>45558</v>
      </c>
      <c r="C626" s="91" t="n">
        <v>6</v>
      </c>
      <c r="D626" s="95" t="inlineStr">
        <is>
          <t>Taxi Pondok Cabe-Gambir</t>
        </is>
      </c>
      <c r="E626" s="95" t="n"/>
      <c r="F626" s="369" t="n">
        <v>132500</v>
      </c>
      <c r="G626" s="91" t="inlineStr">
        <is>
          <t>IDR</t>
        </is>
      </c>
      <c r="H626" s="361" t="n">
        <v>1</v>
      </c>
      <c r="I626" s="62" t="n"/>
      <c r="J626" s="362" t="n">
        <v>132500</v>
      </c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297">
      <c r="A627" s="354" t="n"/>
      <c r="B627" s="292" t="n">
        <v>45558</v>
      </c>
      <c r="C627" s="91" t="n">
        <v>7</v>
      </c>
      <c r="D627" s="95" t="inlineStr">
        <is>
          <t>Demob Tools (Kalog)</t>
        </is>
      </c>
      <c r="E627" s="95" t="n"/>
      <c r="F627" s="369" t="n">
        <v>280400</v>
      </c>
      <c r="G627" s="91" t="inlineStr">
        <is>
          <t>IDR</t>
        </is>
      </c>
      <c r="H627" s="361" t="n">
        <v>1</v>
      </c>
      <c r="I627" s="62" t="n"/>
      <c r="J627" s="362" t="n">
        <v>280400</v>
      </c>
      <c r="K627" s="44" t="n"/>
      <c r="L627" s="44" t="n"/>
      <c r="M627" s="44" t="n"/>
      <c r="N627" s="44" t="n"/>
      <c r="O627" s="44" t="n"/>
      <c r="P627" s="44" t="n"/>
      <c r="Q627" s="44" t="n"/>
    </row>
    <row r="628" ht="15.5" customHeight="1" s="297">
      <c r="A628" s="354" t="n"/>
      <c r="B628" s="292" t="n">
        <v>45558</v>
      </c>
      <c r="C628" s="91" t="n">
        <v>8</v>
      </c>
      <c r="D628" s="95" t="inlineStr">
        <is>
          <t>Taxi Gambir-Pondok Cabe (inc Toll+Parking)</t>
        </is>
      </c>
      <c r="E628" s="95" t="n"/>
      <c r="F628" s="369" t="n">
        <v>326600</v>
      </c>
      <c r="G628" s="91" t="inlineStr">
        <is>
          <t>IDR</t>
        </is>
      </c>
      <c r="H628" s="361" t="n">
        <v>1</v>
      </c>
      <c r="I628" s="62" t="n"/>
      <c r="J628" s="362" t="n">
        <v>326600</v>
      </c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297">
      <c r="A629" s="354" t="n"/>
      <c r="B629" s="292" t="n">
        <v>45558</v>
      </c>
      <c r="C629" s="91" t="n">
        <v>9</v>
      </c>
      <c r="D629" s="95" t="inlineStr">
        <is>
          <t>Train Ticket Bojonegoro-Gambir (2 pax)</t>
        </is>
      </c>
      <c r="E629" s="95" t="n"/>
      <c r="F629" s="369" t="n">
        <v>1653500</v>
      </c>
      <c r="G629" s="91" t="inlineStr">
        <is>
          <t>IDR</t>
        </is>
      </c>
      <c r="H629" s="361" t="n">
        <v>1</v>
      </c>
      <c r="I629" s="62" t="n"/>
      <c r="J629" s="362" t="n">
        <v>1653500</v>
      </c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297">
      <c r="A630" s="354" t="n"/>
      <c r="B630" s="292" t="n">
        <v>45558</v>
      </c>
      <c r="C630" s="91" t="n">
        <v>10</v>
      </c>
      <c r="D630" s="95" t="inlineStr">
        <is>
          <t>Lalamove Kalog-Gowell</t>
        </is>
      </c>
      <c r="E630" s="95" t="n"/>
      <c r="F630" s="369" t="n">
        <v>73584</v>
      </c>
      <c r="G630" s="91" t="inlineStr">
        <is>
          <t>IDR</t>
        </is>
      </c>
      <c r="H630" s="361" t="n">
        <v>1</v>
      </c>
      <c r="I630" s="62" t="n"/>
      <c r="J630" s="362" t="n">
        <v>73584</v>
      </c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7" t="inlineStr">
        <is>
          <t>Accommodation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Laundry 18 days @ 50K IDR/day</t>
        </is>
      </c>
      <c r="E633" s="63" t="n"/>
      <c r="F633" s="368" t="n">
        <v>900000</v>
      </c>
      <c r="G633" s="15" t="inlineStr">
        <is>
          <t>IDR</t>
        </is>
      </c>
      <c r="H633" s="364" t="n">
        <v>1</v>
      </c>
      <c r="I633" s="61" t="n"/>
      <c r="J633" s="362" t="n">
        <v>900000</v>
      </c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A634" s="354" t="n"/>
      <c r="B634" s="102" t="n"/>
      <c r="C634" s="15" t="n"/>
      <c r="D634" s="367" t="inlineStr">
        <is>
          <t>Allowance</t>
        </is>
      </c>
      <c r="E634" s="106" t="n"/>
      <c r="F634" s="21" t="n"/>
      <c r="G634" s="15" t="n"/>
      <c r="H634" s="15" t="n"/>
      <c r="I634" s="44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297">
      <c r="A635" s="354" t="n"/>
      <c r="B635" s="102" t="n">
        <v>45585</v>
      </c>
      <c r="C635" s="15" t="n">
        <v>2</v>
      </c>
      <c r="D635" s="63" t="inlineStr">
        <is>
          <t>Meal 18 days @ 150K IDR/day</t>
        </is>
      </c>
      <c r="E635" s="63" t="n"/>
      <c r="F635" s="368" t="n">
        <v>2700000</v>
      </c>
      <c r="G635" s="15" t="inlineStr">
        <is>
          <t>IDR</t>
        </is>
      </c>
      <c r="H635" s="364" t="n">
        <v>1</v>
      </c>
      <c r="I635" s="61" t="n"/>
      <c r="J635" s="362" t="n">
        <v>2700000</v>
      </c>
      <c r="K635" s="44" t="n"/>
      <c r="L635" s="44" t="n"/>
      <c r="M635" s="44" t="n"/>
      <c r="N635" s="61" t="n"/>
      <c r="O635" s="44" t="n"/>
      <c r="P635" s="44" t="n"/>
      <c r="Q635" s="44" t="n"/>
    </row>
    <row r="636" ht="15.5" customHeight="1" s="297">
      <c r="A636" s="354" t="n"/>
      <c r="B636" s="102" t="n">
        <v>45585</v>
      </c>
      <c r="C636" s="15" t="n">
        <v>3</v>
      </c>
      <c r="D636" s="63" t="inlineStr">
        <is>
          <t>Field Allowance for 18 days</t>
        </is>
      </c>
      <c r="E636" s="63" t="n"/>
      <c r="F636" s="368" t="n">
        <v>28528200</v>
      </c>
      <c r="G636" s="15" t="inlineStr">
        <is>
          <t>USD</t>
        </is>
      </c>
      <c r="H636" s="364" t="n">
        <v>15849</v>
      </c>
      <c r="I636" s="61" t="n"/>
      <c r="J636" s="362" t="n">
        <v>28528200</v>
      </c>
      <c r="K636" s="44" t="n"/>
      <c r="L636" s="44" t="n"/>
      <c r="M636" s="44" t="n"/>
      <c r="N636" s="61" t="n"/>
      <c r="O636" s="44" t="n"/>
      <c r="P636" s="44" t="n"/>
      <c r="Q636" s="44" t="n"/>
    </row>
    <row r="637" ht="15.5" customHeight="1" s="297">
      <c r="A637" s="354" t="n"/>
      <c r="B637" s="102" t="n"/>
      <c r="C637" s="15" t="n"/>
      <c r="D637" s="367" t="inlineStr">
        <is>
          <t>Meal</t>
        </is>
      </c>
      <c r="E637" s="106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A638" s="354" t="n"/>
      <c r="B638" s="102" t="n">
        <v>45585</v>
      </c>
      <c r="C638" s="15" t="n">
        <v>4</v>
      </c>
      <c r="D638" s="63" t="inlineStr">
        <is>
          <t>operation meal with BHI person</t>
        </is>
      </c>
      <c r="E638" s="63" t="n"/>
      <c r="F638" s="368" t="n">
        <v>1102050</v>
      </c>
      <c r="G638" s="15" t="inlineStr">
        <is>
          <t>IDR</t>
        </is>
      </c>
      <c r="H638" s="364" t="n">
        <v>1</v>
      </c>
      <c r="I638" s="61" t="n"/>
      <c r="J638" s="362" t="n">
        <v>1102050</v>
      </c>
      <c r="K638" s="44" t="n"/>
      <c r="L638" s="44" t="n"/>
      <c r="M638" s="44" t="n"/>
      <c r="N638" s="61" t="n"/>
      <c r="O638" s="44" t="n"/>
      <c r="P638" s="44" t="n"/>
      <c r="Q638" s="44" t="n"/>
    </row>
    <row r="639" ht="15.5" customHeight="1" s="297">
      <c r="A639" s="354" t="n"/>
      <c r="B639" s="102" t="n"/>
      <c r="C639" s="15" t="n"/>
      <c r="D639" s="367" t="inlineStr">
        <is>
          <t>Transportation</t>
        </is>
      </c>
      <c r="E639" s="106" t="n"/>
      <c r="F639" s="21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A640" s="354" t="n"/>
      <c r="B640" s="102" t="n">
        <v>45568</v>
      </c>
      <c r="C640" s="15" t="n">
        <v>5</v>
      </c>
      <c r="D640" s="63" t="inlineStr">
        <is>
          <t>Taxi Anevril Home - CGK Airport</t>
        </is>
      </c>
      <c r="E640" s="63" t="n"/>
      <c r="F640" s="368" t="n">
        <v>250000</v>
      </c>
      <c r="G640" s="15" t="inlineStr">
        <is>
          <t>IDR</t>
        </is>
      </c>
      <c r="H640" s="364" t="n">
        <v>1</v>
      </c>
      <c r="I640" s="61" t="n"/>
      <c r="J640" s="362" t="n">
        <v>250000</v>
      </c>
      <c r="K640" s="44" t="n"/>
      <c r="L640" s="44" t="n"/>
      <c r="M640" s="44" t="n"/>
      <c r="N640" s="61" t="n"/>
      <c r="O640" s="44" t="n"/>
      <c r="P640" s="44" t="n"/>
      <c r="Q640" s="44" t="n"/>
    </row>
    <row r="641" ht="15.5" customHeight="1" s="297">
      <c r="A641" s="354" t="n"/>
      <c r="B641" s="102" t="n">
        <v>45585</v>
      </c>
      <c r="C641" s="15" t="n">
        <v>6</v>
      </c>
      <c r="D641" s="63" t="inlineStr">
        <is>
          <t>Taxi Anevril CGK Airport - Home</t>
        </is>
      </c>
      <c r="E641" s="63" t="n"/>
      <c r="F641" s="368" t="n">
        <v>250000</v>
      </c>
      <c r="G641" s="15" t="inlineStr">
        <is>
          <t>IDR</t>
        </is>
      </c>
      <c r="H641" s="364" t="n">
        <v>1</v>
      </c>
      <c r="I641" s="61" t="n"/>
      <c r="J641" s="362" t="n">
        <v>250000</v>
      </c>
      <c r="K641" s="44" t="n"/>
      <c r="L641" s="44" t="n"/>
      <c r="M641" s="44" t="n"/>
      <c r="N641" s="61" t="n"/>
      <c r="O641" s="44" t="n"/>
      <c r="P641" s="44" t="n"/>
      <c r="Q641" s="44" t="n"/>
    </row>
    <row r="642" hidden="1" ht="15.5" customHeight="1" s="297">
      <c r="B642" s="102" t="n"/>
      <c r="C642" s="15" t="n"/>
      <c r="D642" s="108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6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5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9" t="n">
        <v>2700000</v>
      </c>
      <c r="G646" s="91" t="inlineStr">
        <is>
          <t>IDR</t>
        </is>
      </c>
      <c r="H646" s="361" t="n">
        <v>1</v>
      </c>
      <c r="I646" s="61" t="n"/>
      <c r="J646" s="362" t="n">
        <v>2700000</v>
      </c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A647" s="354" t="n"/>
      <c r="B647" s="292" t="n"/>
      <c r="C647" s="91" t="n"/>
      <c r="D647" s="365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A648" s="354" t="n"/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9" t="n">
        <v>15000</v>
      </c>
      <c r="G648" s="91" t="inlineStr">
        <is>
          <t>IDR</t>
        </is>
      </c>
      <c r="H648" s="361" t="n">
        <v>1</v>
      </c>
      <c r="I648" s="61" t="n"/>
      <c r="J648" s="362" t="n">
        <v>15000</v>
      </c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A649" s="354" t="n"/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9" t="n">
        <v>15000</v>
      </c>
      <c r="G649" s="91" t="inlineStr">
        <is>
          <t>IDR</t>
        </is>
      </c>
      <c r="H649" s="361" t="n">
        <v>1</v>
      </c>
      <c r="I649" s="61" t="n"/>
      <c r="J649" s="362" t="n">
        <v>15000</v>
      </c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A650" s="354" t="n"/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9" t="n">
        <v>15000</v>
      </c>
      <c r="G650" s="91" t="inlineStr">
        <is>
          <t>IDR</t>
        </is>
      </c>
      <c r="H650" s="361" t="n">
        <v>1</v>
      </c>
      <c r="I650" s="61" t="n"/>
      <c r="J650" s="362" t="n">
        <v>15000</v>
      </c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A651" s="354" t="n"/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9" t="n">
        <v>14000</v>
      </c>
      <c r="G651" s="91" t="inlineStr">
        <is>
          <t>IDR</t>
        </is>
      </c>
      <c r="H651" s="361" t="n">
        <v>1</v>
      </c>
      <c r="I651" s="61" t="n"/>
      <c r="J651" s="362" t="n">
        <v>14000</v>
      </c>
      <c r="K651" s="44" t="n"/>
      <c r="L651" s="44" t="n"/>
      <c r="M651" s="44" t="n"/>
      <c r="N651" s="44" t="n"/>
      <c r="O651" s="44" t="n"/>
      <c r="P651" s="44" t="n"/>
      <c r="Q651" s="44" t="n"/>
    </row>
    <row r="652" ht="15.5" customHeight="1" s="297">
      <c r="A652" s="354" t="n"/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9" t="n">
        <v>3000</v>
      </c>
      <c r="G652" s="91" t="inlineStr">
        <is>
          <t>IDR</t>
        </is>
      </c>
      <c r="H652" s="361" t="n">
        <v>1</v>
      </c>
      <c r="I652" s="61" t="n"/>
      <c r="J652" s="362" t="n">
        <v>3000</v>
      </c>
      <c r="K652" s="44" t="n"/>
      <c r="L652" s="44" t="n"/>
      <c r="M652" s="44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7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77" t="n">
        <v>45572</v>
      </c>
      <c r="C655" s="141" t="n">
        <v>1</v>
      </c>
      <c r="D655" s="145" t="inlineStr">
        <is>
          <t>Materai 6 pcs</t>
        </is>
      </c>
      <c r="E655" s="145" t="n"/>
      <c r="F655" s="378" t="n">
        <v>62000</v>
      </c>
      <c r="G655" s="15" t="inlineStr">
        <is>
          <t>IDR</t>
        </is>
      </c>
      <c r="H655" s="364" t="n">
        <v>1</v>
      </c>
      <c r="I655" s="44" t="n"/>
      <c r="J655" s="44" t="n"/>
      <c r="K655" s="44" t="n"/>
      <c r="L655" s="44" t="n"/>
      <c r="M655" s="371" t="n">
        <v>62000</v>
      </c>
      <c r="N655" s="44" t="n"/>
      <c r="O655" s="44" t="n"/>
      <c r="P655" s="44" t="n"/>
      <c r="Q655" s="44" t="n"/>
    </row>
    <row r="656" ht="15.5" customHeight="1" s="297">
      <c r="A656" s="354" t="n"/>
      <c r="B656" s="377" t="n">
        <v>45555</v>
      </c>
      <c r="C656" s="141" t="n">
        <v>2</v>
      </c>
      <c r="D656" s="145" t="inlineStr">
        <is>
          <t>JNE courier</t>
        </is>
      </c>
      <c r="E656" s="145" t="n"/>
      <c r="F656" s="378" t="n">
        <v>18000</v>
      </c>
      <c r="G656" s="15" t="inlineStr">
        <is>
          <t>IDR</t>
        </is>
      </c>
      <c r="H656" s="364" t="n">
        <v>1</v>
      </c>
      <c r="I656" s="44" t="n"/>
      <c r="J656" s="362" t="n">
        <v>18000</v>
      </c>
      <c r="K656" s="44" t="n"/>
      <c r="L656" s="44" t="n"/>
      <c r="M656" s="371" t="n"/>
      <c r="N656" s="44" t="n"/>
      <c r="O656" s="44" t="n"/>
      <c r="P656" s="44" t="n"/>
      <c r="Q656" s="44" t="n"/>
    </row>
    <row r="657" ht="15.5" customHeight="1" s="297">
      <c r="A657" s="354" t="n"/>
      <c r="B657" s="377" t="n">
        <v>45560</v>
      </c>
      <c r="C657" s="141" t="n">
        <v>3</v>
      </c>
      <c r="D657" s="145" t="inlineStr">
        <is>
          <t>POS courier</t>
        </is>
      </c>
      <c r="E657" s="145" t="n"/>
      <c r="F657" s="378" t="n">
        <v>8000</v>
      </c>
      <c r="G657" s="15" t="inlineStr">
        <is>
          <t>IDR</t>
        </is>
      </c>
      <c r="H657" s="364" t="n">
        <v>1</v>
      </c>
      <c r="I657" s="44" t="n"/>
      <c r="J657" s="362" t="n">
        <v>8000</v>
      </c>
      <c r="K657" s="44" t="n"/>
      <c r="L657" s="44" t="n"/>
      <c r="M657" s="371" t="n"/>
      <c r="N657" s="44" t="n"/>
      <c r="O657" s="44" t="n"/>
      <c r="P657" s="44" t="n"/>
      <c r="Q657" s="44" t="n"/>
    </row>
    <row r="658" ht="15.5" customHeight="1" s="297">
      <c r="A658" s="354" t="n"/>
      <c r="B658" s="377" t="n">
        <v>45574</v>
      </c>
      <c r="C658" s="141" t="n">
        <v>4</v>
      </c>
      <c r="D658" s="145" t="inlineStr">
        <is>
          <t>POS courier</t>
        </is>
      </c>
      <c r="E658" s="145" t="n"/>
      <c r="F658" s="378" t="n">
        <v>15000</v>
      </c>
      <c r="G658" s="15" t="inlineStr">
        <is>
          <t>IDR</t>
        </is>
      </c>
      <c r="H658" s="364" t="n">
        <v>1</v>
      </c>
      <c r="I658" s="44" t="n"/>
      <c r="J658" s="362" t="n">
        <v>15000</v>
      </c>
      <c r="K658" s="44" t="n"/>
      <c r="L658" s="44" t="n"/>
      <c r="M658" s="371" t="n"/>
      <c r="N658" s="44" t="n"/>
      <c r="O658" s="44" t="n"/>
      <c r="P658" s="44" t="n"/>
      <c r="Q658" s="44" t="n"/>
    </row>
    <row r="659" ht="15.5" customHeight="1" s="297">
      <c r="A659" s="354" t="n"/>
      <c r="B659" s="377" t="n">
        <v>45579</v>
      </c>
      <c r="C659" s="141" t="n">
        <v>5</v>
      </c>
      <c r="D659" s="145" t="inlineStr">
        <is>
          <t>JNE courier</t>
        </is>
      </c>
      <c r="E659" s="145" t="n"/>
      <c r="F659" s="378" t="n">
        <v>10000</v>
      </c>
      <c r="G659" s="15" t="inlineStr">
        <is>
          <t>IDR</t>
        </is>
      </c>
      <c r="H659" s="364" t="n">
        <v>1</v>
      </c>
      <c r="I659" s="44" t="n"/>
      <c r="J659" s="362" t="n">
        <v>10000</v>
      </c>
      <c r="K659" s="44" t="n"/>
      <c r="L659" s="44" t="n"/>
      <c r="M659" s="371" t="n"/>
      <c r="N659" s="44" t="n"/>
      <c r="O659" s="44" t="n"/>
      <c r="P659" s="44" t="n"/>
      <c r="Q659" s="44" t="n"/>
    </row>
    <row r="660" ht="15.5" customHeight="1" s="297">
      <c r="A660" s="354" t="n"/>
      <c r="B660" s="377" t="n">
        <v>45579</v>
      </c>
      <c r="C660" s="141" t="n">
        <v>6</v>
      </c>
      <c r="D660" s="145" t="inlineStr">
        <is>
          <t>Materai 10 pcs</t>
        </is>
      </c>
      <c r="E660" s="145" t="n"/>
      <c r="F660" s="378" t="n">
        <v>103000</v>
      </c>
      <c r="G660" s="15" t="inlineStr">
        <is>
          <t>IDR</t>
        </is>
      </c>
      <c r="H660" s="364" t="n">
        <v>1</v>
      </c>
      <c r="I660" s="44" t="n"/>
      <c r="J660" s="44" t="n"/>
      <c r="K660" s="44" t="n"/>
      <c r="L660" s="44" t="n"/>
      <c r="M660" s="371" t="n">
        <v>103000</v>
      </c>
      <c r="N660" s="44" t="n"/>
      <c r="O660" s="44" t="n"/>
      <c r="P660" s="44" t="n"/>
      <c r="Q660" s="44" t="n"/>
    </row>
    <row r="661" ht="15.5" customHeight="1" s="297">
      <c r="A661" s="354" t="n"/>
      <c r="B661" s="377" t="n">
        <v>45582</v>
      </c>
      <c r="C661" s="141" t="n">
        <v>7</v>
      </c>
      <c r="D661" s="145" t="inlineStr">
        <is>
          <t>Materai 5 pcs</t>
        </is>
      </c>
      <c r="E661" s="145" t="n"/>
      <c r="F661" s="378" t="n">
        <v>55000</v>
      </c>
      <c r="G661" s="15" t="inlineStr">
        <is>
          <t>IDR</t>
        </is>
      </c>
      <c r="H661" s="364" t="n">
        <v>1</v>
      </c>
      <c r="I661" s="44" t="n"/>
      <c r="J661" s="44" t="n"/>
      <c r="K661" s="44" t="n"/>
      <c r="L661" s="44" t="n"/>
      <c r="M661" s="371" t="n">
        <v>55000</v>
      </c>
      <c r="N661" s="44" t="n"/>
      <c r="O661" s="44" t="n"/>
      <c r="P661" s="44" t="n"/>
      <c r="Q661" s="44" t="n"/>
    </row>
    <row r="662" ht="15.5" customHeight="1" s="297">
      <c r="A662" s="354" t="n"/>
      <c r="B662" s="377" t="n">
        <v>45617</v>
      </c>
      <c r="C662" s="141" t="n">
        <v>8</v>
      </c>
      <c r="D662" s="145" t="inlineStr">
        <is>
          <t>Materai 10 pcs</t>
        </is>
      </c>
      <c r="E662" s="145" t="n"/>
      <c r="F662" s="378" t="n">
        <v>103000</v>
      </c>
      <c r="G662" s="15" t="inlineStr">
        <is>
          <t>IDR</t>
        </is>
      </c>
      <c r="H662" s="364" t="n">
        <v>1</v>
      </c>
      <c r="I662" s="44" t="n"/>
      <c r="J662" s="44" t="n"/>
      <c r="K662" s="44" t="n"/>
      <c r="L662" s="44" t="n"/>
      <c r="M662" s="371" t="n">
        <v>103000</v>
      </c>
      <c r="N662" s="44" t="n"/>
      <c r="O662" s="44" t="n"/>
      <c r="P662" s="44" t="n"/>
      <c r="Q662" s="44" t="n"/>
    </row>
    <row r="663" ht="15.5" customHeight="1" s="297">
      <c r="A663" s="354" t="n"/>
      <c r="B663" s="140" t="n"/>
      <c r="C663" s="141" t="n"/>
      <c r="D663" s="367" t="inlineStr">
        <is>
          <t>Transportation</t>
        </is>
      </c>
      <c r="E663" s="142" t="n"/>
      <c r="F663" s="143" t="n"/>
      <c r="G663" s="15" t="n"/>
      <c r="H663" s="15" t="n"/>
      <c r="I663" s="44" t="n"/>
      <c r="J663" s="44" t="n"/>
      <c r="K663" s="44" t="n"/>
      <c r="L663" s="44" t="n"/>
      <c r="M663" s="44" t="n"/>
      <c r="N663" s="61" t="n"/>
      <c r="O663" s="44" t="n"/>
      <c r="P663" s="44" t="n"/>
      <c r="Q663" s="44" t="n"/>
    </row>
    <row r="664" ht="15.5" customHeight="1" s="297">
      <c r="A664" s="354" t="n"/>
      <c r="B664" s="377" t="n">
        <v>45579</v>
      </c>
      <c r="C664" s="141" t="n">
        <v>9</v>
      </c>
      <c r="D664" s="145" t="inlineStr">
        <is>
          <t>GoCar to Elnusa PP</t>
        </is>
      </c>
      <c r="E664" s="145" t="n"/>
      <c r="F664" s="378" t="n">
        <v>275000</v>
      </c>
      <c r="G664" s="15" t="inlineStr">
        <is>
          <t>IDR</t>
        </is>
      </c>
      <c r="H664" s="364" t="n">
        <v>1</v>
      </c>
      <c r="I664" s="44" t="n"/>
      <c r="J664" s="362" t="n">
        <v>275000</v>
      </c>
      <c r="K664" s="44" t="n"/>
      <c r="L664" s="44" t="n"/>
      <c r="M664" s="371" t="n"/>
      <c r="N664" s="44" t="n"/>
      <c r="O664" s="44" t="n"/>
      <c r="P664" s="44" t="n"/>
      <c r="Q664" s="44" t="n"/>
    </row>
    <row r="665" ht="15.5" customHeight="1" s="297">
      <c r="A665" s="354" t="n"/>
      <c r="B665" s="377" t="n">
        <v>45579</v>
      </c>
      <c r="C665" s="141" t="n">
        <v>10</v>
      </c>
      <c r="D665" s="145" t="inlineStr">
        <is>
          <t>Tol &amp; parking fee</t>
        </is>
      </c>
      <c r="E665" s="145" t="n"/>
      <c r="F665" s="378" t="n">
        <v>31500</v>
      </c>
      <c r="G665" s="15" t="inlineStr">
        <is>
          <t>IDR</t>
        </is>
      </c>
      <c r="H665" s="364" t="n">
        <v>1</v>
      </c>
      <c r="I665" s="44" t="n"/>
      <c r="J665" s="362" t="n">
        <v>31500</v>
      </c>
      <c r="K665" s="44" t="n"/>
      <c r="L665" s="44" t="n"/>
      <c r="M665" s="371" t="n"/>
      <c r="N665" s="44" t="n"/>
      <c r="O665" s="44" t="n"/>
      <c r="P665" s="44" t="n"/>
      <c r="Q665" s="44" t="n"/>
    </row>
    <row r="666" ht="15.5" customHeight="1" s="297">
      <c r="A666" s="354" t="n"/>
      <c r="B666" s="377" t="n">
        <v>45582</v>
      </c>
      <c r="C666" s="141" t="n">
        <v>11</v>
      </c>
      <c r="D666" s="145" t="inlineStr">
        <is>
          <t>GoCar to Elnusa PP</t>
        </is>
      </c>
      <c r="E666" s="145" t="n"/>
      <c r="F666" s="378" t="n">
        <v>266000</v>
      </c>
      <c r="G666" s="15" t="inlineStr">
        <is>
          <t>IDR</t>
        </is>
      </c>
      <c r="H666" s="364" t="n">
        <v>1</v>
      </c>
      <c r="I666" s="44" t="n"/>
      <c r="J666" s="362" t="n">
        <v>266000</v>
      </c>
      <c r="K666" s="44" t="n"/>
      <c r="L666" s="44" t="n"/>
      <c r="M666" s="371" t="n"/>
      <c r="N666" s="44" t="n"/>
      <c r="O666" s="44" t="n"/>
      <c r="P666" s="44" t="n"/>
      <c r="Q666" s="44" t="n"/>
    </row>
    <row r="667" ht="15.5" customHeight="1" s="297">
      <c r="A667" s="354" t="n"/>
      <c r="B667" s="377" t="n">
        <v>45582</v>
      </c>
      <c r="C667" s="141" t="n">
        <v>12</v>
      </c>
      <c r="D667" s="145" t="inlineStr">
        <is>
          <t>Tol &amp; parking fee</t>
        </is>
      </c>
      <c r="E667" s="145" t="n"/>
      <c r="F667" s="378" t="n">
        <v>53500</v>
      </c>
      <c r="G667" s="15" t="inlineStr">
        <is>
          <t>IDR</t>
        </is>
      </c>
      <c r="H667" s="364" t="n">
        <v>1</v>
      </c>
      <c r="I667" s="44" t="n"/>
      <c r="J667" s="362" t="n">
        <v>53500</v>
      </c>
      <c r="K667" s="44" t="n"/>
      <c r="L667" s="44" t="n"/>
      <c r="M667" s="371" t="n"/>
      <c r="N667" s="44" t="n"/>
      <c r="O667" s="44" t="n"/>
      <c r="P667" s="44" t="n"/>
      <c r="Q667" s="44" t="n"/>
    </row>
    <row r="668" ht="15.5" customHeight="1" s="297">
      <c r="A668" s="354" t="n"/>
      <c r="B668" s="377" t="n">
        <v>45617</v>
      </c>
      <c r="C668" s="141" t="n">
        <v>13</v>
      </c>
      <c r="D668" s="145" t="inlineStr">
        <is>
          <t>GoCar to Elnusa PP</t>
        </is>
      </c>
      <c r="E668" s="145" t="n"/>
      <c r="F668" s="378" t="n">
        <v>269000</v>
      </c>
      <c r="G668" s="15" t="inlineStr">
        <is>
          <t>IDR</t>
        </is>
      </c>
      <c r="H668" s="364" t="n">
        <v>1</v>
      </c>
      <c r="I668" s="44" t="n"/>
      <c r="J668" s="362" t="n">
        <v>269000</v>
      </c>
      <c r="K668" s="44" t="n"/>
      <c r="L668" s="44" t="n"/>
      <c r="M668" s="371" t="n"/>
      <c r="N668" s="44" t="n"/>
      <c r="O668" s="44" t="n"/>
      <c r="P668" s="44" t="n"/>
      <c r="Q668" s="44" t="n"/>
    </row>
    <row r="669" ht="15.5" customHeight="1" s="297">
      <c r="A669" s="354" t="n"/>
      <c r="B669" s="377" t="n">
        <v>45617</v>
      </c>
      <c r="C669" s="141" t="n">
        <v>14</v>
      </c>
      <c r="D669" s="145" t="inlineStr">
        <is>
          <t>Tol &amp; parking fee</t>
        </is>
      </c>
      <c r="E669" s="145" t="n"/>
      <c r="F669" s="378" t="n">
        <v>43450</v>
      </c>
      <c r="G669" s="15" t="inlineStr">
        <is>
          <t>IDR</t>
        </is>
      </c>
      <c r="H669" s="364" t="n">
        <v>1</v>
      </c>
      <c r="I669" s="44" t="n"/>
      <c r="J669" s="362" t="n">
        <v>43450</v>
      </c>
      <c r="K669" s="44" t="n"/>
      <c r="L669" s="44" t="n"/>
      <c r="M669" s="371" t="n"/>
      <c r="N669" s="44" t="n"/>
      <c r="O669" s="44" t="n"/>
      <c r="P669" s="44" t="n"/>
      <c r="Q669" s="44" t="n"/>
    </row>
    <row r="670" ht="15.5" customHeight="1" s="297">
      <c r="A670" s="354" t="n"/>
      <c r="B670" s="377" t="n">
        <v>45636</v>
      </c>
      <c r="C670" s="141" t="n">
        <v>15</v>
      </c>
      <c r="D670" s="145" t="inlineStr">
        <is>
          <t>GoCar to Elnusa PP</t>
        </is>
      </c>
      <c r="E670" s="145" t="n"/>
      <c r="F670" s="378" t="n">
        <v>290000</v>
      </c>
      <c r="G670" s="15" t="inlineStr">
        <is>
          <t>IDR</t>
        </is>
      </c>
      <c r="H670" s="364" t="n">
        <v>1</v>
      </c>
      <c r="I670" s="44" t="n"/>
      <c r="J670" s="362" t="n">
        <v>290000</v>
      </c>
      <c r="K670" s="44" t="n"/>
      <c r="L670" s="44" t="n"/>
      <c r="M670" s="371" t="n"/>
      <c r="N670" s="44" t="n"/>
      <c r="O670" s="44" t="n"/>
      <c r="P670" s="44" t="n"/>
      <c r="Q670" s="44" t="n"/>
    </row>
    <row r="671" ht="15.5" customHeight="1" s="297">
      <c r="A671" s="354" t="n"/>
      <c r="B671" s="377" t="n">
        <v>45636</v>
      </c>
      <c r="C671" s="141" t="n">
        <v>16</v>
      </c>
      <c r="D671" s="145" t="inlineStr">
        <is>
          <t>Tol &amp; parking fee</t>
        </is>
      </c>
      <c r="E671" s="145" t="n"/>
      <c r="F671" s="378" t="n">
        <v>48500</v>
      </c>
      <c r="G671" s="15" t="inlineStr">
        <is>
          <t>IDR</t>
        </is>
      </c>
      <c r="H671" s="364" t="n">
        <v>1</v>
      </c>
      <c r="I671" s="44" t="n"/>
      <c r="J671" s="362" t="n">
        <v>48500</v>
      </c>
      <c r="K671" s="44" t="n"/>
      <c r="L671" s="44" t="n"/>
      <c r="M671" s="371" t="n"/>
      <c r="N671" s="44" t="n"/>
      <c r="O671" s="44" t="n"/>
      <c r="P671" s="44" t="n"/>
      <c r="Q671" s="44" t="n"/>
    </row>
    <row r="672" hidden="1" ht="15.5" customHeight="1" s="297">
      <c r="B672" s="377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77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77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77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77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77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79" t="inlineStr">
        <is>
          <t>Expense#41</t>
        </is>
      </c>
      <c r="C678" s="85" t="inlineStr">
        <is>
          <t>:</t>
        </is>
      </c>
      <c r="D678" s="379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67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79" t="inlineStr">
        <is>
          <t>Expense#42</t>
        </is>
      </c>
      <c r="C680" s="85" t="inlineStr">
        <is>
          <t>:</t>
        </is>
      </c>
      <c r="D680" s="379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/>
      <c r="C681" s="15" t="n"/>
      <c r="D681" s="380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0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45596</v>
      </c>
      <c r="C684" s="15" t="n">
        <v>1</v>
      </c>
      <c r="D684" s="18" t="inlineStr">
        <is>
          <t>Medicine lanjutan</t>
        </is>
      </c>
      <c r="E684" s="18" t="n"/>
      <c r="F684" s="368" t="n">
        <v>604000</v>
      </c>
      <c r="G684" s="15" t="inlineStr">
        <is>
          <t>IDR</t>
        </is>
      </c>
      <c r="H684" s="364" t="n">
        <v>1</v>
      </c>
      <c r="I684" s="120" t="n"/>
      <c r="J684" s="120" t="n"/>
      <c r="K684" s="120" t="n"/>
      <c r="L684" s="120" t="n"/>
      <c r="M684" s="120" t="n"/>
      <c r="N684" s="120" t="n"/>
      <c r="O684" s="120" t="n"/>
      <c r="P684" s="381" t="n">
        <v>604000</v>
      </c>
      <c r="Q684" s="120" t="n"/>
    </row>
    <row r="685" ht="15.5" customHeight="1" s="297">
      <c r="A685" s="354" t="n"/>
      <c r="B685" s="14" t="n">
        <v>45628</v>
      </c>
      <c r="C685" s="15" t="n">
        <v>2</v>
      </c>
      <c r="D685" s="18" t="inlineStr">
        <is>
          <t>Biaya Konsul Dokter Jantung 3rdPenyakit dalam</t>
        </is>
      </c>
      <c r="E685" s="18" t="n"/>
      <c r="F685" s="368" t="n">
        <v>799000</v>
      </c>
      <c r="G685" s="15" t="inlineStr">
        <is>
          <t>IDR</t>
        </is>
      </c>
      <c r="H685" s="364" t="n">
        <v>1</v>
      </c>
      <c r="I685" s="120" t="n"/>
      <c r="J685" s="120" t="n"/>
      <c r="K685" s="120" t="n"/>
      <c r="L685" s="120" t="n"/>
      <c r="M685" s="120" t="n"/>
      <c r="N685" s="120" t="n"/>
      <c r="O685" s="120" t="n"/>
      <c r="P685" s="381" t="n">
        <v>799000</v>
      </c>
      <c r="Q685" s="120" t="n"/>
    </row>
    <row r="686" ht="15.5" customHeight="1" s="297">
      <c r="A686" s="354" t="n"/>
      <c r="B686" s="14" t="n">
        <v>45627</v>
      </c>
      <c r="C686" s="15" t="n">
        <v>3</v>
      </c>
      <c r="D686" s="18" t="inlineStr">
        <is>
          <t>Biaya Konsul dokter Kulit a/n Diofavian</t>
        </is>
      </c>
      <c r="E686" s="18" t="n"/>
      <c r="F686" s="368" t="n">
        <v>1582141</v>
      </c>
      <c r="G686" s="15" t="inlineStr">
        <is>
          <t>IDR</t>
        </is>
      </c>
      <c r="H686" s="364" t="n">
        <v>1</v>
      </c>
      <c r="I686" s="120" t="n"/>
      <c r="J686" s="120" t="n"/>
      <c r="K686" s="120" t="n"/>
      <c r="L686" s="120" t="n"/>
      <c r="M686" s="120" t="n"/>
      <c r="N686" s="120" t="n"/>
      <c r="O686" s="120" t="n"/>
      <c r="P686" s="381" t="n">
        <v>1582141</v>
      </c>
      <c r="Q686" s="120" t="n"/>
    </row>
    <row r="687" ht="15.5" customHeight="1" s="297">
      <c r="A687" s="354" t="n"/>
      <c r="B687" s="14" t="n">
        <v>45627</v>
      </c>
      <c r="C687" s="15" t="n">
        <v>4</v>
      </c>
      <c r="D687" s="18" t="inlineStr">
        <is>
          <t>Biaya Konsul Dokter mata a/n Eva linda</t>
        </is>
      </c>
      <c r="E687" s="18" t="n"/>
      <c r="F687" s="368" t="n">
        <v>970767</v>
      </c>
      <c r="G687" s="15" t="inlineStr">
        <is>
          <t>IDR</t>
        </is>
      </c>
      <c r="H687" s="364" t="n">
        <v>1</v>
      </c>
      <c r="I687" s="120" t="n"/>
      <c r="J687" s="120" t="n"/>
      <c r="K687" s="120" t="n"/>
      <c r="L687" s="120" t="n"/>
      <c r="M687" s="120" t="n"/>
      <c r="N687" s="120" t="n"/>
      <c r="O687" s="120" t="n"/>
      <c r="P687" s="381" t="n">
        <v>970767</v>
      </c>
      <c r="Q687" s="120" t="n"/>
    </row>
    <row r="688" ht="15.5" customHeight="1" s="297">
      <c r="A688" s="354" t="n"/>
      <c r="B688" s="14" t="n">
        <v>45627</v>
      </c>
      <c r="C688" s="15" t="n">
        <v>5</v>
      </c>
      <c r="D688" s="18" t="inlineStr">
        <is>
          <t>Medicine lanjutan</t>
        </is>
      </c>
      <c r="E688" s="18" t="n"/>
      <c r="F688" s="368" t="n">
        <v>157000</v>
      </c>
      <c r="G688" s="15" t="inlineStr">
        <is>
          <t>IDR</t>
        </is>
      </c>
      <c r="H688" s="364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81" t="n">
        <v>157000</v>
      </c>
      <c r="Q688" s="120" t="n"/>
    </row>
    <row r="689" ht="15.5" customHeight="1" s="297">
      <c r="A689" s="354" t="n"/>
      <c r="B689" s="14" t="n">
        <v>45627</v>
      </c>
      <c r="C689" s="15" t="n">
        <v>6</v>
      </c>
      <c r="D689" s="18" t="inlineStr">
        <is>
          <t>Medicine lanjutan</t>
        </is>
      </c>
      <c r="E689" s="18" t="n"/>
      <c r="F689" s="368" t="n">
        <v>152000</v>
      </c>
      <c r="G689" s="15" t="inlineStr">
        <is>
          <t>IDR</t>
        </is>
      </c>
      <c r="H689" s="364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81" t="n">
        <v>152000</v>
      </c>
      <c r="Q689" s="120" t="n"/>
    </row>
    <row r="690" ht="15.5" customHeight="1" s="297">
      <c r="A690" s="354" t="n"/>
      <c r="B690" s="14" t="n">
        <v>45628</v>
      </c>
      <c r="C690" s="15" t="n">
        <v>7</v>
      </c>
      <c r="D690" s="18" t="inlineStr">
        <is>
          <t>Medicine after konsul jantung 3rd</t>
        </is>
      </c>
      <c r="E690" s="18" t="n"/>
      <c r="F690" s="368" t="n">
        <v>190309.5</v>
      </c>
      <c r="G690" s="15" t="inlineStr">
        <is>
          <t>IDR</t>
        </is>
      </c>
      <c r="H690" s="364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81" t="n">
        <v>190309.5</v>
      </c>
      <c r="Q690" s="120" t="n"/>
    </row>
    <row r="691" ht="15.5" customHeight="1" s="297">
      <c r="A691" s="354" t="n"/>
      <c r="B691" s="14" t="n">
        <v>45637</v>
      </c>
      <c r="C691" s="15" t="n">
        <v>8</v>
      </c>
      <c r="D691" s="18" t="inlineStr">
        <is>
          <t>Medicine after konsul jantung 3rd</t>
        </is>
      </c>
      <c r="E691" s="18" t="n"/>
      <c r="F691" s="368" t="n">
        <v>417600</v>
      </c>
      <c r="G691" s="15" t="inlineStr">
        <is>
          <t>IDR</t>
        </is>
      </c>
      <c r="H691" s="364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81" t="n">
        <v>417600</v>
      </c>
      <c r="Q691" s="120" t="n"/>
    </row>
    <row r="692" ht="15.5" customHeight="1" s="297">
      <c r="A692" s="354" t="n"/>
      <c r="B692" s="286" t="n"/>
      <c r="C692" s="286" t="n"/>
      <c r="D692" s="380" t="inlineStr">
        <is>
          <t>Transportation</t>
        </is>
      </c>
      <c r="E692" s="153" t="n"/>
      <c r="F692" s="286" t="n"/>
      <c r="G692" s="33" t="n"/>
      <c r="H692" s="33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A693" s="354" t="n"/>
      <c r="B693" s="14" t="n">
        <v>45607</v>
      </c>
      <c r="C693" s="15" t="n">
        <v>9</v>
      </c>
      <c r="D693" s="18" t="inlineStr">
        <is>
          <t>Fuel diesel visit consul to KPP pajak</t>
        </is>
      </c>
      <c r="E693" s="18" t="n"/>
      <c r="F693" s="368" t="n">
        <v>276216</v>
      </c>
      <c r="G693" s="15" t="inlineStr">
        <is>
          <t>IDR</t>
        </is>
      </c>
      <c r="H693" s="364" t="n">
        <v>1</v>
      </c>
      <c r="I693" s="120" t="n"/>
      <c r="J693" s="381" t="n">
        <v>276216</v>
      </c>
      <c r="K693" s="120" t="n"/>
      <c r="L693" s="120" t="n"/>
      <c r="M693" s="120" t="n"/>
      <c r="N693" s="120" t="n"/>
      <c r="O693" s="120" t="n"/>
      <c r="P693" s="381" t="n"/>
      <c r="Q693" s="120" t="n"/>
    </row>
    <row r="694" ht="15.5" customHeight="1" s="297">
      <c r="A694" s="354" t="n"/>
      <c r="B694" s="14" t="n">
        <v>45607</v>
      </c>
      <c r="C694" s="15" t="n">
        <v>10</v>
      </c>
      <c r="D694" s="18" t="inlineStr">
        <is>
          <t>toll gate</t>
        </is>
      </c>
      <c r="E694" s="18" t="n"/>
      <c r="F694" s="368" t="n">
        <v>79500</v>
      </c>
      <c r="G694" s="15" t="inlineStr">
        <is>
          <t>IDR</t>
        </is>
      </c>
      <c r="H694" s="364" t="n">
        <v>1</v>
      </c>
      <c r="I694" s="120" t="n"/>
      <c r="J694" s="381" t="n">
        <v>79500</v>
      </c>
      <c r="K694" s="120" t="n"/>
      <c r="L694" s="120" t="n"/>
      <c r="M694" s="120" t="n"/>
      <c r="N694" s="120" t="n"/>
      <c r="O694" s="120" t="n"/>
      <c r="P694" s="381" t="n"/>
      <c r="Q694" s="120" t="n"/>
    </row>
    <row r="695" ht="15.5" customHeight="1" s="297">
      <c r="A695" s="354" t="n"/>
      <c r="B695" s="14" t="n">
        <v>45622</v>
      </c>
      <c r="C695" s="15" t="n">
        <v>11</v>
      </c>
      <c r="D695" s="18" t="inlineStr">
        <is>
          <t>Parkir Graha Elnusa (HSE tool hall meeting) at Elnusa (graha Elnusa)</t>
        </is>
      </c>
      <c r="E695" s="18" t="n"/>
      <c r="F695" s="368" t="n">
        <v>29000</v>
      </c>
      <c r="G695" s="15" t="inlineStr">
        <is>
          <t>IDR</t>
        </is>
      </c>
      <c r="H695" s="364" t="n">
        <v>1</v>
      </c>
      <c r="I695" s="120" t="n"/>
      <c r="J695" s="381" t="n">
        <v>29000</v>
      </c>
      <c r="K695" s="120" t="n"/>
      <c r="L695" s="120" t="n"/>
      <c r="M695" s="120" t="n"/>
      <c r="N695" s="120" t="n"/>
      <c r="O695" s="120" t="n"/>
      <c r="P695" s="381" t="n"/>
      <c r="Q695" s="120" t="n"/>
    </row>
    <row r="696" ht="15.5" customHeight="1" s="297">
      <c r="A696" s="354" t="n"/>
      <c r="B696" s="14" t="n">
        <v>45622</v>
      </c>
      <c r="C696" s="15" t="n">
        <v>12</v>
      </c>
      <c r="D696" s="18" t="inlineStr">
        <is>
          <t>toll gate</t>
        </is>
      </c>
      <c r="E696" s="18" t="n"/>
      <c r="F696" s="368" t="n">
        <v>17000</v>
      </c>
      <c r="G696" s="15" t="inlineStr">
        <is>
          <t>IDR</t>
        </is>
      </c>
      <c r="H696" s="364" t="n">
        <v>1</v>
      </c>
      <c r="I696" s="120" t="n"/>
      <c r="J696" s="381" t="n">
        <v>17000</v>
      </c>
      <c r="K696" s="120" t="n"/>
      <c r="L696" s="120" t="n"/>
      <c r="M696" s="120" t="n"/>
      <c r="N696" s="120" t="n"/>
      <c r="O696" s="120" t="n"/>
      <c r="P696" s="381" t="n"/>
      <c r="Q696" s="120" t="n"/>
    </row>
    <row r="697" ht="15.5" customHeight="1" s="297">
      <c r="A697" s="354" t="n"/>
      <c r="B697" s="14" t="n">
        <v>45636</v>
      </c>
      <c r="C697" s="15" t="n">
        <v>13</v>
      </c>
      <c r="D697" s="18" t="inlineStr">
        <is>
          <t>Taksi,take Document from Loket Graha Elnusa</t>
        </is>
      </c>
      <c r="E697" s="18" t="n"/>
      <c r="F697" s="368" t="n">
        <v>155680</v>
      </c>
      <c r="G697" s="15" t="inlineStr">
        <is>
          <t>IDR</t>
        </is>
      </c>
      <c r="H697" s="364" t="n">
        <v>1</v>
      </c>
      <c r="I697" s="120" t="n"/>
      <c r="J697" s="381" t="n">
        <v>155680</v>
      </c>
      <c r="K697" s="120" t="n"/>
      <c r="L697" s="120" t="n"/>
      <c r="M697" s="120" t="n"/>
      <c r="N697" s="120" t="n"/>
      <c r="O697" s="120" t="n"/>
      <c r="P697" s="381" t="n"/>
      <c r="Q697" s="120" t="n"/>
    </row>
    <row r="698" ht="15.5" customHeight="1" s="297">
      <c r="A698" s="354" t="n"/>
      <c r="B698" s="14" t="n">
        <v>45636</v>
      </c>
      <c r="C698" s="15" t="n">
        <v>14</v>
      </c>
      <c r="D698" s="18" t="inlineStr">
        <is>
          <t>Parkir Graha Elnusa (antar dokemen invoice)</t>
        </is>
      </c>
      <c r="E698" s="18" t="n"/>
      <c r="F698" s="368" t="n">
        <v>17000</v>
      </c>
      <c r="G698" s="15" t="inlineStr">
        <is>
          <t>IDR</t>
        </is>
      </c>
      <c r="H698" s="364" t="n">
        <v>1</v>
      </c>
      <c r="I698" s="120" t="n"/>
      <c r="J698" s="381" t="n">
        <v>17000</v>
      </c>
      <c r="K698" s="120" t="n"/>
      <c r="L698" s="120" t="n"/>
      <c r="M698" s="120" t="n"/>
      <c r="N698" s="120" t="n"/>
      <c r="O698" s="120" t="n"/>
      <c r="P698" s="381" t="n"/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7" t="inlineStr">
        <is>
          <t>Accommodation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8" t="n">
        <v>4913283</v>
      </c>
      <c r="G701" s="15" t="inlineStr">
        <is>
          <t>IDR</t>
        </is>
      </c>
      <c r="H701" s="364" t="n">
        <v>1</v>
      </c>
      <c r="I701" s="61" t="n"/>
      <c r="J701" s="120" t="n"/>
      <c r="K701" s="120" t="n"/>
      <c r="L701" s="120" t="n"/>
      <c r="M701" s="381" t="n">
        <v>4913283</v>
      </c>
      <c r="N701" s="120" t="n"/>
      <c r="O701" s="120" t="n"/>
      <c r="P701" s="120" t="n"/>
      <c r="Q701" s="120" t="n"/>
    </row>
    <row r="702" ht="15.5" customHeight="1" s="297">
      <c r="A702" s="354" t="n"/>
      <c r="B702" s="102" t="n"/>
      <c r="C702" s="15" t="n"/>
      <c r="D702" s="367" t="inlineStr">
        <is>
          <t>Meal</t>
        </is>
      </c>
      <c r="E702" s="106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A703" s="354" t="n"/>
      <c r="B703" s="102" t="n">
        <v>45646</v>
      </c>
      <c r="C703" s="15" t="n">
        <v>2</v>
      </c>
      <c r="D703" s="63" t="inlineStr">
        <is>
          <t>Meal</t>
        </is>
      </c>
      <c r="E703" s="63" t="n"/>
      <c r="F703" s="368" t="n">
        <v>195585</v>
      </c>
      <c r="G703" s="15" t="inlineStr">
        <is>
          <t>IDR</t>
        </is>
      </c>
      <c r="H703" s="364" t="n">
        <v>1</v>
      </c>
      <c r="I703" s="61" t="n"/>
      <c r="J703" s="381" t="n">
        <v>195585</v>
      </c>
      <c r="K703" s="120" t="n"/>
      <c r="L703" s="120" t="n"/>
      <c r="M703" s="381" t="n"/>
      <c r="N703" s="120" t="n"/>
      <c r="O703" s="120" t="n"/>
      <c r="P703" s="120" t="n"/>
      <c r="Q703" s="120" t="n"/>
    </row>
    <row r="704" ht="15.5" customHeight="1" s="297">
      <c r="A704" s="354" t="n"/>
      <c r="B704" s="102" t="n">
        <v>45647</v>
      </c>
      <c r="C704" s="15" t="n">
        <v>3</v>
      </c>
      <c r="D704" s="63" t="inlineStr">
        <is>
          <t>Meal</t>
        </is>
      </c>
      <c r="E704" s="63" t="n"/>
      <c r="F704" s="368" t="n">
        <v>299900</v>
      </c>
      <c r="G704" s="15" t="inlineStr">
        <is>
          <t>IDR</t>
        </is>
      </c>
      <c r="H704" s="364" t="n">
        <v>1</v>
      </c>
      <c r="I704" s="61" t="n"/>
      <c r="J704" s="381" t="n">
        <v>299900</v>
      </c>
      <c r="K704" s="120" t="n"/>
      <c r="L704" s="120" t="n"/>
      <c r="M704" s="381" t="n"/>
      <c r="N704" s="120" t="n"/>
      <c r="O704" s="120" t="n"/>
      <c r="P704" s="120" t="n"/>
      <c r="Q704" s="120" t="n"/>
    </row>
    <row r="705" ht="15.5" customHeight="1" s="297">
      <c r="A705" s="354" t="n"/>
      <c r="B705" s="102" t="n"/>
      <c r="C705" s="15" t="n"/>
      <c r="D705" s="367" t="inlineStr">
        <is>
          <t>Transportation</t>
        </is>
      </c>
      <c r="E705" s="106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A706" s="354" t="n"/>
      <c r="B706" s="102" t="n">
        <v>45646</v>
      </c>
      <c r="C706" s="15" t="n">
        <v>4</v>
      </c>
      <c r="D706" s="63" t="inlineStr">
        <is>
          <t>Traveling Jakarta - Bandung</t>
        </is>
      </c>
      <c r="E706" s="63" t="n"/>
      <c r="F706" s="368" t="n">
        <v>160000</v>
      </c>
      <c r="G706" s="15" t="inlineStr">
        <is>
          <t>IDR</t>
        </is>
      </c>
      <c r="H706" s="364" t="n">
        <v>1</v>
      </c>
      <c r="I706" s="61" t="n"/>
      <c r="J706" s="381" t="n">
        <v>160000</v>
      </c>
      <c r="K706" s="120" t="n"/>
      <c r="L706" s="120" t="n"/>
      <c r="M706" s="381" t="n"/>
      <c r="N706" s="120" t="n"/>
      <c r="O706" s="120" t="n"/>
      <c r="P706" s="120" t="n"/>
      <c r="Q706" s="120" t="n"/>
    </row>
    <row r="707" ht="15.5" customHeight="1" s="297">
      <c r="A707" s="354" t="n"/>
      <c r="B707" s="102" t="n">
        <v>45647</v>
      </c>
      <c r="C707" s="15" t="n">
        <v>5</v>
      </c>
      <c r="D707" s="63" t="inlineStr">
        <is>
          <t>Taksi around the Bandung city for 2 days</t>
        </is>
      </c>
      <c r="E707" s="63" t="n"/>
      <c r="F707" s="368" t="n">
        <v>200000</v>
      </c>
      <c r="G707" s="15" t="inlineStr">
        <is>
          <t>IDR</t>
        </is>
      </c>
      <c r="H707" s="364" t="n">
        <v>1</v>
      </c>
      <c r="I707" s="61" t="n"/>
      <c r="J707" s="381" t="n">
        <v>200000</v>
      </c>
      <c r="K707" s="120" t="n"/>
      <c r="L707" s="120" t="n"/>
      <c r="M707" s="381" t="n"/>
      <c r="N707" s="120" t="n"/>
      <c r="O707" s="120" t="n"/>
      <c r="P707" s="120" t="n"/>
      <c r="Q707" s="120" t="n"/>
    </row>
    <row r="708" ht="15.5" customHeight="1" s="297">
      <c r="A708" s="354" t="n"/>
      <c r="B708" s="102" t="n">
        <v>45647</v>
      </c>
      <c r="C708" s="15" t="n">
        <v>6</v>
      </c>
      <c r="D708" s="63" t="inlineStr">
        <is>
          <t>Traveling Bandung - Jakarta</t>
        </is>
      </c>
      <c r="E708" s="63" t="n"/>
      <c r="F708" s="368" t="n">
        <v>160000</v>
      </c>
      <c r="G708" s="15" t="inlineStr">
        <is>
          <t>IDR</t>
        </is>
      </c>
      <c r="H708" s="364" t="n">
        <v>1</v>
      </c>
      <c r="I708" s="61" t="n"/>
      <c r="J708" s="381" t="n">
        <v>160000</v>
      </c>
      <c r="K708" s="120" t="n"/>
      <c r="L708" s="120" t="n"/>
      <c r="M708" s="381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6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2" t="inlineStr">
        <is>
          <t>IT Services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83" t="n">
        <v>306982</v>
      </c>
      <c r="G712" s="64" t="inlineStr">
        <is>
          <t>IDR</t>
        </is>
      </c>
      <c r="H712" s="384" t="n">
        <v>1</v>
      </c>
      <c r="I712" s="61" t="n"/>
      <c r="J712" s="120" t="n"/>
      <c r="K712" s="120" t="n"/>
      <c r="L712" s="120" t="n"/>
      <c r="M712" s="381" t="n">
        <v>306982</v>
      </c>
      <c r="N712" s="120" t="n"/>
      <c r="O712" s="120" t="n"/>
      <c r="P712" s="120" t="n"/>
      <c r="Q712" s="120" t="n"/>
    </row>
    <row r="713" ht="15.5" customHeight="1" s="297">
      <c r="A713" s="354" t="n"/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83" t="n">
        <v>306982</v>
      </c>
      <c r="G713" s="64" t="inlineStr">
        <is>
          <t>IDR</t>
        </is>
      </c>
      <c r="H713" s="384" t="n">
        <v>1</v>
      </c>
      <c r="I713" s="61" t="n"/>
      <c r="J713" s="120" t="n"/>
      <c r="K713" s="120" t="n"/>
      <c r="L713" s="120" t="n"/>
      <c r="M713" s="381" t="n">
        <v>306982</v>
      </c>
      <c r="N713" s="120" t="n"/>
      <c r="O713" s="120" t="n"/>
      <c r="P713" s="120" t="n"/>
      <c r="Q713" s="120" t="n"/>
    </row>
    <row r="714" ht="15.5" customHeight="1" s="297">
      <c r="A714" s="354" t="n"/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383" t="n">
        <v>306982</v>
      </c>
      <c r="G714" s="64" t="inlineStr">
        <is>
          <t>IDR</t>
        </is>
      </c>
      <c r="H714" s="384" t="n">
        <v>1</v>
      </c>
      <c r="I714" s="61" t="n"/>
      <c r="J714" s="120" t="n"/>
      <c r="K714" s="120" t="n"/>
      <c r="L714" s="120" t="n"/>
      <c r="M714" s="381" t="n">
        <v>306982</v>
      </c>
      <c r="N714" s="120" t="n"/>
      <c r="O714" s="120" t="n"/>
      <c r="P714" s="120" t="n"/>
      <c r="Q714" s="120" t="n"/>
    </row>
    <row r="715" ht="15.5" customHeight="1" s="297">
      <c r="A715" s="354" t="n"/>
      <c r="B715" s="157" t="n">
        <v>45398</v>
      </c>
      <c r="C715" s="64" t="n">
        <v>4</v>
      </c>
      <c r="D715" s="158" t="inlineStr">
        <is>
          <t>Google Workspace PT. EWI</t>
        </is>
      </c>
      <c r="E715" s="158" t="n"/>
      <c r="F715" s="383" t="n">
        <v>306982</v>
      </c>
      <c r="G715" s="64" t="inlineStr">
        <is>
          <t>IDR</t>
        </is>
      </c>
      <c r="H715" s="384" t="n">
        <v>1</v>
      </c>
      <c r="I715" s="61" t="n"/>
      <c r="J715" s="120" t="n"/>
      <c r="K715" s="120" t="n"/>
      <c r="L715" s="120" t="n"/>
      <c r="M715" s="381" t="n">
        <v>306982</v>
      </c>
      <c r="N715" s="120" t="n"/>
      <c r="O715" s="120" t="n"/>
      <c r="P715" s="120" t="n"/>
      <c r="Q715" s="120" t="n"/>
    </row>
    <row r="716" ht="15.5" customHeight="1" s="297">
      <c r="A716" s="354" t="n"/>
      <c r="B716" s="157" t="n">
        <v>45428</v>
      </c>
      <c r="C716" s="64" t="n">
        <v>5</v>
      </c>
      <c r="D716" s="158" t="inlineStr">
        <is>
          <t>Google Workspace PT. EWI</t>
        </is>
      </c>
      <c r="E716" s="158" t="n"/>
      <c r="F716" s="383" t="n">
        <v>306982</v>
      </c>
      <c r="G716" s="64" t="inlineStr">
        <is>
          <t>IDR</t>
        </is>
      </c>
      <c r="H716" s="384" t="n">
        <v>1</v>
      </c>
      <c r="I716" s="61" t="n"/>
      <c r="J716" s="120" t="n"/>
      <c r="K716" s="120" t="n"/>
      <c r="L716" s="120" t="n"/>
      <c r="M716" s="381" t="n">
        <v>306982</v>
      </c>
      <c r="N716" s="120" t="n"/>
      <c r="O716" s="120" t="n"/>
      <c r="P716" s="120" t="n"/>
      <c r="Q716" s="120" t="n"/>
    </row>
    <row r="717" ht="15.5" customHeight="1" s="297">
      <c r="A717" s="354" t="n"/>
      <c r="B717" s="156" t="n"/>
      <c r="C717" s="15" t="n"/>
      <c r="D717" s="382" t="inlineStr">
        <is>
          <t>Training</t>
        </is>
      </c>
      <c r="E717" s="156" t="n"/>
      <c r="F717" s="21" t="n"/>
      <c r="G717" s="15" t="n"/>
      <c r="H717" s="15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A718" s="354" t="n"/>
      <c r="B718" s="157" t="n">
        <v>45646</v>
      </c>
      <c r="C718" s="64" t="n">
        <v>6</v>
      </c>
      <c r="D718" s="158" t="inlineStr">
        <is>
          <t>Taxi Home to KCIC Train station</t>
        </is>
      </c>
      <c r="E718" s="158" t="n"/>
      <c r="F718" s="383" t="n">
        <v>100000</v>
      </c>
      <c r="G718" s="64" t="inlineStr">
        <is>
          <t>IDR</t>
        </is>
      </c>
      <c r="H718" s="384" t="n">
        <v>1</v>
      </c>
      <c r="I718" s="61" t="n"/>
      <c r="J718" s="381" t="n">
        <v>100000</v>
      </c>
      <c r="K718" s="120" t="n"/>
      <c r="L718" s="120" t="n"/>
      <c r="M718" s="381" t="n"/>
      <c r="N718" s="120" t="n"/>
      <c r="O718" s="120" t="n"/>
      <c r="P718" s="120" t="n"/>
      <c r="Q718" s="120" t="n"/>
    </row>
    <row r="719" ht="15.5" customHeight="1" s="297">
      <c r="A719" s="354" t="n"/>
      <c r="B719" s="157" t="n">
        <v>45646</v>
      </c>
      <c r="C719" s="64" t="n">
        <v>7</v>
      </c>
      <c r="D719" s="158" t="inlineStr">
        <is>
          <t>Train Round trip Jakarta - Bandung @200K/trip</t>
        </is>
      </c>
      <c r="E719" s="158" t="n"/>
      <c r="F719" s="383" t="n">
        <v>400000</v>
      </c>
      <c r="G719" s="64" t="inlineStr">
        <is>
          <t>IDR</t>
        </is>
      </c>
      <c r="H719" s="384" t="n">
        <v>1</v>
      </c>
      <c r="I719" s="61" t="n"/>
      <c r="J719" s="381" t="n">
        <v>400000</v>
      </c>
      <c r="K719" s="120" t="n"/>
      <c r="L719" s="120" t="n"/>
      <c r="M719" s="381" t="n"/>
      <c r="N719" s="120" t="n"/>
      <c r="O719" s="120" t="n"/>
      <c r="P719" s="120" t="n"/>
      <c r="Q719" s="120" t="n"/>
    </row>
    <row r="720" ht="15.5" customHeight="1" s="297">
      <c r="A720" s="354" t="n"/>
      <c r="B720" s="157" t="n">
        <v>45647</v>
      </c>
      <c r="C720" s="64" t="n">
        <v>8</v>
      </c>
      <c r="D720" s="158" t="inlineStr">
        <is>
          <t>Hotel 1 night 20 - 21 Dec 2024</t>
        </is>
      </c>
      <c r="E720" s="158" t="n"/>
      <c r="F720" s="383" t="n">
        <v>784000</v>
      </c>
      <c r="G720" s="64" t="inlineStr">
        <is>
          <t>IDR</t>
        </is>
      </c>
      <c r="H720" s="384" t="n">
        <v>1</v>
      </c>
      <c r="I720" s="61" t="n"/>
      <c r="J720" s="381" t="n">
        <v>784000</v>
      </c>
      <c r="K720" s="120" t="n"/>
      <c r="L720" s="120" t="n"/>
      <c r="M720" s="381" t="n"/>
      <c r="N720" s="120" t="n"/>
      <c r="O720" s="120" t="n"/>
      <c r="P720" s="120" t="n"/>
      <c r="Q720" s="120" t="n"/>
    </row>
    <row r="721" ht="15.5" customHeight="1" s="297">
      <c r="A721" s="354" t="n"/>
      <c r="B721" s="157" t="n">
        <v>45647</v>
      </c>
      <c r="C721" s="64" t="n">
        <v>9</v>
      </c>
      <c r="D721" s="158" t="inlineStr">
        <is>
          <t>Taxi from KCIC Stationa Halim to Home</t>
        </is>
      </c>
      <c r="E721" s="158" t="n"/>
      <c r="F721" s="383" t="n">
        <v>100000</v>
      </c>
      <c r="G721" s="64" t="inlineStr">
        <is>
          <t>IDR</t>
        </is>
      </c>
      <c r="H721" s="384" t="n">
        <v>1</v>
      </c>
      <c r="I721" s="61" t="n"/>
      <c r="J721" s="381" t="n">
        <v>100000</v>
      </c>
      <c r="K721" s="120" t="n"/>
      <c r="L721" s="120" t="n"/>
      <c r="M721" s="381" t="n"/>
      <c r="N721" s="120" t="n"/>
      <c r="O721" s="120" t="n"/>
      <c r="P721" s="120" t="n"/>
      <c r="Q721" s="120" t="n"/>
    </row>
    <row r="722" ht="15.5" customHeight="1" s="297">
      <c r="A722" s="354" t="n"/>
      <c r="B722" s="157" t="n">
        <v>45647</v>
      </c>
      <c r="C722" s="64" t="n">
        <v>10</v>
      </c>
      <c r="D722" s="158" t="inlineStr">
        <is>
          <t>Meals 2 days @ 150,000/day</t>
        </is>
      </c>
      <c r="E722" s="158" t="n"/>
      <c r="F722" s="383" t="n">
        <v>300000</v>
      </c>
      <c r="G722" s="64" t="inlineStr">
        <is>
          <t>IDR</t>
        </is>
      </c>
      <c r="H722" s="384" t="n">
        <v>1</v>
      </c>
      <c r="I722" s="61" t="n"/>
      <c r="J722" s="381" t="n">
        <v>300000</v>
      </c>
      <c r="K722" s="120" t="n"/>
      <c r="L722" s="120" t="n"/>
      <c r="M722" s="381" t="n"/>
      <c r="N722" s="120" t="n"/>
      <c r="O722" s="120" t="n"/>
      <c r="P722" s="120" t="n"/>
      <c r="Q722" s="120" t="n"/>
    </row>
    <row r="723" ht="15.5" customHeight="1" s="297">
      <c r="A723" s="354" t="n"/>
      <c r="B723" s="156" t="n"/>
      <c r="C723" s="15" t="n"/>
      <c r="D723" s="382" t="inlineStr">
        <is>
          <t>Trip</t>
        </is>
      </c>
      <c r="E723" s="156" t="n"/>
      <c r="F723" s="21" t="n"/>
      <c r="G723" s="15" t="n"/>
      <c r="H723" s="15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A724" s="354" t="n"/>
      <c r="B724" s="157" t="n">
        <v>45335</v>
      </c>
      <c r="C724" s="64" t="n">
        <v>11</v>
      </c>
      <c r="D724" s="158" t="inlineStr">
        <is>
          <t>Shipment Benchmark DTR to Malaysia</t>
        </is>
      </c>
      <c r="E724" s="158" t="n"/>
      <c r="F724" s="383" t="n">
        <v>13201183.322</v>
      </c>
      <c r="G724" s="64" t="inlineStr">
        <is>
          <t>MYR</t>
        </is>
      </c>
      <c r="H724" s="384" t="n">
        <v>3636.89</v>
      </c>
      <c r="I724" s="61" t="n"/>
      <c r="J724" s="381" t="n">
        <v>13201183.322</v>
      </c>
      <c r="K724" s="120" t="n"/>
      <c r="L724" s="120" t="n"/>
      <c r="M724" s="381" t="n"/>
      <c r="N724" s="120" t="n"/>
      <c r="O724" s="120" t="n"/>
      <c r="P724" s="120" t="n"/>
      <c r="Q724" s="120" t="n"/>
    </row>
    <row r="725" ht="15.5" customHeight="1" s="297">
      <c r="A725" s="354" t="n"/>
      <c r="B725" s="157" t="n">
        <v>45362</v>
      </c>
      <c r="C725" s="64" t="n">
        <v>12</v>
      </c>
      <c r="D725" s="158" t="inlineStr">
        <is>
          <t>Taxi Home - CGK Airport</t>
        </is>
      </c>
      <c r="E725" s="158" t="n"/>
      <c r="F725" s="383" t="n">
        <v>200000</v>
      </c>
      <c r="G725" s="64" t="inlineStr">
        <is>
          <t>IDR</t>
        </is>
      </c>
      <c r="H725" s="384" t="n">
        <v>1</v>
      </c>
      <c r="I725" s="61" t="n"/>
      <c r="J725" s="381" t="n">
        <v>200000</v>
      </c>
      <c r="K725" s="120" t="n"/>
      <c r="L725" s="120" t="n"/>
      <c r="M725" s="381" t="n"/>
      <c r="N725" s="120" t="n"/>
      <c r="O725" s="120" t="n"/>
      <c r="P725" s="120" t="n"/>
      <c r="Q725" s="120" t="n"/>
    </row>
    <row r="726" ht="15.5" customHeight="1" s="297">
      <c r="A726" s="354" t="n"/>
      <c r="B726" s="157" t="n">
        <v>45362</v>
      </c>
      <c r="C726" s="64" t="n">
        <v>13</v>
      </c>
      <c r="D726" s="158" t="inlineStr">
        <is>
          <t>Flight CGK-KUL + Hotel 1 night</t>
        </is>
      </c>
      <c r="E726" s="158" t="n"/>
      <c r="F726" s="383" t="n">
        <v>1803353</v>
      </c>
      <c r="G726" s="64" t="inlineStr">
        <is>
          <t>IDR</t>
        </is>
      </c>
      <c r="H726" s="384" t="n">
        <v>1</v>
      </c>
      <c r="I726" s="61" t="n"/>
      <c r="J726" s="381" t="n">
        <v>1803353</v>
      </c>
      <c r="K726" s="120" t="n"/>
      <c r="L726" s="120" t="n"/>
      <c r="M726" s="381" t="n"/>
      <c r="N726" s="120" t="n"/>
      <c r="O726" s="120" t="n"/>
      <c r="P726" s="120" t="n"/>
      <c r="Q726" s="120" t="n"/>
    </row>
    <row r="727" ht="15.5" customHeight="1" s="297">
      <c r="A727" s="354" t="n"/>
      <c r="B727" s="157" t="n">
        <v>45362</v>
      </c>
      <c r="C727" s="64" t="n">
        <v>14</v>
      </c>
      <c r="D727" s="158" t="inlineStr">
        <is>
          <t>Train KLIA Airport to Hyperseal</t>
        </is>
      </c>
      <c r="E727" s="158" t="n"/>
      <c r="F727" s="383" t="n">
        <v>181844.5</v>
      </c>
      <c r="G727" s="64" t="inlineStr">
        <is>
          <t>MYR</t>
        </is>
      </c>
      <c r="H727" s="384" t="n">
        <v>3636.89</v>
      </c>
      <c r="I727" s="61" t="n"/>
      <c r="J727" s="381" t="n">
        <v>181844.5</v>
      </c>
      <c r="K727" s="120" t="n"/>
      <c r="L727" s="120" t="n"/>
      <c r="M727" s="381" t="n"/>
      <c r="N727" s="120" t="n"/>
      <c r="O727" s="120" t="n"/>
      <c r="P727" s="120" t="n"/>
      <c r="Q727" s="120" t="n"/>
    </row>
    <row r="728" ht="15.5" customHeight="1" s="297">
      <c r="A728" s="354" t="n"/>
      <c r="B728" s="157" t="n">
        <v>45363</v>
      </c>
      <c r="C728" s="64" t="n">
        <v>15</v>
      </c>
      <c r="D728" s="158" t="inlineStr">
        <is>
          <t>Flight KUL- CGK</t>
        </is>
      </c>
      <c r="E728" s="158" t="n"/>
      <c r="F728" s="383" t="n">
        <v>1897983</v>
      </c>
      <c r="G728" s="64" t="inlineStr">
        <is>
          <t>IDR</t>
        </is>
      </c>
      <c r="H728" s="384" t="n">
        <v>1</v>
      </c>
      <c r="I728" s="61" t="n"/>
      <c r="J728" s="381" t="n">
        <v>1897983</v>
      </c>
      <c r="K728" s="120" t="n"/>
      <c r="L728" s="120" t="n"/>
      <c r="M728" s="381" t="n"/>
      <c r="N728" s="120" t="n"/>
      <c r="O728" s="120" t="n"/>
      <c r="P728" s="120" t="n"/>
      <c r="Q728" s="120" t="n"/>
    </row>
    <row r="729" ht="15.5" customHeight="1" s="297">
      <c r="A729" s="354" t="n"/>
      <c r="B729" s="157" t="n">
        <v>45363</v>
      </c>
      <c r="C729" s="64" t="n">
        <v>16</v>
      </c>
      <c r="D729" s="158" t="inlineStr">
        <is>
          <t>Train Hyperseal to KLIA Airport</t>
        </is>
      </c>
      <c r="E729" s="158" t="n"/>
      <c r="F729" s="383" t="n">
        <v>181844.5</v>
      </c>
      <c r="G729" s="64" t="inlineStr">
        <is>
          <t>MYR</t>
        </is>
      </c>
      <c r="H729" s="384" t="n">
        <v>3636.89</v>
      </c>
      <c r="I729" s="61" t="n"/>
      <c r="J729" s="381" t="n">
        <v>181844.5</v>
      </c>
      <c r="K729" s="120" t="n"/>
      <c r="L729" s="120" t="n"/>
      <c r="M729" s="381" t="n"/>
      <c r="N729" s="120" t="n"/>
      <c r="O729" s="120" t="n"/>
      <c r="P729" s="120" t="n"/>
      <c r="Q729" s="120" t="n"/>
    </row>
    <row r="730" ht="15.5" customHeight="1" s="297">
      <c r="A730" s="354" t="n"/>
      <c r="B730" s="157" t="n">
        <v>45363</v>
      </c>
      <c r="C730" s="64" t="n">
        <v>17</v>
      </c>
      <c r="D730" s="158" t="inlineStr">
        <is>
          <t>Taxi CGK Airport to Home</t>
        </is>
      </c>
      <c r="E730" s="158" t="n"/>
      <c r="F730" s="383" t="n">
        <v>200000</v>
      </c>
      <c r="G730" s="64" t="inlineStr">
        <is>
          <t>IDR</t>
        </is>
      </c>
      <c r="H730" s="384" t="n">
        <v>1</v>
      </c>
      <c r="I730" s="61" t="n"/>
      <c r="J730" s="381" t="n">
        <v>200000</v>
      </c>
      <c r="K730" s="120" t="n"/>
      <c r="L730" s="120" t="n"/>
      <c r="M730" s="381" t="n"/>
      <c r="N730" s="120" t="n"/>
      <c r="O730" s="120" t="n"/>
      <c r="P730" s="120" t="n"/>
      <c r="Q730" s="120" t="n"/>
    </row>
    <row r="731" ht="15.5" customHeight="1" s="297">
      <c r="A731" s="354" t="n"/>
      <c r="B731" s="157" t="n">
        <v>45363</v>
      </c>
      <c r="C731" s="64" t="n">
        <v>18</v>
      </c>
      <c r="D731" s="158" t="inlineStr">
        <is>
          <t>Meals 2 days @ 300,000/day</t>
        </is>
      </c>
      <c r="E731" s="158" t="n"/>
      <c r="F731" s="383" t="n">
        <v>600000</v>
      </c>
      <c r="G731" s="64" t="inlineStr">
        <is>
          <t>IDR</t>
        </is>
      </c>
      <c r="H731" s="384" t="n">
        <v>1</v>
      </c>
      <c r="I731" s="61" t="n"/>
      <c r="J731" s="381" t="n">
        <v>600000</v>
      </c>
      <c r="K731" s="120" t="n"/>
      <c r="L731" s="120" t="n"/>
      <c r="M731" s="381" t="n"/>
      <c r="N731" s="120" t="n"/>
      <c r="O731" s="120" t="n"/>
      <c r="P731" s="120" t="n"/>
      <c r="Q731" s="120" t="n"/>
    </row>
    <row r="732" ht="15.5" customHeight="1" s="297">
      <c r="A732" s="354" t="n"/>
      <c r="B732" s="157" t="n">
        <v>45404</v>
      </c>
      <c r="C732" s="64" t="n">
        <v>19</v>
      </c>
      <c r="D732" s="158" t="inlineStr">
        <is>
          <t>Car 22-23 Apr 2024 (2 days) incl. Fuel &amp; Tol</t>
        </is>
      </c>
      <c r="E732" s="158" t="n"/>
      <c r="F732" s="383" t="n">
        <v>3000000</v>
      </c>
      <c r="G732" s="64" t="inlineStr">
        <is>
          <t>IDR</t>
        </is>
      </c>
      <c r="H732" s="384" t="n">
        <v>1</v>
      </c>
      <c r="I732" s="61" t="n"/>
      <c r="J732" s="381" t="n">
        <v>3000000</v>
      </c>
      <c r="K732" s="120" t="n"/>
      <c r="L732" s="120" t="n"/>
      <c r="M732" s="381" t="n"/>
      <c r="N732" s="120" t="n"/>
      <c r="O732" s="120" t="n"/>
      <c r="P732" s="120" t="n"/>
      <c r="Q732" s="120" t="n"/>
    </row>
    <row r="733" ht="15.5" customHeight="1" s="297">
      <c r="A733" s="354" t="n"/>
      <c r="B733" s="157" t="n">
        <v>45405</v>
      </c>
      <c r="C733" s="64" t="n">
        <v>20</v>
      </c>
      <c r="D733" s="158" t="inlineStr">
        <is>
          <t>Tunjangan Lapangan @ 1.5 juta/day x 2 days</t>
        </is>
      </c>
      <c r="E733" s="158" t="n"/>
      <c r="F733" s="383" t="n">
        <v>3000000</v>
      </c>
      <c r="G733" s="64" t="inlineStr">
        <is>
          <t>IDR</t>
        </is>
      </c>
      <c r="H733" s="384" t="n">
        <v>1</v>
      </c>
      <c r="I733" s="61" t="n"/>
      <c r="J733" s="381" t="n">
        <v>3000000</v>
      </c>
      <c r="K733" s="120" t="n"/>
      <c r="L733" s="120" t="n"/>
      <c r="M733" s="381" t="n"/>
      <c r="N733" s="120" t="n"/>
      <c r="O733" s="120" t="n"/>
      <c r="P733" s="120" t="n"/>
      <c r="Q733" s="120" t="n"/>
    </row>
    <row r="734" ht="15.5" customHeight="1" s="297">
      <c r="A734" s="354" t="n"/>
      <c r="B734" s="157" t="n">
        <v>45405</v>
      </c>
      <c r="C734" s="64" t="n">
        <v>21</v>
      </c>
      <c r="D734" s="158" t="inlineStr">
        <is>
          <t>Meals 2 days @ 150,000/day</t>
        </is>
      </c>
      <c r="E734" s="158" t="n"/>
      <c r="F734" s="383" t="n">
        <v>300000</v>
      </c>
      <c r="G734" s="64" t="inlineStr">
        <is>
          <t>IDR</t>
        </is>
      </c>
      <c r="H734" s="384" t="n">
        <v>1</v>
      </c>
      <c r="I734" s="61" t="n"/>
      <c r="J734" s="381" t="n">
        <v>300000</v>
      </c>
      <c r="K734" s="120" t="n"/>
      <c r="L734" s="120" t="n"/>
      <c r="M734" s="381" t="n"/>
      <c r="N734" s="120" t="n"/>
      <c r="O734" s="120" t="n"/>
      <c r="P734" s="120" t="n"/>
      <c r="Q734" s="120" t="n"/>
    </row>
    <row r="735" ht="15.5" customHeight="1" s="297">
      <c r="A735" s="354" t="n"/>
      <c r="B735" s="157" t="n">
        <v>45412</v>
      </c>
      <c r="C735" s="64" t="n">
        <v>22</v>
      </c>
      <c r="D735" s="158" t="inlineStr">
        <is>
          <t>Car 30 Apr-01 May 2024 (2 days) incl. Fuel &amp; Tol</t>
        </is>
      </c>
      <c r="E735" s="158" t="n"/>
      <c r="F735" s="383" t="n">
        <v>3000000</v>
      </c>
      <c r="G735" s="64" t="inlineStr">
        <is>
          <t>IDR</t>
        </is>
      </c>
      <c r="H735" s="384" t="n">
        <v>1</v>
      </c>
      <c r="I735" s="61" t="n"/>
      <c r="J735" s="381" t="n">
        <v>3000000</v>
      </c>
      <c r="K735" s="120" t="n"/>
      <c r="L735" s="120" t="n"/>
      <c r="M735" s="381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67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85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386" t="inlineStr">
        <is>
          <t>Allowance</t>
        </is>
      </c>
      <c r="E758" s="166" t="n"/>
      <c r="F758" s="167" t="n"/>
      <c r="G758" s="60" t="n"/>
      <c r="H758" s="60" t="n"/>
      <c r="I758" s="61" t="n"/>
      <c r="J758" s="387" t="n"/>
      <c r="K758" s="387" t="n"/>
      <c r="L758" s="387" t="n"/>
      <c r="M758" s="387" t="n"/>
      <c r="N758" s="387" t="n"/>
      <c r="O758" s="387" t="n"/>
      <c r="P758" s="120" t="n"/>
      <c r="Q758" s="120" t="n"/>
    </row>
    <row r="759" s="297">
      <c r="A759" s="354" t="n"/>
      <c r="B759" s="165" t="n">
        <v>45656</v>
      </c>
      <c r="C759" s="60" t="n">
        <v>1</v>
      </c>
      <c r="D759" s="386" t="inlineStr">
        <is>
          <t>Meal Allowance 2 Days (29 - 30 December 2024)@ 150 rb</t>
        </is>
      </c>
      <c r="E759" s="166" t="n"/>
      <c r="F759" s="388" t="n">
        <v>300000</v>
      </c>
      <c r="G759" s="60" t="inlineStr">
        <is>
          <t>IDR</t>
        </is>
      </c>
      <c r="H759" s="389" t="n">
        <v>1</v>
      </c>
      <c r="I759" s="61" t="n"/>
      <c r="J759" s="390" t="n">
        <v>300000</v>
      </c>
      <c r="K759" s="387" t="n"/>
      <c r="L759" s="387" t="n"/>
      <c r="M759" s="387" t="n"/>
      <c r="N759" s="387" t="n"/>
      <c r="O759" s="387" t="n"/>
      <c r="P759" s="120" t="n"/>
      <c r="Q759" s="120" t="n"/>
    </row>
    <row r="760" s="297">
      <c r="B760" s="165" t="n"/>
      <c r="C760" s="15" t="n"/>
      <c r="D760" s="386" t="inlineStr">
        <is>
          <t>Biaya Operasi</t>
        </is>
      </c>
      <c r="E760" s="166" t="n"/>
      <c r="F760" s="180" t="n"/>
      <c r="G760" s="15" t="n"/>
      <c r="H760" s="15" t="n"/>
      <c r="I760" s="61" t="n"/>
      <c r="J760" s="391" t="n"/>
      <c r="K760" s="391" t="n"/>
      <c r="L760" s="387" t="n"/>
      <c r="M760" s="391" t="n"/>
      <c r="N760" s="391" t="n"/>
      <c r="O760" s="387" t="n"/>
      <c r="P760" s="120" t="n"/>
      <c r="Q760" s="120" t="n"/>
    </row>
    <row r="761" s="297">
      <c r="A761" s="354" t="n"/>
      <c r="B761" s="165" t="n">
        <v>45655</v>
      </c>
      <c r="C761" s="60" t="n">
        <v>2</v>
      </c>
      <c r="D761" s="386" t="inlineStr">
        <is>
          <t>Transport Train, (Jakarta to Cirebon)</t>
        </is>
      </c>
      <c r="E761" s="166" t="n"/>
      <c r="F761" s="388" t="n">
        <v>200000</v>
      </c>
      <c r="G761" s="60" t="inlineStr">
        <is>
          <t>IDR</t>
        </is>
      </c>
      <c r="H761" s="389" t="n">
        <v>1</v>
      </c>
      <c r="I761" s="61" t="n"/>
      <c r="J761" s="390" t="n">
        <v>200000</v>
      </c>
      <c r="K761" s="387" t="n"/>
      <c r="L761" s="387" t="n"/>
      <c r="M761" s="387" t="n"/>
      <c r="N761" s="387" t="n"/>
      <c r="O761" s="387" t="n"/>
      <c r="P761" s="120" t="n"/>
      <c r="Q761" s="120" t="n"/>
    </row>
    <row r="762" s="297">
      <c r="A762" s="354" t="n"/>
      <c r="B762" s="165" t="n">
        <v>45655</v>
      </c>
      <c r="C762" s="60" t="n">
        <v>3</v>
      </c>
      <c r="D762" s="386" t="inlineStr">
        <is>
          <t>Gojek (Cirendeu to Gambir Station)</t>
        </is>
      </c>
      <c r="E762" s="166" t="n"/>
      <c r="F762" s="388" t="n">
        <v>61500</v>
      </c>
      <c r="G762" s="60" t="inlineStr">
        <is>
          <t>IDR</t>
        </is>
      </c>
      <c r="H762" s="389" t="n">
        <v>1</v>
      </c>
      <c r="I762" s="61" t="n"/>
      <c r="J762" s="390" t="n">
        <v>61500</v>
      </c>
      <c r="K762" s="387" t="n"/>
      <c r="L762" s="387" t="n"/>
      <c r="M762" s="387" t="n"/>
      <c r="N762" s="387" t="n"/>
      <c r="O762" s="387" t="n"/>
      <c r="P762" s="120" t="n"/>
      <c r="Q762" s="120" t="n"/>
    </row>
    <row r="763" s="297">
      <c r="A763" s="354" t="n"/>
      <c r="B763" s="165" t="n">
        <v>45655</v>
      </c>
      <c r="C763" s="60" t="n">
        <v>4</v>
      </c>
      <c r="D763" s="386" t="inlineStr">
        <is>
          <t>Gojek (Cirebon Station to Hotel)</t>
        </is>
      </c>
      <c r="E763" s="166" t="n"/>
      <c r="F763" s="388" t="n">
        <v>12500</v>
      </c>
      <c r="G763" s="60" t="inlineStr">
        <is>
          <t>IDR</t>
        </is>
      </c>
      <c r="H763" s="389" t="n">
        <v>1</v>
      </c>
      <c r="I763" s="61" t="n"/>
      <c r="J763" s="390" t="n">
        <v>12500</v>
      </c>
      <c r="K763" s="387" t="n"/>
      <c r="L763" s="387" t="n"/>
      <c r="M763" s="387" t="n"/>
      <c r="N763" s="387" t="n"/>
      <c r="O763" s="387" t="n"/>
      <c r="P763" s="120" t="n"/>
      <c r="Q763" s="120" t="n"/>
    </row>
    <row r="764" s="297">
      <c r="A764" s="354" t="n"/>
      <c r="B764" s="165" t="n">
        <v>45655</v>
      </c>
      <c r="C764" s="60" t="n">
        <v>5</v>
      </c>
      <c r="D764" s="386" t="inlineStr">
        <is>
          <t>Accomodation Hotel (Pia Hotel 29 - 30 des, 1 Night)</t>
        </is>
      </c>
      <c r="E764" s="166" t="n"/>
      <c r="F764" s="388" t="n">
        <v>224000</v>
      </c>
      <c r="G764" s="60" t="inlineStr">
        <is>
          <t>IDR</t>
        </is>
      </c>
      <c r="H764" s="389" t="n">
        <v>1</v>
      </c>
      <c r="I764" s="61" t="n"/>
      <c r="J764" s="390" t="n">
        <v>224000</v>
      </c>
      <c r="K764" s="387" t="n"/>
      <c r="L764" s="387" t="n"/>
      <c r="M764" s="387" t="n"/>
      <c r="N764" s="387" t="n"/>
      <c r="O764" s="387" t="n"/>
      <c r="P764" s="120" t="n"/>
      <c r="Q764" s="120" t="n"/>
    </row>
    <row r="765" s="297">
      <c r="A765" s="354" t="n"/>
      <c r="B765" s="165" t="n">
        <v>45656</v>
      </c>
      <c r="C765" s="60" t="n">
        <v>6</v>
      </c>
      <c r="D765" s="386" t="inlineStr">
        <is>
          <t>Transport Train (Cirebon to Jakarta)</t>
        </is>
      </c>
      <c r="E765" s="166" t="n"/>
      <c r="F765" s="388" t="n">
        <v>140000</v>
      </c>
      <c r="G765" s="60" t="inlineStr">
        <is>
          <t>IDR</t>
        </is>
      </c>
      <c r="H765" s="389" t="n">
        <v>1</v>
      </c>
      <c r="I765" s="61" t="n"/>
      <c r="J765" s="390" t="n">
        <v>140000</v>
      </c>
      <c r="K765" s="387" t="n"/>
      <c r="L765" s="387" t="n"/>
      <c r="M765" s="387" t="n"/>
      <c r="N765" s="387" t="n"/>
      <c r="O765" s="387" t="n"/>
      <c r="P765" s="120" t="n"/>
      <c r="Q765" s="120" t="n"/>
    </row>
    <row r="766" s="297">
      <c r="A766" s="354" t="n"/>
      <c r="B766" s="165" t="n">
        <v>45656</v>
      </c>
      <c r="C766" s="60" t="n">
        <v>7</v>
      </c>
      <c r="D766" s="386" t="inlineStr">
        <is>
          <t>Gojek (Hotel to HSSE Training Center PEP Zone 7)</t>
        </is>
      </c>
      <c r="E766" s="166" t="n"/>
      <c r="F766" s="388" t="n">
        <v>11000</v>
      </c>
      <c r="G766" s="60" t="inlineStr">
        <is>
          <t>IDR</t>
        </is>
      </c>
      <c r="H766" s="389" t="n">
        <v>1</v>
      </c>
      <c r="I766" s="61" t="n"/>
      <c r="J766" s="390" t="n">
        <v>11000</v>
      </c>
      <c r="K766" s="387" t="n"/>
      <c r="L766" s="387" t="n"/>
      <c r="M766" s="387" t="n"/>
      <c r="N766" s="387" t="n"/>
      <c r="O766" s="387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2" t="n"/>
      <c r="B1" s="392" t="n"/>
      <c r="C1" s="392" t="n"/>
      <c r="D1" s="392" t="n"/>
      <c r="E1" s="393" t="n"/>
    </row>
    <row r="2" ht="37.25" customHeight="1" s="297">
      <c r="A2" s="392" t="n"/>
      <c r="B2" s="392" t="n"/>
      <c r="C2" s="392" t="n"/>
      <c r="D2" s="392" t="n"/>
      <c r="E2" s="393" t="n"/>
    </row>
    <row r="3" ht="33.65" customHeight="1" s="297">
      <c r="A3" s="392" t="n"/>
      <c r="B3" s="394" t="inlineStr">
        <is>
          <t>PT. EXSPAN WIRELINE INDONESIA</t>
        </is>
      </c>
      <c r="F3" s="395" t="n"/>
      <c r="G3" s="396" t="inlineStr">
        <is>
          <t>PT. EXSPAN WIRELINE INDONESIA</t>
        </is>
      </c>
      <c r="H3" s="396" t="n"/>
      <c r="I3" s="396" t="n"/>
      <c r="J3" s="396" t="n"/>
    </row>
    <row r="4" ht="20.5" customHeight="1" s="297">
      <c r="A4" s="392" t="n"/>
      <c r="B4" s="397" t="inlineStr">
        <is>
          <t>LABA RUGI | TAHUN 2024</t>
        </is>
      </c>
      <c r="F4" s="395" t="n"/>
      <c r="G4" s="398" t="inlineStr">
        <is>
          <t>NERACA | TAHUN YANG BERAKHIR, 31 DESEMBER 2024</t>
        </is>
      </c>
      <c r="H4" s="398" t="n"/>
      <c r="I4" s="398" t="n"/>
      <c r="J4" s="398" t="n"/>
      <c r="K4" s="399" t="inlineStr">
        <is>
          <t>CATATAN KEAMANAN</t>
        </is>
      </c>
    </row>
    <row r="5" ht="6" customHeight="1" s="297">
      <c r="A5" s="392" t="n"/>
      <c r="B5" s="392" t="n"/>
      <c r="C5" s="392" t="n"/>
      <c r="D5" s="392" t="n"/>
      <c r="E5" s="393" t="n"/>
      <c r="F5" s="395" t="n"/>
      <c r="G5" s="395" t="n"/>
      <c r="H5" s="400" t="n"/>
      <c r="I5" s="400" t="n"/>
      <c r="J5" s="400" t="n"/>
      <c r="K5" t="inlineStr">
        <is>
          <t>Kolom ini aman dari overwrite sistem.</t>
        </is>
      </c>
    </row>
    <row r="6" ht="15.5" customHeight="1" s="297">
      <c r="A6" s="392" t="n"/>
      <c r="B6" s="401" t="n"/>
      <c r="C6" s="402" t="n"/>
      <c r="D6" s="403" t="inlineStr">
        <is>
          <t>PT. Exspan Wireline Indonesia</t>
        </is>
      </c>
      <c r="E6" s="289" t="n"/>
      <c r="F6" s="395" t="n"/>
      <c r="G6" s="404" t="n"/>
      <c r="H6" s="405" t="n"/>
      <c r="I6" s="403" t="inlineStr">
        <is>
          <t>PT. Exspan Wireline Indonesia</t>
        </is>
      </c>
      <c r="J6" s="289" t="n"/>
      <c r="K6" t="inlineStr">
        <is>
          <t>Diverifikasi pada: 2026-03-29 15:30</t>
        </is>
      </c>
    </row>
    <row r="7" ht="15.5" customHeight="1" s="297">
      <c r="A7" s="392" t="n"/>
      <c r="B7" s="406" t="n"/>
      <c r="C7" s="407" t="n"/>
      <c r="D7" s="408" t="inlineStr">
        <is>
          <t>(Rp)</t>
        </is>
      </c>
      <c r="E7" s="290" t="n"/>
      <c r="F7" s="395" t="n"/>
      <c r="G7" s="409" t="n"/>
      <c r="H7" s="410" t="n"/>
      <c r="I7" s="408" t="inlineStr">
        <is>
          <t>(Rp)</t>
        </is>
      </c>
      <c r="J7" s="290" t="n"/>
    </row>
    <row r="8">
      <c r="A8" s="392" t="n"/>
      <c r="B8" s="411" t="inlineStr">
        <is>
          <t>PENDAPATAN</t>
        </is>
      </c>
      <c r="C8" s="412" t="n"/>
      <c r="D8" s="413" t="n"/>
      <c r="E8" s="414" t="n"/>
      <c r="F8" s="395" t="n"/>
      <c r="G8" s="415" t="inlineStr">
        <is>
          <t>AKTIVA</t>
        </is>
      </c>
      <c r="H8" s="416" t="n"/>
      <c r="I8" s="417" t="n"/>
      <c r="J8" s="418" t="n"/>
    </row>
    <row r="9">
      <c r="A9" s="392" t="n"/>
      <c r="B9" s="419" t="n"/>
      <c r="C9" s="412" t="inlineStr">
        <is>
          <t>PENDAPATAN LANGSUNG</t>
        </is>
      </c>
      <c r="D9" s="419" t="inlineStr">
        <is>
          <t>Rp</t>
        </is>
      </c>
      <c r="E9" s="420">
        <f>SUM('Revenue-Cost_2024'!F8:F20)</f>
        <v/>
      </c>
      <c r="F9" s="395" t="n"/>
      <c r="G9" s="421" t="inlineStr">
        <is>
          <t>AKTIVA LANCAR</t>
        </is>
      </c>
      <c r="H9" s="422" t="n"/>
      <c r="I9" s="421" t="n"/>
      <c r="J9" s="423" t="n"/>
    </row>
    <row r="10">
      <c r="A10" s="392" t="n"/>
      <c r="B10" s="419" t="n"/>
      <c r="C10" s="412" t="inlineStr">
        <is>
          <t>PENDAPATAN LAIN LAIN</t>
        </is>
      </c>
      <c r="D10" s="419" t="inlineStr">
        <is>
          <t>Rp</t>
        </is>
      </c>
      <c r="E10" s="420">
        <f>SUM('Revenue-Cost_2024'!F21)</f>
        <v/>
      </c>
      <c r="F10" s="395" t="n"/>
      <c r="G10" s="424" t="n"/>
      <c r="H10" s="425" t="inlineStr">
        <is>
          <t>KAS DAN SETARA KAS TAHUN SEBELUMNYA</t>
        </is>
      </c>
      <c r="I10" s="419" t="inlineStr">
        <is>
          <t>Rp</t>
        </is>
      </c>
      <c r="J10" s="426" t="n">
        <v>0</v>
      </c>
    </row>
    <row r="11">
      <c r="A11" s="392" t="n"/>
      <c r="B11" s="419" t="n"/>
      <c r="C11" s="412" t="n"/>
      <c r="D11" s="427" t="n"/>
      <c r="E11" s="428" t="n"/>
      <c r="F11" s="395" t="n"/>
      <c r="G11" s="424" t="n"/>
      <c r="H11" s="425" t="inlineStr">
        <is>
          <t>KAS DAN SETARA KAS TAHUN LAPORAN</t>
        </is>
      </c>
      <c r="I11" s="419" t="inlineStr">
        <is>
          <t>Rp</t>
        </is>
      </c>
      <c r="J11" s="426">
        <f>E46-'Business Summary'!E13</f>
        <v/>
      </c>
    </row>
    <row r="12">
      <c r="A12" s="392" t="n"/>
      <c r="B12" s="429" t="inlineStr">
        <is>
          <t>TOTALPENDAPATAN</t>
        </is>
      </c>
      <c r="C12" s="430" t="n"/>
      <c r="D12" s="431" t="inlineStr">
        <is>
          <t>Rp</t>
        </is>
      </c>
      <c r="E12" s="432">
        <f>SUM(E9:E11)</f>
        <v/>
      </c>
      <c r="F12" s="395" t="n"/>
      <c r="G12" s="424" t="n"/>
      <c r="H12" s="425" t="inlineStr">
        <is>
          <t>PIUTANG USAHA</t>
        </is>
      </c>
      <c r="I12" s="419" t="inlineStr">
        <is>
          <t>Rp</t>
        </is>
      </c>
      <c r="J12" s="426" t="n">
        <v>0</v>
      </c>
    </row>
    <row r="13">
      <c r="A13" s="392" t="n"/>
      <c r="B13" s="419" t="n"/>
      <c r="C13" s="412" t="n"/>
      <c r="D13" s="413" t="n"/>
      <c r="E13" s="433" t="n"/>
      <c r="F13" s="395" t="n"/>
      <c r="G13" s="424" t="n"/>
      <c r="H13" s="425" t="inlineStr">
        <is>
          <t>PAJAK BAYAR DI MUKA (pph23)</t>
        </is>
      </c>
      <c r="I13" s="419" t="inlineStr">
        <is>
          <t>Rp</t>
        </is>
      </c>
      <c r="J13" s="426" t="n">
        <v>0</v>
      </c>
    </row>
    <row r="14">
      <c r="A14" s="392" t="n"/>
      <c r="B14" s="434" t="inlineStr">
        <is>
          <t>BEBAN LANGSUNG</t>
        </is>
      </c>
      <c r="C14" s="412" t="n"/>
      <c r="D14" s="419" t="n"/>
      <c r="E14" s="435" t="n"/>
      <c r="F14" s="395" t="n"/>
      <c r="G14" s="424" t="n"/>
      <c r="H14" s="425" t="inlineStr">
        <is>
          <t>BIAYA BAYAR DI MUKA</t>
        </is>
      </c>
      <c r="I14" s="419" t="inlineStr">
        <is>
          <t>Rp</t>
        </is>
      </c>
      <c r="J14" s="426" t="n">
        <v>0</v>
      </c>
    </row>
    <row r="15">
      <c r="A15" s="392" t="n"/>
      <c r="B15" s="436" t="n"/>
      <c r="C15" s="412" t="inlineStr">
        <is>
          <t xml:space="preserve">Biaya Operasi </t>
        </is>
      </c>
      <c r="D15" s="419" t="inlineStr">
        <is>
          <t>Rp</t>
        </is>
      </c>
      <c r="E15" s="435">
        <f>'Revenue-Cost_2024'!I750</f>
        <v/>
      </c>
      <c r="F15" s="395" t="n"/>
      <c r="G15" s="437" t="n"/>
      <c r="H15" s="425" t="inlineStr">
        <is>
          <t>PIUTANG LAIN LAIN</t>
        </is>
      </c>
      <c r="I15" s="419" t="inlineStr">
        <is>
          <t>Rp</t>
        </is>
      </c>
      <c r="J15" s="426" t="n">
        <v>0</v>
      </c>
    </row>
    <row r="16">
      <c r="A16" s="392" t="n"/>
      <c r="B16" s="436" t="n"/>
      <c r="C16" s="412" t="inlineStr">
        <is>
          <t>Biaya research (R &amp; D)</t>
        </is>
      </c>
      <c r="D16" s="419" t="inlineStr">
        <is>
          <t>Rp</t>
        </is>
      </c>
      <c r="E16" s="435">
        <f>'Revenue-Cost_2024'!J750</f>
        <v/>
      </c>
      <c r="F16" s="395" t="n"/>
      <c r="G16" s="438" t="n"/>
      <c r="H16" s="439" t="inlineStr">
        <is>
          <t>TOTAL AKTIVA LANCAR</t>
        </is>
      </c>
      <c r="I16" s="431" t="inlineStr">
        <is>
          <t>Rp</t>
        </is>
      </c>
      <c r="J16" s="440">
        <f>SUM(J10:J15)</f>
        <v/>
      </c>
    </row>
    <row r="17">
      <c r="A17" s="392" t="n"/>
      <c r="B17" s="436" t="n"/>
      <c r="C17" s="412" t="inlineStr">
        <is>
          <t>BIAYA SEWA PERALATAN</t>
        </is>
      </c>
      <c r="D17" s="419" t="inlineStr">
        <is>
          <t>Rp</t>
        </is>
      </c>
      <c r="E17" s="435">
        <f>'Revenue-Cost_2024'!K750</f>
        <v/>
      </c>
      <c r="F17" s="395" t="n"/>
      <c r="G17" s="424" t="n"/>
      <c r="H17" s="425" t="n"/>
      <c r="I17" s="441" t="n"/>
      <c r="J17" s="442" t="n"/>
    </row>
    <row r="18">
      <c r="A18" s="392" t="n"/>
      <c r="B18" s="436" t="n"/>
      <c r="C18" s="412" t="inlineStr">
        <is>
          <t>BIAYA Data Processing</t>
        </is>
      </c>
      <c r="D18" s="419" t="inlineStr">
        <is>
          <t>Rp</t>
        </is>
      </c>
      <c r="E18" s="435">
        <f>'Revenue-Cost_2024'!L750</f>
        <v/>
      </c>
      <c r="F18" s="395" t="n"/>
      <c r="G18" s="421" t="inlineStr">
        <is>
          <t>ACTIVA TETAP</t>
        </is>
      </c>
      <c r="H18" s="443" t="n"/>
      <c r="I18" s="415" t="n"/>
      <c r="J18" s="426" t="n"/>
    </row>
    <row r="19">
      <c r="A19" s="392" t="n"/>
      <c r="B19" s="436" t="n"/>
      <c r="C19" s="412" t="n"/>
      <c r="D19" s="419" t="n"/>
      <c r="E19" s="435" t="n"/>
      <c r="F19" s="395" t="n"/>
      <c r="G19" s="421" t="n"/>
      <c r="H19" s="443" t="n"/>
      <c r="I19" s="415" t="n"/>
      <c r="J19" s="426" t="n"/>
    </row>
    <row r="20">
      <c r="A20" s="392" t="n"/>
      <c r="B20" s="436" t="n"/>
      <c r="C20" s="412" t="n"/>
      <c r="D20" s="427" t="n"/>
      <c r="E20" s="444" t="n"/>
      <c r="F20" s="395" t="n"/>
      <c r="G20" s="424" t="n"/>
      <c r="H20" s="425" t="inlineStr">
        <is>
          <t>INVENTARIS KANTOR</t>
        </is>
      </c>
      <c r="I20" s="419" t="inlineStr">
        <is>
          <t>Rp</t>
        </is>
      </c>
      <c r="J20" s="426" t="n">
        <v>0</v>
      </c>
    </row>
    <row r="21">
      <c r="A21" s="392" t="n"/>
      <c r="B21" s="429" t="inlineStr">
        <is>
          <t>TOTAL BIAYA LANGSUNG</t>
        </is>
      </c>
      <c r="C21" s="430" t="n"/>
      <c r="D21" s="431" t="inlineStr">
        <is>
          <t>Rp</t>
        </is>
      </c>
      <c r="E21" s="445">
        <f>SUM(E15:E20)</f>
        <v/>
      </c>
      <c r="F21" s="395" t="n"/>
      <c r="G21" s="424" t="n"/>
      <c r="H21" s="443" t="n"/>
      <c r="I21" s="446" t="n"/>
      <c r="J21" s="447" t="n"/>
    </row>
    <row r="22">
      <c r="A22" s="392" t="n"/>
      <c r="B22" s="419" t="n"/>
      <c r="C22" s="412" t="n"/>
      <c r="D22" s="413" t="n"/>
      <c r="E22" s="448" t="n"/>
      <c r="F22" s="395" t="n"/>
      <c r="G22" s="438" t="n"/>
      <c r="H22" s="439" t="inlineStr">
        <is>
          <t>TOTAL AKTIVA TETAP</t>
        </is>
      </c>
      <c r="I22" s="431" t="inlineStr">
        <is>
          <t>Rp</t>
        </is>
      </c>
      <c r="J22" s="440">
        <f>J20</f>
        <v/>
      </c>
    </row>
    <row r="23">
      <c r="A23" s="392" t="n"/>
      <c r="B23" s="434" t="inlineStr">
        <is>
          <t>BEBAN TIDAK LANGSUNG</t>
        </is>
      </c>
      <c r="C23" s="412" t="n"/>
      <c r="D23" s="419" t="n"/>
      <c r="E23" s="435">
        <f>'Revenue-Cost_2024'!Q750</f>
        <v/>
      </c>
      <c r="F23" s="395" t="n"/>
      <c r="G23" s="424" t="n"/>
      <c r="H23" s="425" t="n"/>
      <c r="I23" s="441" t="n"/>
      <c r="J23" s="418" t="n"/>
    </row>
    <row r="24">
      <c r="A24" s="392" t="n"/>
      <c r="B24" s="419" t="n"/>
      <c r="C24" s="412" t="n"/>
      <c r="D24" s="419" t="n"/>
      <c r="E24" s="435" t="n"/>
      <c r="F24" s="395" t="n"/>
      <c r="G24" s="421" t="inlineStr">
        <is>
          <t>ACTIVA LAIN LAIN</t>
        </is>
      </c>
      <c r="H24" s="443" t="n"/>
      <c r="I24" s="415" t="n"/>
      <c r="J24" s="426" t="n">
        <v>0</v>
      </c>
    </row>
    <row r="25">
      <c r="A25" s="392" t="n"/>
      <c r="B25" s="419" t="n"/>
      <c r="C25" s="412" t="n"/>
      <c r="D25" s="419" t="inlineStr">
        <is>
          <t>Rp</t>
        </is>
      </c>
      <c r="E25" s="435" t="n"/>
      <c r="F25" s="395" t="n"/>
      <c r="G25" s="424" t="n"/>
      <c r="H25" s="425" t="n"/>
      <c r="I25" s="449" t="n"/>
      <c r="J25" s="450" t="n">
        <v>0</v>
      </c>
    </row>
    <row r="26">
      <c r="A26" s="392" t="n"/>
      <c r="B26" s="419" t="n"/>
      <c r="C26" s="412" t="n"/>
      <c r="D26" s="427" t="n"/>
      <c r="E26" s="444" t="n"/>
      <c r="F26" s="395" t="n"/>
      <c r="G26" s="438" t="n"/>
      <c r="H26" s="439" t="inlineStr">
        <is>
          <t>TOTAL AKTIVA LAIN LAIN</t>
        </is>
      </c>
      <c r="I26" s="431" t="inlineStr">
        <is>
          <t>Rp</t>
        </is>
      </c>
      <c r="J26" s="440">
        <f>SUM(J25:J25)</f>
        <v/>
      </c>
    </row>
    <row r="27">
      <c r="A27" s="392" t="n"/>
      <c r="B27" s="429" t="inlineStr">
        <is>
          <t>TOTAL BIAYA TIDAK LANGSUNG</t>
        </is>
      </c>
      <c r="C27" s="430" t="n"/>
      <c r="D27" s="431" t="inlineStr">
        <is>
          <t>Rp</t>
        </is>
      </c>
      <c r="E27" s="445">
        <f>SUM(E22:E26)</f>
        <v/>
      </c>
      <c r="F27" s="395" t="n"/>
      <c r="G27" s="424" t="n"/>
      <c r="H27" s="425" t="n"/>
      <c r="I27" s="451" t="n"/>
      <c r="J27" s="452" t="n"/>
    </row>
    <row r="28">
      <c r="A28" s="392" t="n"/>
      <c r="B28" s="419" t="n"/>
      <c r="C28" s="412" t="n"/>
      <c r="D28" s="413" t="n"/>
      <c r="E28" s="448" t="n"/>
      <c r="F28" s="395" t="n"/>
      <c r="G28" s="429" t="inlineStr">
        <is>
          <t>TOTAL AKTIVA</t>
        </is>
      </c>
      <c r="H28" s="430" t="n"/>
      <c r="I28" s="431" t="inlineStr">
        <is>
          <t>Rp</t>
        </is>
      </c>
      <c r="J28" s="453">
        <f>J26+J22+J16</f>
        <v/>
      </c>
    </row>
    <row r="29">
      <c r="A29" s="392" t="n"/>
      <c r="B29" s="434" t="inlineStr">
        <is>
          <t>BIAYA ADMINISTRASI DAN UMUM</t>
        </is>
      </c>
      <c r="C29" s="412" t="n"/>
      <c r="D29" s="419" t="n"/>
      <c r="E29" s="435" t="n"/>
      <c r="F29" s="395" t="n"/>
      <c r="G29" s="454" t="n"/>
      <c r="H29" s="455" t="n"/>
      <c r="I29" s="454" t="n"/>
      <c r="J29" s="442" t="n"/>
    </row>
    <row r="30">
      <c r="A30" s="392" t="n"/>
      <c r="B30" s="436" t="n"/>
      <c r="C30" s="412" t="inlineStr">
        <is>
          <t>BIAYA ADMINISTRASI</t>
        </is>
      </c>
      <c r="D30" s="419" t="inlineStr">
        <is>
          <t>Rp</t>
        </is>
      </c>
      <c r="E30" s="435">
        <f>'Revenue-Cost_2024'!M750</f>
        <v/>
      </c>
      <c r="F30" s="395" t="n"/>
      <c r="G30" s="456" t="inlineStr">
        <is>
          <t>HUTANG DAN MODAL</t>
        </is>
      </c>
      <c r="H30" s="416" t="n"/>
      <c r="I30" s="456" t="n"/>
      <c r="J30" s="457" t="n"/>
    </row>
    <row r="31">
      <c r="A31" s="392" t="n"/>
      <c r="B31" s="436" t="n"/>
      <c r="C31" s="412" t="inlineStr">
        <is>
          <t>BIAYA PEMBELIAN Barang</t>
        </is>
      </c>
      <c r="D31" s="419" t="inlineStr">
        <is>
          <t>Rp</t>
        </is>
      </c>
      <c r="E31" s="435">
        <f>'Revenue-Cost_2024'!N750</f>
        <v/>
      </c>
      <c r="F31" s="395" t="n"/>
      <c r="G31" s="456" t="n"/>
      <c r="H31" s="416" t="n"/>
      <c r="I31" s="456" t="n"/>
      <c r="J31" s="457" t="n"/>
    </row>
    <row r="32">
      <c r="A32" s="392" t="n"/>
      <c r="B32" s="436" t="n"/>
      <c r="C32" s="412" t="inlineStr">
        <is>
          <t>BIAYA SEWA KANTOR</t>
        </is>
      </c>
      <c r="D32" s="419" t="inlineStr">
        <is>
          <t>Rp</t>
        </is>
      </c>
      <c r="E32" s="435">
        <f>'Revenue-Cost_2024'!O750</f>
        <v/>
      </c>
      <c r="F32" s="395" t="n"/>
      <c r="G32" s="421" t="inlineStr">
        <is>
          <t>HUTANG LANCAR</t>
        </is>
      </c>
      <c r="H32" s="422" t="n"/>
      <c r="I32" s="421" t="n"/>
      <c r="J32" s="423" t="n"/>
    </row>
    <row r="33">
      <c r="A33" s="392" t="n"/>
      <c r="B33" s="436" t="n"/>
      <c r="C33" s="412" t="inlineStr">
        <is>
          <t>BIAYA KESEHATAN</t>
        </is>
      </c>
      <c r="D33" s="419" t="inlineStr">
        <is>
          <t>Rp</t>
        </is>
      </c>
      <c r="E33" s="435">
        <f>'Revenue-Cost_2024'!P750</f>
        <v/>
      </c>
      <c r="F33" s="395" t="n"/>
      <c r="G33" s="424" t="n"/>
      <c r="H33" s="425" t="inlineStr">
        <is>
          <t>HUTANG USAHA</t>
        </is>
      </c>
      <c r="I33" s="419" t="inlineStr">
        <is>
          <t>Rp</t>
        </is>
      </c>
      <c r="J33" s="426" t="n">
        <v>0</v>
      </c>
    </row>
    <row r="34">
      <c r="A34" s="392" t="n"/>
      <c r="B34" s="436" t="n"/>
      <c r="C34" s="412" t="n"/>
      <c r="D34" s="427" t="n"/>
      <c r="E34" s="444" t="n"/>
      <c r="F34" s="395" t="n"/>
      <c r="G34" s="424" t="n"/>
      <c r="H34" s="458" t="inlineStr">
        <is>
          <t>HUTANG GAJI</t>
        </is>
      </c>
      <c r="I34" s="419" t="inlineStr">
        <is>
          <t>Rp</t>
        </is>
      </c>
      <c r="J34" s="426" t="n">
        <v>0</v>
      </c>
    </row>
    <row r="35">
      <c r="A35" s="392" t="n"/>
      <c r="B35" s="429" t="inlineStr">
        <is>
          <t>TOTAL BIAYA ADMINISTRASI DAN UMUM</t>
        </is>
      </c>
      <c r="C35" s="430" t="n"/>
      <c r="D35" s="431" t="inlineStr">
        <is>
          <t>Rp</t>
        </is>
      </c>
      <c r="E35" s="432">
        <f>SUM(E30:E34)</f>
        <v/>
      </c>
      <c r="F35" s="395" t="n"/>
      <c r="G35" s="424" t="n"/>
      <c r="H35" s="425" t="inlineStr">
        <is>
          <t>HUTANG PEMEGANG SAHAM</t>
        </is>
      </c>
      <c r="I35" s="419" t="inlineStr">
        <is>
          <t>Rp</t>
        </is>
      </c>
      <c r="J35" s="426" t="n">
        <v>0</v>
      </c>
    </row>
    <row r="36">
      <c r="A36" s="392" t="n"/>
      <c r="B36" s="436" t="n"/>
      <c r="C36" s="412" t="n"/>
      <c r="D36" s="431" t="n"/>
      <c r="E36" s="459" t="n"/>
      <c r="F36" s="395" t="n"/>
      <c r="G36" s="424" t="n"/>
      <c r="H36" s="425" t="inlineStr">
        <is>
          <t>BIAYA YANG MASIH HARUS DI BAYAR</t>
        </is>
      </c>
      <c r="I36" s="419" t="inlineStr">
        <is>
          <t>Rp</t>
        </is>
      </c>
      <c r="J36" s="426" t="n">
        <v>0</v>
      </c>
    </row>
    <row r="37">
      <c r="A37" s="392" t="n"/>
      <c r="B37" s="429" t="inlineStr">
        <is>
          <t>TOTAL BIAYA</t>
        </is>
      </c>
      <c r="C37" s="430" t="n"/>
      <c r="D37" s="431" t="inlineStr">
        <is>
          <t>Rp</t>
        </is>
      </c>
      <c r="E37" s="432">
        <f>E35+E21+E27</f>
        <v/>
      </c>
      <c r="F37" s="395" t="n"/>
      <c r="G37" s="460" t="n"/>
      <c r="H37" s="461" t="n"/>
      <c r="I37" s="460" t="n"/>
      <c r="J37" s="462" t="n"/>
    </row>
    <row r="38">
      <c r="A38" s="392" t="n"/>
      <c r="B38" s="411" t="n"/>
      <c r="C38" s="463" t="n"/>
      <c r="D38" s="413" t="n"/>
      <c r="E38" s="464" t="n"/>
      <c r="F38" s="395" t="n"/>
      <c r="G38" s="438" t="n"/>
      <c r="H38" s="439" t="inlineStr">
        <is>
          <t>TOTAL HUTANG LANCAR</t>
        </is>
      </c>
      <c r="I38" s="465" t="n"/>
      <c r="J38" s="440">
        <f>SUM(J33:J36)</f>
        <v/>
      </c>
    </row>
    <row r="39">
      <c r="A39" s="392" t="n"/>
      <c r="B39" s="434" t="inlineStr">
        <is>
          <t xml:space="preserve">PENDAPATAN/BEBAN LAIN LAIN </t>
        </is>
      </c>
      <c r="C39" s="412" t="n"/>
      <c r="D39" s="419" t="inlineStr">
        <is>
          <t>Rp</t>
        </is>
      </c>
      <c r="E39" s="466" t="n"/>
      <c r="F39" s="395" t="n"/>
      <c r="G39" s="424" t="n"/>
      <c r="H39" s="443" t="n"/>
      <c r="I39" s="467" t="n"/>
      <c r="J39" s="418" t="n"/>
    </row>
    <row r="40">
      <c r="A40" s="392" t="n"/>
      <c r="B40" s="434" t="n"/>
      <c r="C40" s="412" t="inlineStr">
        <is>
          <t>PENDAPATAN LAINNYA</t>
        </is>
      </c>
      <c r="D40" s="419" t="inlineStr">
        <is>
          <t>Rp</t>
        </is>
      </c>
      <c r="E40" s="420" t="n">
        <v>0</v>
      </c>
      <c r="F40" s="395" t="n"/>
      <c r="G40" s="421" t="inlineStr">
        <is>
          <t>MODAL</t>
        </is>
      </c>
      <c r="H40" s="422" t="n"/>
      <c r="I40" s="421" t="n"/>
      <c r="J40" s="423" t="n"/>
    </row>
    <row r="41">
      <c r="A41" s="392" t="n"/>
      <c r="B41" s="434" t="n"/>
      <c r="C41" s="412" t="n"/>
      <c r="D41" s="427" t="n"/>
      <c r="E41" s="468" t="n"/>
      <c r="F41" s="395" t="n"/>
      <c r="G41" s="424" t="n"/>
      <c r="H41" s="425" t="inlineStr">
        <is>
          <t>MODAL SAHAM</t>
        </is>
      </c>
      <c r="I41" s="419" t="inlineStr">
        <is>
          <t>Rp</t>
        </is>
      </c>
      <c r="J41" s="426" t="n">
        <v>0</v>
      </c>
    </row>
    <row r="42">
      <c r="A42" s="392" t="n"/>
      <c r="B42" s="429" t="inlineStr">
        <is>
          <t>LABA RUGI SEBELUM PAJAK</t>
        </is>
      </c>
      <c r="C42" s="430" t="n"/>
      <c r="D42" s="431" t="inlineStr">
        <is>
          <t>Rp</t>
        </is>
      </c>
      <c r="E42" s="432">
        <f>E12-E37</f>
        <v/>
      </c>
      <c r="F42" s="395" t="n"/>
      <c r="G42" s="424" t="n"/>
      <c r="H42" s="425" t="inlineStr">
        <is>
          <t>LABA DI TAHAN</t>
        </is>
      </c>
      <c r="I42" s="419" t="inlineStr">
        <is>
          <t>Rp</t>
        </is>
      </c>
      <c r="J42" s="426" t="n">
        <v>0</v>
      </c>
    </row>
    <row r="43">
      <c r="A43" s="392" t="n"/>
      <c r="B43" s="469" t="n"/>
      <c r="C43" s="463" t="n"/>
      <c r="D43" s="413" t="n"/>
      <c r="E43" s="433" t="n"/>
      <c r="F43" s="395" t="n"/>
      <c r="G43" s="421" t="n"/>
      <c r="H43" s="425" t="inlineStr">
        <is>
          <t>TOTAL LABA (RUGI) DITAHAN</t>
        </is>
      </c>
      <c r="I43" s="427" t="inlineStr">
        <is>
          <t>Rp</t>
        </is>
      </c>
      <c r="J43" s="450">
        <f>J28-J38-J41-J42</f>
        <v/>
      </c>
    </row>
    <row r="44">
      <c r="A44" s="392" t="n"/>
      <c r="B44" s="434" t="inlineStr">
        <is>
          <t>CORPORATE TAX (PPh 29)</t>
        </is>
      </c>
      <c r="D44" s="419" t="inlineStr">
        <is>
          <t>Rp</t>
        </is>
      </c>
      <c r="E44" s="420" t="n">
        <v>0</v>
      </c>
      <c r="F44" s="395" t="n"/>
      <c r="G44" s="438" t="n"/>
      <c r="H44" s="439" t="inlineStr">
        <is>
          <t>TOTAL MODAL</t>
        </is>
      </c>
      <c r="I44" s="431" t="inlineStr">
        <is>
          <t>Rp</t>
        </is>
      </c>
      <c r="J44" s="440">
        <f>SUM(J41:J43)</f>
        <v/>
      </c>
    </row>
    <row r="45">
      <c r="A45" s="392" t="n"/>
      <c r="B45" s="434" t="n"/>
      <c r="C45" s="412" t="n"/>
      <c r="D45" s="427" t="n"/>
      <c r="E45" s="468" t="n"/>
      <c r="F45" s="395" t="n"/>
      <c r="G45" s="424" t="n"/>
      <c r="H45" s="425" t="n"/>
      <c r="I45" s="451" t="n"/>
      <c r="J45" s="452" t="n"/>
    </row>
    <row r="46" ht="15" customHeight="1" s="297">
      <c r="A46" s="392" t="n"/>
      <c r="B46" s="470" t="inlineStr">
        <is>
          <t>LABA / RUGI BERSIH</t>
        </is>
      </c>
      <c r="C46" s="303" t="n"/>
      <c r="D46" s="471" t="n"/>
      <c r="E46" s="472">
        <f>E42-E44</f>
        <v/>
      </c>
      <c r="F46" s="395" t="n"/>
      <c r="G46" s="473" t="inlineStr">
        <is>
          <t>TOTAL HUTANG DAN MODAL</t>
        </is>
      </c>
      <c r="H46" s="474" t="n"/>
      <c r="I46" s="471" t="inlineStr">
        <is>
          <t>Rp</t>
        </is>
      </c>
      <c r="J46" s="475">
        <f>J44+J38</f>
        <v/>
      </c>
    </row>
    <row r="47" ht="4.5" customHeight="1" s="297">
      <c r="A47" s="392" t="n"/>
      <c r="F47" s="395" t="n"/>
    </row>
    <row r="48" ht="50.65" customHeight="1" s="297">
      <c r="A48" s="392" t="n"/>
      <c r="F48" s="395" t="n"/>
      <c r="G48" s="476" t="n"/>
    </row>
    <row r="49" ht="16.75" customHeight="1" s="297">
      <c r="A49" s="392" t="n"/>
      <c r="B49" s="477" t="n"/>
      <c r="F49" s="395" t="n"/>
      <c r="G49" s="477" t="n"/>
    </row>
    <row r="50" ht="15.65" customHeight="1" s="297">
      <c r="A50" s="412" t="n"/>
      <c r="B50" s="478" t="inlineStr">
        <is>
          <t>Direktur</t>
        </is>
      </c>
      <c r="F50" s="395" t="n"/>
      <c r="G50" s="478" t="inlineStr">
        <is>
          <t>Direktur</t>
        </is>
      </c>
    </row>
    <row r="51">
      <c r="A51" s="412" t="n"/>
      <c r="F51" s="395" t="n"/>
    </row>
    <row r="52">
      <c r="A52" s="412" t="n"/>
      <c r="F52" s="395" t="n"/>
      <c r="J52" s="47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2" t="n"/>
      <c r="B1" s="392" t="n"/>
      <c r="C1" s="392" t="n"/>
      <c r="D1" s="392" t="n"/>
      <c r="E1" s="393" t="n"/>
    </row>
    <row r="2" ht="37.25" customHeight="1" s="297">
      <c r="A2" s="392" t="n"/>
      <c r="B2" s="392" t="n"/>
      <c r="C2" s="392" t="n"/>
      <c r="D2" s="392" t="n"/>
      <c r="E2" s="393" t="n"/>
    </row>
    <row r="3" ht="33.65" customHeight="1" s="297">
      <c r="A3" s="392" t="n"/>
      <c r="B3" s="394" t="inlineStr">
        <is>
          <t>PT. EXSPAN WIRELINE INDONESIA</t>
        </is>
      </c>
      <c r="F3" s="395" t="n"/>
    </row>
    <row r="4" ht="20.5" customHeight="1" s="297">
      <c r="A4" s="392" t="n"/>
      <c r="B4" s="397" t="inlineStr">
        <is>
          <t>BUSINESS SUMMARY | TAHUN 2024</t>
        </is>
      </c>
      <c r="F4" s="395" t="n"/>
    </row>
    <row r="5" ht="6" customHeight="1" s="297">
      <c r="A5" s="392" t="n"/>
      <c r="B5" s="392" t="n"/>
      <c r="C5" s="392" t="n"/>
      <c r="D5" s="392" t="n"/>
      <c r="E5" s="393" t="n"/>
      <c r="F5" s="395" t="n"/>
    </row>
    <row r="6" ht="19" customHeight="1" s="297">
      <c r="A6" s="392" t="n"/>
      <c r="B6" s="480" t="inlineStr">
        <is>
          <t>#</t>
        </is>
      </c>
      <c r="C6" s="480" t="inlineStr">
        <is>
          <t>Items</t>
        </is>
      </c>
      <c r="D6" s="481" t="inlineStr">
        <is>
          <t>Amount</t>
        </is>
      </c>
      <c r="E6" s="279" t="n"/>
      <c r="F6" s="395" t="n"/>
    </row>
    <row r="7" ht="19" customHeight="1" s="297">
      <c r="A7" s="392" t="n"/>
      <c r="B7" s="482" t="n">
        <v>1</v>
      </c>
      <c r="C7" s="483" t="inlineStr">
        <is>
          <t>Revenue</t>
        </is>
      </c>
      <c r="D7" s="484" t="inlineStr">
        <is>
          <t>Rp</t>
        </is>
      </c>
      <c r="E7" s="485">
        <f>'Revenue-Cost_2024'!F22</f>
        <v/>
      </c>
      <c r="F7" s="395" t="n"/>
    </row>
    <row r="8" ht="19" customHeight="1" s="297">
      <c r="A8" s="392" t="n"/>
      <c r="B8" s="482" t="n">
        <v>2</v>
      </c>
      <c r="C8" s="483" t="inlineStr">
        <is>
          <t>Revenue Diterima (Setelah Pajak)</t>
        </is>
      </c>
      <c r="D8" s="484" t="inlineStr">
        <is>
          <t>Rp</t>
        </is>
      </c>
      <c r="E8" s="485">
        <f>E7-'Revenue-Cost_2024'!N22</f>
        <v/>
      </c>
      <c r="F8" s="395" t="n"/>
    </row>
    <row r="9" ht="19" customHeight="1" s="297">
      <c r="A9" s="392" t="n"/>
      <c r="B9" s="482" t="n">
        <v>3</v>
      </c>
      <c r="C9" s="483" t="inlineStr">
        <is>
          <t>Biaya</t>
        </is>
      </c>
      <c r="D9" s="484" t="inlineStr">
        <is>
          <t>Rp</t>
        </is>
      </c>
      <c r="E9" s="485">
        <f>SUM('Revenue-Cost_2024'!I750:Q750)</f>
        <v/>
      </c>
      <c r="F9" s="395" t="n"/>
    </row>
    <row r="10" ht="19" customHeight="1" s="297">
      <c r="A10" s="392" t="n"/>
      <c r="B10" s="482" t="n">
        <v>4</v>
      </c>
      <c r="C10" s="483" t="inlineStr">
        <is>
          <t>Profit SebelumTax</t>
        </is>
      </c>
      <c r="D10" s="484" t="inlineStr">
        <is>
          <t>Rp</t>
        </is>
      </c>
      <c r="E10" s="485">
        <f>E7-E9</f>
        <v/>
      </c>
      <c r="F10" s="395" t="n"/>
    </row>
    <row r="11" ht="19" customHeight="1" s="297">
      <c r="A11" s="392" t="n"/>
      <c r="B11" s="482" t="n">
        <v>5</v>
      </c>
      <c r="C11" s="483" t="inlineStr">
        <is>
          <t>PPh Badan (22%*50%)</t>
        </is>
      </c>
      <c r="D11" s="484" t="inlineStr">
        <is>
          <t>Rp</t>
        </is>
      </c>
      <c r="E11" s="485">
        <f>E10*22%*50%</f>
        <v/>
      </c>
      <c r="F11" s="395" t="n"/>
    </row>
    <row r="12" ht="19" customHeight="1" s="297">
      <c r="A12" s="392" t="n"/>
      <c r="B12" s="482" t="n">
        <v>6</v>
      </c>
      <c r="C12" s="483" t="inlineStr">
        <is>
          <t>PPh 23 Dipotong oleh client</t>
        </is>
      </c>
      <c r="D12" s="484" t="inlineStr">
        <is>
          <t>Rp</t>
        </is>
      </c>
      <c r="E12" s="485">
        <f>'Revenue-Cost_2024'!N22</f>
        <v/>
      </c>
      <c r="F12" s="395" t="n"/>
    </row>
    <row r="13" ht="19" customHeight="1" s="297">
      <c r="A13" s="392" t="n"/>
      <c r="B13" s="482" t="n">
        <v>7</v>
      </c>
      <c r="C13" s="483" t="inlineStr">
        <is>
          <t>Kekurangan Bayar PPh Badan</t>
        </is>
      </c>
      <c r="D13" s="484" t="inlineStr">
        <is>
          <t>Rp</t>
        </is>
      </c>
      <c r="E13" s="486">
        <f>E11-E12</f>
        <v/>
      </c>
      <c r="F13" s="395" t="n"/>
    </row>
    <row r="14" ht="19" customHeight="1" s="297">
      <c r="A14" s="392" t="n"/>
      <c r="B14" s="482" t="n">
        <v>8</v>
      </c>
      <c r="C14" s="483" t="inlineStr">
        <is>
          <t>Profit After Tax</t>
        </is>
      </c>
      <c r="D14" s="484" t="inlineStr">
        <is>
          <t>Rp</t>
        </is>
      </c>
      <c r="E14" s="485">
        <f>E10-E13</f>
        <v/>
      </c>
      <c r="F14" s="395" t="n"/>
    </row>
    <row r="15" ht="19" customHeight="1" s="297">
      <c r="A15" s="392" t="n"/>
      <c r="B15" s="482" t="n">
        <v>9</v>
      </c>
      <c r="C15" s="483" t="inlineStr">
        <is>
          <t>Deviden Dibagi</t>
        </is>
      </c>
      <c r="D15" s="484" t="inlineStr">
        <is>
          <t>Rp</t>
        </is>
      </c>
      <c r="E15" s="485">
        <f>E14-E16</f>
        <v/>
      </c>
      <c r="F15" s="395" t="n"/>
    </row>
    <row r="16" ht="19" customHeight="1" s="297">
      <c r="A16" s="392" t="n"/>
      <c r="B16" s="482" t="n">
        <v>10</v>
      </c>
      <c r="C16" s="483" t="inlineStr">
        <is>
          <t>Profit Ditahan</t>
        </is>
      </c>
      <c r="D16" s="484" t="inlineStr">
        <is>
          <t>Rp</t>
        </is>
      </c>
      <c r="E16" s="485" t="n">
        <v>33763737</v>
      </c>
      <c r="F16" s="395" t="n"/>
    </row>
    <row r="17">
      <c r="A17" s="392" t="n"/>
      <c r="B17" s="392" t="n"/>
      <c r="C17" s="392" t="n"/>
      <c r="D17" s="392" t="n"/>
      <c r="E17" s="393" t="n"/>
      <c r="F17" s="395" t="n"/>
    </row>
    <row r="18" ht="18" customHeight="1" s="297">
      <c r="A18" s="392" t="n"/>
      <c r="B18" s="270" t="inlineStr">
        <is>
          <t>DEVIDEN</t>
        </is>
      </c>
      <c r="F18" s="395" t="n"/>
    </row>
    <row r="19" ht="19" customHeight="1" s="297">
      <c r="A19" s="392" t="n">
        <v>1</v>
      </c>
      <c r="B19" s="271" t="inlineStr">
        <is>
          <t>Anevril Chairulsyah</t>
        </is>
      </c>
      <c r="C19" s="272" t="n"/>
      <c r="D19" s="483" t="inlineStr">
        <is>
          <t>Rp</t>
        </is>
      </c>
      <c r="E19" s="487">
        <f>IF(B19="","",$E$15/COUNTA($B$19:$B$79))</f>
        <v/>
      </c>
      <c r="F19" s="395" t="n"/>
      <c r="G19" s="488" t="inlineStr">
        <is>
          <t>Pajak 10%</t>
        </is>
      </c>
    </row>
    <row r="20" ht="19" customHeight="1" s="297">
      <c r="A20" s="392" t="n">
        <v>2</v>
      </c>
      <c r="B20" s="271" t="inlineStr">
        <is>
          <t>Alan Muhadjir</t>
        </is>
      </c>
      <c r="C20" s="272" t="n"/>
      <c r="D20" s="483" t="inlineStr">
        <is>
          <t>Rp</t>
        </is>
      </c>
      <c r="E20" s="487">
        <f>IF(B20="","",$E$15/COUNTA($B$19:$B$79))</f>
        <v/>
      </c>
      <c r="F20" s="395" t="n"/>
      <c r="G20" s="488" t="inlineStr">
        <is>
          <t>Pajak 10%</t>
        </is>
      </c>
    </row>
    <row r="21" ht="48.75" customHeight="1" s="297">
      <c r="A21" s="412" t="n"/>
      <c r="F21" s="395" t="n"/>
    </row>
    <row r="22">
      <c r="A22" s="412" t="n"/>
      <c r="F22" s="39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2026-03-29T08:30:11Z</dcterms:modified>
  <cp:lastModifiedBy>Diofavian - Student</cp:lastModifiedBy>
</cp:coreProperties>
</file>