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Revenue-Cost_2024" sheetId="1" state="visible" r:id="rId1"/>
    <sheet xmlns:r="http://schemas.openxmlformats.org/officeDocument/2006/relationships" name="Laba rugi -2024" sheetId="2" state="visible" r:id="rId2"/>
    <sheet xmlns:r="http://schemas.openxmlformats.org/officeDocument/2006/relationships" name="Business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</fonts>
  <fills count="1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3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167" fontId="8" fillId="5" borderId="4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0" fillId="0" borderId="8" pivotButton="0" quotePrefix="0" xfId="0"/>
    <xf numFmtId="0" fontId="14" fillId="3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0" fillId="0" borderId="6" pivotButton="0" quotePrefix="0" xfId="0"/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6" fillId="2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6" fillId="2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right"/>
    </xf>
    <xf numFmtId="0" fontId="0" fillId="0" borderId="9" pivotButton="0" quotePrefix="0" xfId="0"/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8" fillId="0" borderId="8" applyAlignment="1" pivotButton="0" quotePrefix="0" xfId="0">
      <alignment horizontal="right"/>
    </xf>
    <xf numFmtId="0" fontId="6" fillId="2" borderId="1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0" fontId="24" fillId="6" borderId="0" pivotButton="0" quotePrefix="0" xfId="3"/>
    <xf numFmtId="165" fontId="24" fillId="6" borderId="0" pivotButton="0" quotePrefix="0" xfId="6"/>
    <xf numFmtId="0" fontId="0" fillId="6" borderId="0" pivotButton="0" quotePrefix="0" xfId="0"/>
    <xf numFmtId="0" fontId="25" fillId="6" borderId="0" applyAlignment="1" pivotButton="0" quotePrefix="0" xfId="3">
      <alignment horizontal="left"/>
    </xf>
    <xf numFmtId="0" fontId="24" fillId="9" borderId="0" pivotButton="0" quotePrefix="0" xfId="7"/>
    <xf numFmtId="0" fontId="25" fillId="6" borderId="0" pivotButton="0" quotePrefix="0" xfId="3"/>
    <xf numFmtId="0" fontId="26" fillId="6" borderId="0" applyAlignment="1" pivotButton="0" quotePrefix="0" xfId="3">
      <alignment horizontal="left"/>
    </xf>
    <xf numFmtId="0" fontId="26" fillId="6" borderId="0" pivotButton="0" quotePrefix="0" xfId="3"/>
    <xf numFmtId="0" fontId="27" fillId="9" borderId="0" applyAlignment="1" pivotButton="0" quotePrefix="0" xfId="7">
      <alignment horizontal="left"/>
    </xf>
    <xf numFmtId="0" fontId="28" fillId="6" borderId="2" pivotButton="0" quotePrefix="0" xfId="3"/>
    <xf numFmtId="0" fontId="28" fillId="6" borderId="11" pivotButton="0" quotePrefix="0" xfId="3"/>
    <xf numFmtId="165" fontId="27" fillId="6" borderId="2" applyAlignment="1" pivotButton="0" quotePrefix="0" xfId="6">
      <alignment horizontal="center" vertical="center"/>
    </xf>
    <xf numFmtId="165" fontId="27" fillId="6" borderId="3" applyAlignment="1" pivotButton="0" quotePrefix="0" xfId="6">
      <alignment horizontal="center" vertical="center"/>
    </xf>
    <xf numFmtId="0" fontId="28" fillId="9" borderId="2" pivotButton="0" quotePrefix="0" xfId="7"/>
    <xf numFmtId="0" fontId="28" fillId="9" borderId="11" pivotButton="0" quotePrefix="0" xfId="7"/>
    <xf numFmtId="0" fontId="28" fillId="6" borderId="6" pivotButton="0" quotePrefix="0" xfId="3"/>
    <xf numFmtId="0" fontId="28" fillId="6" borderId="14" pivotButton="0" quotePrefix="0" xfId="3"/>
    <xf numFmtId="0" fontId="6" fillId="6" borderId="6" applyAlignment="1" pivotButton="0" quotePrefix="0" xfId="3">
      <alignment horizontal="center" vertical="center"/>
    </xf>
    <xf numFmtId="0" fontId="6" fillId="6" borderId="7" applyAlignment="1" pivotButton="0" quotePrefix="0" xfId="3">
      <alignment horizontal="center" vertical="center"/>
    </xf>
    <xf numFmtId="0" fontId="28" fillId="9" borderId="6" pivotButton="0" quotePrefix="0" xfId="7"/>
    <xf numFmtId="0" fontId="28" fillId="9" borderId="14" pivotButton="0" quotePrefix="0" xfId="7"/>
    <xf numFmtId="171" fontId="29" fillId="6" borderId="2" pivotButton="0" quotePrefix="0" xfId="8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8"/>
    <xf numFmtId="2" fontId="29" fillId="9" borderId="12" applyAlignment="1" pivotButton="0" quotePrefix="0" xfId="9">
      <alignment horizontal="left"/>
    </xf>
    <xf numFmtId="2" fontId="29" fillId="9" borderId="0" pivotButton="0" quotePrefix="0" xfId="9"/>
    <xf numFmtId="2" fontId="29" fillId="9" borderId="2" pivotButton="0" quotePrefix="0" xfId="9"/>
    <xf numFmtId="3" fontId="29" fillId="9" borderId="3" applyAlignment="1" pivotButton="0" quotePrefix="0" xfId="9">
      <alignment horizontal="right"/>
    </xf>
    <xf numFmtId="0" fontId="30" fillId="6" borderId="12" pivotButton="0" quotePrefix="0" xfId="3"/>
    <xf numFmtId="37" fontId="30" fillId="6" borderId="13" pivotButton="0" quotePrefix="0" xfId="10"/>
    <xf numFmtId="2" fontId="31" fillId="9" borderId="12" pivotButton="0" quotePrefix="0" xfId="9"/>
    <xf numFmtId="2" fontId="31" fillId="9" borderId="0" pivotButton="0" quotePrefix="0" xfId="9"/>
    <xf numFmtId="3" fontId="31" fillId="9" borderId="13" applyAlignment="1" pivotButton="0" quotePrefix="0" xfId="9">
      <alignment horizontal="right"/>
    </xf>
    <xf numFmtId="2" fontId="30" fillId="9" borderId="12" pivotButton="0" quotePrefix="0" xfId="9"/>
    <xf numFmtId="2" fontId="30" fillId="9" borderId="0" applyAlignment="1" pivotButton="0" quotePrefix="0" xfId="9">
      <alignment horizontal="left"/>
    </xf>
    <xf numFmtId="3" fontId="30" fillId="9" borderId="13" applyAlignment="1" pivotButton="0" quotePrefix="0" xfId="9">
      <alignment horizontal="right"/>
    </xf>
    <xf numFmtId="0" fontId="30" fillId="6" borderId="6" pivotButton="0" quotePrefix="0" xfId="3"/>
    <xf numFmtId="37" fontId="30" fillId="6" borderId="7" pivotButton="0" quotePrefix="0" xfId="10"/>
    <xf numFmtId="171" fontId="29" fillId="6" borderId="10" pivotButton="0" quotePrefix="0" xfId="8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0"/>
    <xf numFmtId="37" fontId="30" fillId="6" borderId="3" pivotButton="0" quotePrefix="0" xfId="10"/>
    <xf numFmtId="171" fontId="29" fillId="6" borderId="12" pivotButton="0" quotePrefix="0" xfId="8"/>
    <xf numFmtId="37" fontId="30" fillId="0" borderId="13" pivotButton="0" quotePrefix="0" xfId="10"/>
    <xf numFmtId="171" fontId="30" fillId="6" borderId="12" pivotButton="0" quotePrefix="0" xfId="8"/>
    <xf numFmtId="172" fontId="29" fillId="9" borderId="12" applyAlignment="1" pivotButton="0" quotePrefix="0" xfId="9">
      <alignment horizontal="left"/>
    </xf>
    <xf numFmtId="2" fontId="30" fillId="9" borderId="10" pivotButton="0" quotePrefix="0" xfId="9"/>
    <xf numFmtId="2" fontId="29" fillId="9" borderId="9" applyAlignment="1" pivotButton="0" quotePrefix="0" xfId="9">
      <alignment horizontal="left"/>
    </xf>
    <xf numFmtId="3" fontId="29" fillId="9" borderId="8" applyAlignment="1" pivotButton="0" quotePrefix="0" xfId="9">
      <alignment horizontal="right"/>
    </xf>
    <xf numFmtId="2" fontId="30" fillId="9" borderId="2" applyAlignment="1" pivotButton="0" quotePrefix="0" xfId="9">
      <alignment horizontal="left"/>
    </xf>
    <xf numFmtId="3" fontId="30" fillId="9" borderId="3" applyAlignment="1" pivotButton="0" quotePrefix="0" xfId="9">
      <alignment horizontal="right"/>
    </xf>
    <xf numFmtId="2" fontId="29" fillId="9" borderId="0" applyAlignment="1" pivotButton="0" quotePrefix="0" xfId="9">
      <alignment horizontal="left"/>
    </xf>
    <xf numFmtId="37" fontId="30" fillId="0" borderId="7" pivotButton="0" quotePrefix="0" xfId="10"/>
    <xf numFmtId="37" fontId="29" fillId="0" borderId="8" pivotButton="0" quotePrefix="0" xfId="10"/>
    <xf numFmtId="2" fontId="29" fillId="9" borderId="6" applyAlignment="1" pivotButton="0" quotePrefix="0" xfId="9">
      <alignment horizontal="left"/>
    </xf>
    <xf numFmtId="3" fontId="29" fillId="9" borderId="7" applyAlignment="1" pivotButton="0" quotePrefix="0" xfId="9">
      <alignment horizontal="right"/>
    </xf>
    <xf numFmtId="37" fontId="30" fillId="0" borderId="3" pivotButton="0" quotePrefix="0" xfId="10"/>
    <xf numFmtId="2" fontId="30" fillId="9" borderId="6" applyAlignment="1" pivotButton="0" quotePrefix="0" xfId="9">
      <alignment horizontal="left"/>
    </xf>
    <xf numFmtId="3" fontId="30" fillId="9" borderId="7" applyAlignment="1" pivotButton="0" quotePrefix="0" xfId="9">
      <alignment horizontal="right"/>
    </xf>
    <xf numFmtId="2" fontId="30" fillId="9" borderId="10" applyAlignment="1" pivotButton="0" quotePrefix="0" xfId="9">
      <alignment horizontal="left"/>
    </xf>
    <xf numFmtId="3" fontId="30" fillId="9" borderId="8" applyAlignment="1" pivotButton="0" quotePrefix="0" xfId="9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9"/>
    <xf numFmtId="2" fontId="30" fillId="9" borderId="11" pivotButton="0" quotePrefix="0" xfId="9"/>
    <xf numFmtId="2" fontId="29" fillId="9" borderId="12" pivotButton="0" quotePrefix="0" xfId="9"/>
    <xf numFmtId="3" fontId="29" fillId="9" borderId="13" applyAlignment="1" pivotButton="0" quotePrefix="0" xfId="9">
      <alignment horizontal="right"/>
    </xf>
    <xf numFmtId="0" fontId="30" fillId="9" borderId="0" pivotButton="0" quotePrefix="0" xfId="7"/>
    <xf numFmtId="3" fontId="30" fillId="9" borderId="13" applyAlignment="1" pivotButton="0" quotePrefix="0" xfId="7">
      <alignment horizontal="right"/>
    </xf>
    <xf numFmtId="37" fontId="30" fillId="6" borderId="8" pivotButton="0" quotePrefix="0" xfId="10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0"/>
    <xf numFmtId="2" fontId="29" fillId="9" borderId="10" applyAlignment="1" pivotButton="0" quotePrefix="0" xfId="9">
      <alignment horizontal="left"/>
    </xf>
    <xf numFmtId="37" fontId="29" fillId="6" borderId="13" pivotButton="0" quotePrefix="0" xfId="10"/>
    <xf numFmtId="2" fontId="29" fillId="9" borderId="2" applyAlignment="1" pivotButton="0" quotePrefix="0" xfId="9">
      <alignment horizontal="left"/>
    </xf>
    <xf numFmtId="37" fontId="29" fillId="6" borderId="7" pivotButton="0" quotePrefix="0" xfId="10"/>
    <xf numFmtId="171" fontId="30" fillId="6" borderId="2" pivotButton="0" quotePrefix="0" xfId="8"/>
    <xf numFmtId="3" fontId="30" fillId="9" borderId="7" applyAlignment="1" pivotButton="0" quotePrefix="1" xfId="10">
      <alignment horizontal="right"/>
    </xf>
    <xf numFmtId="171" fontId="29" fillId="6" borderId="15" applyAlignment="1" pivotButton="0" quotePrefix="0" xfId="8">
      <alignment horizontal="left"/>
    </xf>
    <xf numFmtId="171" fontId="29" fillId="6" borderId="16" applyAlignment="1" pivotButton="0" quotePrefix="0" xfId="8">
      <alignment horizontal="left"/>
    </xf>
    <xf numFmtId="0" fontId="30" fillId="6" borderId="15" pivotButton="0" quotePrefix="0" xfId="3"/>
    <xf numFmtId="37" fontId="29" fillId="6" borderId="16" pivotButton="0" quotePrefix="0" xfId="10"/>
    <xf numFmtId="2" fontId="29" fillId="9" borderId="15" pivotButton="0" quotePrefix="0" xfId="9"/>
    <xf numFmtId="2" fontId="29" fillId="9" borderId="17" pivotButton="0" quotePrefix="0" xfId="9"/>
    <xf numFmtId="3" fontId="29" fillId="9" borderId="16" applyAlignment="1" pivotButton="0" quotePrefix="0" xfId="9">
      <alignment horizontal="right"/>
    </xf>
    <xf numFmtId="2" fontId="30" fillId="9" borderId="0" pivotButton="0" quotePrefix="0" xfId="9"/>
    <xf numFmtId="0" fontId="32" fillId="6" borderId="0" applyAlignment="1" pivotButton="0" quotePrefix="0" xfId="3">
      <alignment horizontal="center"/>
    </xf>
    <xf numFmtId="0" fontId="28" fillId="6" borderId="0" applyAlignment="1" pivotButton="0" quotePrefix="0" xfId="3">
      <alignment horizontal="center"/>
    </xf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165" fontId="26" fillId="6" borderId="4" applyAlignment="1" pivotButton="0" quotePrefix="0" xfId="6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6"/>
    <xf numFmtId="165" fontId="33" fillId="7" borderId="8" pivotButton="0" quotePrefix="0" xfId="6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6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0" borderId="4" pivotButton="0" quotePrefix="0" xfId="1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27" fillId="6" borderId="1" applyAlignment="1" pivotButton="0" quotePrefix="0" xfId="6">
      <alignment horizontal="center" vertical="center"/>
    </xf>
    <xf numFmtId="0" fontId="6" fillId="6" borderId="5" applyAlignment="1" pivotButton="0" quotePrefix="0" xfId="3">
      <alignment horizontal="center" vertical="center"/>
    </xf>
    <xf numFmtId="172" fontId="29" fillId="9" borderId="12" applyAlignment="1" pivotButton="0" quotePrefix="0" xfId="9">
      <alignment horizontal="left"/>
    </xf>
    <xf numFmtId="171" fontId="29" fillId="6" borderId="19" applyAlignment="1" pivotButton="0" quotePrefix="0" xfId="8">
      <alignment horizontal="left"/>
    </xf>
    <xf numFmtId="0" fontId="0" fillId="0" borderId="16" pivotButton="0" quotePrefix="0" xfId="0"/>
    <xf numFmtId="172" fontId="0" fillId="6" borderId="0" pivotButton="0" quotePrefix="0" xfId="0"/>
  </cellXfs>
  <cellStyles count="11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omma 2" xfId="6"/>
    <cellStyle name="Normal_Lapkeu Deka Dec 2009 (04-02-10)" xfId="7"/>
    <cellStyle name="Comma [0] 2" xfId="8"/>
    <cellStyle name="Normal_FS 2007" xfId="9"/>
    <cellStyle name="Currency [0]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zoomScale="85" zoomScaleNormal="85" workbookViewId="0">
      <selection activeCell="J49" sqref="J49"/>
    </sheetView>
  </sheetViews>
  <sheetFormatPr baseColWidth="8" defaultRowHeight="14.5"/>
  <cols>
    <col width="0.6328125" customWidth="1" style="177" min="1" max="1"/>
    <col width="11.82" customWidth="1" style="177" min="2" max="2"/>
    <col width="4" bestFit="1" customWidth="1" style="177" min="3" max="3"/>
    <col width="56.27" customWidth="1" style="177" min="4" max="4"/>
    <col width="4.6328125" bestFit="1" customWidth="1" style="177" min="5" max="5"/>
    <col width="13.36" bestFit="1" customWidth="1" style="177" min="6" max="6"/>
    <col width="4.81640625" customWidth="1" style="178" min="7" max="7"/>
    <col width="8.6328125" customWidth="1" style="178" min="8" max="8"/>
    <col width="15.08984375" customWidth="1" style="177" min="9" max="9"/>
    <col width="14.453125" bestFit="1" customWidth="1" style="177" min="10" max="10"/>
    <col width="14.81640625" bestFit="1" customWidth="1" style="177" min="11" max="11"/>
    <col width="13.90625" customWidth="1" style="177" min="12" max="12"/>
    <col width="14.54296875" bestFit="1" customWidth="1" style="177" min="13" max="13"/>
    <col width="14.453125" bestFit="1" customWidth="1" style="177" min="14" max="14"/>
    <col width="15.08984375" bestFit="1" customWidth="1" style="177" min="15" max="15"/>
    <col width="12.08984375" customWidth="1" style="177" min="16" max="16"/>
    <col width="12.08984375" bestFit="1" customWidth="1" style="177" min="17" max="17"/>
    <col width="2.1796875" customWidth="1" style="177" min="18" max="18"/>
  </cols>
  <sheetData>
    <row r="1" ht="28" customHeight="1" s="177">
      <c r="B1" s="176" t="inlineStr">
        <is>
          <t>Daily Report - Balance Calculation Operation Cost</t>
        </is>
      </c>
    </row>
    <row r="2" ht="18" customHeight="1" s="17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17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177">
      <c r="B5" s="8" t="inlineStr">
        <is>
          <t>REVENUE &amp; TAX</t>
        </is>
      </c>
      <c r="C5" s="178" t="n"/>
      <c r="L5" s="8" t="n"/>
      <c r="N5" s="8" t="n"/>
    </row>
    <row r="6" ht="31" customHeight="1" s="177">
      <c r="B6" s="187" t="inlineStr">
        <is>
          <t>Invoice Date</t>
        </is>
      </c>
      <c r="C6" s="185" t="inlineStr">
        <is>
          <t>#</t>
        </is>
      </c>
      <c r="D6" s="182" t="inlineStr">
        <is>
          <t>Detail/Description</t>
        </is>
      </c>
      <c r="E6" s="183" t="n"/>
      <c r="F6" s="9" t="inlineStr">
        <is>
          <t>INVOICE VALUE</t>
        </is>
      </c>
      <c r="G6" s="186" t="inlineStr">
        <is>
          <t>Currency</t>
        </is>
      </c>
      <c r="H6" s="174" t="inlineStr">
        <is>
          <t>Currency
Exchange</t>
        </is>
      </c>
      <c r="I6" s="193" t="inlineStr">
        <is>
          <t>INVOICE Number</t>
        </is>
      </c>
      <c r="J6" s="180" t="inlineStr">
        <is>
          <t>Client</t>
        </is>
      </c>
      <c r="K6" s="193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94" t="inlineStr">
        <is>
          <t>Biaya transfer</t>
        </is>
      </c>
      <c r="P6" s="179" t="inlineStr">
        <is>
          <t>Remark</t>
        </is>
      </c>
    </row>
    <row r="7" ht="20.25" customHeight="1" s="177">
      <c r="B7" s="175" t="n"/>
      <c r="C7" s="175" t="n"/>
      <c r="D7" s="181" t="n"/>
      <c r="E7" s="184" t="n"/>
      <c r="F7" s="11" t="n"/>
      <c r="G7" s="175" t="n"/>
      <c r="H7" s="175" t="n"/>
      <c r="I7" s="181" t="n"/>
      <c r="J7" s="181" t="n"/>
      <c r="K7" s="181" t="n"/>
      <c r="L7" s="12" t="inlineStr">
        <is>
          <t>IDR</t>
        </is>
      </c>
      <c r="M7" s="13" t="n">
        <v>0.11</v>
      </c>
      <c r="N7" s="13" t="n">
        <v>0.02</v>
      </c>
      <c r="O7" s="175" t="n"/>
      <c r="P7" s="175" t="n"/>
    </row>
    <row r="8" ht="15.5" customHeight="1" s="177">
      <c r="B8" s="14" t="inlineStr">
        <is>
          <t>10-Jan-24</t>
        </is>
      </c>
      <c r="C8" s="15" t="n">
        <v>1</v>
      </c>
      <c r="D8" s="171" t="inlineStr">
        <is>
          <t>Test Description</t>
        </is>
      </c>
      <c r="E8" s="172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INV001</t>
        </is>
      </c>
      <c r="J8" s="18" t="inlineStr">
        <is>
          <t>Test Client</t>
        </is>
      </c>
      <c r="K8" s="14" t="inlineStr">
        <is>
          <t>17-Apr-24</t>
        </is>
      </c>
      <c r="L8" s="17" t="n">
        <v>166500000</v>
      </c>
      <c r="M8" s="20" t="n">
        <v>16500000</v>
      </c>
      <c r="N8" s="20" t="n">
        <v>3000000</v>
      </c>
      <c r="O8" s="19">
        <f>F8-N8-L8</f>
        <v/>
      </c>
      <c r="P8" s="18" t="inlineStr">
        <is>
          <t>Pemungut</t>
        </is>
      </c>
    </row>
    <row r="9" ht="15.5" customHeight="1" s="177">
      <c r="B9" s="14" t="n">
        <v>45301</v>
      </c>
      <c r="C9" s="15" t="n">
        <v>3</v>
      </c>
      <c r="D9" s="171" t="inlineStr">
        <is>
          <t>Revenue data procesing MTD_Tomori</t>
        </is>
      </c>
      <c r="E9" s="172" t="n"/>
      <c r="F9" s="17" t="n">
        <v>10000000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17" t="n">
        <v>10000000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177">
      <c r="B10" s="14" t="n">
        <v>45302</v>
      </c>
      <c r="C10" s="15" t="n">
        <v>4</v>
      </c>
      <c r="D10" s="171" t="inlineStr">
        <is>
          <t>ALFA Service PDS-01ST Pertamina Zona#4</t>
        </is>
      </c>
      <c r="E10" s="172" t="n"/>
      <c r="F10" s="17" t="n">
        <v>10000000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7" t="n">
        <v>10000000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177">
      <c r="B11" s="14" t="n">
        <v>45302</v>
      </c>
      <c r="C11" s="15" t="n">
        <v>5</v>
      </c>
      <c r="D11" s="171" t="inlineStr">
        <is>
          <t>ALFA Service JRK-254 Pertamina Zona#4</t>
        </is>
      </c>
      <c r="E11" s="172" t="n"/>
      <c r="F11" s="17" t="n">
        <v>10000000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7" t="n">
        <v>10000000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177">
      <c r="B12" s="14" t="n">
        <v>45446</v>
      </c>
      <c r="C12" s="15" t="n">
        <v>6</v>
      </c>
      <c r="D12" s="171" t="inlineStr">
        <is>
          <t>ALFA Service TLJ-58 Pertamina Zona#4</t>
        </is>
      </c>
      <c r="E12" s="172" t="n"/>
      <c r="F12" s="17" t="n">
        <v>10000000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7" t="n">
        <v>10000000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177">
      <c r="B13" s="14" t="n">
        <v>45447</v>
      </c>
      <c r="C13" s="15" t="n">
        <v>7</v>
      </c>
      <c r="D13" s="171" t="inlineStr">
        <is>
          <t>ALFA Service JRK-193 Pertamina Zona#4</t>
        </is>
      </c>
      <c r="E13" s="172" t="n"/>
      <c r="F13" s="17" t="n">
        <v>10000000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7" t="n">
        <v>10000000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177">
      <c r="B14" s="14" t="n">
        <v>45539</v>
      </c>
      <c r="C14" s="15" t="n">
        <v>8</v>
      </c>
      <c r="D14" s="171" t="inlineStr">
        <is>
          <t>Revenue Repair Electric Assisted Stimulation Machine (no 23)</t>
        </is>
      </c>
      <c r="E14" s="172" t="n"/>
      <c r="F14" s="17" t="n">
        <v>10000000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7" t="n">
        <v>10000000</v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177">
      <c r="B15" s="14" t="n">
        <v>45537</v>
      </c>
      <c r="C15" s="15" t="n">
        <v>9</v>
      </c>
      <c r="D15" s="171" t="inlineStr">
        <is>
          <t>ALFA Service JRK-163 Pertamina Zona#4</t>
        </is>
      </c>
      <c r="E15" s="172" t="n"/>
      <c r="F15" s="17" t="n">
        <v>10000000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7" t="n">
        <v>10000000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177">
      <c r="B16" s="14" t="n">
        <v>45576</v>
      </c>
      <c r="C16" s="15" t="n">
        <v>10</v>
      </c>
      <c r="D16" s="171" t="inlineStr">
        <is>
          <t>Revenue Project TIS (no 28 )</t>
        </is>
      </c>
      <c r="E16" s="172" t="n"/>
      <c r="F16" s="17" t="n">
        <v>10000000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7" t="n">
        <v>10000000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177">
      <c r="B17" s="14" t="n">
        <v>45572</v>
      </c>
      <c r="C17" s="15" t="n">
        <v>11</v>
      </c>
      <c r="D17" s="171" t="inlineStr">
        <is>
          <t>ALFA Service JRK-095 Pertamina Zona#4</t>
        </is>
      </c>
      <c r="E17" s="172" t="n"/>
      <c r="F17" s="17" t="n">
        <v>10000000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7" t="n">
        <v>10000000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177">
      <c r="B18" s="14" t="n">
        <v>45569</v>
      </c>
      <c r="C18" s="15" t="n">
        <v>12</v>
      </c>
      <c r="D18" s="171" t="inlineStr">
        <is>
          <t>ALFA Service TGB-033 Pertamina Cirebon</t>
        </is>
      </c>
      <c r="E18" s="172" t="n"/>
      <c r="F18" s="17" t="n">
        <v>10000000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" t="n">
        <v>10000000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177">
      <c r="B19" s="14" t="n">
        <v>45569</v>
      </c>
      <c r="C19" s="15" t="n">
        <v>13</v>
      </c>
      <c r="D19" s="171" t="inlineStr">
        <is>
          <t>MFC Service TGB-033 Pertamina Cirebon</t>
        </is>
      </c>
      <c r="E19" s="172" t="n"/>
      <c r="F19" s="17" t="n">
        <v>10000000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190" t="n">
        <v>45653</v>
      </c>
      <c r="L19" s="17" t="n">
        <v>10000000</v>
      </c>
      <c r="M19" s="20">
        <f>(F19*11%)</f>
        <v/>
      </c>
      <c r="N19" s="20">
        <f>(F19*2%)</f>
        <v/>
      </c>
      <c r="O19" s="191">
        <f>F19+F20-L19-(N19+N20)</f>
        <v/>
      </c>
      <c r="P19" s="18" t="inlineStr">
        <is>
          <t>Pemungut</t>
        </is>
      </c>
    </row>
    <row r="20" ht="15.5" customHeight="1" s="177">
      <c r="B20" s="14" t="n">
        <v>45569</v>
      </c>
      <c r="C20" s="15" t="n">
        <v>14</v>
      </c>
      <c r="D20" s="171" t="inlineStr">
        <is>
          <t>PLT Service TGB-033 Pertamina Cirebon</t>
        </is>
      </c>
      <c r="E20" s="172" t="n"/>
      <c r="F20" s="17" t="n">
        <v>10000000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175" t="n"/>
      <c r="L20" s="17" t="n">
        <v>10000000</v>
      </c>
      <c r="M20" s="20">
        <f>(F20*11%)</f>
        <v/>
      </c>
      <c r="N20" s="20">
        <f>(F20*2%)</f>
        <v/>
      </c>
      <c r="O20" s="175" t="n"/>
      <c r="P20" s="18" t="inlineStr">
        <is>
          <t>Pemungut</t>
        </is>
      </c>
    </row>
    <row r="21" ht="15.5" customHeight="1" s="177">
      <c r="B21" s="14" t="n">
        <v>45657</v>
      </c>
      <c r="C21" s="15" t="n">
        <v>15</v>
      </c>
      <c r="D21" s="171" t="inlineStr">
        <is>
          <t>Bunga Bank 2024</t>
        </is>
      </c>
      <c r="E21" s="172" t="n"/>
      <c r="F21" s="17" t="n">
        <v>10000000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177">
      <c r="B22" s="188" t="inlineStr">
        <is>
          <t>REVENUE (IDR)</t>
        </is>
      </c>
      <c r="C22" s="189" t="n"/>
      <c r="D22" s="189" t="n"/>
      <c r="E22" s="172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4" ht="25" customHeight="1" s="177">
      <c r="B24" s="8" t="inlineStr">
        <is>
          <t>PAJAK PENGELUARAN</t>
        </is>
      </c>
      <c r="F24" s="22" t="n"/>
      <c r="I24" s="37" t="n"/>
      <c r="L24" s="8" t="n"/>
    </row>
    <row r="25" ht="31" customHeight="1" s="177">
      <c r="B25" s="185" t="inlineStr">
        <is>
          <t>Date</t>
        </is>
      </c>
      <c r="C25" s="185" t="inlineStr">
        <is>
          <t>#</t>
        </is>
      </c>
      <c r="D25" s="182" t="inlineStr">
        <is>
          <t>Detail/Description</t>
        </is>
      </c>
      <c r="E25" s="183" t="n"/>
      <c r="F25" s="9" t="inlineStr">
        <is>
          <t>Transaction Value</t>
        </is>
      </c>
      <c r="G25" s="186" t="inlineStr">
        <is>
          <t>Currency</t>
        </is>
      </c>
      <c r="H25" s="174" t="inlineStr">
        <is>
          <t>Currency
Exchange</t>
        </is>
      </c>
      <c r="I25" s="173" t="inlineStr">
        <is>
          <t>PPN</t>
        </is>
      </c>
      <c r="J25" s="172" t="n"/>
      <c r="K25" s="173" t="inlineStr">
        <is>
          <t>PPh (pasal 21)</t>
        </is>
      </c>
      <c r="L25" s="172" t="n"/>
      <c r="M25" s="173" t="inlineStr">
        <is>
          <t>PPh (pasal 23)</t>
        </is>
      </c>
      <c r="N25" s="172" t="n"/>
      <c r="O25" s="173" t="inlineStr">
        <is>
          <t>PPh (pasal 26)</t>
        </is>
      </c>
      <c r="P25" s="172" t="n"/>
      <c r="Q25" s="38" t="n"/>
    </row>
    <row r="26" ht="24" customHeight="1" s="177">
      <c r="B26" s="175" t="n"/>
      <c r="C26" s="175" t="n"/>
      <c r="D26" s="181" t="n"/>
      <c r="E26" s="184" t="n"/>
      <c r="F26" s="11" t="n"/>
      <c r="G26" s="175" t="n"/>
      <c r="H26" s="175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177">
      <c r="B27" s="14" t="n">
        <v>45289</v>
      </c>
      <c r="C27" s="15" t="n"/>
      <c r="D27" s="171" t="inlineStr">
        <is>
          <t>Tax PPN 11% (Project TGE MEPI Rimau Pembayaran Ke-2)</t>
        </is>
      </c>
      <c r="E27" s="172" t="n"/>
      <c r="F27" s="17" t="n">
        <v>10000000</v>
      </c>
      <c r="G27" s="15" t="n"/>
      <c r="H27" s="15" t="n"/>
      <c r="I27" s="18" t="n"/>
      <c r="J27" s="21" t="n">
        <v>1000000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177">
      <c r="B28" s="14" t="n">
        <v>45302</v>
      </c>
      <c r="C28" s="15" t="n"/>
      <c r="D28" s="171" t="inlineStr">
        <is>
          <t>Tax PPN 11% (Project TGE MEPI Rimau Pembayaran Ke-2)</t>
        </is>
      </c>
      <c r="E28" s="172" t="n"/>
      <c r="F28" s="17" t="n">
        <v>10000000</v>
      </c>
      <c r="G28" s="15" t="n"/>
      <c r="H28" s="15" t="n"/>
      <c r="I28" s="18" t="n"/>
      <c r="J28" s="21" t="n">
        <v>1000000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177">
      <c r="B29" s="14" t="n">
        <v>45351</v>
      </c>
      <c r="C29" s="15" t="n"/>
      <c r="D29" s="171" t="inlineStr">
        <is>
          <t>Tax PPN 11% (Project TGE MEPI Tomori)</t>
        </is>
      </c>
      <c r="E29" s="172" t="n"/>
      <c r="F29" s="17" t="n">
        <v>10000000</v>
      </c>
      <c r="G29" s="15" t="n"/>
      <c r="H29" s="15" t="n"/>
      <c r="I29" s="18" t="n"/>
      <c r="J29" s="21" t="n">
        <v>1000000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177">
      <c r="B30" s="14" t="n">
        <v>45567</v>
      </c>
      <c r="C30" s="15" t="n"/>
      <c r="D30" s="171" t="inlineStr">
        <is>
          <t>Tax PPN 11% (Perbaikan Repair Electric Assisted Stimulation Machine)</t>
        </is>
      </c>
      <c r="E30" s="172" t="n"/>
      <c r="F30" s="17" t="n">
        <v>10000000</v>
      </c>
      <c r="G30" s="15" t="n"/>
      <c r="H30" s="15" t="n"/>
      <c r="I30" s="18" t="n"/>
      <c r="J30" s="21" t="n">
        <v>1000000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177">
      <c r="B31" s="14" t="n">
        <v>45546</v>
      </c>
      <c r="C31" s="15" t="n"/>
      <c r="D31" s="171" t="inlineStr">
        <is>
          <t>Pinalty Telat bayar pajak PP21 Sewa tool ALFA 2023</t>
        </is>
      </c>
      <c r="E31" s="172" t="n"/>
      <c r="F31" s="17" t="n">
        <v>10000000</v>
      </c>
      <c r="G31" s="15" t="n"/>
      <c r="H31" s="15" t="n"/>
      <c r="I31" s="18" t="n"/>
      <c r="J31" s="21" t="n">
        <v>1000000</v>
      </c>
      <c r="K31" s="24" t="n"/>
      <c r="L31" s="21" t="n">
        <v>1000000</v>
      </c>
      <c r="M31" s="24" t="n"/>
      <c r="N31" s="21" t="n"/>
      <c r="O31" s="24" t="n"/>
      <c r="P31" s="21" t="n"/>
      <c r="Q31" s="42" t="n"/>
    </row>
    <row r="32" ht="15.5" customHeight="1" s="177">
      <c r="B32" s="14" t="n">
        <v>45546</v>
      </c>
      <c r="C32" s="15" t="n"/>
      <c r="D32" s="171" t="inlineStr">
        <is>
          <t>Tax PPN 11% pajak Inv-007 tahun 2023 sarulla project - Sibat</t>
        </is>
      </c>
      <c r="E32" s="172" t="n"/>
      <c r="F32" s="17" t="n">
        <v>10000000</v>
      </c>
      <c r="G32" s="15" t="n"/>
      <c r="H32" s="15" t="n"/>
      <c r="I32" s="18" t="n"/>
      <c r="J32" s="21" t="n">
        <v>1000000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177">
      <c r="B33" s="14" t="n">
        <v>45589</v>
      </c>
      <c r="C33" s="15" t="n"/>
      <c r="D33" s="171" t="inlineStr">
        <is>
          <t>Penalty telat bayar pajak PPN project sarulla_INV-007_under Sibat</t>
        </is>
      </c>
      <c r="E33" s="172" t="n"/>
      <c r="F33" s="17" t="n">
        <v>10000000</v>
      </c>
      <c r="G33" s="15" t="n"/>
      <c r="H33" s="15" t="n"/>
      <c r="I33" s="18" t="n"/>
      <c r="J33" s="21" t="n">
        <v>1000000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177">
      <c r="B34" s="14" t="n">
        <v>45593</v>
      </c>
      <c r="C34" s="15" t="n"/>
      <c r="D34" s="171" t="inlineStr">
        <is>
          <t>Pemindahbukan dari double bayar (29 des 2023) utk PPN Inv-028</t>
        </is>
      </c>
      <c r="E34" s="172" t="n"/>
      <c r="F34" s="17" t="n">
        <v>10000000</v>
      </c>
      <c r="G34" s="15" t="n"/>
      <c r="H34" s="15" t="n"/>
      <c r="I34" s="18" t="n"/>
      <c r="J34" s="21" t="n">
        <v>1000000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177">
      <c r="B35" s="14" t="n">
        <v>45607</v>
      </c>
      <c r="C35" s="15" t="n"/>
      <c r="D35" s="171" t="inlineStr">
        <is>
          <t>Kekurangan pajak PPn Inv-028 (barikikn Sakti)(1/3 nya dari PBK pajak)</t>
        </is>
      </c>
      <c r="E35" s="172" t="n"/>
      <c r="F35" s="17" t="n">
        <v>10000000</v>
      </c>
      <c r="G35" s="15" t="n"/>
      <c r="H35" s="15" t="n"/>
      <c r="I35" s="18" t="n"/>
      <c r="J35" s="21" t="n">
        <v>1000000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177">
      <c r="B36" s="14" t="n">
        <v>45607</v>
      </c>
      <c r="C36" s="15" t="n"/>
      <c r="D36" s="171" t="inlineStr">
        <is>
          <t>Kekurangan pajak final PPH 23 keuntungan perusahaan tahun 2023</t>
        </is>
      </c>
      <c r="E36" s="172" t="n"/>
      <c r="F36" s="17" t="n">
        <v>10000000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1000000</v>
      </c>
      <c r="O36" s="24" t="n"/>
      <c r="P36" s="21" t="n"/>
      <c r="Q36" s="42" t="n"/>
    </row>
    <row r="37" ht="15.5" customHeight="1" s="177">
      <c r="B37" s="188" t="inlineStr">
        <is>
          <t>PENERIMAAN NEGARA (TAX) (IDR)</t>
        </is>
      </c>
      <c r="C37" s="189" t="n"/>
      <c r="D37" s="189" t="n"/>
      <c r="E37" s="189" t="n"/>
      <c r="F37" s="189" t="n"/>
      <c r="G37" s="189" t="n"/>
      <c r="H37" s="172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 ht="15" customHeight="1" s="177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17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186" t="inlineStr">
        <is>
          <t>Currency</t>
        </is>
      </c>
      <c r="H40" s="174" t="inlineStr">
        <is>
          <t>urrency Exchange</t>
        </is>
      </c>
      <c r="I40" s="29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177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1000000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t="15.5" customHeight="1" s="177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1000000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t="15.5" customHeight="1" s="17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1000000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t="15.5" customHeight="1" s="17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1000000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00" t="n"/>
      <c r="L44" s="44" t="n"/>
      <c r="M44" s="44" t="n"/>
      <c r="N44" s="44" t="n"/>
      <c r="O44" s="44" t="n"/>
      <c r="P44" s="44" t="n"/>
      <c r="Q44" s="44" t="n"/>
    </row>
    <row r="45" ht="15.5" customHeight="1" s="17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5" t="n">
        <v>1000000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t="15.5" customHeight="1" s="17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5" t="n">
        <v>1000000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t="15.5" customHeight="1" s="17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5" t="n">
        <v>1000000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t="15.5" customHeight="1" s="17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5" t="n">
        <v>1000000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t="15.5" customHeight="1" s="177">
      <c r="B49" s="190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5" t="n">
        <v>1000000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t="15.5" customHeight="1" s="17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5" t="n">
        <v>1000000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t="15.5" customHeight="1" s="17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5" t="n">
        <v>1000000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5" t="n">
        <v>1000000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5" t="n">
        <v>1000000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5" t="n">
        <v>1000000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5" t="n">
        <v>1000000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5" t="n">
        <v>1000000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5" t="n">
        <v>1000000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5" t="n">
        <v>1000000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5" t="n">
        <v>1000000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5" t="n">
        <v>1000000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5" t="n">
        <v>1000000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00" t="n"/>
      <c r="L61" s="44" t="n"/>
      <c r="M61" s="44" t="n"/>
      <c r="N61" s="44" t="n"/>
      <c r="O61" s="44" t="n"/>
      <c r="P61" s="44" t="n"/>
      <c r="Q61" s="44" t="n"/>
    </row>
    <row r="62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5" t="n">
        <v>1000000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5" t="n">
        <v>1000000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5" t="n">
        <v>1000000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5" t="n">
        <v>1000000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5" t="n">
        <v>1000000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t="15.5" customHeight="1" s="17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5" t="n">
        <v>1000000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t="15.5" customHeight="1" s="17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5" t="n">
        <v>1000000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t="15.5" customHeight="1" s="17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5" t="n">
        <v>1000000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t="15.5" customHeight="1" s="17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5" t="n">
        <v>1000000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01">
        <f>F70</f>
        <v/>
      </c>
      <c r="O70" s="44" t="n"/>
      <c r="P70" s="44" t="n"/>
      <c r="Q70" s="44" t="n"/>
    </row>
    <row r="71" ht="15.5" customHeight="1" s="17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5" t="n">
        <v>1000000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01">
        <f>F71</f>
        <v/>
      </c>
      <c r="M71" s="44" t="n"/>
      <c r="N71" s="44" t="n"/>
      <c r="O71" s="44" t="n"/>
      <c r="P71" s="44" t="n"/>
      <c r="Q71" s="44" t="n"/>
    </row>
    <row r="72" ht="15.5" customHeight="1" s="17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5" t="n">
        <v>1000000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t="15.5" customHeight="1" s="17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5" t="n">
        <v>1000000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t="15.5" customHeight="1" s="17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5" t="n">
        <v>1000000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t="15.5" customHeight="1" s="17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5" t="n">
        <v>1000000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t="15.5" customHeight="1" s="17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5" t="n">
        <v>1000000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01">
        <f>F76</f>
        <v/>
      </c>
      <c r="O76" s="44" t="n"/>
      <c r="P76" s="44" t="n"/>
      <c r="Q76" s="44" t="n"/>
    </row>
    <row r="77" ht="15.5" customHeight="1" s="17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5" t="n">
        <v>1000000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00" t="n"/>
      <c r="L77" s="44" t="n"/>
      <c r="M77" s="44" t="n"/>
      <c r="N77" s="44" t="n"/>
      <c r="O77" s="44" t="n"/>
      <c r="P77" s="44" t="n"/>
      <c r="Q77" s="44" t="n"/>
    </row>
    <row r="78" ht="15.5" customHeight="1" s="17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5" t="n">
        <v>1000000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00" t="n"/>
      <c r="L78" s="44" t="n"/>
      <c r="M78" s="44" t="n"/>
      <c r="N78" s="44" t="n"/>
      <c r="O78" s="44" t="n"/>
      <c r="P78" s="44" t="n"/>
      <c r="Q78" s="44" t="n"/>
    </row>
    <row r="79" ht="15.5" customHeight="1" s="17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25" t="n">
        <v>1000000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t="15.5" customHeight="1" s="17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5" t="n">
        <v>1000000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t="15.5" customHeight="1" s="17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5" t="n">
        <v>1000000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t="15.5" customHeight="1" s="17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5" t="n">
        <v>1000000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t="15.5" customHeight="1" s="17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25" t="n">
        <v>1000000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t="15.5" customHeight="1" s="177">
      <c r="A84" s="66" t="n"/>
      <c r="B84" s="14" t="n">
        <v>45581</v>
      </c>
      <c r="C84" s="15" t="n">
        <v>44</v>
      </c>
      <c r="D84" s="63" t="inlineStr">
        <is>
          <t>PT Laka Indonesia | Project Lampu Taman Istana Negara jogja</t>
        </is>
      </c>
      <c r="E84" s="63" t="inlineStr">
        <is>
          <t>BRI</t>
        </is>
      </c>
      <c r="F84" s="25" t="n">
        <v>1000000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t="15.5" customHeight="1" s="17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5" t="n">
        <v>1000000</v>
      </c>
      <c r="G85" s="64" t="inlineStr">
        <is>
          <t>IDR</t>
        </is>
      </c>
      <c r="H85" s="60" t="n">
        <v>1</v>
      </c>
      <c r="I85" s="61" t="n"/>
      <c r="J85" s="44" t="n"/>
      <c r="K85" s="300" t="n"/>
      <c r="L85" s="62">
        <f>F85</f>
        <v/>
      </c>
      <c r="M85" s="44" t="n"/>
      <c r="N85" s="44" t="n"/>
      <c r="O85" s="44" t="n"/>
      <c r="P85" s="44" t="n"/>
      <c r="Q85" s="44" t="n"/>
    </row>
    <row r="86" ht="15.5" customHeight="1" s="17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5" t="n">
        <v>1000000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00" t="n"/>
      <c r="L86" s="44" t="n"/>
      <c r="M86" s="44" t="n"/>
      <c r="N86" s="44" t="n"/>
      <c r="O86" s="44" t="n"/>
      <c r="P86" s="44" t="n"/>
      <c r="Q86" s="44" t="n"/>
    </row>
    <row r="87" ht="15.5" customHeight="1" s="17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5" t="n">
        <v>1000000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t="15.5" customHeight="1" s="17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5" t="n">
        <v>1000000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00" t="n"/>
      <c r="L88" s="44" t="n"/>
      <c r="M88" s="44" t="n"/>
      <c r="N88" s="44" t="n"/>
      <c r="O88" s="44" t="n"/>
      <c r="P88" s="44" t="n"/>
      <c r="Q88" s="44" t="n"/>
    </row>
    <row r="89" ht="15.5" customHeight="1" s="17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5" t="n">
        <v>1000000</v>
      </c>
      <c r="G89" s="60" t="inlineStr">
        <is>
          <t>IDR</t>
        </is>
      </c>
      <c r="H89" s="60" t="n">
        <v>1</v>
      </c>
      <c r="I89" s="61" t="n"/>
      <c r="J89" s="44" t="n"/>
      <c r="K89" s="300" t="n"/>
      <c r="L89" s="44" t="n"/>
      <c r="M89" s="44" t="n"/>
      <c r="N89" s="62">
        <f>F89</f>
        <v/>
      </c>
      <c r="O89" s="44" t="n"/>
      <c r="P89" s="44" t="n"/>
      <c r="Q89" s="44" t="n"/>
    </row>
    <row r="90" ht="15.5" customHeight="1" s="17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5" t="n">
        <v>1000000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t="15.5" customHeight="1" s="17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5" t="n">
        <v>1000000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01">
        <f>F91</f>
        <v/>
      </c>
      <c r="P91" s="44" t="n"/>
      <c r="Q91" s="44" t="n"/>
    </row>
    <row r="92" ht="15.5" customHeight="1" s="177">
      <c r="B92" s="14" t="n">
        <v>45644</v>
      </c>
      <c r="C92" s="15" t="n">
        <v>52</v>
      </c>
      <c r="D92" s="63" t="inlineStr">
        <is>
          <t>Team building nanas dengan team Well Intervention PEP Reg. 2</t>
        </is>
      </c>
      <c r="E92" s="63" t="inlineStr">
        <is>
          <t>BCA</t>
        </is>
      </c>
      <c r="F92" s="25" t="n">
        <v>1000000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t="15.5" customHeight="1" s="17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5" t="n">
        <v>1000000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t="15.5" customHeight="1" s="17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5" t="n">
        <v>1000000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t="15.5" customHeight="1" s="17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t="15.5" customHeight="1" s="17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02" t="n">
        <v>1000000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t="15.5" customHeight="1" s="177">
      <c r="B97" s="79" t="n"/>
      <c r="C97" s="80" t="n"/>
      <c r="D97" s="80" t="inlineStr">
        <is>
          <t>OPERATION COST AND OFFICE - Expenses Report</t>
        </is>
      </c>
      <c r="E97" s="80" t="n"/>
      <c r="F97" s="303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17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17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17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177">
      <c r="B101" s="190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1000000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t="15.5" customHeight="1" s="177">
      <c r="B102" s="190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1000000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t="15.5" customHeight="1" s="177">
      <c r="B103" s="190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t="15.5" customHeight="1" s="177">
      <c r="B104" s="190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1000000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t="15.5" customHeight="1" s="177">
      <c r="B105" s="190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1000000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t="15.5" customHeight="1" s="177">
      <c r="B106" s="190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t="15.5" customHeight="1" s="177">
      <c r="B107" s="190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1000000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 s="177">
      <c r="B108" s="190" t="n">
        <v>45355</v>
      </c>
      <c r="C108" s="91" t="n">
        <v>8</v>
      </c>
      <c r="D108" s="95" t="inlineStr">
        <is>
          <t>Fuel</t>
        </is>
      </c>
      <c r="E108" s="95" t="n"/>
      <c r="F108" s="93" t="n">
        <v>1000000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 s="177">
      <c r="B109" s="190" t="n">
        <v>45355</v>
      </c>
      <c r="C109" s="91" t="n">
        <v>9</v>
      </c>
      <c r="D109" s="95" t="inlineStr">
        <is>
          <t>Toll Fee</t>
        </is>
      </c>
      <c r="E109" s="95" t="n"/>
      <c r="F109" s="93" t="n">
        <v>1000000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t="15.5" customHeight="1" s="177">
      <c r="B110" s="190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 s="177">
      <c r="B111" s="190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1000000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t="15.5" customHeight="1" s="177">
      <c r="B112" s="190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1000000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t="15.5" customHeight="1" s="177">
      <c r="B113" s="190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1000000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t="15.5" customHeight="1" s="177">
      <c r="B114" s="190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t="15.5" customHeight="1" s="177">
      <c r="B115" s="190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1000000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t="15.5" customHeight="1" s="177">
      <c r="B116" s="190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1000000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t="15.5" customHeight="1" s="177">
      <c r="B117" s="190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1000000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t="15.5" customHeight="1" s="177">
      <c r="B118" s="190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1000000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t="15.5" customHeight="1" s="177">
      <c r="B119" s="190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1000000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t="15.5" customHeight="1" s="177">
      <c r="B120" s="190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1000000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t="15.5" customHeight="1" s="177">
      <c r="B121" s="190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t="15.5" customHeight="1" s="177">
      <c r="B122" s="190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1000000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177">
      <c r="B123" s="190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t="15.5" customHeight="1" s="177">
      <c r="B124" s="190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1000000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t="15.5" customHeight="1" s="177">
      <c r="B125" s="190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t="15.5" customHeight="1" s="177">
      <c r="B126" s="190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1000000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17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17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177">
      <c r="B129" s="190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1000000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177">
      <c r="B130" s="190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177">
      <c r="B131" s="190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1000000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177">
      <c r="B132" s="190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1000000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177">
      <c r="B133" s="190" t="n">
        <v>45355</v>
      </c>
      <c r="C133" s="91" t="n">
        <v>4</v>
      </c>
      <c r="D133" s="95" t="inlineStr">
        <is>
          <t>Fuel</t>
        </is>
      </c>
      <c r="E133" s="95" t="n"/>
      <c r="F133" s="93" t="n">
        <v>1000000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177">
      <c r="B134" s="190" t="n">
        <v>45358</v>
      </c>
      <c r="C134" s="91" t="n">
        <v>5</v>
      </c>
      <c r="D134" s="95" t="inlineStr">
        <is>
          <t>Toll Fee</t>
        </is>
      </c>
      <c r="E134" s="95" t="n"/>
      <c r="F134" s="93" t="n">
        <v>1000000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177">
      <c r="B135" s="190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 s="177">
      <c r="B136" s="190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1000000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177">
      <c r="B137" s="190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177">
      <c r="B138" s="190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1000000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t="15.5" customHeight="1" s="177">
      <c r="B139" s="190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1000000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t="15.5" customHeight="1" s="177">
      <c r="B140" s="190" t="n">
        <v>45358</v>
      </c>
      <c r="C140" s="91" t="n"/>
      <c r="D140" s="98" t="inlineStr">
        <is>
          <t>Extra Baggage</t>
        </is>
      </c>
      <c r="E140" s="98" t="n"/>
      <c r="F140" s="93" t="n">
        <v>1000000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t="15.5" customHeight="1" s="177">
      <c r="B141" s="190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t="15.5" customHeight="1" s="177">
      <c r="B142" s="190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1000000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t="15.5" customHeight="1" s="177">
      <c r="B143" s="190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177">
      <c r="B144" s="190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1000000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17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177">
      <c r="B146" s="190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177">
      <c r="B147" s="190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1000000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177">
      <c r="B148" s="190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1000000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177">
      <c r="B149" s="190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t="15.5" customHeight="1" s="177">
      <c r="B150" s="190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1000000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 s="177">
      <c r="B151" s="190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177">
      <c r="B152" s="190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1000000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177">
      <c r="B153" s="190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177">
      <c r="B154" s="190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1000000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17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17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1000000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t="15.5" customHeight="1" s="17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1000000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t="15.5" customHeight="1" s="17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1000000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t="15.5" customHeight="1" s="17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1000000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t="15.5" customHeight="1" s="17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1000000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t="15.5" customHeight="1" s="17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1000000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t="15.5" customHeight="1" s="17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1000000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t="15.5" customHeight="1" s="17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1000000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t="15.5" customHeight="1" s="17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177">
      <c r="B165" s="190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1000000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t="15.5" customHeight="1" s="17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177">
      <c r="B167" s="190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177">
      <c r="B168" s="190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1000000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t="15.5" customHeight="1" s="177">
      <c r="B169" s="190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1000000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t="15.5" customHeight="1" s="177">
      <c r="B170" s="190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t="15.5" customHeight="1" s="177">
      <c r="B171" s="190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1000000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t="15.5" customHeight="1" s="177">
      <c r="B172" s="190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t="15.5" customHeight="1" s="177">
      <c r="B173" s="190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1000000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t="15.5" customHeight="1" s="177">
      <c r="B174" s="190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 s="177">
      <c r="B175" s="190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1000000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t="15.5" customHeight="1" s="177">
      <c r="B176" s="190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1000000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t="15.5" customHeight="1" s="177">
      <c r="B177" s="190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1000000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t="15.5" customHeight="1" s="177">
      <c r="B178" s="190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1000000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t="15.5" customHeight="1" s="177">
      <c r="B179" s="190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1000000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t="15.5" customHeight="1" s="177">
      <c r="B180" s="190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1000000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t="15.5" customHeight="1" s="177">
      <c r="B181" s="190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5" customHeight="1" s="177">
      <c r="B182" s="190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1000000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5" customHeight="1" s="177">
      <c r="B183" s="190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0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5" customHeight="1" s="177">
      <c r="B184" s="190" t="n"/>
      <c r="C184" s="91" t="n">
        <v>1</v>
      </c>
      <c r="D184" s="95" t="inlineStr">
        <is>
          <t>Tunjangan lapangan untuk 5 days</t>
        </is>
      </c>
      <c r="E184" s="95" t="n"/>
      <c r="F184" s="93" t="n">
        <v>1000000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 s="17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t="15.5" customHeight="1" s="17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t="15.5" customHeight="1" s="177">
      <c r="B187" s="190" t="n">
        <v>45408</v>
      </c>
      <c r="C187" s="91" t="n">
        <v>1</v>
      </c>
      <c r="D187" s="95" t="inlineStr">
        <is>
          <t>Fuels</t>
        </is>
      </c>
      <c r="E187" s="95" t="n"/>
      <c r="F187" s="93" t="n">
        <v>1000000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t="15.5" customHeight="1" s="177">
      <c r="B188" s="190" t="n">
        <v>45410</v>
      </c>
      <c r="C188" s="91" t="n">
        <v>2</v>
      </c>
      <c r="D188" s="95" t="inlineStr">
        <is>
          <t>Toll</t>
        </is>
      </c>
      <c r="E188" s="95" t="n"/>
      <c r="F188" s="93" t="n">
        <v>1000000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 s="177">
      <c r="B189" s="190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t="15.5" customHeight="1" s="177">
      <c r="B190" s="190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1000000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t="15.5" customHeight="1" s="177">
      <c r="B191" s="190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t="15.5" customHeight="1" s="177">
      <c r="B192" s="190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t="15.5" customHeight="1" s="177">
      <c r="B193" s="190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1000000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t="15.5" customHeight="1" s="177">
      <c r="B194" s="190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177">
      <c r="B195" s="190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1000000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 s="17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t="15.5" customHeight="1" s="17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177">
      <c r="B198" s="102" t="n">
        <v>45418</v>
      </c>
      <c r="C198" s="15" t="n">
        <v>1</v>
      </c>
      <c r="D198" s="18" t="inlineStr">
        <is>
          <t>jogja - Palembang - jogja</t>
        </is>
      </c>
      <c r="E198" s="18" t="n"/>
      <c r="F198" s="21" t="n">
        <v>1000000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t="15.5" customHeight="1" s="17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t="15.5" customHeight="1" s="177">
      <c r="B200" s="107" t="n">
        <v>45419</v>
      </c>
      <c r="C200" s="15" t="n">
        <v>2</v>
      </c>
      <c r="D200" s="63" t="inlineStr">
        <is>
          <t>Taxi + Tol to Airport jogja</t>
        </is>
      </c>
      <c r="E200" s="63" t="n"/>
      <c r="F200" s="21" t="n">
        <v>1000000</v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t="15.5" customHeight="1" s="17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 t="n">
        <v>1000000</v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17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 t="n">
        <v>1000000</v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 s="17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1000000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177">
      <c r="B204" s="102" t="n">
        <v>45421</v>
      </c>
      <c r="C204" s="15" t="n">
        <v>6</v>
      </c>
      <c r="D204" s="63" t="inlineStr">
        <is>
          <t>Tol + Taxi From Airport jogja</t>
        </is>
      </c>
      <c r="E204" s="63" t="n"/>
      <c r="F204" s="21" t="n">
        <v>1000000</v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t="15.5" customHeight="1" s="17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17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 t="n">
        <v>1000000</v>
      </c>
      <c r="G206" s="15" t="inlineStr">
        <is>
          <t>IDR</t>
        </is>
      </c>
      <c r="H206" s="15" t="n">
        <v>1</v>
      </c>
      <c r="I206" s="30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t="15.5" customHeight="1" s="17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0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t="15.5" customHeight="1" s="17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1000000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 s="17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t="15.5" customHeight="1" s="17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17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1000000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17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1000000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17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 s="17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1000000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 s="17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 s="17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 t="n">
        <v>1000000</v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17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177">
      <c r="B218" s="102" t="n">
        <v>45403</v>
      </c>
      <c r="C218" s="15" t="n">
        <v>5</v>
      </c>
      <c r="D218" s="63" t="inlineStr">
        <is>
          <t>Tunajngan lapangan for 3 days (19-21 apr24) nanivril</t>
        </is>
      </c>
      <c r="E218" s="63" t="n"/>
      <c r="F218" s="21" t="n">
        <v>1000000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17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1000000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17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t="15.5" customHeight="1" s="177">
      <c r="B221" s="190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177">
      <c r="B222" s="190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1000000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177">
      <c r="B223" s="190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1000000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177">
      <c r="B224" s="190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177">
      <c r="B225" s="190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1000000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t="15.5" customHeight="1" s="177">
      <c r="B226" s="190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1000000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177">
      <c r="B227" s="190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177">
      <c r="B228" s="190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1000000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177">
      <c r="B229" s="190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177">
      <c r="B230" s="190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1000000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177">
      <c r="B231" s="190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177">
      <c r="B232" s="190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1000000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177">
      <c r="B233" s="190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1000000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17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t="15.5" customHeight="1" s="177">
      <c r="B235" s="190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177">
      <c r="B236" s="190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 t="n">
        <v>1000000</v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177">
      <c r="B237" s="190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 t="n">
        <v>1000000</v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177">
      <c r="B238" s="190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177">
      <c r="B239" s="190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1000000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t="15.5" customHeight="1" s="177">
      <c r="B240" s="190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177">
      <c r="B241" s="190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1000000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177">
      <c r="B242" s="190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177">
      <c r="B243" s="190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 t="n">
        <v>1000000</v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177">
      <c r="B244" s="190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177">
      <c r="B245" s="190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1000000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177">
      <c r="B246" s="190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177">
      <c r="B247" s="190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17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t="15.5" customHeight="1" s="177">
      <c r="B249" s="190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1000000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17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t="15.5" customHeight="1" s="17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1000000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t="15.5" customHeight="1" s="17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1000000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t="15.5" customHeight="1" s="17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t="15.5" customHeight="1" s="17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1000000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t="15.5" customHeight="1" s="17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 s="17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1000000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17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1000000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17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1000000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17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17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1000000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t="15.5" customHeight="1" s="177">
      <c r="B261" s="102" t="n"/>
      <c r="C261" s="15" t="n"/>
      <c r="D261" s="63" t="inlineStr">
        <is>
          <t>Laundry (25 - 30 May 2024)</t>
        </is>
      </c>
      <c r="E261" s="63" t="n"/>
      <c r="F261" s="21" t="n">
        <v>1000000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t="15.5" customHeight="1" s="17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t="15.5" customHeight="1" s="17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 t="n">
        <v>1000000</v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17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t="15.5" customHeight="1" s="17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 s="177">
      <c r="B266" s="107" t="n">
        <v>45437</v>
      </c>
      <c r="C266" s="15" t="n">
        <v>1</v>
      </c>
      <c r="D266" s="63" t="inlineStr">
        <is>
          <t>Taxi + Tol to Airport jogja</t>
        </is>
      </c>
      <c r="E266" s="63" t="n"/>
      <c r="F266" s="21" t="n">
        <v>1000000</v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t="15.5" customHeight="1" s="17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 t="n">
        <v>1000000</v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t="15.5" customHeight="1" s="17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t="15.5" customHeight="1" s="17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t="15.5" customHeight="1" s="17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1000000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t="15.5" customHeight="1" s="17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t="15.5" customHeight="1" s="177">
      <c r="B272" s="102" t="n">
        <v>45437</v>
      </c>
      <c r="C272" s="15" t="n">
        <v>3</v>
      </c>
      <c r="D272" s="171" t="inlineStr">
        <is>
          <t>Wrapping Alfa Box</t>
        </is>
      </c>
      <c r="E272" s="171" t="n"/>
      <c r="F272" s="21" t="n">
        <v>1000000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t="15.5" customHeight="1" s="17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1000000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t="15.5" customHeight="1" s="17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t="15.5" customHeight="1" s="17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 t="n">
        <v>1000000</v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t="15.5" customHeight="1" s="17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t="15.5" customHeight="1" s="17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1000000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t="15.5" customHeight="1" s="17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 s="17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t="15.5" customHeight="1" s="17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t="15.5" customHeight="1" s="177">
      <c r="B281" s="190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t="15.5" customHeight="1" s="177">
      <c r="B282" s="190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1000000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177">
      <c r="B283" s="190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1000000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t="15.5" customHeight="1" s="177">
      <c r="B284" s="190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t="15.5" customHeight="1" s="177">
      <c r="B285" s="190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1000000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177">
      <c r="B286" s="190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1000000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t="15.5" customHeight="1" s="177">
      <c r="B287" s="190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1000000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177">
      <c r="B288" s="190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1000000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 s="177">
      <c r="B289" s="190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1000000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177">
      <c r="B290" s="190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1000000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 s="177">
      <c r="B291" s="190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1000000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 s="177">
      <c r="B292" s="190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177">
      <c r="B293" s="190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1000000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 s="177">
      <c r="B294" s="190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t="15.5" customHeight="1" s="177">
      <c r="B295" s="190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1000000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t="15.5" customHeight="1" s="177">
      <c r="B296" s="190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t="15.5" customHeight="1" s="177">
      <c r="B297" s="190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t="15.5" customHeight="1" s="17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t="15.5" customHeight="1" s="17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t="15.5" customHeight="1" s="17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1000000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t="15.5" customHeight="1" s="17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t="15.5" customHeight="1" s="17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 t="n">
        <v>1000000</v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 s="17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 t="n">
        <v>1000000</v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17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 t="n">
        <v>1000000</v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 s="17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t="15.5" customHeight="1" s="177">
      <c r="B306" s="190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0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t="15.5" customHeight="1" s="177">
      <c r="B307" s="190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1000000</v>
      </c>
      <c r="G307" s="91" t="inlineStr">
        <is>
          <t>IDR</t>
        </is>
      </c>
      <c r="H307" s="91" t="n">
        <v>1</v>
      </c>
      <c r="I307" s="30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177">
      <c r="B308" s="190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 t="n">
        <v>1000000</v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177">
      <c r="B309" s="190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0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177">
      <c r="B310" s="190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1000000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177">
      <c r="B311" s="190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1000000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177">
      <c r="B312" s="190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1000000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177">
      <c r="B313" s="190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1000000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t="15.5" customHeight="1" s="177">
      <c r="B314" s="190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1000000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177">
      <c r="B315" s="190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1000000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177">
      <c r="B316" s="190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1000000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t="15.5" customHeight="1" s="177">
      <c r="B317" s="190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177">
      <c r="B318" s="190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1000000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t="15.5" customHeight="1" s="177">
      <c r="B319" s="190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177">
      <c r="B320" s="190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 t="n">
        <v>1000000</v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177">
      <c r="B321" s="190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t="15.5" customHeight="1" s="177">
      <c r="B322" s="190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 s="17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t="15.5" customHeight="1" s="177">
      <c r="B324" s="190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 s="177">
      <c r="B325" s="190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 t="n">
        <v>1000000</v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t="15.5" customHeight="1" s="177">
      <c r="B326" s="190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t="15.5" customHeight="1" s="177">
      <c r="B327" s="190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1000000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t="15.5" customHeight="1" s="177">
      <c r="B328" s="190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1000000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t="15.5" customHeight="1" s="17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t="15.5" customHeight="1" s="177">
      <c r="B330" s="190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5" customHeight="1" s="177">
      <c r="B331" s="190" t="n">
        <v>45481</v>
      </c>
      <c r="C331" s="91" t="n">
        <v>1</v>
      </c>
      <c r="D331" s="95" t="inlineStr">
        <is>
          <t>Hotel</t>
        </is>
      </c>
      <c r="E331" s="95" t="n"/>
      <c r="F331" s="93" t="n">
        <v>1000000</v>
      </c>
      <c r="G331" s="91" t="inlineStr">
        <is>
          <t>IDR</t>
        </is>
      </c>
      <c r="H331" s="91" t="n">
        <v>1</v>
      </c>
      <c r="I331" s="30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177">
      <c r="B332" s="190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t="15.5" customHeight="1" s="177">
      <c r="B333" s="190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177">
      <c r="B334" s="190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1000000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177">
      <c r="B335" s="190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1000000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177">
      <c r="B336" s="190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177">
      <c r="B337" s="190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177">
      <c r="B338" s="190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t="15.5" customHeight="1" s="177">
      <c r="B339" s="190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1000000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t="15.5" customHeight="1" s="177">
      <c r="B340" s="190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17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1000000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t="15.5" customHeight="1" s="177">
      <c r="B342" s="190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1000000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t="15.5" customHeight="1" s="17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t="15.5" customHeight="1" s="17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17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1000000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t="15.5" customHeight="1" s="17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1000000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t="15.5" customHeight="1" s="17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1000000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t="15.5" customHeight="1" s="17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1000000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t="15.5" customHeight="1" s="17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t="15.5" customHeight="1" s="17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t="15.5" customHeight="1" s="177">
      <c r="B351" s="102" t="n">
        <v>45494</v>
      </c>
      <c r="C351" s="15" t="n"/>
      <c r="D351" s="18" t="inlineStr">
        <is>
          <t>jogja - Palembang</t>
        </is>
      </c>
      <c r="E351" s="18" t="n"/>
      <c r="F351" s="21" t="n">
        <v>1000000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 s="177">
      <c r="B352" s="102" t="n">
        <v>45500</v>
      </c>
      <c r="C352" s="15" t="n"/>
      <c r="D352" s="18" t="inlineStr">
        <is>
          <t>Palembang - jogja + Extra Bagage</t>
        </is>
      </c>
      <c r="E352" s="18" t="n"/>
      <c r="F352" s="21" t="n">
        <v>1000000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t="15.5" customHeight="1" s="17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177">
      <c r="B354" s="107" t="n">
        <v>45494</v>
      </c>
      <c r="C354" s="15" t="n"/>
      <c r="D354" s="63" t="inlineStr">
        <is>
          <t>Taxi + Tol to Airport jogja</t>
        </is>
      </c>
      <c r="E354" s="63" t="n"/>
      <c r="F354" s="21" t="n">
        <v>1000000</v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177">
      <c r="B355" s="102" t="n">
        <v>45494</v>
      </c>
      <c r="C355" s="15" t="n"/>
      <c r="D355" s="63" t="inlineStr">
        <is>
          <t>fuel + tol PLM-Prabu</t>
        </is>
      </c>
      <c r="E355" s="63" t="n"/>
      <c r="F355" s="21" t="n">
        <v>1000000</v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17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1000000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177">
      <c r="B357" s="102" t="n">
        <v>45500</v>
      </c>
      <c r="C357" s="15" t="n"/>
      <c r="D357" s="63" t="inlineStr">
        <is>
          <t>Tol Prabu - PLM + Fuel</t>
        </is>
      </c>
      <c r="E357" s="63" t="n"/>
      <c r="F357" s="21" t="n">
        <v>1000000</v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177">
      <c r="B358" s="102" t="n">
        <v>45500</v>
      </c>
      <c r="C358" s="15" t="n"/>
      <c r="D358" s="63" t="inlineStr">
        <is>
          <t>Tol + Taxi From Airport jogja</t>
        </is>
      </c>
      <c r="E358" s="63" t="n"/>
      <c r="F358" s="21" t="n">
        <v>1000000</v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t="15.5" customHeight="1" s="17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 t="n">
        <v>1000000</v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t="15.5" customHeight="1" s="17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t="15.5" customHeight="1" s="177">
      <c r="B361" s="102" t="n">
        <v>45494</v>
      </c>
      <c r="C361" s="15" t="n"/>
      <c r="D361" s="18" t="inlineStr">
        <is>
          <t>jogja - Palembang</t>
        </is>
      </c>
      <c r="E361" s="18" t="n"/>
      <c r="F361" s="21" t="n">
        <v>1000000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t="15.5" customHeight="1" s="17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 s="17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 t="n">
        <v>1000000</v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t="15.5" customHeight="1" s="17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0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5" customHeight="1" s="17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 t="n">
        <v>1000000</v>
      </c>
      <c r="G365" s="15" t="inlineStr">
        <is>
          <t>IDR</t>
        </is>
      </c>
      <c r="H365" s="15" t="n">
        <v>1</v>
      </c>
      <c r="I365" s="30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5" customHeight="1" s="17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5" customHeight="1" s="17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 t="n">
        <v>1000000</v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5" customHeight="1" s="17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17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17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17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1000000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t="15.5" customHeight="1" s="17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1000000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t="15.5" customHeight="1" s="17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1000000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t="15.5" customHeight="1" s="17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t="15.5" customHeight="1" s="17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t="15.5" customHeight="1" s="17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 t="n">
        <v>1000000</v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t="15.5" customHeight="1" s="17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 t="n">
        <v>1000000</v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t="15.5" customHeight="1" s="17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 t="n">
        <v>1000000</v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17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 t="n">
        <v>1000000</v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t="15.5" customHeight="1" s="17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1000000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t="15.5" customHeight="1" s="17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1000000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17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t="15.5" customHeight="1" s="177">
      <c r="B384" s="190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177">
      <c r="B385" s="190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1000000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177">
      <c r="B386" s="190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177">
      <c r="B387" s="190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1000000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177">
      <c r="B388" s="190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5" customHeight="1" s="177">
      <c r="B389" s="190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1000000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t="15.5" customHeight="1" s="177">
      <c r="B390" s="190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5" customHeight="1" s="177">
      <c r="B391" s="190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 s="17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t="15.5" customHeight="1" s="17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t="15.5" customHeight="1" s="177">
      <c r="B394" s="102" t="n">
        <v>45507</v>
      </c>
      <c r="C394" s="15" t="n"/>
      <c r="D394" s="18" t="inlineStr">
        <is>
          <t>jogja - Semarang</t>
        </is>
      </c>
      <c r="E394" s="18" t="n"/>
      <c r="F394" s="96" t="n">
        <v>1000000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t="15.5" customHeight="1" s="17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t="15.5" customHeight="1" s="17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1000000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17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1000000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t="15.5" customHeight="1" s="17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1000000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t="15.5" customHeight="1" s="17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17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1000000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17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1000000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t="15.5" customHeight="1" s="17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17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1000000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17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17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1000000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17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 s="17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1000000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17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t="15.5" customHeight="1" s="17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t="15.5" customHeight="1" s="17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1000000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t="15.5" customHeight="1" s="17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1000000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t="15.5" customHeight="1" s="17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1000000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t="15.5" customHeight="1" s="17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1000000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t="15.5" customHeight="1" s="17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1000000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t="15.5" customHeight="1" s="17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1000000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t="15.5" customHeight="1" s="17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1000000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t="15.5" customHeight="1" s="17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17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1000000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17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17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1000000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17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1000000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17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1000000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t="15.5" customHeight="1" s="17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1000000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t="15.5" customHeight="1" s="17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1000000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17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t="15.5" customHeight="1" s="17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1000000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t="15.5" customHeight="1" s="17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1000000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t="15.5" customHeight="1" s="17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1000000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t="15.5" customHeight="1" s="17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1000000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t="15.5" customHeight="1" s="17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1000000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t="15.5" customHeight="1" s="17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1000000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t="15.5" customHeight="1" s="17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1000000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t="15.5" customHeight="1" s="17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1000000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t="15.5" customHeight="1" s="17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177">
      <c r="B435" s="14" t="n">
        <v>45476</v>
      </c>
      <c r="C435" s="15" t="n"/>
      <c r="D435" s="63" t="inlineStr">
        <is>
          <t>Coffe drink visit to MEPI jogja ( Bondan)</t>
        </is>
      </c>
      <c r="E435" s="63" t="n"/>
      <c r="F435" s="21" t="n">
        <v>1000000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17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1000000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17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1000000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 s="17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t="15.5" customHeight="1" s="17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5" customHeight="1" s="17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5" customHeight="1" s="17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 t="n">
        <v>1000000</v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t="15.5" customHeight="1" s="177">
      <c r="B442" s="102" t="n">
        <v>45511</v>
      </c>
      <c r="C442" s="15" t="n">
        <v>3</v>
      </c>
      <c r="D442" s="63" t="inlineStr">
        <is>
          <t>Toll (Gubug - jogja)</t>
        </is>
      </c>
      <c r="E442" s="63" t="n"/>
      <c r="F442" s="21" t="n">
        <v>1000000</v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17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t="15.5" customHeight="1" s="17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1000000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t="15.5" customHeight="1" s="17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1000000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t="15.5" customHeight="1" s="17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t="15.5" customHeight="1" s="17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1000000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t="15.5" customHeight="1" s="17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1000000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5" customHeight="1" s="17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1000000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17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1000000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5" customHeight="1" s="17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1000000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t="15.5" customHeight="1" s="17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1000000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17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1000000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5" customHeight="1" s="17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1000000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17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1000000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t="15.5" customHeight="1" s="17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1000000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t="15.5" customHeight="1" s="17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1000000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t="15.5" customHeight="1" s="17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1000000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t="15.5" customHeight="1" s="17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t="15.5" customHeight="1" s="17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1000000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17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1000000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t="15.5" customHeight="1" s="17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1000000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t="15.5" customHeight="1" s="17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 t="n">
        <v>1000000</v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t="15.5" customHeight="1" s="17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1000000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t="15.5" customHeight="1" s="17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t="15.5" customHeight="1" s="17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1000000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17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177">
      <c r="B468" s="102" t="n">
        <v>45511</v>
      </c>
      <c r="C468" s="15" t="n">
        <v>24</v>
      </c>
      <c r="D468" s="63" t="inlineStr">
        <is>
          <t>Tunjangan lapangan for 10 days (29Jul - 07Aug24) nanivril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17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t="15.5" customHeight="1" s="177">
      <c r="B470" s="190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177">
      <c r="B471" s="190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1000000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177">
      <c r="B472" s="190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1000000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5" customHeight="1" s="177">
      <c r="B473" s="190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t="15.5" customHeight="1" s="177">
      <c r="B474" s="190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1000000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t="15.5" customHeight="1" s="177">
      <c r="B475" s="190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1000000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177">
      <c r="B476" s="190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1000000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t="15.5" customHeight="1" s="177">
      <c r="B477" s="190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177">
      <c r="B478" s="190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1000000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t="15.5" customHeight="1" s="177">
      <c r="B479" s="190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t="15.5" customHeight="1" s="177">
      <c r="B480" s="190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1000000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177">
      <c r="B481" s="190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177">
      <c r="B482" s="190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1000000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t="15.5" customHeight="1" s="177">
      <c r="B483" s="190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177">
      <c r="B484" s="190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 s="17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t="15.5" customHeight="1" s="17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 t="n">
        <v>1000000</v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t="15.5" customHeight="1" s="17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 t="n">
        <v>1000000</v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17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 s="17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t="15.5" customHeight="1" s="17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0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t="15.5" customHeight="1" s="177">
      <c r="B492" s="190" t="n"/>
      <c r="C492" s="91" t="n"/>
      <c r="D492" s="128" t="inlineStr">
        <is>
          <t>Accommodation</t>
        </is>
      </c>
      <c r="E492" s="128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177">
      <c r="B493" s="190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1000000</v>
      </c>
      <c r="G493" s="91" t="inlineStr">
        <is>
          <t>IDR</t>
        </is>
      </c>
      <c r="H493" s="91" t="n">
        <v>1</v>
      </c>
      <c r="I493" s="30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177">
      <c r="B494" s="190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1000000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177">
      <c r="B495" s="190" t="n"/>
      <c r="C495" s="91" t="n"/>
      <c r="D495" s="128" t="inlineStr">
        <is>
          <t>Transportation</t>
        </is>
      </c>
      <c r="E495" s="128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177">
      <c r="B496" s="190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1000000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177">
      <c r="B497" s="190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1000000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177">
      <c r="B498" s="190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1000000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177">
      <c r="B499" s="190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1000000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177">
      <c r="B500" s="190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1000000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177">
      <c r="B501" s="190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1000000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 s="177">
      <c r="B502" s="190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1000000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 s="177">
      <c r="B503" s="190" t="n"/>
      <c r="C503" s="117" t="n"/>
      <c r="D503" s="128" t="inlineStr">
        <is>
          <t>Allowance</t>
        </is>
      </c>
      <c r="E503" s="128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 s="177">
      <c r="B504" s="190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t="15.5" customHeight="1" s="177">
      <c r="B505" s="190" t="n">
        <v>45541</v>
      </c>
      <c r="C505" s="91" t="n">
        <v>11</v>
      </c>
      <c r="D505" s="95" t="inlineStr">
        <is>
          <t>Meals</t>
        </is>
      </c>
      <c r="E505" s="95" t="n"/>
      <c r="F505" s="93" t="n">
        <v>1000000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 s="17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0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177">
      <c r="B507" s="129" t="n"/>
      <c r="C507" s="130" t="n"/>
      <c r="D507" s="131" t="inlineStr">
        <is>
          <t>Transportation</t>
        </is>
      </c>
      <c r="E507" s="131" t="n"/>
      <c r="F507" s="25" t="n"/>
      <c r="G507" s="132" t="n"/>
      <c r="H507" s="133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17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1000000</v>
      </c>
      <c r="G508" s="18" t="inlineStr">
        <is>
          <t>IDR</t>
        </is>
      </c>
      <c r="H508" s="134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17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1000000</v>
      </c>
      <c r="G509" s="18" t="inlineStr">
        <is>
          <t>IDR</t>
        </is>
      </c>
      <c r="H509" s="134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17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 t="n">
        <v>1000000</v>
      </c>
      <c r="G510" s="18" t="inlineStr">
        <is>
          <t>IDR</t>
        </is>
      </c>
      <c r="H510" s="134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177">
      <c r="B511" s="129" t="n"/>
      <c r="C511" s="130" t="n"/>
      <c r="D511" s="135" t="inlineStr">
        <is>
          <t>Allowance</t>
        </is>
      </c>
      <c r="E511" s="135" t="n"/>
      <c r="F511" s="25" t="n"/>
      <c r="G511" s="132" t="n"/>
      <c r="H511" s="133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17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 t="n">
        <v>1000000</v>
      </c>
      <c r="G512" s="18" t="inlineStr">
        <is>
          <t>IDR</t>
        </is>
      </c>
      <c r="H512" s="134" t="n">
        <v>1</v>
      </c>
      <c r="I512" s="30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177">
      <c r="B513" s="129" t="n"/>
      <c r="C513" s="130" t="n"/>
      <c r="D513" s="135" t="inlineStr">
        <is>
          <t>Laundry</t>
        </is>
      </c>
      <c r="E513" s="135" t="n"/>
      <c r="F513" s="25" t="n"/>
      <c r="G513" s="132" t="n"/>
      <c r="H513" s="133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17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 t="n">
        <v>1000000</v>
      </c>
      <c r="G514" s="18" t="inlineStr">
        <is>
          <t>IDR</t>
        </is>
      </c>
      <c r="H514" s="134" t="n">
        <v>1</v>
      </c>
      <c r="I514" s="30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17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4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17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4" t="n">
        <v>15100</v>
      </c>
      <c r="I516" s="30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17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t="15.5" customHeight="1" s="177">
      <c r="B518" s="190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177">
      <c r="B519" s="190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1000000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177">
      <c r="B520" s="190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1000000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177">
      <c r="B521" s="190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177">
      <c r="B522" s="190" t="n">
        <v>45563</v>
      </c>
      <c r="C522" s="91" t="n"/>
      <c r="D522" s="95" t="inlineStr">
        <is>
          <t>Gasoline</t>
        </is>
      </c>
      <c r="E522" s="95" t="n"/>
      <c r="F522" s="93" t="n">
        <v>1000000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t="15.5" customHeight="1" s="177">
      <c r="B523" s="190" t="n">
        <v>45563</v>
      </c>
      <c r="C523" s="91" t="n"/>
      <c r="D523" s="95" t="inlineStr">
        <is>
          <t>Gasoline</t>
        </is>
      </c>
      <c r="E523" s="95" t="n"/>
      <c r="F523" s="93" t="n">
        <v>1000000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t="15.5" customHeight="1" s="177">
      <c r="B524" s="190" t="n">
        <v>45563</v>
      </c>
      <c r="C524" s="91" t="n"/>
      <c r="D524" s="95" t="inlineStr">
        <is>
          <t>Gasoline</t>
        </is>
      </c>
      <c r="E524" s="95" t="n"/>
      <c r="F524" s="93" t="n">
        <v>1000000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t="15.5" customHeight="1" s="177">
      <c r="B525" s="190" t="n">
        <v>45563</v>
      </c>
      <c r="C525" s="91" t="n"/>
      <c r="D525" s="95" t="inlineStr">
        <is>
          <t>Gasoline</t>
        </is>
      </c>
      <c r="E525" s="95" t="n"/>
      <c r="F525" s="93" t="n">
        <v>1000000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t="15.5" customHeight="1" s="177">
      <c r="B526" s="190" t="n">
        <v>45563</v>
      </c>
      <c r="C526" s="91" t="n"/>
      <c r="D526" s="95" t="inlineStr">
        <is>
          <t>Gasoline</t>
        </is>
      </c>
      <c r="E526" s="95" t="n"/>
      <c r="F526" s="93" t="n">
        <v>1000000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177">
      <c r="B527" s="190" t="n">
        <v>45563</v>
      </c>
      <c r="C527" s="91" t="n"/>
      <c r="D527" s="95" t="inlineStr">
        <is>
          <t>Toll (PLM-Prabumulih)</t>
        </is>
      </c>
      <c r="E527" s="95" t="n"/>
      <c r="F527" s="93" t="n">
        <v>1000000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177">
      <c r="B528" s="190" t="n">
        <v>45563</v>
      </c>
      <c r="C528" s="91" t="n"/>
      <c r="D528" s="95" t="inlineStr">
        <is>
          <t>Toll (Prabumulih-PLM)</t>
        </is>
      </c>
      <c r="E528" s="95" t="n"/>
      <c r="F528" s="93" t="n">
        <v>1000000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177">
      <c r="B529" s="190" t="n">
        <v>45563</v>
      </c>
      <c r="C529" s="91" t="n"/>
      <c r="D529" s="95" t="inlineStr">
        <is>
          <t>Car Wash</t>
        </is>
      </c>
      <c r="E529" s="95" t="n"/>
      <c r="F529" s="93" t="n">
        <v>1000000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177">
      <c r="B530" s="190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177">
      <c r="B531" s="190" t="n">
        <v>45563</v>
      </c>
      <c r="C531" s="91" t="n"/>
      <c r="D531" s="98" t="inlineStr">
        <is>
          <t>Aqua 600 ML + Sunlight</t>
        </is>
      </c>
      <c r="E531" s="98" t="n"/>
      <c r="F531" s="93" t="n">
        <v>1000000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177">
      <c r="B532" s="190" t="n">
        <v>45563</v>
      </c>
      <c r="C532" s="91" t="n"/>
      <c r="D532" s="98" t="inlineStr">
        <is>
          <t>Fried Food + Soft Drink</t>
        </is>
      </c>
      <c r="E532" s="98" t="n"/>
      <c r="F532" s="93" t="n">
        <v>1000000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177">
      <c r="B533" s="190" t="n">
        <v>45563</v>
      </c>
      <c r="C533" s="91" t="n"/>
      <c r="D533" s="98" t="inlineStr">
        <is>
          <t>Meal's Crew</t>
        </is>
      </c>
      <c r="E533" s="98" t="n"/>
      <c r="F533" s="93" t="n">
        <v>1000000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177">
      <c r="B534" s="190" t="n">
        <v>45563</v>
      </c>
      <c r="C534" s="91" t="n"/>
      <c r="D534" s="98" t="inlineStr">
        <is>
          <t>Snack's Crew</t>
        </is>
      </c>
      <c r="E534" s="98" t="n"/>
      <c r="F534" s="93" t="n">
        <v>1000000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t="15.5" customHeight="1" s="177">
      <c r="B535" s="190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1000000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t="15.5" customHeight="1" s="177">
      <c r="B536" s="190" t="n">
        <v>45563</v>
      </c>
      <c r="C536" s="91" t="n"/>
      <c r="D536" s="98" t="inlineStr">
        <is>
          <t>Aqua 600 ML</t>
        </is>
      </c>
      <c r="E536" s="98" t="n"/>
      <c r="F536" s="93" t="n">
        <v>1000000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177">
      <c r="B537" s="190" t="n">
        <v>45563</v>
      </c>
      <c r="C537" s="91" t="n"/>
      <c r="D537" s="98" t="inlineStr">
        <is>
          <t>Meal's Crws + Ice Tea</t>
        </is>
      </c>
      <c r="E537" s="98" t="n"/>
      <c r="F537" s="93" t="n">
        <v>1000000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177">
      <c r="B538" s="190" t="n">
        <v>45563</v>
      </c>
      <c r="C538" s="91" t="n"/>
      <c r="D538" s="98" t="inlineStr">
        <is>
          <t>Snack's Crew</t>
        </is>
      </c>
      <c r="E538" s="98" t="n"/>
      <c r="F538" s="93" t="n">
        <v>1000000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t="15.5" customHeight="1" s="177">
      <c r="B539" s="190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1000000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177">
      <c r="B540" s="190" t="n">
        <v>45563</v>
      </c>
      <c r="C540" s="91" t="n"/>
      <c r="D540" s="98" t="inlineStr">
        <is>
          <t>Soft Drink</t>
        </is>
      </c>
      <c r="E540" s="98" t="n"/>
      <c r="F540" s="93" t="n">
        <v>1000000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177">
      <c r="B541" s="190" t="n">
        <v>45563</v>
      </c>
      <c r="C541" s="91" t="n"/>
      <c r="D541" s="98" t="inlineStr">
        <is>
          <t xml:space="preserve">Black Coffe </t>
        </is>
      </c>
      <c r="E541" s="98" t="n"/>
      <c r="F541" s="93" t="n">
        <v>1000000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t="15.5" customHeight="1" s="177">
      <c r="B542" s="190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t="15.5" customHeight="1" s="177">
      <c r="B543" s="190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t="15.5" customHeight="1" s="177">
      <c r="B544" s="190" t="n">
        <v>45563</v>
      </c>
      <c r="C544" s="91" t="n"/>
      <c r="D544" s="95" t="inlineStr">
        <is>
          <t>Meals 20 Sept - 27 Sept 2024 7 days</t>
        </is>
      </c>
      <c r="E544" s="95" t="n"/>
      <c r="F544" s="93" t="n">
        <v>1000000</v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 s="17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jogja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t="15.5" customHeight="1" s="17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177">
      <c r="B547" s="102" t="n">
        <v>45556</v>
      </c>
      <c r="C547" s="15" t="n">
        <v>1</v>
      </c>
      <c r="D547" s="18" t="inlineStr">
        <is>
          <t>Air ticket nanivril JKT-Palembang</t>
        </is>
      </c>
      <c r="E547" s="18" t="n"/>
      <c r="F547" s="21" t="n">
        <v>1000000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177">
      <c r="B548" s="102" t="n">
        <v>45564</v>
      </c>
      <c r="C548" s="15" t="n">
        <v>2</v>
      </c>
      <c r="D548" s="18" t="inlineStr">
        <is>
          <t>Air ticket nanivril Palembang-JKT</t>
        </is>
      </c>
      <c r="E548" s="18" t="n"/>
      <c r="F548" s="21" t="n">
        <v>1000000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17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177">
      <c r="B550" s="102" t="n">
        <v>45556</v>
      </c>
      <c r="C550" s="15" t="n">
        <v>3</v>
      </c>
      <c r="D550" s="63" t="inlineStr">
        <is>
          <t>Taxi nanivril Home - CGK Airport</t>
        </is>
      </c>
      <c r="E550" s="63" t="n"/>
      <c r="F550" s="21" t="n">
        <v>1000000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t="15.5" customHeight="1" s="177">
      <c r="B551" s="102" t="n">
        <v>45564</v>
      </c>
      <c r="C551" s="15" t="n">
        <v>4</v>
      </c>
      <c r="D551" s="63" t="inlineStr">
        <is>
          <t>Taxi nanivril CGK Airport - Home</t>
        </is>
      </c>
      <c r="E551" s="63" t="n"/>
      <c r="F551" s="21" t="n">
        <v>1000000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17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1000000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t="15.5" customHeight="1" s="17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t="15.5" customHeight="1" s="17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t="15.5" customHeight="1" s="17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1000000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t="15.5" customHeight="1" s="17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17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1000000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17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17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0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17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17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17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1000000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t="15.5" customHeight="1" s="17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1000000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t="15.5" customHeight="1" s="17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1000000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t="15.5" customHeight="1" s="17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1000000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t="15.5" customHeight="1" s="17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1000000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t="15.5" customHeight="1" s="17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 t="n">
        <v>1000000</v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t="15.5" customHeight="1" s="17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 t="n">
        <v>1000000</v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t="15.5" customHeight="1" s="17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 t="n">
        <v>1000000</v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 s="17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 t="n">
        <v>1000000</v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 s="17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 t="n">
        <v>1000000</v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177">
      <c r="B572" s="136" t="n"/>
      <c r="C572" s="137" t="n"/>
      <c r="D572" s="138" t="inlineStr">
        <is>
          <t>Trip</t>
        </is>
      </c>
      <c r="E572" s="139" t="n"/>
      <c r="F572" s="25" t="n"/>
      <c r="G572" s="132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177">
      <c r="B573" s="102" t="n">
        <v>45552</v>
      </c>
      <c r="C573" s="15" t="n"/>
      <c r="D573" s="63" t="inlineStr">
        <is>
          <t>Tol  jogja - Cirebon</t>
        </is>
      </c>
      <c r="E573" s="63" t="n"/>
      <c r="F573" s="21" t="n">
        <v>1000000</v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177">
      <c r="B574" s="102" t="n">
        <v>45552</v>
      </c>
      <c r="C574" s="130" t="n"/>
      <c r="D574" s="63" t="inlineStr">
        <is>
          <t xml:space="preserve">Fuel </t>
        </is>
      </c>
      <c r="E574" s="140" t="n"/>
      <c r="F574" s="21" t="n">
        <v>1000000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177">
      <c r="B575" s="102" t="n">
        <v>45553</v>
      </c>
      <c r="C575" s="130" t="n"/>
      <c r="D575" s="63" t="inlineStr">
        <is>
          <t>Tol  Cirebon - jogja</t>
        </is>
      </c>
      <c r="E575" s="140" t="n"/>
      <c r="F575" s="21" t="n">
        <v>1000000</v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177">
      <c r="B576" s="102" t="n">
        <v>45553</v>
      </c>
      <c r="C576" s="130" t="n"/>
      <c r="D576" s="63" t="inlineStr">
        <is>
          <t xml:space="preserve">Fuel </t>
        </is>
      </c>
      <c r="E576" s="140" t="n"/>
      <c r="F576" s="21" t="n">
        <v>1000000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177">
      <c r="B577" s="129" t="n"/>
      <c r="C577" s="130" t="n"/>
      <c r="D577" s="135" t="inlineStr">
        <is>
          <t>Accommodation</t>
        </is>
      </c>
      <c r="E577" s="135" t="n"/>
      <c r="F577" s="25" t="n"/>
      <c r="G577" s="132" t="n"/>
      <c r="H577" s="132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177">
      <c r="B578" s="102" t="n">
        <v>45552</v>
      </c>
      <c r="C578" s="15" t="n"/>
      <c r="D578" s="63" t="inlineStr">
        <is>
          <t>Hotel</t>
        </is>
      </c>
      <c r="E578" s="63" t="n"/>
      <c r="F578" s="21" t="n">
        <v>1000000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177">
      <c r="B579" s="102" t="n">
        <v>45553</v>
      </c>
      <c r="C579" s="130" t="n"/>
      <c r="D579" s="63" t="inlineStr">
        <is>
          <t>Loundry 2 days @Rp. 50.000</t>
        </is>
      </c>
      <c r="E579" s="140" t="n"/>
      <c r="F579" s="21" t="n">
        <v>1000000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177">
      <c r="B580" s="129" t="n"/>
      <c r="C580" s="130" t="n"/>
      <c r="D580" s="135" t="inlineStr">
        <is>
          <t>Meal</t>
        </is>
      </c>
      <c r="E580" s="135" t="n"/>
      <c r="F580" s="25" t="n"/>
      <c r="G580" s="132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17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1000000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17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 t="n">
        <v>1000000</v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17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t="15.5" customHeight="1" s="17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17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1000000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t="15.5" customHeight="1" s="17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1000000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t="15.5" customHeight="1" s="17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1000000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t="15.5" customHeight="1" s="17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1000000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t="15.5" customHeight="1" s="17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 t="n">
        <v>1000000</v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t="15.5" customHeight="1" s="17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1000000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t="15.5" customHeight="1" s="17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1000000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t="15.5" customHeight="1" s="17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1000000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t="15.5" customHeight="1" s="17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 t="n">
        <v>1000000</v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t="15.5" customHeight="1" s="17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5" customHeight="1" s="177">
      <c r="B595" s="102" t="n">
        <v>45537</v>
      </c>
      <c r="C595" s="15" t="n">
        <v>1</v>
      </c>
      <c r="D595" s="63" t="inlineStr">
        <is>
          <t>Pengiriman dokumen ke Y</t>
        </is>
      </c>
      <c r="E595" s="63" t="n"/>
      <c r="F595" s="21" t="n">
        <v>1000000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177">
      <c r="B596" s="102" t="n">
        <v>45520</v>
      </c>
      <c r="C596" s="15" t="n">
        <v>2</v>
      </c>
      <c r="D596" s="63" t="inlineStr">
        <is>
          <t>Pengiriman dokumen ke Y</t>
        </is>
      </c>
      <c r="E596" s="63" t="n"/>
      <c r="F596" s="21" t="n">
        <v>1000000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5" customHeight="1" s="177">
      <c r="B597" s="102" t="n">
        <v>45537</v>
      </c>
      <c r="C597" s="15" t="n">
        <v>3</v>
      </c>
      <c r="D597" s="63" t="inlineStr">
        <is>
          <t>nanivril</t>
        </is>
      </c>
      <c r="E597" s="63" t="n"/>
      <c r="F597" s="21" t="n">
        <v>1000000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5" customHeight="1" s="17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1000000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5" customHeight="1" s="17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1000000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17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177">
      <c r="B601" s="190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177">
      <c r="B602" s="190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 t="n">
        <v>1000000</v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5" customHeight="1" s="177">
      <c r="B603" s="190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 t="n">
        <v>1000000</v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5" customHeight="1" s="177">
      <c r="B604" s="190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5" customHeight="1" s="177">
      <c r="B605" s="190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1000000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5" customHeight="1" s="177">
      <c r="B606" s="190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1000000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5" customHeight="1" s="177">
      <c r="B607" s="190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1000000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t="15.5" customHeight="1" s="177">
      <c r="B608" s="190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1000000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t="15.5" customHeight="1" s="177">
      <c r="B609" s="190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1000000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t="15.5" customHeight="1" s="177">
      <c r="B610" s="190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1000000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t="15.5" customHeight="1" s="177">
      <c r="B611" s="190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t="15.5" customHeight="1" s="177">
      <c r="B612" s="190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t="15.5" customHeight="1" s="177">
      <c r="B613" s="190" t="n">
        <v>45558</v>
      </c>
      <c r="C613" s="91" t="n">
        <v>10</v>
      </c>
      <c r="D613" s="95" t="inlineStr">
        <is>
          <t>Meals</t>
        </is>
      </c>
      <c r="E613" s="95" t="n"/>
      <c r="F613" s="103" t="n">
        <v>1000000</v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t="15.5" customHeight="1" s="17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t="15.5" customHeight="1" s="17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 s="177">
      <c r="B616" s="102" t="n">
        <v>45568</v>
      </c>
      <c r="C616" s="15" t="n">
        <v>3</v>
      </c>
      <c r="D616" s="63" t="inlineStr">
        <is>
          <t>Taxi nanivril Home - CGK Airport</t>
        </is>
      </c>
      <c r="E616" s="63" t="n"/>
      <c r="F616" s="21" t="n">
        <v>1000000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t="15.5" customHeight="1" s="177">
      <c r="B617" s="102" t="n">
        <v>45585</v>
      </c>
      <c r="C617" s="15" t="n">
        <v>4</v>
      </c>
      <c r="D617" s="63" t="inlineStr">
        <is>
          <t>Taxi nanivril CGK Airport - Home</t>
        </is>
      </c>
      <c r="E617" s="63" t="n"/>
      <c r="F617" s="21" t="n">
        <v>1000000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17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17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 t="n">
        <v>1000000</v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 s="17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 s="17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t="15.5" customHeight="1" s="17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 t="n">
        <v>1000000</v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17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t="15.5" customHeight="1" s="17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 t="n">
        <v>1000000</v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17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17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1000000</v>
      </c>
      <c r="G626" s="15" t="inlineStr">
        <is>
          <t>USD</t>
        </is>
      </c>
      <c r="H626" s="15" t="n">
        <v>15849</v>
      </c>
      <c r="I626" s="30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17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t="15.5" customHeight="1" s="177">
      <c r="B628" s="190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177">
      <c r="B629" s="190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1000000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177">
      <c r="B630" s="190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177">
      <c r="B631" s="190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1000000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5" customHeight="1" s="177">
      <c r="B632" s="190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1000000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177">
      <c r="B633" s="190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1000000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177">
      <c r="B634" s="190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1000000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177">
      <c r="B635" s="190" t="n">
        <v>45622</v>
      </c>
      <c r="C635" s="91" t="n"/>
      <c r="D635" s="95" t="inlineStr">
        <is>
          <t>KRL ( Duku Atas - Sudimara )</t>
        </is>
      </c>
      <c r="E635" s="95" t="n"/>
      <c r="F635" s="103" t="n">
        <v>1000000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17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t="15.5" customHeight="1" s="177">
      <c r="B637" s="141" t="n"/>
      <c r="C637" s="142" t="n"/>
      <c r="D637" s="143" t="inlineStr">
        <is>
          <t>Shipping</t>
        </is>
      </c>
      <c r="E637" s="143" t="n"/>
      <c r="F637" s="144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t="15.5" customHeight="1" s="177">
      <c r="B638" s="307" t="n">
        <v>45071</v>
      </c>
      <c r="C638" s="142" t="n"/>
      <c r="D638" s="146" t="inlineStr">
        <is>
          <t>Materai 15 pcs</t>
        </is>
      </c>
      <c r="E638" s="146" t="n"/>
      <c r="F638" s="308" t="n">
        <v>1000000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t="15.5" customHeight="1" s="177">
      <c r="B639" s="307" t="n">
        <v>45085</v>
      </c>
      <c r="C639" s="142" t="n"/>
      <c r="D639" s="146" t="inlineStr">
        <is>
          <t>Plastic folder 3 pcs</t>
        </is>
      </c>
      <c r="E639" s="146" t="n"/>
      <c r="F639" s="308" t="n">
        <v>1000000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t="15.5" customHeight="1" s="177">
      <c r="B640" s="307" t="n"/>
      <c r="C640" s="142" t="n"/>
      <c r="D640" s="146" t="inlineStr">
        <is>
          <t>JNE courier</t>
        </is>
      </c>
      <c r="E640" s="146" t="n"/>
      <c r="F640" s="308" t="n">
        <v>1000000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 s="177">
      <c r="B641" s="307" t="n">
        <v>45076</v>
      </c>
      <c r="C641" s="142" t="n"/>
      <c r="D641" s="146" t="inlineStr">
        <is>
          <t>Lala Move courier</t>
        </is>
      </c>
      <c r="E641" s="146" t="n"/>
      <c r="F641" s="308" t="n">
        <v>1000000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177">
      <c r="B642" s="307" t="n">
        <v>45121</v>
      </c>
      <c r="C642" s="142" t="n"/>
      <c r="D642" s="146" t="inlineStr">
        <is>
          <t>Anvelope, Plastic map</t>
        </is>
      </c>
      <c r="E642" s="146" t="n"/>
      <c r="F642" s="308" t="n">
        <v>1000000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 s="177">
      <c r="B643" s="307" t="n">
        <v>45261</v>
      </c>
      <c r="C643" s="142" t="n"/>
      <c r="D643" s="146" t="inlineStr">
        <is>
          <t>JNE courier</t>
        </is>
      </c>
      <c r="E643" s="146" t="n"/>
      <c r="F643" s="308" t="n">
        <v>1000000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 s="177">
      <c r="B644" s="307" t="n">
        <v>45572</v>
      </c>
      <c r="C644" s="142" t="n"/>
      <c r="D644" s="146" t="inlineStr">
        <is>
          <t>Materai 6 pcs</t>
        </is>
      </c>
      <c r="E644" s="146" t="n"/>
      <c r="F644" s="308" t="n">
        <v>1000000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 s="177">
      <c r="B645" s="307" t="n">
        <v>45555</v>
      </c>
      <c r="C645" s="142" t="n"/>
      <c r="D645" s="146" t="inlineStr">
        <is>
          <t>JNE courier</t>
        </is>
      </c>
      <c r="E645" s="146" t="n"/>
      <c r="F645" s="308" t="n">
        <v>1000000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 s="177">
      <c r="B646" s="307" t="n">
        <v>45560</v>
      </c>
      <c r="C646" s="142" t="n"/>
      <c r="D646" s="146" t="inlineStr">
        <is>
          <t>POS courier</t>
        </is>
      </c>
      <c r="E646" s="146" t="n"/>
      <c r="F646" s="308" t="n">
        <v>1000000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 s="177">
      <c r="B647" s="307" t="n">
        <v>45574</v>
      </c>
      <c r="C647" s="142" t="n"/>
      <c r="D647" s="146" t="inlineStr">
        <is>
          <t>POS courier</t>
        </is>
      </c>
      <c r="E647" s="146" t="n"/>
      <c r="F647" s="308" t="n">
        <v>1000000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177">
      <c r="B648" s="307" t="n">
        <v>45579</v>
      </c>
      <c r="C648" s="142" t="n"/>
      <c r="D648" s="146" t="inlineStr">
        <is>
          <t>JNE courier</t>
        </is>
      </c>
      <c r="E648" s="146" t="n"/>
      <c r="F648" s="308" t="n">
        <v>1000000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177">
      <c r="B649" s="307" t="n">
        <v>45579</v>
      </c>
      <c r="C649" s="142" t="n"/>
      <c r="D649" s="146" t="inlineStr">
        <is>
          <t>Materai 10 pcs</t>
        </is>
      </c>
      <c r="E649" s="146" t="n"/>
      <c r="F649" s="308" t="n">
        <v>1000000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 s="177">
      <c r="B650" s="307" t="n">
        <v>45582</v>
      </c>
      <c r="C650" s="142" t="n"/>
      <c r="D650" s="146" t="inlineStr">
        <is>
          <t>Materai 5 pcs</t>
        </is>
      </c>
      <c r="E650" s="146" t="n"/>
      <c r="F650" s="308" t="n">
        <v>1000000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 s="177">
      <c r="B651" s="307" t="n">
        <v>45617</v>
      </c>
      <c r="C651" s="142" t="n"/>
      <c r="D651" s="146" t="inlineStr">
        <is>
          <t>Materai 10 pcs</t>
        </is>
      </c>
      <c r="E651" s="146" t="n"/>
      <c r="F651" s="308" t="n">
        <v>1000000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 s="177">
      <c r="B652" s="141" t="n"/>
      <c r="C652" s="142" t="n"/>
      <c r="D652" s="149" t="inlineStr">
        <is>
          <t>Transportation</t>
        </is>
      </c>
      <c r="E652" s="149" t="n"/>
      <c r="F652" s="148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 s="177">
      <c r="B653" s="307" t="n">
        <v>45579</v>
      </c>
      <c r="C653" s="142" t="n"/>
      <c r="D653" s="146" t="inlineStr">
        <is>
          <t>GoCar to Elnusa PP</t>
        </is>
      </c>
      <c r="E653" s="146" t="n"/>
      <c r="F653" s="148" t="n">
        <v>1000000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 s="177">
      <c r="B654" s="307" t="n">
        <v>45579</v>
      </c>
      <c r="C654" s="142" t="n"/>
      <c r="D654" s="146" t="inlineStr">
        <is>
          <t>Tol &amp; parking fee</t>
        </is>
      </c>
      <c r="E654" s="146" t="n"/>
      <c r="F654" s="148" t="n">
        <v>1000000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 s="177">
      <c r="B655" s="307" t="n">
        <v>45582</v>
      </c>
      <c r="C655" s="142" t="n"/>
      <c r="D655" s="146" t="inlineStr">
        <is>
          <t>GoCar to Elnusa PP</t>
        </is>
      </c>
      <c r="E655" s="146" t="n"/>
      <c r="F655" s="148" t="n">
        <v>1000000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 s="177">
      <c r="B656" s="307" t="n">
        <v>45582</v>
      </c>
      <c r="C656" s="142" t="n"/>
      <c r="D656" s="146" t="inlineStr">
        <is>
          <t>Tol &amp; parking fee</t>
        </is>
      </c>
      <c r="E656" s="146" t="n"/>
      <c r="F656" s="148" t="n">
        <v>1000000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 s="177">
      <c r="B657" s="307" t="n">
        <v>45617</v>
      </c>
      <c r="C657" s="142" t="n"/>
      <c r="D657" s="146" t="inlineStr">
        <is>
          <t>GoCar to Elnusa PP</t>
        </is>
      </c>
      <c r="E657" s="146" t="n"/>
      <c r="F657" s="148" t="n">
        <v>1000000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 s="177">
      <c r="B658" s="307" t="n">
        <v>45617</v>
      </c>
      <c r="C658" s="142" t="n"/>
      <c r="D658" s="146" t="inlineStr">
        <is>
          <t>Tol &amp; parking fee</t>
        </is>
      </c>
      <c r="E658" s="146" t="n"/>
      <c r="F658" s="148" t="n">
        <v>1000000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 s="177">
      <c r="B659" s="307" t="n">
        <v>45636</v>
      </c>
      <c r="C659" s="142" t="n"/>
      <c r="D659" s="146" t="inlineStr">
        <is>
          <t>GoCar to Elnusa PP</t>
        </is>
      </c>
      <c r="E659" s="146" t="n"/>
      <c r="F659" s="148" t="n">
        <v>1000000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177">
      <c r="B660" s="307" t="n">
        <v>45636</v>
      </c>
      <c r="C660" s="142" t="n"/>
      <c r="D660" s="146" t="inlineStr">
        <is>
          <t>Tol &amp; parking fee</t>
        </is>
      </c>
      <c r="E660" s="146" t="n"/>
      <c r="F660" s="148" t="n">
        <v>1000000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177">
      <c r="B661" s="150" t="inlineStr">
        <is>
          <t>Expense#41</t>
        </is>
      </c>
      <c r="C661" s="85" t="inlineStr">
        <is>
          <t>:</t>
        </is>
      </c>
      <c r="D661" s="151" t="inlineStr">
        <is>
          <t>Starlink Kit_DS</t>
        </is>
      </c>
      <c r="E661" s="151" t="n"/>
      <c r="F661" s="152" t="n"/>
      <c r="G661" s="85" t="n"/>
      <c r="H661" s="85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</row>
    <row r="662" ht="15.5" customHeight="1" s="17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1000000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 s="177">
      <c r="B663" s="150" t="inlineStr">
        <is>
          <t>Expense#42</t>
        </is>
      </c>
      <c r="C663" s="85" t="inlineStr">
        <is>
          <t>:</t>
        </is>
      </c>
      <c r="D663" s="151" t="inlineStr">
        <is>
          <t>Pelican Case 1650 TMA</t>
        </is>
      </c>
      <c r="E663" s="151" t="n"/>
      <c r="F663" s="152" t="n"/>
      <c r="G663" s="85" t="n"/>
      <c r="H663" s="85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</row>
    <row r="664" ht="15.5" customHeight="1" s="177">
      <c r="B664" s="107" t="n">
        <v>45640</v>
      </c>
      <c r="C664" s="15" t="n">
        <v>1</v>
      </c>
      <c r="D664" s="154" t="inlineStr">
        <is>
          <t>Pelican Case 1650</t>
        </is>
      </c>
      <c r="E664" s="154" t="n"/>
      <c r="F664" s="155" t="n">
        <v>1000000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 s="17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2" t="n"/>
      <c r="G665" s="85" t="n"/>
      <c r="H665" s="85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</row>
    <row r="666" ht="15.5" customHeight="1" s="177">
      <c r="B666" s="188" t="n"/>
      <c r="C666" s="188" t="n"/>
      <c r="D666" s="154" t="inlineStr">
        <is>
          <t>Medical</t>
        </is>
      </c>
      <c r="E666" s="154" t="n"/>
      <c r="F666" s="188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 s="17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1000000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 s="17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1000000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 s="17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1000000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 s="17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1000000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 s="17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1000000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 s="17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1000000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 s="17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1000000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 s="17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1000000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 s="17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17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1000000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17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 t="n">
        <v>1000000</v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17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1000000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17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1000000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17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1000000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 s="17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1000000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17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</row>
    <row r="683" ht="15.5" customHeight="1" s="17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177">
      <c r="B684" s="102" t="n">
        <v>45646</v>
      </c>
      <c r="C684" s="15" t="n">
        <v>1</v>
      </c>
      <c r="D684" s="63" t="inlineStr">
        <is>
          <t>Traveling jogja - Bandung</t>
        </is>
      </c>
      <c r="E684" s="63" t="n"/>
      <c r="F684" s="21" t="n">
        <v>1000000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17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1000000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177">
      <c r="B686" s="102" t="n">
        <v>45647</v>
      </c>
      <c r="C686" s="15" t="n">
        <v>3</v>
      </c>
      <c r="D686" s="63" t="inlineStr">
        <is>
          <t>Traveling Bandung - jogja</t>
        </is>
      </c>
      <c r="E686" s="63" t="n"/>
      <c r="F686" s="21" t="n">
        <v>1000000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17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17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 t="n">
        <v>1000000</v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17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 t="n">
        <v>1000000</v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17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17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1000000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 s="17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177">
      <c r="B693" s="78" t="inlineStr">
        <is>
          <t>Expense#45</t>
        </is>
      </c>
      <c r="C693" s="73" t="inlineStr">
        <is>
          <t>:</t>
        </is>
      </c>
      <c r="D693" s="156" t="inlineStr">
        <is>
          <t>General Operation_Year 2024 - AM</t>
        </is>
      </c>
      <c r="E693" s="156" t="n"/>
      <c r="F693" s="87" t="n"/>
      <c r="G693" s="73" t="n"/>
      <c r="H693" s="7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</row>
    <row r="694" ht="15.5" customHeight="1" s="177">
      <c r="B694" s="157" t="n"/>
      <c r="C694" s="15" t="n"/>
      <c r="D694" s="157" t="inlineStr">
        <is>
          <t>Trip</t>
        </is>
      </c>
      <c r="E694" s="157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177">
      <c r="B695" s="158" t="n">
        <v>45335</v>
      </c>
      <c r="C695" s="64" t="n">
        <v>1</v>
      </c>
      <c r="D695" s="159" t="inlineStr">
        <is>
          <t>Shipment Benchmark DTR to Malaysia</t>
        </is>
      </c>
      <c r="E695" s="159" t="n"/>
      <c r="F695" s="160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177">
      <c r="B696" s="158" t="n">
        <v>45362</v>
      </c>
      <c r="C696" s="64" t="inlineStr">
        <is>
          <t>N/A</t>
        </is>
      </c>
      <c r="D696" s="159" t="inlineStr">
        <is>
          <t>Taxi Home - CGK Airport</t>
        </is>
      </c>
      <c r="E696" s="159" t="n"/>
      <c r="F696" s="160" t="n">
        <v>1000000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177">
      <c r="B697" s="158" t="n">
        <v>45362</v>
      </c>
      <c r="C697" s="64" t="n">
        <v>2</v>
      </c>
      <c r="D697" s="159" t="inlineStr">
        <is>
          <t>Flight CGK-KUL + Hotel 1 night</t>
        </is>
      </c>
      <c r="E697" s="159" t="n"/>
      <c r="F697" s="160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177">
      <c r="B698" s="158" t="n">
        <v>45362</v>
      </c>
      <c r="C698" s="64" t="inlineStr">
        <is>
          <t>N/A</t>
        </is>
      </c>
      <c r="D698" s="161" t="inlineStr">
        <is>
          <t>Train KLIA Airport to Hyperseal</t>
        </is>
      </c>
      <c r="E698" s="161" t="n"/>
      <c r="F698" s="160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177">
      <c r="B699" s="158" t="n">
        <v>45363</v>
      </c>
      <c r="C699" s="64" t="n">
        <v>3</v>
      </c>
      <c r="D699" s="161" t="inlineStr">
        <is>
          <t>Flight KUL- CGK</t>
        </is>
      </c>
      <c r="E699" s="161" t="n"/>
      <c r="F699" s="160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177">
      <c r="B700" s="158" t="n">
        <v>45363</v>
      </c>
      <c r="C700" s="64" t="inlineStr">
        <is>
          <t>N/A</t>
        </is>
      </c>
      <c r="D700" s="159" t="inlineStr">
        <is>
          <t>Train Hyperseal to KLIA Airport</t>
        </is>
      </c>
      <c r="E700" s="159" t="n"/>
      <c r="F700" s="160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177">
      <c r="B701" s="158" t="n">
        <v>45363</v>
      </c>
      <c r="C701" s="64" t="inlineStr">
        <is>
          <t>N/A</t>
        </is>
      </c>
      <c r="D701" s="159" t="inlineStr">
        <is>
          <t>Taxi CGK Airport to Home</t>
        </is>
      </c>
      <c r="E701" s="159" t="n"/>
      <c r="F701" s="160" t="n">
        <v>1000000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177">
      <c r="B702" s="158" t="n">
        <v>45363</v>
      </c>
      <c r="C702" s="64" t="inlineStr">
        <is>
          <t>N/A</t>
        </is>
      </c>
      <c r="D702" s="161" t="inlineStr">
        <is>
          <t>Meals 2 days @ 300,000/day</t>
        </is>
      </c>
      <c r="E702" s="161" t="n"/>
      <c r="F702" s="160" t="n">
        <v>1000000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177">
      <c r="B703" s="157" t="n"/>
      <c r="C703" s="64" t="n"/>
      <c r="D703" s="157" t="inlineStr">
        <is>
          <t>Trip</t>
        </is>
      </c>
      <c r="E703" s="157" t="n"/>
      <c r="F703" s="160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177">
      <c r="B704" s="162" t="n">
        <v>45404</v>
      </c>
      <c r="C704" s="64" t="inlineStr">
        <is>
          <t>N/A</t>
        </is>
      </c>
      <c r="D704" s="159" t="inlineStr">
        <is>
          <t>Car 22-23 Apr 2024 (2 days) incl. Fuel &amp; Tol</t>
        </is>
      </c>
      <c r="E704" s="159" t="n"/>
      <c r="F704" s="160" t="n">
        <v>1000000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177">
      <c r="B705" s="158" t="n">
        <v>45405</v>
      </c>
      <c r="C705" s="64" t="inlineStr">
        <is>
          <t>N/A</t>
        </is>
      </c>
      <c r="D705" s="159" t="inlineStr">
        <is>
          <t>Tunjangan Lapangan @ 1.5 juta/day x 2 days</t>
        </is>
      </c>
      <c r="E705" s="159" t="n"/>
      <c r="F705" s="160" t="n">
        <v>1000000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177">
      <c r="B706" s="158" t="n">
        <v>45405</v>
      </c>
      <c r="C706" s="64" t="inlineStr">
        <is>
          <t>N/A</t>
        </is>
      </c>
      <c r="D706" s="161" t="inlineStr">
        <is>
          <t>Meals 2 days @ 150,000/day</t>
        </is>
      </c>
      <c r="E706" s="161" t="n"/>
      <c r="F706" s="160" t="n">
        <v>1000000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177">
      <c r="B707" s="157" t="n"/>
      <c r="C707" s="64" t="n"/>
      <c r="D707" s="157" t="inlineStr">
        <is>
          <t>Trip</t>
        </is>
      </c>
      <c r="E707" s="157" t="n"/>
      <c r="F707" s="160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177">
      <c r="B708" s="158" t="n">
        <v>45412</v>
      </c>
      <c r="C708" s="64" t="inlineStr">
        <is>
          <t>N/A</t>
        </is>
      </c>
      <c r="D708" s="159" t="inlineStr">
        <is>
          <t>Car 30 Apr-01 May 2024 (2 days) incl. Fuel &amp; Tol</t>
        </is>
      </c>
      <c r="E708" s="159" t="n"/>
      <c r="F708" s="160" t="n">
        <v>1000000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177">
      <c r="B709" s="157" t="n"/>
      <c r="C709" s="64" t="n"/>
      <c r="D709" s="157" t="inlineStr">
        <is>
          <t>Training</t>
        </is>
      </c>
      <c r="E709" s="157" t="n"/>
      <c r="F709" s="160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177">
      <c r="B710" s="162" t="n">
        <v>45646</v>
      </c>
      <c r="C710" s="64" t="inlineStr">
        <is>
          <t>N/A</t>
        </is>
      </c>
      <c r="D710" s="159" t="inlineStr">
        <is>
          <t>Taxi Home to KCIC Train station</t>
        </is>
      </c>
      <c r="E710" s="159" t="n"/>
      <c r="F710" s="160" t="n">
        <v>1000000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177">
      <c r="B711" s="162" t="n">
        <v>45646</v>
      </c>
      <c r="C711" s="64" t="inlineStr">
        <is>
          <t>N/A</t>
        </is>
      </c>
      <c r="D711" s="159" t="inlineStr">
        <is>
          <t>Train Round trip jogja - Bandung @200K/trip</t>
        </is>
      </c>
      <c r="E711" s="159" t="n"/>
      <c r="F711" s="160" t="n">
        <v>1000000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177">
      <c r="B712" s="162" t="n">
        <v>45647</v>
      </c>
      <c r="C712" s="64" t="n">
        <v>4</v>
      </c>
      <c r="D712" s="161" t="inlineStr">
        <is>
          <t>Hotel 1 night 20 - 21 Dec 2024</t>
        </is>
      </c>
      <c r="E712" s="161" t="n"/>
      <c r="F712" s="160" t="n">
        <v>1000000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177">
      <c r="B713" s="162" t="n">
        <v>45647</v>
      </c>
      <c r="C713" s="64" t="inlineStr">
        <is>
          <t>N/A</t>
        </is>
      </c>
      <c r="D713" s="161" t="inlineStr">
        <is>
          <t>Taxi from KCIC Stationa Halim to Home</t>
        </is>
      </c>
      <c r="E713" s="161" t="n"/>
      <c r="F713" s="160" t="n">
        <v>1000000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 s="177">
      <c r="B714" s="162" t="n">
        <v>45647</v>
      </c>
      <c r="C714" s="64" t="inlineStr">
        <is>
          <t>N/A</t>
        </is>
      </c>
      <c r="D714" s="161" t="inlineStr">
        <is>
          <t>Meals 2 days @ 150,000/day</t>
        </is>
      </c>
      <c r="E714" s="161" t="n"/>
      <c r="F714" s="160" t="n">
        <v>1000000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177">
      <c r="B715" s="157" t="n"/>
      <c r="C715" s="64" t="n"/>
      <c r="D715" s="157" t="inlineStr">
        <is>
          <t>IT Services</t>
        </is>
      </c>
      <c r="E715" s="157" t="n"/>
      <c r="F715" s="160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177">
      <c r="B716" s="162" t="n">
        <v>44789</v>
      </c>
      <c r="C716" s="64" t="n">
        <v>5</v>
      </c>
      <c r="D716" s="159" t="inlineStr">
        <is>
          <t>Domain PT. Exspan Wireline Indonesia</t>
        </is>
      </c>
      <c r="E716" s="159" t="n"/>
      <c r="F716" s="160" t="n">
        <v>1000000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 s="177">
      <c r="B717" s="162" t="n">
        <v>44820</v>
      </c>
      <c r="C717" s="64" t="n">
        <v>6</v>
      </c>
      <c r="D717" s="159" t="inlineStr">
        <is>
          <t>Google Workspace PT. nanas</t>
        </is>
      </c>
      <c r="E717" s="159" t="n"/>
      <c r="F717" s="160" t="n">
        <v>1000000</v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 s="177">
      <c r="B718" s="162" t="n">
        <v>44850</v>
      </c>
      <c r="C718" s="64" t="n">
        <v>7</v>
      </c>
      <c r="D718" s="159" t="inlineStr">
        <is>
          <t>Google Workspace PT. nanas</t>
        </is>
      </c>
      <c r="E718" s="159" t="n"/>
      <c r="F718" s="160" t="n">
        <v>1000000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 s="177">
      <c r="B719" s="162" t="n">
        <v>44881</v>
      </c>
      <c r="C719" s="64" t="n">
        <v>8</v>
      </c>
      <c r="D719" s="159" t="inlineStr">
        <is>
          <t>Google Workspace PT. nanas</t>
        </is>
      </c>
      <c r="E719" s="159" t="n"/>
      <c r="F719" s="160" t="n">
        <v>1000000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 s="177">
      <c r="B720" s="162" t="n">
        <v>44911</v>
      </c>
      <c r="C720" s="64" t="n">
        <v>9</v>
      </c>
      <c r="D720" s="159" t="inlineStr">
        <is>
          <t>Google Workspace PT. nanas</t>
        </is>
      </c>
      <c r="E720" s="159" t="n"/>
      <c r="F720" s="160" t="n">
        <v>1000000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 s="177">
      <c r="B721" s="162" t="n">
        <v>44942</v>
      </c>
      <c r="C721" s="64" t="n">
        <v>10</v>
      </c>
      <c r="D721" s="159" t="inlineStr">
        <is>
          <t>Google Workspace PT. nanas</t>
        </is>
      </c>
      <c r="E721" s="159" t="n"/>
      <c r="F721" s="160" t="n">
        <v>1000000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 s="177">
      <c r="B722" s="162" t="n">
        <v>44973</v>
      </c>
      <c r="C722" s="64" t="n">
        <v>11</v>
      </c>
      <c r="D722" s="159" t="inlineStr">
        <is>
          <t>Google Workspace PT. nanas</t>
        </is>
      </c>
      <c r="E722" s="159" t="n"/>
      <c r="F722" s="160" t="n">
        <v>1000000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 s="177">
      <c r="B723" s="162" t="n">
        <v>45001</v>
      </c>
      <c r="C723" s="64" t="n">
        <v>12</v>
      </c>
      <c r="D723" s="159" t="inlineStr">
        <is>
          <t>Google Workspace PT. nanas</t>
        </is>
      </c>
      <c r="E723" s="159" t="n"/>
      <c r="F723" s="160" t="n">
        <v>1000000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 s="177">
      <c r="B724" s="162" t="n">
        <v>45032</v>
      </c>
      <c r="C724" s="64" t="n">
        <v>13</v>
      </c>
      <c r="D724" s="159" t="inlineStr">
        <is>
          <t>Google Workspace PT. nanas</t>
        </is>
      </c>
      <c r="E724" s="159" t="n"/>
      <c r="F724" s="160" t="n">
        <v>1000000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 s="177">
      <c r="B725" s="162" t="n">
        <v>45062</v>
      </c>
      <c r="C725" s="64" t="n">
        <v>14</v>
      </c>
      <c r="D725" s="159" t="inlineStr">
        <is>
          <t>Google Workspace PT. nanas</t>
        </is>
      </c>
      <c r="E725" s="159" t="n"/>
      <c r="F725" s="160" t="n">
        <v>1000000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 s="177">
      <c r="B726" s="162" t="n">
        <v>45093</v>
      </c>
      <c r="C726" s="64" t="n">
        <v>15</v>
      </c>
      <c r="D726" s="159" t="inlineStr">
        <is>
          <t>Google Workspace PT. nanas</t>
        </is>
      </c>
      <c r="E726" s="159" t="n"/>
      <c r="F726" s="160" t="n">
        <v>1000000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 s="177">
      <c r="B727" s="162" t="n">
        <v>45123</v>
      </c>
      <c r="C727" s="64" t="n">
        <v>16</v>
      </c>
      <c r="D727" s="159" t="inlineStr">
        <is>
          <t>Google Workspace PT. nanas</t>
        </is>
      </c>
      <c r="E727" s="159" t="n"/>
      <c r="F727" s="160" t="n">
        <v>1000000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 s="177">
      <c r="B728" s="162" t="n">
        <v>45154</v>
      </c>
      <c r="C728" s="64" t="n">
        <v>17</v>
      </c>
      <c r="D728" s="159" t="inlineStr">
        <is>
          <t>Domain + Google Workspace PT. nanas</t>
        </is>
      </c>
      <c r="E728" s="159" t="n"/>
      <c r="F728" s="160" t="n">
        <v>1000000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 s="177">
      <c r="B729" s="162" t="n">
        <v>45185</v>
      </c>
      <c r="C729" s="64" t="n">
        <v>18</v>
      </c>
      <c r="D729" s="159" t="inlineStr">
        <is>
          <t>Google Workspace PT. nanas</t>
        </is>
      </c>
      <c r="E729" s="159" t="n"/>
      <c r="F729" s="160" t="n">
        <v>1000000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 s="177">
      <c r="B730" s="162" t="n">
        <v>45215</v>
      </c>
      <c r="C730" s="64" t="n">
        <v>19</v>
      </c>
      <c r="D730" s="159" t="inlineStr">
        <is>
          <t>Google Workspace PT. nanas</t>
        </is>
      </c>
      <c r="E730" s="159" t="n"/>
      <c r="F730" s="160" t="n">
        <v>1000000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 s="177">
      <c r="B731" s="162" t="n">
        <v>45246</v>
      </c>
      <c r="C731" s="64" t="n">
        <v>20</v>
      </c>
      <c r="D731" s="159" t="inlineStr">
        <is>
          <t>Google Workspace PT. nanas</t>
        </is>
      </c>
      <c r="E731" s="159" t="n"/>
      <c r="F731" s="160" t="n">
        <v>1000000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 s="177">
      <c r="B732" s="162" t="n">
        <v>45276</v>
      </c>
      <c r="C732" s="64" t="n">
        <v>21</v>
      </c>
      <c r="D732" s="159" t="inlineStr">
        <is>
          <t>Google Workspace PT. nanas</t>
        </is>
      </c>
      <c r="E732" s="159" t="n"/>
      <c r="F732" s="160" t="n">
        <v>1000000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 s="177">
      <c r="B733" s="162" t="n">
        <v>45307</v>
      </c>
      <c r="C733" s="64" t="n">
        <v>22</v>
      </c>
      <c r="D733" s="159" t="inlineStr">
        <is>
          <t>Google Workspace PT. nanas</t>
        </is>
      </c>
      <c r="E733" s="159" t="n"/>
      <c r="F733" s="160" t="n">
        <v>1000000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 s="177">
      <c r="B734" s="162" t="n">
        <v>45338</v>
      </c>
      <c r="C734" s="64" t="n">
        <v>23</v>
      </c>
      <c r="D734" s="159" t="inlineStr">
        <is>
          <t>Google Workspace PT. nanas</t>
        </is>
      </c>
      <c r="E734" s="159" t="n"/>
      <c r="F734" s="160" t="n">
        <v>1000000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 s="177">
      <c r="B735" s="162" t="n">
        <v>45367</v>
      </c>
      <c r="C735" s="64" t="n">
        <v>24</v>
      </c>
      <c r="D735" s="159" t="inlineStr">
        <is>
          <t>Google Workspace PT. nanas</t>
        </is>
      </c>
      <c r="E735" s="159" t="n"/>
      <c r="F735" s="160" t="n">
        <v>1000000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 s="177">
      <c r="B736" s="162" t="n">
        <v>45398</v>
      </c>
      <c r="C736" s="64" t="n">
        <v>25</v>
      </c>
      <c r="D736" s="159" t="inlineStr">
        <is>
          <t>Google Workspace PT. nanas</t>
        </is>
      </c>
      <c r="E736" s="159" t="n"/>
      <c r="F736" s="160" t="n">
        <v>1000000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 s="177">
      <c r="B737" s="162" t="n">
        <v>45428</v>
      </c>
      <c r="C737" s="64" t="n">
        <v>26</v>
      </c>
      <c r="D737" s="159" t="inlineStr">
        <is>
          <t>Google Workspace PT. nanas</t>
        </is>
      </c>
      <c r="E737" s="159" t="n"/>
      <c r="F737" s="160" t="n">
        <v>1000000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 s="177">
      <c r="A738" s="163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</row>
    <row r="739" ht="15.5" customHeight="1" s="17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1000000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 s="177">
      <c r="B740" s="78" t="inlineStr">
        <is>
          <t>Expense#47</t>
        </is>
      </c>
      <c r="C740" s="164" t="n"/>
      <c r="D740" s="165" t="inlineStr">
        <is>
          <t>Trip Rakan : BSTTraining at HSSE Training Center PT Pertamina EP Zone 7 Cirebon</t>
        </is>
      </c>
      <c r="E740" s="165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53" t="n"/>
      <c r="Q740" s="153" t="n"/>
    </row>
    <row r="741" ht="15.5" customHeight="1" s="177">
      <c r="B741" s="166" t="n">
        <v>45655</v>
      </c>
      <c r="C741" s="60" t="n">
        <v>1</v>
      </c>
      <c r="D741" s="167" t="inlineStr">
        <is>
          <t xml:space="preserve">Transport Train, (jogja to Cirebon) </t>
        </is>
      </c>
      <c r="E741" s="167" t="n"/>
      <c r="F741" s="168" t="n">
        <v>1000000</v>
      </c>
      <c r="G741" s="60" t="inlineStr">
        <is>
          <t>IDR</t>
        </is>
      </c>
      <c r="H741" s="60" t="n">
        <v>1</v>
      </c>
      <c r="I741" s="61">
        <f>$H741*$F741</f>
        <v/>
      </c>
      <c r="J741" s="309" t="n"/>
      <c r="K741" s="309" t="n"/>
      <c r="L741" s="309" t="n"/>
      <c r="M741" s="309" t="n"/>
      <c r="N741" s="309" t="n"/>
      <c r="O741" s="309" t="n"/>
      <c r="P741" s="120" t="n"/>
      <c r="Q741" s="120" t="n"/>
    </row>
    <row r="742" ht="15.5" customHeight="1" s="177">
      <c r="B742" s="166" t="n">
        <v>45655</v>
      </c>
      <c r="C742" s="15" t="n">
        <v>2</v>
      </c>
      <c r="D742" s="167" t="inlineStr">
        <is>
          <t>Gojek (Cirendeu to Gambir Station)</t>
        </is>
      </c>
      <c r="E742" s="167" t="n"/>
      <c r="F742" s="168" t="n">
        <v>1000000</v>
      </c>
      <c r="G742" s="15" t="inlineStr">
        <is>
          <t>IDR</t>
        </is>
      </c>
      <c r="H742" s="15" t="n">
        <v>1</v>
      </c>
      <c r="I742" s="61">
        <f>$H742*$F742</f>
        <v/>
      </c>
      <c r="J742" s="310" t="n"/>
      <c r="K742" s="310" t="n"/>
      <c r="L742" s="309" t="n"/>
      <c r="M742" s="310" t="n"/>
      <c r="N742" s="310" t="n"/>
      <c r="O742" s="309" t="n"/>
      <c r="P742" s="120" t="n"/>
      <c r="Q742" s="120" t="n"/>
    </row>
    <row r="743" ht="15.5" customHeight="1" s="177">
      <c r="B743" s="166" t="n">
        <v>45655</v>
      </c>
      <c r="C743" s="15" t="n">
        <v>3</v>
      </c>
      <c r="D743" s="167" t="inlineStr">
        <is>
          <t xml:space="preserve">Gojek (Cirebon Station to Hotel) </t>
        </is>
      </c>
      <c r="E743" s="167" t="n"/>
      <c r="F743" s="168" t="n">
        <v>1000000</v>
      </c>
      <c r="G743" s="15" t="inlineStr">
        <is>
          <t>IDR</t>
        </is>
      </c>
      <c r="H743" s="15" t="n">
        <v>1</v>
      </c>
      <c r="I743" s="61">
        <f>$H743*$F743</f>
        <v/>
      </c>
      <c r="J743" s="310" t="n"/>
      <c r="K743" s="310" t="n"/>
      <c r="L743" s="309" t="n"/>
      <c r="M743" s="310" t="n"/>
      <c r="N743" s="310" t="n"/>
      <c r="O743" s="309" t="n"/>
      <c r="P743" s="120" t="n"/>
      <c r="Q743" s="120" t="n"/>
    </row>
    <row r="744" ht="15.5" customHeight="1" s="177">
      <c r="B744" s="166" t="n">
        <v>45655</v>
      </c>
      <c r="C744" s="15" t="n">
        <v>4</v>
      </c>
      <c r="D744" s="167" t="inlineStr">
        <is>
          <t>Accomodation Hotel (Pia Hotel 29 - 30 des, 1 Night)</t>
        </is>
      </c>
      <c r="E744" s="167" t="n"/>
      <c r="F744" s="168" t="n">
        <v>1000000</v>
      </c>
      <c r="G744" s="15" t="inlineStr">
        <is>
          <t>IDR</t>
        </is>
      </c>
      <c r="H744" s="15" t="n">
        <v>1</v>
      </c>
      <c r="I744" s="61">
        <f>$H744*$F744</f>
        <v/>
      </c>
      <c r="J744" s="310" t="n"/>
      <c r="K744" s="310" t="n"/>
      <c r="L744" s="309" t="n"/>
      <c r="M744" s="310" t="n"/>
      <c r="N744" s="310" t="n"/>
      <c r="O744" s="309" t="n"/>
      <c r="P744" s="120" t="n"/>
      <c r="Q744" s="120" t="n"/>
    </row>
    <row r="745" ht="15.5" customHeight="1" s="177">
      <c r="B745" s="166" t="n">
        <v>45656</v>
      </c>
      <c r="C745" s="15" t="n">
        <v>6</v>
      </c>
      <c r="D745" s="167" t="inlineStr">
        <is>
          <t>Transport Train (Cirebon to jogja)</t>
        </is>
      </c>
      <c r="E745" s="167" t="n"/>
      <c r="F745" s="168" t="n">
        <v>1000000</v>
      </c>
      <c r="G745" s="15" t="inlineStr">
        <is>
          <t>IDR</t>
        </is>
      </c>
      <c r="H745" s="15" t="n">
        <v>1</v>
      </c>
      <c r="I745" s="61">
        <f>$H745*$F745</f>
        <v/>
      </c>
      <c r="J745" s="310" t="n"/>
      <c r="K745" s="310" t="n"/>
      <c r="L745" s="309" t="n"/>
      <c r="M745" s="310" t="n"/>
      <c r="N745" s="310" t="n"/>
      <c r="O745" s="309" t="n"/>
      <c r="P745" s="120" t="n"/>
      <c r="Q745" s="120" t="n"/>
    </row>
    <row r="746" ht="15.5" customHeight="1" s="177">
      <c r="B746" s="166" t="n">
        <v>45656</v>
      </c>
      <c r="C746" s="15" t="n">
        <v>7</v>
      </c>
      <c r="D746" s="167" t="inlineStr">
        <is>
          <t xml:space="preserve">Gojek (Hotel to HSSE Training Center PEP Zone 7) </t>
        </is>
      </c>
      <c r="E746" s="167" t="n"/>
      <c r="F746" s="168" t="n">
        <v>1000000</v>
      </c>
      <c r="G746" s="15" t="inlineStr">
        <is>
          <t>IDR</t>
        </is>
      </c>
      <c r="H746" s="15" t="n">
        <v>1</v>
      </c>
      <c r="I746" s="61">
        <f>$H746*$F746</f>
        <v/>
      </c>
      <c r="J746" s="310" t="n"/>
      <c r="K746" s="310" t="n"/>
      <c r="L746" s="309" t="n"/>
      <c r="M746" s="310" t="n"/>
      <c r="N746" s="310" t="n"/>
      <c r="O746" s="309" t="n"/>
      <c r="P746" s="120" t="n"/>
      <c r="Q746" s="120" t="n"/>
    </row>
    <row r="747" ht="15.5" customHeight="1" s="177">
      <c r="B747" s="166" t="n">
        <v>45656</v>
      </c>
      <c r="C747" s="15" t="n">
        <v>8</v>
      </c>
      <c r="D747" s="167" t="inlineStr">
        <is>
          <t xml:space="preserve">Gojek (CSB to Cirebon Train Station) </t>
        </is>
      </c>
      <c r="E747" s="167" t="n"/>
      <c r="F747" s="168" t="n">
        <v>1000000</v>
      </c>
      <c r="G747" s="15" t="inlineStr">
        <is>
          <t>IDR</t>
        </is>
      </c>
      <c r="H747" s="15" t="n">
        <v>1</v>
      </c>
      <c r="I747" s="61">
        <f>$H747*$F747</f>
        <v/>
      </c>
      <c r="J747" s="310" t="n"/>
      <c r="K747" s="310" t="n"/>
      <c r="L747" s="309" t="n"/>
      <c r="M747" s="310" t="n"/>
      <c r="N747" s="310" t="n"/>
      <c r="O747" s="309" t="n"/>
      <c r="P747" s="120" t="n"/>
      <c r="Q747" s="120" t="n"/>
    </row>
    <row r="748" ht="15.5" customHeight="1" s="177">
      <c r="B748" s="166" t="n">
        <v>45656</v>
      </c>
      <c r="C748" s="15" t="n">
        <v>9</v>
      </c>
      <c r="D748" s="167" t="inlineStr">
        <is>
          <t xml:space="preserve">Gojek (Gambir Station to Cirendeu) </t>
        </is>
      </c>
      <c r="E748" s="167" t="n"/>
      <c r="F748" s="168" t="n">
        <v>1000000</v>
      </c>
      <c r="G748" s="15" t="inlineStr">
        <is>
          <t>IDR</t>
        </is>
      </c>
      <c r="H748" s="15" t="n">
        <v>1</v>
      </c>
      <c r="I748" s="61">
        <f>$H748*$F748</f>
        <v/>
      </c>
      <c r="J748" s="310" t="n"/>
      <c r="K748" s="310" t="n"/>
      <c r="L748" s="309" t="n"/>
      <c r="M748" s="310" t="n"/>
      <c r="N748" s="310" t="n"/>
      <c r="O748" s="309" t="n"/>
      <c r="P748" s="120" t="n"/>
      <c r="Q748" s="120" t="n"/>
    </row>
    <row r="749" ht="15.5" customHeight="1" s="177">
      <c r="B749" s="166" t="n">
        <v>45656</v>
      </c>
      <c r="C749" s="15" t="n">
        <v>10</v>
      </c>
      <c r="D749" s="167" t="inlineStr">
        <is>
          <t>Meal Allowance 2 Days (29 - 30 December 2024)@ 150 rb</t>
        </is>
      </c>
      <c r="E749" s="167" t="n"/>
      <c r="F749" s="168" t="n">
        <v>1000000</v>
      </c>
      <c r="G749" s="15" t="inlineStr">
        <is>
          <t>IDR</t>
        </is>
      </c>
      <c r="H749" s="15" t="n">
        <v>1</v>
      </c>
      <c r="I749" s="61">
        <f>$H749*$F749</f>
        <v/>
      </c>
      <c r="J749" s="310" t="n"/>
      <c r="K749" s="310" t="n"/>
      <c r="L749" s="310" t="n"/>
      <c r="M749" s="310" t="n"/>
      <c r="N749" s="310" t="n"/>
      <c r="O749" s="309" t="n"/>
      <c r="P749" s="120" t="n"/>
      <c r="Q749" s="120" t="n"/>
    </row>
    <row r="750" ht="15.5" customHeight="1" s="177">
      <c r="B750" s="129" t="n"/>
      <c r="C750" s="192" t="inlineStr">
        <is>
          <t>TOTAL</t>
        </is>
      </c>
      <c r="D750" s="189" t="n"/>
      <c r="E750" s="189" t="n"/>
      <c r="F750" s="189" t="n"/>
      <c r="G750" s="189" t="n"/>
      <c r="H750" s="172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26" workbookViewId="0">
      <selection activeCell="N16" sqref="N16"/>
    </sheetView>
  </sheetViews>
  <sheetFormatPr baseColWidth="8" defaultColWidth="9.08984375" defaultRowHeight="14.5"/>
  <cols>
    <col width="1.08984375" customWidth="1" style="197" min="1" max="1"/>
    <col width="5.54296875" customWidth="1" style="197" min="2" max="2"/>
    <col width="38.36328125" customWidth="1" style="197" min="3" max="3"/>
    <col width="3.6328125" customWidth="1" style="197" min="4" max="4"/>
    <col width="30.08984375" customWidth="1" style="197" min="5" max="5"/>
    <col width="1.08984375" customWidth="1" style="197" min="6" max="6"/>
    <col width="5.54296875" customWidth="1" style="197" min="7" max="7"/>
    <col width="38.36328125" customWidth="1" style="197" min="8" max="8"/>
    <col width="3.6328125" customWidth="1" style="197" min="9" max="9"/>
    <col width="30.08984375" customWidth="1" style="197" min="10" max="10"/>
    <col width="9.08984375" customWidth="1" style="197" min="11" max="16384"/>
  </cols>
  <sheetData>
    <row r="1" ht="15" customHeight="1" s="177">
      <c r="A1" s="195" t="n"/>
      <c r="B1" s="195" t="n"/>
      <c r="C1" s="195" t="n"/>
      <c r="D1" s="195" t="n"/>
      <c r="E1" s="196" t="n"/>
    </row>
    <row r="2" ht="37.25" customHeight="1" s="177">
      <c r="A2" s="195" t="n"/>
      <c r="B2" s="195" t="n"/>
      <c r="C2" s="195" t="n"/>
      <c r="D2" s="195" t="n"/>
      <c r="E2" s="196" t="n"/>
    </row>
    <row r="3" ht="33.65" customHeight="1" s="177">
      <c r="A3" s="195" t="n"/>
      <c r="B3" s="198" t="inlineStr">
        <is>
          <t>PT. EXSPAN WIRELINE INDONESIA</t>
        </is>
      </c>
      <c r="F3" s="199" t="n"/>
      <c r="G3" s="200" t="inlineStr">
        <is>
          <t>PT. EXSPAN WIRELINE INDONESIA</t>
        </is>
      </c>
      <c r="H3" s="200" t="n"/>
      <c r="I3" s="200" t="n"/>
      <c r="J3" s="200" t="n"/>
    </row>
    <row r="4" ht="20.5" customHeight="1" s="177">
      <c r="A4" s="195" t="n"/>
      <c r="B4" s="201" t="inlineStr">
        <is>
          <t>LABA RUGI | TAHUN 2024</t>
        </is>
      </c>
      <c r="F4" s="199" t="n"/>
      <c r="G4" s="202" t="inlineStr">
        <is>
          <t>NERACA |TAHUN YANG BERAKHIR, 31 DESEMBER 2024</t>
        </is>
      </c>
      <c r="H4" s="202" t="n"/>
      <c r="I4" s="202" t="n"/>
      <c r="J4" s="202" t="n"/>
    </row>
    <row r="5" ht="6" customHeight="1" s="177">
      <c r="A5" s="195" t="n"/>
      <c r="B5" s="195" t="n"/>
      <c r="C5" s="195" t="n"/>
      <c r="D5" s="195" t="n"/>
      <c r="E5" s="196" t="n"/>
      <c r="F5" s="199" t="n"/>
      <c r="G5" s="199" t="n"/>
      <c r="H5" s="203" t="n"/>
      <c r="I5" s="203" t="n"/>
      <c r="J5" s="203" t="n"/>
    </row>
    <row r="6" ht="15.5" customHeight="1" s="177">
      <c r="A6" s="195" t="n"/>
      <c r="B6" s="204" t="n"/>
      <c r="C6" s="205" t="n"/>
      <c r="D6" s="311" t="inlineStr">
        <is>
          <t>PT. Exspan Wireline Indonesia</t>
        </is>
      </c>
      <c r="E6" s="183" t="n"/>
      <c r="F6" s="199" t="n"/>
      <c r="G6" s="208" t="n"/>
      <c r="H6" s="209" t="n"/>
      <c r="I6" s="311" t="inlineStr">
        <is>
          <t>PT. Exspan Wireline Indonesia</t>
        </is>
      </c>
      <c r="J6" s="183" t="n"/>
    </row>
    <row r="7" ht="15.5" customHeight="1" s="177">
      <c r="A7" s="195" t="n"/>
      <c r="B7" s="210" t="n"/>
      <c r="C7" s="211" t="n"/>
      <c r="D7" s="312" t="inlineStr">
        <is>
          <t>(Rp)</t>
        </is>
      </c>
      <c r="E7" s="184" t="n"/>
      <c r="F7" s="199" t="n"/>
      <c r="G7" s="214" t="n"/>
      <c r="H7" s="215" t="n"/>
      <c r="I7" s="312" t="inlineStr">
        <is>
          <t>(Rp)</t>
        </is>
      </c>
      <c r="J7" s="184" t="n"/>
    </row>
    <row r="8">
      <c r="A8" s="195" t="n"/>
      <c r="B8" s="216" t="inlineStr">
        <is>
          <t>PENDAPATAN</t>
        </is>
      </c>
      <c r="C8" s="217" t="n"/>
      <c r="D8" s="218" t="n"/>
      <c r="E8" s="219" t="n"/>
      <c r="F8" s="199" t="n"/>
      <c r="G8" s="220" t="inlineStr">
        <is>
          <t>AKTIVA</t>
        </is>
      </c>
      <c r="H8" s="221" t="n"/>
      <c r="I8" s="222" t="n"/>
      <c r="J8" s="223" t="n"/>
    </row>
    <row r="9">
      <c r="A9" s="195" t="n"/>
      <c r="B9" s="224" t="n"/>
      <c r="C9" s="217" t="inlineStr">
        <is>
          <t>PENDAPATAN LANGSUNG</t>
        </is>
      </c>
      <c r="D9" s="224" t="inlineStr">
        <is>
          <t>Rp</t>
        </is>
      </c>
      <c r="E9" s="225">
        <f>SUM('[1]Revenue-Cost_2024'!F8:F20)</f>
        <v/>
      </c>
      <c r="F9" s="199" t="n"/>
      <c r="G9" s="226" t="inlineStr">
        <is>
          <t>AKTIVA LANCAR</t>
        </is>
      </c>
      <c r="H9" s="227" t="n"/>
      <c r="I9" s="226" t="n"/>
      <c r="J9" s="228" t="n"/>
    </row>
    <row r="10">
      <c r="A10" s="195" t="n"/>
      <c r="B10" s="224" t="n"/>
      <c r="C10" s="217" t="inlineStr">
        <is>
          <t>PENDAPATAN LAIN LAIN</t>
        </is>
      </c>
      <c r="D10" s="224" t="inlineStr">
        <is>
          <t>Rp</t>
        </is>
      </c>
      <c r="E10" s="225">
        <f>SUM('[1]Revenue-Cost_2024'!F21)</f>
        <v/>
      </c>
      <c r="F10" s="199" t="n"/>
      <c r="G10" s="229" t="n"/>
      <c r="H10" s="230" t="inlineStr">
        <is>
          <t>KAS DAN SETARA KAS TAHUN SEBELUMNYA</t>
        </is>
      </c>
      <c r="I10" s="224" t="inlineStr">
        <is>
          <t>Rp</t>
        </is>
      </c>
      <c r="J10" s="231">
        <f>161401093</f>
        <v/>
      </c>
    </row>
    <row r="11">
      <c r="A11" s="195" t="n"/>
      <c r="B11" s="224" t="n"/>
      <c r="C11" s="217" t="n"/>
      <c r="D11" s="232" t="n"/>
      <c r="E11" s="233" t="n"/>
      <c r="F11" s="199" t="n"/>
      <c r="G11" s="229" t="n"/>
      <c r="H11" s="230" t="inlineStr">
        <is>
          <t>KAS DAN SETARA KAS TAHUN LAPORAN</t>
        </is>
      </c>
      <c r="I11" s="224" t="inlineStr">
        <is>
          <t>Rp</t>
        </is>
      </c>
      <c r="J11" s="231">
        <f>E46-'[1]Business Summary'!E13</f>
        <v/>
      </c>
    </row>
    <row r="12">
      <c r="A12" s="195" t="n"/>
      <c r="B12" s="234" t="inlineStr">
        <is>
          <t>TOTALPENDAPATAN</t>
        </is>
      </c>
      <c r="C12" s="235" t="n"/>
      <c r="D12" s="236" t="inlineStr">
        <is>
          <t>Rp</t>
        </is>
      </c>
      <c r="E12" s="237">
        <f>SUM(E9:E11)</f>
        <v/>
      </c>
      <c r="F12" s="199" t="n"/>
      <c r="G12" s="229" t="n"/>
      <c r="H12" s="230" t="inlineStr">
        <is>
          <t>PIUTANG USAHA</t>
        </is>
      </c>
      <c r="I12" s="224" t="inlineStr">
        <is>
          <t>Rp</t>
        </is>
      </c>
      <c r="J12" s="231" t="n">
        <v>0</v>
      </c>
    </row>
    <row r="13">
      <c r="A13" s="195" t="n"/>
      <c r="B13" s="224" t="n"/>
      <c r="C13" s="217" t="n"/>
      <c r="D13" s="218" t="n"/>
      <c r="E13" s="238" t="n"/>
      <c r="F13" s="199" t="n"/>
      <c r="G13" s="229" t="n"/>
      <c r="H13" s="230" t="inlineStr">
        <is>
          <t>PAJAK BAYAR DI MUKA (pph23)</t>
        </is>
      </c>
      <c r="I13" s="224" t="inlineStr">
        <is>
          <t>Rp</t>
        </is>
      </c>
      <c r="J13" s="231" t="n">
        <v>0</v>
      </c>
    </row>
    <row r="14">
      <c r="A14" s="195" t="n"/>
      <c r="B14" s="239" t="inlineStr">
        <is>
          <t>BEBAN LANGSUNG</t>
        </is>
      </c>
      <c r="C14" s="217" t="n"/>
      <c r="D14" s="224" t="n"/>
      <c r="E14" s="240" t="n"/>
      <c r="F14" s="199" t="n"/>
      <c r="G14" s="229" t="n"/>
      <c r="H14" s="230" t="inlineStr">
        <is>
          <t>BIAYA BAYAR DI MUKA</t>
        </is>
      </c>
      <c r="I14" s="224" t="inlineStr">
        <is>
          <t>Rp</t>
        </is>
      </c>
      <c r="J14" s="231" t="n">
        <v>0</v>
      </c>
    </row>
    <row r="15">
      <c r="A15" s="195" t="n"/>
      <c r="B15" s="241" t="n"/>
      <c r="C15" s="217" t="inlineStr">
        <is>
          <t xml:space="preserve">Biaya Operasi </t>
        </is>
      </c>
      <c r="D15" s="224" t="inlineStr">
        <is>
          <t>Rp</t>
        </is>
      </c>
      <c r="E15" s="240">
        <f>'[1]Revenue-Cost_2024'!I750</f>
        <v/>
      </c>
      <c r="F15" s="199" t="n"/>
      <c r="G15" s="313" t="n"/>
      <c r="H15" s="230" t="inlineStr">
        <is>
          <t>PIUTANG LAIN LAIN</t>
        </is>
      </c>
      <c r="I15" s="224" t="inlineStr">
        <is>
          <t>Rp</t>
        </is>
      </c>
      <c r="J15" s="231" t="n">
        <v>0</v>
      </c>
    </row>
    <row r="16">
      <c r="A16" s="195" t="n"/>
      <c r="B16" s="241" t="n"/>
      <c r="C16" s="217" t="inlineStr">
        <is>
          <t>Biaya research (R &amp; D)</t>
        </is>
      </c>
      <c r="D16" s="224" t="inlineStr">
        <is>
          <t>Rp</t>
        </is>
      </c>
      <c r="E16" s="240">
        <f>'[1]Revenue-Cost_2024'!J750</f>
        <v/>
      </c>
      <c r="F16" s="199" t="n"/>
      <c r="G16" s="243" t="n"/>
      <c r="H16" s="244" t="inlineStr">
        <is>
          <t>TOTAL AKTIVA LANCAR</t>
        </is>
      </c>
      <c r="I16" s="236" t="inlineStr">
        <is>
          <t>Rp</t>
        </is>
      </c>
      <c r="J16" s="245">
        <f>SUM(J10:J14)</f>
        <v/>
      </c>
    </row>
    <row r="17">
      <c r="A17" s="195" t="n"/>
      <c r="B17" s="241" t="n"/>
      <c r="C17" s="217" t="inlineStr">
        <is>
          <t>BIAYA SEWA PERALATAN</t>
        </is>
      </c>
      <c r="D17" s="224" t="inlineStr">
        <is>
          <t>Rp</t>
        </is>
      </c>
      <c r="E17" s="240">
        <f>'[1]Revenue-Cost_2024'!K750</f>
        <v/>
      </c>
      <c r="F17" s="199" t="n"/>
      <c r="G17" s="229" t="n"/>
      <c r="H17" s="230" t="n"/>
      <c r="I17" s="246" t="n"/>
      <c r="J17" s="247" t="n"/>
    </row>
    <row r="18">
      <c r="A18" s="195" t="n"/>
      <c r="B18" s="241" t="n"/>
      <c r="C18" s="217" t="inlineStr">
        <is>
          <t>BIAYA Data Processing</t>
        </is>
      </c>
      <c r="D18" s="224" t="inlineStr">
        <is>
          <t>Rp</t>
        </is>
      </c>
      <c r="E18" s="240">
        <f>'[1]Revenue-Cost_2024'!L750</f>
        <v/>
      </c>
      <c r="F18" s="199" t="n"/>
      <c r="G18" s="226" t="inlineStr">
        <is>
          <t>ACTIVA TETAP</t>
        </is>
      </c>
      <c r="H18" s="248" t="n"/>
      <c r="I18" s="220" t="n"/>
      <c r="J18" s="231" t="n"/>
    </row>
    <row r="19">
      <c r="A19" s="195" t="n"/>
      <c r="B19" s="241" t="n"/>
      <c r="C19" s="217" t="n"/>
      <c r="D19" s="224" t="n"/>
      <c r="E19" s="240" t="n"/>
      <c r="F19" s="199" t="n"/>
      <c r="G19" s="226" t="n"/>
      <c r="H19" s="248" t="n"/>
      <c r="I19" s="220" t="n"/>
      <c r="J19" s="231" t="n"/>
    </row>
    <row r="20">
      <c r="A20" s="195" t="n"/>
      <c r="B20" s="241" t="n"/>
      <c r="C20" s="217" t="n"/>
      <c r="D20" s="232" t="n"/>
      <c r="E20" s="249" t="n"/>
      <c r="F20" s="199" t="n"/>
      <c r="G20" s="229" t="n"/>
      <c r="H20" s="230" t="inlineStr">
        <is>
          <t>INVENTARIS KANTOR</t>
        </is>
      </c>
      <c r="I20" s="224" t="inlineStr">
        <is>
          <t>Rp</t>
        </is>
      </c>
      <c r="J20" s="231" t="n">
        <v>0</v>
      </c>
    </row>
    <row r="21">
      <c r="A21" s="195" t="n"/>
      <c r="B21" s="234" t="inlineStr">
        <is>
          <t>TOTAL BIAYA LANGSUNG</t>
        </is>
      </c>
      <c r="C21" s="235" t="n"/>
      <c r="D21" s="236" t="inlineStr">
        <is>
          <t>Rp</t>
        </is>
      </c>
      <c r="E21" s="250">
        <f>SUM(E15:E20)</f>
        <v/>
      </c>
      <c r="F21" s="199" t="n"/>
      <c r="G21" s="229" t="n"/>
      <c r="H21" s="248" t="n"/>
      <c r="I21" s="251" t="n"/>
      <c r="J21" s="252" t="n"/>
    </row>
    <row r="22">
      <c r="A22" s="195" t="n"/>
      <c r="B22" s="224" t="n"/>
      <c r="C22" s="217" t="n"/>
      <c r="D22" s="218" t="n"/>
      <c r="E22" s="253" t="n"/>
      <c r="F22" s="199" t="n"/>
      <c r="G22" s="243" t="n"/>
      <c r="H22" s="244" t="inlineStr">
        <is>
          <t>TOTAL AKTIVA TETAP</t>
        </is>
      </c>
      <c r="I22" s="236" t="inlineStr">
        <is>
          <t>Rp</t>
        </is>
      </c>
      <c r="J22" s="245">
        <f>J20</f>
        <v/>
      </c>
    </row>
    <row r="23">
      <c r="A23" s="195" t="n"/>
      <c r="B23" s="239" t="inlineStr">
        <is>
          <t>BEBAN TIDAK LANGSUNG</t>
        </is>
      </c>
      <c r="C23" s="217" t="n"/>
      <c r="D23" s="224" t="n"/>
      <c r="E23" s="240">
        <f>'[1]Revenue-Cost_2024'!Q750</f>
        <v/>
      </c>
      <c r="F23" s="199" t="n"/>
      <c r="G23" s="229" t="n"/>
      <c r="H23" s="230" t="n"/>
      <c r="I23" s="246" t="n"/>
      <c r="J23" s="223" t="n"/>
    </row>
    <row r="24">
      <c r="A24" s="195" t="n"/>
      <c r="B24" s="224" t="n"/>
      <c r="C24" s="217" t="n"/>
      <c r="D24" s="224" t="n"/>
      <c r="E24" s="240" t="n"/>
      <c r="F24" s="199" t="n"/>
      <c r="G24" s="226" t="inlineStr">
        <is>
          <t>ACTIVA LAIN LAIN</t>
        </is>
      </c>
      <c r="H24" s="248" t="n"/>
      <c r="I24" s="220" t="n"/>
      <c r="J24" s="231" t="n">
        <v>0</v>
      </c>
    </row>
    <row r="25">
      <c r="A25" s="195" t="n"/>
      <c r="B25" s="224" t="n"/>
      <c r="C25" s="217" t="n"/>
      <c r="D25" s="224" t="inlineStr">
        <is>
          <t>Rp</t>
        </is>
      </c>
      <c r="E25" s="240" t="n"/>
      <c r="F25" s="199" t="n"/>
      <c r="G25" s="229" t="n"/>
      <c r="H25" s="230" t="n"/>
      <c r="I25" s="254" t="n"/>
      <c r="J25" s="255" t="n"/>
    </row>
    <row r="26">
      <c r="A26" s="195" t="n"/>
      <c r="B26" s="224" t="n"/>
      <c r="C26" s="217" t="n"/>
      <c r="D26" s="232" t="n"/>
      <c r="E26" s="249" t="n"/>
      <c r="F26" s="199" t="n"/>
      <c r="G26" s="243" t="n"/>
      <c r="H26" s="244" t="inlineStr">
        <is>
          <t>TOTAL AKTIVA LAIN LAIN</t>
        </is>
      </c>
      <c r="I26" s="236" t="inlineStr">
        <is>
          <t>Rp</t>
        </is>
      </c>
      <c r="J26" s="245">
        <f>SUM(J25:J25)</f>
        <v/>
      </c>
    </row>
    <row r="27">
      <c r="A27" s="195" t="n"/>
      <c r="B27" s="234" t="inlineStr">
        <is>
          <t>TOTAL BIAYA TIDAK LANGSUNG</t>
        </is>
      </c>
      <c r="C27" s="235" t="n"/>
      <c r="D27" s="236" t="inlineStr">
        <is>
          <t>Rp</t>
        </is>
      </c>
      <c r="E27" s="250">
        <f>SUM(E22:E26)</f>
        <v/>
      </c>
      <c r="F27" s="199" t="n"/>
      <c r="G27" s="229" t="n"/>
      <c r="H27" s="230" t="n"/>
      <c r="I27" s="256" t="n"/>
      <c r="J27" s="257" t="n"/>
    </row>
    <row r="28">
      <c r="A28" s="195" t="n"/>
      <c r="B28" s="224" t="n"/>
      <c r="C28" s="217" t="n"/>
      <c r="D28" s="218" t="n"/>
      <c r="E28" s="253" t="n"/>
      <c r="F28" s="199" t="n"/>
      <c r="G28" s="234" t="inlineStr">
        <is>
          <t>TOTAL AKTIVA</t>
        </is>
      </c>
      <c r="H28" s="235" t="n"/>
      <c r="I28" s="236" t="inlineStr">
        <is>
          <t>Rp</t>
        </is>
      </c>
      <c r="J28" s="258">
        <f>J26+J22+J16</f>
        <v/>
      </c>
    </row>
    <row r="29">
      <c r="A29" s="195" t="n"/>
      <c r="B29" s="239" t="inlineStr">
        <is>
          <t>BIAYA ADMINISTRASI DAN UMUM</t>
        </is>
      </c>
      <c r="C29" s="217" t="n"/>
      <c r="D29" s="224" t="n"/>
      <c r="E29" s="240" t="n"/>
      <c r="F29" s="199" t="n"/>
      <c r="G29" s="259" t="n"/>
      <c r="H29" s="260" t="n"/>
      <c r="I29" s="259" t="n"/>
      <c r="J29" s="247" t="n"/>
    </row>
    <row r="30">
      <c r="A30" s="195" t="n"/>
      <c r="B30" s="241" t="n"/>
      <c r="C30" s="217" t="inlineStr">
        <is>
          <t>BIAYA ADMINISTRASI</t>
        </is>
      </c>
      <c r="D30" s="224" t="inlineStr">
        <is>
          <t>Rp</t>
        </is>
      </c>
      <c r="E30" s="240">
        <f>'[1]Revenue-Cost_2024'!M750</f>
        <v/>
      </c>
      <c r="F30" s="199" t="n"/>
      <c r="G30" s="261" t="inlineStr">
        <is>
          <t>HUTANG DAN MODAL</t>
        </is>
      </c>
      <c r="H30" s="221" t="n"/>
      <c r="I30" s="261" t="n"/>
      <c r="J30" s="262" t="n"/>
    </row>
    <row r="31">
      <c r="A31" s="195" t="n"/>
      <c r="B31" s="241" t="n"/>
      <c r="C31" s="217" t="inlineStr">
        <is>
          <t>BIAYA PEMBELIAN Barang</t>
        </is>
      </c>
      <c r="D31" s="224" t="inlineStr">
        <is>
          <t>Rp</t>
        </is>
      </c>
      <c r="E31" s="240">
        <f>'[1]Revenue-Cost_2024'!N750</f>
        <v/>
      </c>
      <c r="F31" s="199" t="n"/>
      <c r="G31" s="261" t="n"/>
      <c r="H31" s="221" t="n"/>
      <c r="I31" s="261" t="n"/>
      <c r="J31" s="262" t="n"/>
    </row>
    <row r="32">
      <c r="A32" s="195" t="n"/>
      <c r="B32" s="241" t="n"/>
      <c r="C32" s="217" t="inlineStr">
        <is>
          <t>BIAYA SEWA KANTOR</t>
        </is>
      </c>
      <c r="D32" s="224" t="inlineStr">
        <is>
          <t>Rp</t>
        </is>
      </c>
      <c r="E32" s="240">
        <f>'[1]Revenue-Cost_2024'!O750</f>
        <v/>
      </c>
      <c r="F32" s="199" t="n"/>
      <c r="G32" s="226" t="inlineStr">
        <is>
          <t>HUTANG LANCAR</t>
        </is>
      </c>
      <c r="H32" s="227" t="n"/>
      <c r="I32" s="226" t="n"/>
      <c r="J32" s="228" t="n"/>
    </row>
    <row r="33">
      <c r="A33" s="195" t="n"/>
      <c r="B33" s="241" t="n"/>
      <c r="C33" s="217" t="inlineStr">
        <is>
          <t>BIAYA KESEHATAN</t>
        </is>
      </c>
      <c r="D33" s="224" t="inlineStr">
        <is>
          <t>Rp</t>
        </is>
      </c>
      <c r="E33" s="240">
        <f>'[1]Revenue-Cost_2024'!P750</f>
        <v/>
      </c>
      <c r="F33" s="199" t="n"/>
      <c r="G33" s="229" t="n"/>
      <c r="H33" s="230" t="inlineStr">
        <is>
          <t>HUTANG USAHA</t>
        </is>
      </c>
      <c r="I33" s="224" t="inlineStr">
        <is>
          <t>Rp</t>
        </is>
      </c>
      <c r="J33" s="231" t="n">
        <v>0</v>
      </c>
    </row>
    <row r="34">
      <c r="A34" s="195" t="n"/>
      <c r="B34" s="241" t="n"/>
      <c r="C34" s="217" t="n"/>
      <c r="D34" s="232" t="n"/>
      <c r="E34" s="249" t="n"/>
      <c r="F34" s="199" t="n"/>
      <c r="G34" s="229" t="n"/>
      <c r="H34" s="263" t="inlineStr">
        <is>
          <t>HUTANG GAJI</t>
        </is>
      </c>
      <c r="I34" s="224" t="inlineStr">
        <is>
          <t>Rp</t>
        </is>
      </c>
      <c r="J34" s="264" t="n">
        <v>0</v>
      </c>
    </row>
    <row r="35">
      <c r="A35" s="195" t="n"/>
      <c r="B35" s="234" t="inlineStr">
        <is>
          <t>TOTAL BIAYA ADMINISTRASI DAN UMUM</t>
        </is>
      </c>
      <c r="C35" s="235" t="n"/>
      <c r="D35" s="236" t="inlineStr">
        <is>
          <t>Rp</t>
        </is>
      </c>
      <c r="E35" s="237">
        <f>SUM(E30:E34)</f>
        <v/>
      </c>
      <c r="F35" s="199" t="n"/>
      <c r="G35" s="229" t="n"/>
      <c r="H35" s="230" t="inlineStr">
        <is>
          <t>HUTANG PEMEGANG SAHAM</t>
        </is>
      </c>
      <c r="I35" s="224" t="inlineStr">
        <is>
          <t>Rp</t>
        </is>
      </c>
      <c r="J35" s="231" t="n">
        <v>0</v>
      </c>
    </row>
    <row r="36">
      <c r="A36" s="195" t="n"/>
      <c r="B36" s="241" t="n"/>
      <c r="C36" s="217" t="n"/>
      <c r="D36" s="236" t="n"/>
      <c r="E36" s="265" t="n"/>
      <c r="F36" s="199" t="n"/>
      <c r="G36" s="229" t="n"/>
      <c r="H36" s="230" t="inlineStr">
        <is>
          <t>BIAYA YANG MASIH HARUS DI BAYAR</t>
        </is>
      </c>
      <c r="I36" s="224" t="inlineStr">
        <is>
          <t>Rp</t>
        </is>
      </c>
      <c r="J36" s="231" t="n">
        <v>0</v>
      </c>
    </row>
    <row r="37">
      <c r="A37" s="195" t="n"/>
      <c r="B37" s="234" t="inlineStr">
        <is>
          <t>TOTAL BIAYA</t>
        </is>
      </c>
      <c r="C37" s="235" t="n"/>
      <c r="D37" s="236" t="inlineStr">
        <is>
          <t>Rp</t>
        </is>
      </c>
      <c r="E37" s="237">
        <f>E35+E21+E27</f>
        <v/>
      </c>
      <c r="F37" s="199" t="n"/>
      <c r="G37" s="266" t="n"/>
      <c r="H37" s="267" t="n"/>
      <c r="I37" s="266" t="n"/>
      <c r="J37" s="268" t="n"/>
    </row>
    <row r="38">
      <c r="A38" s="195" t="n"/>
      <c r="B38" s="216" t="n"/>
      <c r="C38" s="269" t="n"/>
      <c r="D38" s="218" t="n"/>
      <c r="E38" s="270" t="n"/>
      <c r="F38" s="199" t="n"/>
      <c r="G38" s="243" t="n"/>
      <c r="H38" s="244" t="inlineStr">
        <is>
          <t>TOTAL HUTANG LANCAR</t>
        </is>
      </c>
      <c r="I38" s="271" t="n"/>
      <c r="J38" s="245">
        <f>SUM(J33:J36)</f>
        <v/>
      </c>
    </row>
    <row r="39">
      <c r="A39" s="195" t="n"/>
      <c r="B39" s="239" t="inlineStr">
        <is>
          <t xml:space="preserve">PENDAPATAN/BEBAN LAIN LAIN </t>
        </is>
      </c>
      <c r="C39" s="217" t="n"/>
      <c r="D39" s="224" t="inlineStr">
        <is>
          <t>Rp</t>
        </is>
      </c>
      <c r="E39" s="272" t="n"/>
      <c r="F39" s="199" t="n"/>
      <c r="G39" s="229" t="n"/>
      <c r="H39" s="248" t="n"/>
      <c r="I39" s="273" t="n"/>
      <c r="J39" s="223" t="n"/>
    </row>
    <row r="40">
      <c r="A40" s="195" t="n"/>
      <c r="B40" s="239" t="n"/>
      <c r="C40" s="217" t="inlineStr">
        <is>
          <t>PENDAPATAN LAINNYA</t>
        </is>
      </c>
      <c r="D40" s="224" t="inlineStr">
        <is>
          <t>Rp</t>
        </is>
      </c>
      <c r="E40" s="225" t="n">
        <v>0</v>
      </c>
      <c r="F40" s="199" t="n"/>
      <c r="G40" s="226" t="inlineStr">
        <is>
          <t>MODAL</t>
        </is>
      </c>
      <c r="H40" s="227" t="n"/>
      <c r="I40" s="226" t="n"/>
      <c r="J40" s="228" t="n"/>
    </row>
    <row r="41">
      <c r="A41" s="195" t="n"/>
      <c r="B41" s="239" t="n"/>
      <c r="C41" s="217" t="n"/>
      <c r="D41" s="232" t="n"/>
      <c r="E41" s="274" t="n"/>
      <c r="F41" s="199" t="n"/>
      <c r="G41" s="229" t="n"/>
      <c r="H41" s="230" t="inlineStr">
        <is>
          <t>MODAL SAHAM</t>
        </is>
      </c>
      <c r="I41" s="224" t="inlineStr">
        <is>
          <t>Rp</t>
        </is>
      </c>
      <c r="J41" s="231" t="n">
        <v>0</v>
      </c>
    </row>
    <row r="42">
      <c r="A42" s="195" t="n"/>
      <c r="B42" s="234" t="inlineStr">
        <is>
          <t>LABA RUGI SEBELUM PAJAK</t>
        </is>
      </c>
      <c r="C42" s="235" t="n"/>
      <c r="D42" s="236" t="inlineStr">
        <is>
          <t>Rp</t>
        </is>
      </c>
      <c r="E42" s="237">
        <f>E12-E37</f>
        <v/>
      </c>
      <c r="F42" s="199" t="n"/>
      <c r="G42" s="229" t="n"/>
      <c r="H42" s="230" t="inlineStr">
        <is>
          <t>LABA DI TAHAN</t>
        </is>
      </c>
      <c r="I42" s="224" t="inlineStr">
        <is>
          <t>Rp</t>
        </is>
      </c>
      <c r="J42" s="231" t="n">
        <v>0</v>
      </c>
    </row>
    <row r="43">
      <c r="A43" s="195" t="n"/>
      <c r="B43" s="275" t="n"/>
      <c r="C43" s="269" t="n"/>
      <c r="D43" s="218" t="n"/>
      <c r="E43" s="238" t="n"/>
      <c r="F43" s="199" t="n"/>
      <c r="G43" s="226" t="n"/>
      <c r="H43" s="230" t="inlineStr">
        <is>
          <t>TOTAL LABA (RUGI) DITAHAN</t>
        </is>
      </c>
      <c r="I43" s="232" t="inlineStr">
        <is>
          <t>Rp</t>
        </is>
      </c>
      <c r="J43" s="276">
        <f>J28</f>
        <v/>
      </c>
    </row>
    <row r="44">
      <c r="A44" s="195" t="n"/>
      <c r="B44" s="239" t="inlineStr">
        <is>
          <t>CORPORATE TAX (PPh 29)</t>
        </is>
      </c>
      <c r="D44" s="224" t="inlineStr">
        <is>
          <t>Rp</t>
        </is>
      </c>
      <c r="E44" s="225" t="n">
        <v>0.1</v>
      </c>
      <c r="F44" s="199" t="n"/>
      <c r="G44" s="243" t="n"/>
      <c r="H44" s="244" t="inlineStr">
        <is>
          <t>TOTAL MODAL</t>
        </is>
      </c>
      <c r="I44" s="236" t="inlineStr">
        <is>
          <t>Rp</t>
        </is>
      </c>
      <c r="J44" s="245">
        <f>SUM(J41:J43)</f>
        <v/>
      </c>
    </row>
    <row r="45">
      <c r="A45" s="195" t="n"/>
      <c r="B45" s="239" t="n"/>
      <c r="C45" s="217" t="n"/>
      <c r="D45" s="232" t="n"/>
      <c r="E45" s="274" t="n"/>
      <c r="F45" s="199" t="n"/>
      <c r="G45" s="229" t="n"/>
      <c r="H45" s="230" t="n"/>
      <c r="I45" s="256" t="n"/>
      <c r="J45" s="257" t="n"/>
    </row>
    <row r="46" ht="15" customHeight="1" s="177" thickBot="1">
      <c r="A46" s="195" t="n"/>
      <c r="B46" s="314" t="inlineStr">
        <is>
          <t>LABA / RUGI BERSIH</t>
        </is>
      </c>
      <c r="C46" s="315" t="n"/>
      <c r="D46" s="279" t="n"/>
      <c r="E46" s="280">
        <f>E42-E44</f>
        <v/>
      </c>
      <c r="F46" s="199" t="n"/>
      <c r="G46" s="281" t="inlineStr">
        <is>
          <t>TOTAL HUTANG DAN MODAL</t>
        </is>
      </c>
      <c r="H46" s="282" t="n"/>
      <c r="I46" s="279" t="inlineStr">
        <is>
          <t>Rp</t>
        </is>
      </c>
      <c r="J46" s="283">
        <f>J44+J38</f>
        <v/>
      </c>
    </row>
    <row r="47" ht="4.5" customHeight="1" s="177">
      <c r="A47" s="195" t="n"/>
      <c r="F47" s="199" t="n"/>
    </row>
    <row r="48" ht="50.65" customHeight="1" s="177">
      <c r="A48" s="195" t="n"/>
      <c r="F48" s="199" t="n"/>
      <c r="G48" s="284" t="n"/>
    </row>
    <row r="49" ht="16.75" customHeight="1" s="177">
      <c r="A49" s="195" t="n"/>
      <c r="B49" s="285" t="n"/>
      <c r="F49" s="199" t="n"/>
      <c r="G49" s="285" t="n"/>
    </row>
    <row r="50" ht="15.65" customHeight="1" s="177">
      <c r="A50" s="217" t="n"/>
      <c r="B50" s="286" t="inlineStr">
        <is>
          <t>Direktur</t>
        </is>
      </c>
      <c r="F50" s="199" t="n"/>
      <c r="G50" s="286" t="inlineStr">
        <is>
          <t>Direktur</t>
        </is>
      </c>
    </row>
    <row r="51">
      <c r="A51" s="217" t="n"/>
      <c r="F51" s="199" t="n"/>
    </row>
    <row r="52">
      <c r="A52" s="217" t="n"/>
      <c r="F52" s="199" t="n"/>
      <c r="J52" s="316" t="n"/>
    </row>
    <row r="96" ht="64.5" customFormat="1" customHeight="1" s="197"/>
  </sheetData>
  <mergeCells count="11">
    <mergeCell ref="D6:E6"/>
    <mergeCell ref="I6:J6"/>
    <mergeCell ref="B4:E4"/>
    <mergeCell ref="B49:E49"/>
    <mergeCell ref="B50:E50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I18" sqref="I18"/>
    </sheetView>
  </sheetViews>
  <sheetFormatPr baseColWidth="8" defaultColWidth="9.08984375" defaultRowHeight="14.5"/>
  <cols>
    <col width="1.08984375" customWidth="1" style="197" min="1" max="1"/>
    <col width="5.54296875" customWidth="1" style="197" min="2" max="2"/>
    <col width="40.81640625" customWidth="1" style="197" min="3" max="3"/>
    <col width="3.6328125" customWidth="1" style="197" min="4" max="4"/>
    <col width="20.1796875" customWidth="1" style="197" min="5" max="5"/>
    <col width="1.08984375" customWidth="1" style="197" min="6" max="6"/>
    <col width="9.08984375" customWidth="1" style="197" min="7" max="16384"/>
  </cols>
  <sheetData>
    <row r="1" ht="15" customHeight="1" s="177">
      <c r="A1" s="195" t="n"/>
      <c r="B1" s="195" t="n"/>
      <c r="C1" s="195" t="n"/>
      <c r="D1" s="195" t="n"/>
      <c r="E1" s="196" t="n"/>
    </row>
    <row r="2" ht="37.25" customHeight="1" s="177">
      <c r="A2" s="195" t="n"/>
      <c r="B2" s="195" t="n"/>
      <c r="C2" s="195" t="n"/>
      <c r="D2" s="195" t="n"/>
      <c r="E2" s="196" t="n"/>
    </row>
    <row r="3" ht="33.65" customHeight="1" s="177">
      <c r="A3" s="195" t="n"/>
      <c r="B3" s="198" t="inlineStr">
        <is>
          <t>PT. EXSPAN WIRELINE INDONESIA</t>
        </is>
      </c>
      <c r="F3" s="199" t="n"/>
    </row>
    <row r="4" ht="20.5" customHeight="1" s="177">
      <c r="A4" s="195" t="n"/>
      <c r="B4" s="201" t="inlineStr">
        <is>
          <t>BUSINESS SUMMARY | TAHUN 2024</t>
        </is>
      </c>
      <c r="F4" s="199" t="n"/>
    </row>
    <row r="5" ht="6" customHeight="1" s="177">
      <c r="A5" s="195" t="n"/>
      <c r="B5" s="195" t="n"/>
      <c r="C5" s="195" t="n"/>
      <c r="D5" s="195" t="n"/>
      <c r="E5" s="196" t="n"/>
      <c r="F5" s="199" t="n"/>
    </row>
    <row r="6" ht="19" customHeight="1" s="177">
      <c r="A6" s="195" t="n"/>
      <c r="B6" s="288" t="inlineStr">
        <is>
          <t>#</t>
        </is>
      </c>
      <c r="C6" s="288" t="inlineStr">
        <is>
          <t>Items</t>
        </is>
      </c>
      <c r="D6" s="289" t="inlineStr">
        <is>
          <t>Amount</t>
        </is>
      </c>
      <c r="E6" s="172" t="n"/>
      <c r="F6" s="199" t="n"/>
    </row>
    <row r="7" ht="19" customHeight="1" s="177">
      <c r="A7" s="195" t="n"/>
      <c r="B7" s="290" t="n">
        <v>1</v>
      </c>
      <c r="C7" s="291" t="inlineStr">
        <is>
          <t>Revenue</t>
        </is>
      </c>
      <c r="D7" s="292" t="inlineStr">
        <is>
          <t>Rp</t>
        </is>
      </c>
      <c r="E7" s="293">
        <f>'[1]Revenue-Cost_2024'!F22</f>
        <v/>
      </c>
      <c r="F7" s="199" t="n"/>
    </row>
    <row r="8" ht="19" customHeight="1" s="177">
      <c r="A8" s="195" t="n"/>
      <c r="B8" s="290" t="n">
        <v>2</v>
      </c>
      <c r="C8" s="291" t="inlineStr">
        <is>
          <t>Revenue Diterima (Setelah Pajak)</t>
        </is>
      </c>
      <c r="D8" s="292" t="inlineStr">
        <is>
          <t>Rp</t>
        </is>
      </c>
      <c r="E8" s="293">
        <f>E7-'[1]Revenue-Cost_2024'!N22</f>
        <v/>
      </c>
      <c r="F8" s="199" t="n"/>
    </row>
    <row r="9" ht="19" customHeight="1" s="177">
      <c r="A9" s="195" t="n"/>
      <c r="B9" s="290" t="n">
        <v>3</v>
      </c>
      <c r="C9" s="291" t="inlineStr">
        <is>
          <t>Biaya</t>
        </is>
      </c>
      <c r="D9" s="292" t="inlineStr">
        <is>
          <t>Rp</t>
        </is>
      </c>
      <c r="E9" s="293">
        <f>SUM('[1]Revenue-Cost_2024'!I750:Q750)</f>
        <v/>
      </c>
      <c r="F9" s="199" t="n"/>
    </row>
    <row r="10" ht="19" customHeight="1" s="177">
      <c r="A10" s="195" t="n"/>
      <c r="B10" s="290" t="n">
        <v>4</v>
      </c>
      <c r="C10" s="291" t="inlineStr">
        <is>
          <t>Profit SebelumTax</t>
        </is>
      </c>
      <c r="D10" s="292" t="inlineStr">
        <is>
          <t>Rp</t>
        </is>
      </c>
      <c r="E10" s="293">
        <f>E7-E9</f>
        <v/>
      </c>
      <c r="F10" s="199" t="n"/>
    </row>
    <row r="11" ht="19" customHeight="1" s="177">
      <c r="A11" s="195" t="n"/>
      <c r="B11" s="290" t="n">
        <v>5</v>
      </c>
      <c r="C11" s="291" t="inlineStr">
        <is>
          <t>PPh Badan (22%*50%)</t>
        </is>
      </c>
      <c r="D11" s="292" t="inlineStr">
        <is>
          <t>Rp</t>
        </is>
      </c>
      <c r="E11" s="293">
        <f>E10*22%*50%</f>
        <v/>
      </c>
      <c r="F11" s="199" t="n"/>
    </row>
    <row r="12" ht="19" customHeight="1" s="177">
      <c r="A12" s="195" t="n"/>
      <c r="B12" s="290" t="n">
        <v>6</v>
      </c>
      <c r="C12" s="291" t="inlineStr">
        <is>
          <t>PPh 23 Dipotong oleh client</t>
        </is>
      </c>
      <c r="D12" s="292" t="inlineStr">
        <is>
          <t>Rp</t>
        </is>
      </c>
      <c r="E12" s="293">
        <f>'[1]Revenue-Cost_2024'!N22</f>
        <v/>
      </c>
      <c r="F12" s="199" t="n"/>
    </row>
    <row r="13" ht="19" customHeight="1" s="177">
      <c r="A13" s="195" t="n"/>
      <c r="B13" s="290" t="n">
        <v>7</v>
      </c>
      <c r="C13" s="291" t="inlineStr">
        <is>
          <t>Kekurangan Bayar PPh Badan</t>
        </is>
      </c>
      <c r="D13" s="292" t="inlineStr">
        <is>
          <t>Rp</t>
        </is>
      </c>
      <c r="E13" s="294">
        <f>E11-E12</f>
        <v/>
      </c>
      <c r="F13" s="199" t="n"/>
    </row>
    <row r="14" ht="19" customHeight="1" s="177">
      <c r="A14" s="195" t="n"/>
      <c r="B14" s="290" t="n">
        <v>8</v>
      </c>
      <c r="C14" s="291" t="inlineStr">
        <is>
          <t>Profit After Tax</t>
        </is>
      </c>
      <c r="D14" s="292" t="inlineStr">
        <is>
          <t>Rp</t>
        </is>
      </c>
      <c r="E14" s="293">
        <f>E10-E13</f>
        <v/>
      </c>
      <c r="F14" s="199" t="n"/>
    </row>
    <row r="15" ht="19" customHeight="1" s="177">
      <c r="A15" s="195" t="n"/>
      <c r="B15" s="290" t="n">
        <v>9</v>
      </c>
      <c r="C15" s="291" t="inlineStr">
        <is>
          <t>Deviden Dibagi</t>
        </is>
      </c>
      <c r="D15" s="292" t="inlineStr">
        <is>
          <t>Rp</t>
        </is>
      </c>
      <c r="E15" s="293" t="n">
        <v>858000000</v>
      </c>
      <c r="F15" s="199" t="n"/>
    </row>
    <row r="16" ht="19" customHeight="1" s="177">
      <c r="A16" s="195" t="n"/>
      <c r="B16" s="290" t="n">
        <v>10</v>
      </c>
      <c r="C16" s="291" t="inlineStr">
        <is>
          <t>Profit Ditahan</t>
        </is>
      </c>
      <c r="D16" s="292" t="inlineStr">
        <is>
          <t>Rp</t>
        </is>
      </c>
      <c r="E16" s="293">
        <f>E14-E15</f>
        <v/>
      </c>
      <c r="F16" s="199" t="n"/>
    </row>
    <row r="17">
      <c r="A17" s="195" t="n"/>
      <c r="B17" s="195" t="n"/>
      <c r="C17" s="195" t="n"/>
      <c r="D17" s="195" t="n"/>
      <c r="E17" s="196" t="n"/>
      <c r="F17" s="199" t="n"/>
    </row>
    <row r="18" ht="18" customHeight="1" s="177">
      <c r="A18" s="195" t="n"/>
      <c r="B18" s="295" t="inlineStr">
        <is>
          <t>DEVIDEN</t>
        </is>
      </c>
      <c r="F18" s="199" t="n"/>
    </row>
    <row r="19" ht="19" customHeight="1" s="177">
      <c r="A19" s="195" t="n"/>
      <c r="B19" s="296" t="n">
        <v>1</v>
      </c>
      <c r="C19" s="297" t="inlineStr">
        <is>
          <t>Alan Muhadjir</t>
        </is>
      </c>
      <c r="D19" s="291" t="inlineStr">
        <is>
          <t>Rp</t>
        </is>
      </c>
      <c r="E19" s="298">
        <f>E15/2</f>
        <v/>
      </c>
      <c r="F19" s="199" t="n"/>
      <c r="G19" s="197" t="inlineStr">
        <is>
          <t>Pajak 10%</t>
        </is>
      </c>
    </row>
    <row r="20" ht="19" customHeight="1" s="177">
      <c r="A20" s="195" t="n"/>
      <c r="B20" s="296" t="n">
        <v>2</v>
      </c>
      <c r="C20" s="297" t="inlineStr">
        <is>
          <t>Anevril Chairulsyah</t>
        </is>
      </c>
      <c r="D20" s="291" t="inlineStr">
        <is>
          <t>Rp</t>
        </is>
      </c>
      <c r="E20" s="298">
        <f>E15/2</f>
        <v/>
      </c>
      <c r="F20" s="199" t="n"/>
      <c r="G20" s="197" t="inlineStr">
        <is>
          <t>Pajak 10%</t>
        </is>
      </c>
    </row>
    <row r="21" ht="48.75" customHeight="1" s="177">
      <c r="A21" s="217" t="n"/>
      <c r="F21" s="199" t="n"/>
    </row>
    <row r="22">
      <c r="A22" s="217" t="n"/>
      <c r="F22" s="199" t="n"/>
    </row>
    <row r="63" ht="64.5" customFormat="1" customHeight="1" s="1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Diofavian - Student</dc:creator>
  <dcterms:created xmlns:dcterms="http://purl.org/dc/terms/" xmlns:xsi="http://www.w3.org/2001/XMLSchema-instance" xsi:type="dcterms:W3CDTF">2026-02-22T22:22:44Z</dcterms:created>
  <dcterms:modified xmlns:dcterms="http://purl.org/dc/terms/" xmlns:xsi="http://www.w3.org/2001/XMLSchema-instance" xsi:type="dcterms:W3CDTF">2026-04-02T15:49:50Z</dcterms:modified>
  <cp:lastModifiedBy>Diofavian - Student</cp:lastModifiedBy>
</cp:coreProperties>
</file>