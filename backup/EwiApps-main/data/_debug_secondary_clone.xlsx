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  <sheet name="Laba rugi -2024" sheetId="2" state="visible" r:id="rId2"/>
    <sheet name="Business Summar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_-&quot;Rp&quot;* #,##0_-;\-&quot;Rp&quot;* #,##0_-;_-&quot;Rp&quot;* &quot;-&quot;??_-;_-@_-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</fonts>
  <fills count="10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4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5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5" pivotButton="0" quotePrefix="0" xfId="0"/>
    <xf numFmtId="4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4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4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4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4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4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41" fontId="29" fillId="6" borderId="12" pivotButton="0" quotePrefix="0" xfId="0"/>
    <xf numFmtId="37" fontId="30" fillId="0" borderId="14" pivotButton="0" quotePrefix="0" xfId="0"/>
    <xf numFmtId="4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4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2" fillId="6" borderId="6" pivotButton="0" quotePrefix="0" xfId="0"/>
    <xf numFmtId="0" fontId="12" fillId="6" borderId="15" pivotButton="0" quotePrefix="0" xfId="0"/>
    <xf numFmtId="3" fontId="12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4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41" fontId="30" fillId="6" borderId="2" pivotButton="0" quotePrefix="0" xfId="0"/>
    <xf numFmtId="41" fontId="29" fillId="6" borderId="16" applyAlignment="1" pivotButton="0" quotePrefix="0" xfId="0">
      <alignment horizontal="left"/>
    </xf>
    <xf numFmtId="0" fontId="0" fillId="0" borderId="17" pivotButton="0" quotePrefix="0" xfId="0"/>
    <xf numFmtId="0" fontId="30" fillId="6" borderId="18" pivotButton="0" quotePrefix="0" xfId="0"/>
    <xf numFmtId="37" fontId="29" fillId="6" borderId="17" pivotButton="0" quotePrefix="0" xfId="0"/>
    <xf numFmtId="2" fontId="29" fillId="9" borderId="18" pivotButton="0" quotePrefix="0" xfId="0"/>
    <xf numFmtId="2" fontId="29" fillId="9" borderId="19" pivotButton="0" quotePrefix="0" xfId="0"/>
    <xf numFmtId="3" fontId="29" fillId="9" borderId="17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2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0"/>
    <xf numFmtId="0" fontId="12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4.81640625" customWidth="1" style="3" min="7" max="7"/>
    <col width="8.6328125" customWidth="1" style="3" min="8" max="8"/>
    <col width="15.08984375" customWidth="1" min="9" max="9"/>
    <col width="14.453125" bestFit="1" customWidth="1" min="10" max="10"/>
    <col width="14.81640625" bestFit="1" customWidth="1" min="11" max="11"/>
    <col width="13.90625" customWidth="1" min="12" max="12"/>
    <col width="14.54296875" bestFit="1" customWidth="1" min="13" max="13"/>
    <col width="14.453125" bestFit="1" customWidth="1" min="14" max="14"/>
    <col width="15.08984375" bestFit="1" customWidth="1" min="15" max="15"/>
    <col width="12.08984375" customWidth="1" min="16" max="16"/>
    <col width="12.08984375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1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</row>
    <row r="8" ht="15.5" customHeight="1">
      <c r="B8" s="14" t="n">
        <v>45302</v>
      </c>
      <c r="C8" s="15" t="n">
        <v>2</v>
      </c>
      <c r="D8" s="170" t="inlineStr">
        <is>
          <t>ALFA Service PDP-075 Pertamina Zona#4</t>
        </is>
      </c>
      <c r="E8" s="227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>
      <c r="B9" s="14" t="n">
        <v>45301</v>
      </c>
      <c r="C9" s="15" t="n">
        <v>3</v>
      </c>
      <c r="D9" s="170" t="inlineStr">
        <is>
          <t>Revenue data procesing MTD_Tomori</t>
        </is>
      </c>
      <c r="E9" s="227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>
      <c r="B10" s="14" t="n">
        <v>45302</v>
      </c>
      <c r="C10" s="15" t="n">
        <v>4</v>
      </c>
      <c r="D10" s="170" t="inlineStr">
        <is>
          <t>ALFA Service PDS-01ST Pertamina Zona#4</t>
        </is>
      </c>
      <c r="E10" s="227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>
      <c r="B11" s="14" t="n">
        <v>45302</v>
      </c>
      <c r="C11" s="15" t="n">
        <v>5</v>
      </c>
      <c r="D11" s="170" t="inlineStr">
        <is>
          <t>ALFA Service JRK-254 Pertamina Zona#4</t>
        </is>
      </c>
      <c r="E11" s="227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>
      <c r="B12" s="14" t="n">
        <v>45446</v>
      </c>
      <c r="C12" s="15" t="n">
        <v>6</v>
      </c>
      <c r="D12" s="170" t="inlineStr">
        <is>
          <t>ALFA Service TLJ-58 Pertamina Zona#4</t>
        </is>
      </c>
      <c r="E12" s="227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>
      <c r="B13" s="14" t="n">
        <v>45447</v>
      </c>
      <c r="C13" s="15" t="n">
        <v>7</v>
      </c>
      <c r="D13" s="170" t="inlineStr">
        <is>
          <t>ALFA Service JRK-193 Pertamina Zona#4</t>
        </is>
      </c>
      <c r="E13" s="227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>
      <c r="B14" s="14" t="n">
        <v>45539</v>
      </c>
      <c r="C14" s="15" t="n">
        <v>8</v>
      </c>
      <c r="D14" s="170" t="inlineStr">
        <is>
          <t>Revenue Repair Electric Assisted Stimulation Machine (no 23)</t>
        </is>
      </c>
      <c r="E14" s="227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>
      <c r="B15" s="14" t="n">
        <v>45537</v>
      </c>
      <c r="C15" s="15" t="n">
        <v>9</v>
      </c>
      <c r="D15" s="170" t="inlineStr">
        <is>
          <t>ALFA Service JRK-163 Pertamina Zona#4</t>
        </is>
      </c>
      <c r="E15" s="227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>
      <c r="B16" s="14" t="n">
        <v>45576</v>
      </c>
      <c r="C16" s="15" t="n">
        <v>10</v>
      </c>
      <c r="D16" s="170" t="inlineStr">
        <is>
          <t>Revenue Project TIS (no 28 )</t>
        </is>
      </c>
      <c r="E16" s="227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>
      <c r="B17" s="14" t="n">
        <v>45572</v>
      </c>
      <c r="C17" s="15" t="n">
        <v>11</v>
      </c>
      <c r="D17" s="170" t="inlineStr">
        <is>
          <t>ALFA Service JRK-095 Pertamina Zona#4</t>
        </is>
      </c>
      <c r="E17" s="227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>
      <c r="B18" s="14" t="n">
        <v>45569</v>
      </c>
      <c r="C18" s="15" t="n">
        <v>12</v>
      </c>
      <c r="D18" s="170" t="inlineStr">
        <is>
          <t>ALFA Service TGB-033 Pertamina Cirebon</t>
        </is>
      </c>
      <c r="E18" s="227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94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>
      <c r="B19" s="14" t="n">
        <v>45569</v>
      </c>
      <c r="C19" s="15" t="n">
        <v>13</v>
      </c>
      <c r="D19" s="170" t="inlineStr">
        <is>
          <t>MFC Service TGB-033 Pertamina Cirebon</t>
        </is>
      </c>
      <c r="E19" s="227" t="n"/>
      <c r="F19" s="195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67" t="n">
        <v>45653</v>
      </c>
      <c r="L19" s="228" t="n">
        <v>412577100</v>
      </c>
      <c r="M19" s="20">
        <f>(F19*11%)</f>
        <v/>
      </c>
      <c r="N19" s="20">
        <f>(F19*2%)</f>
        <v/>
      </c>
      <c r="O19" s="229">
        <f>F19+F20-L19-(N19+N20)</f>
        <v/>
      </c>
      <c r="P19" s="18" t="inlineStr">
        <is>
          <t>Pemungut</t>
        </is>
      </c>
    </row>
    <row r="20" ht="15.5" customHeight="1">
      <c r="B20" s="14" t="n">
        <v>45569</v>
      </c>
      <c r="C20" s="15" t="n">
        <v>14</v>
      </c>
      <c r="D20" s="170" t="inlineStr">
        <is>
          <t>PLT Service TGB-033 Pertamina Cirebon</t>
        </is>
      </c>
      <c r="E20" s="227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24" t="n"/>
      <c r="L20" s="224" t="n"/>
      <c r="M20" s="20">
        <f>(F20*11%)</f>
        <v/>
      </c>
      <c r="N20" s="20">
        <f>(F20*2%)</f>
        <v/>
      </c>
      <c r="O20" s="224" t="n"/>
      <c r="P20" s="18" t="inlineStr">
        <is>
          <t>Pemungut</t>
        </is>
      </c>
    </row>
    <row r="21" ht="15.5" customHeight="1">
      <c r="B21" s="14" t="n">
        <v>45657</v>
      </c>
      <c r="C21" s="15" t="n">
        <v>15</v>
      </c>
      <c r="D21" s="170" t="inlineStr">
        <is>
          <t>Bunga Bank 2024</t>
        </is>
      </c>
      <c r="E21" s="227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200">
        <f>F21</f>
        <v/>
      </c>
      <c r="M21" s="20" t="n"/>
      <c r="N21" s="20" t="n"/>
      <c r="O21" s="201" t="n"/>
      <c r="P21" s="18" t="n"/>
    </row>
    <row r="22" ht="15.5" customHeight="1">
      <c r="B22" s="174" t="inlineStr">
        <is>
          <t>REVENUE (IDR)</t>
        </is>
      </c>
      <c r="C22" s="230" t="n"/>
      <c r="D22" s="230" t="n"/>
      <c r="E22" s="227" t="n"/>
      <c r="F22" s="32">
        <f>SUM(F8:F21)</f>
        <v/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>
        <f>SUM(N8:N21)</f>
        <v/>
      </c>
      <c r="O22" s="18" t="n"/>
      <c r="P22" s="18" t="n"/>
    </row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9" t="inlineStr">
        <is>
          <t>Date</t>
        </is>
      </c>
      <c r="C25" s="219" t="inlineStr">
        <is>
          <t>#</t>
        </is>
      </c>
      <c r="D25" s="22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>
        <v>45289</v>
      </c>
      <c r="C27" s="15" t="n"/>
      <c r="D27" s="170" t="inlineStr">
        <is>
          <t>Tax PPN 11% (Project TGE MEPI Rimau Pembayaran Ke-2)</t>
        </is>
      </c>
      <c r="E27" s="227" t="n"/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n">
        <v>45302</v>
      </c>
      <c r="C28" s="15" t="n"/>
      <c r="D28" s="170" t="inlineStr">
        <is>
          <t>Tax PPN 11% (Project TGE MEPI Rimau Pembayaran Ke-2)</t>
        </is>
      </c>
      <c r="E28" s="227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>
      <c r="B29" s="14" t="n">
        <v>45351</v>
      </c>
      <c r="C29" s="15" t="n"/>
      <c r="D29" s="170" t="inlineStr">
        <is>
          <t>Tax PPN 11% (Project TGE MEPI Tomori)</t>
        </is>
      </c>
      <c r="E29" s="227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>
      <c r="B30" s="14" t="n">
        <v>45567</v>
      </c>
      <c r="C30" s="15" t="n"/>
      <c r="D30" s="170" t="inlineStr">
        <is>
          <t>Tax PPN 11% (Perbaikan Repair Electric Assisted Stimulation Machine)</t>
        </is>
      </c>
      <c r="E30" s="227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>
      <c r="B31" s="14" t="n">
        <v>45546</v>
      </c>
      <c r="C31" s="15" t="n"/>
      <c r="D31" s="170" t="inlineStr">
        <is>
          <t>Pinalty Telat bayar pajak PP21 Sewa tool ALFA 2023</t>
        </is>
      </c>
      <c r="E31" s="227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>
      <c r="B32" s="14" t="n">
        <v>45546</v>
      </c>
      <c r="C32" s="15" t="n"/>
      <c r="D32" s="170" t="inlineStr">
        <is>
          <t>Tax PPN 11% pajak Inv-007 tahun 2023 sarulla project - Sibat</t>
        </is>
      </c>
      <c r="E32" s="227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>
      <c r="B33" s="14" t="n">
        <v>45589</v>
      </c>
      <c r="C33" s="15" t="n"/>
      <c r="D33" s="170" t="inlineStr">
        <is>
          <t>Penalty telat bayar pajak PPN project sarulla_INV-007_under Sibat</t>
        </is>
      </c>
      <c r="E33" s="227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>
      <c r="B34" s="14" t="n">
        <v>45593</v>
      </c>
      <c r="C34" s="15" t="n"/>
      <c r="D34" s="170" t="inlineStr">
        <is>
          <t>Pemindahbukan dari double bayar (29 des 2023) utk PPN Inv-028</t>
        </is>
      </c>
      <c r="E34" s="227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>
      <c r="B35" s="14" t="n">
        <v>45607</v>
      </c>
      <c r="C35" s="15" t="n"/>
      <c r="D35" s="170" t="inlineStr">
        <is>
          <t>Kekurangan pajak PPn Inv-028 (barikikn Sakti)(1/3 nya dari PBK pajak)</t>
        </is>
      </c>
      <c r="E35" s="227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>
      <c r="B36" s="14" t="n">
        <v>45607</v>
      </c>
      <c r="C36" s="15" t="n"/>
      <c r="D36" s="170" t="inlineStr">
        <is>
          <t>Kekurangan pajak final PPH 23 keuntungan perusahaan tahun 2023</t>
        </is>
      </c>
      <c r="E36" s="227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54" t="inlineStr">
        <is>
          <t>Currency</t>
        </is>
      </c>
      <c r="H40" s="55" t="inlineStr">
        <is>
          <t>urrency Exchange</t>
        </is>
      </c>
      <c r="I40" s="231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>
      <c r="B41" s="14" t="n">
        <v>45302</v>
      </c>
      <c r="C41" s="15" t="n">
        <v>1</v>
      </c>
      <c r="D41" s="18" t="inlineStr">
        <is>
          <t>ALFA Service PDP-075 Pertamina Zona#4 - Rental Tool</t>
        </is>
      </c>
      <c r="E41" s="18" t="inlineStr">
        <is>
          <t>BCA</t>
        </is>
      </c>
      <c r="F41" s="25" t="n">
        <v>29640916</v>
      </c>
      <c r="G41" s="60" t="inlineStr">
        <is>
          <t>IDR</t>
        </is>
      </c>
      <c r="H41" s="60" t="n">
        <v>1</v>
      </c>
      <c r="I41" s="61" t="n"/>
      <c r="J41" s="61" t="n"/>
      <c r="K41" s="62">
        <f>$F41*$H41</f>
        <v/>
      </c>
      <c r="L41" s="44" t="n"/>
      <c r="M41" s="44" t="n"/>
      <c r="N41" s="44" t="n"/>
      <c r="O41" s="44" t="n"/>
      <c r="P41" s="44" t="n"/>
      <c r="Q41" s="44" t="n"/>
    </row>
    <row r="42" ht="15.5" customHeight="1">
      <c r="B42" s="14" t="n">
        <v>45302</v>
      </c>
      <c r="C42" s="15" t="n">
        <v>2</v>
      </c>
      <c r="D42" s="18" t="inlineStr">
        <is>
          <t>ALFA Service PDS-01ST Pertamina Zona#4 - Rental Tool</t>
        </is>
      </c>
      <c r="E42" s="18" t="inlineStr">
        <is>
          <t>BCA</t>
        </is>
      </c>
      <c r="F42" s="25" t="n">
        <v>29640916</v>
      </c>
      <c r="G42" s="60" t="inlineStr">
        <is>
          <t>IDR</t>
        </is>
      </c>
      <c r="H42" s="60" t="n">
        <v>1</v>
      </c>
      <c r="I42" s="61" t="n"/>
      <c r="J42" s="61" t="n"/>
      <c r="K42" s="62">
        <f>$F42*$H42</f>
        <v/>
      </c>
      <c r="L42" s="44" t="n"/>
      <c r="M42" s="44" t="n"/>
      <c r="N42" s="44" t="n"/>
      <c r="O42" s="44" t="n"/>
      <c r="P42" s="44" t="n"/>
      <c r="Q42" s="44" t="n"/>
    </row>
    <row r="43" ht="15.5" customHeight="1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t="15.5" customHeight="1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232" t="n"/>
      <c r="L44" s="44" t="n"/>
      <c r="M44" s="44" t="n"/>
      <c r="N44" s="44" t="n"/>
      <c r="O44" s="44" t="n"/>
      <c r="P44" s="44" t="n"/>
      <c r="Q44" s="44" t="n"/>
    </row>
    <row r="45" ht="15.5" customHeight="1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233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t="15.5" customHeight="1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233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t="15.5" customHeight="1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234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t="15.5" customHeight="1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210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t="15.5" customHeight="1">
      <c r="B49" s="67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210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t="15.5" customHeight="1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235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t="15.5" customHeight="1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234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212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234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212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236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236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236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236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236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236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236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236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236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236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t="15.5" customHeight="1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236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t="15.5" customHeight="1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t="15.5" customHeight="1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236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t="15.5" customHeight="1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236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237">
        <f>F70</f>
        <v/>
      </c>
      <c r="O70" s="44" t="n"/>
      <c r="P70" s="44" t="n"/>
      <c r="Q70" s="44" t="n"/>
    </row>
    <row r="71" ht="15.5" customHeight="1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236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237">
        <f>F71</f>
        <v/>
      </c>
      <c r="M71" s="44" t="n"/>
      <c r="N71" s="44" t="n"/>
      <c r="O71" s="44" t="n"/>
      <c r="P71" s="44" t="n"/>
      <c r="Q71" s="44" t="n"/>
    </row>
    <row r="72" ht="15.5" customHeight="1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236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t="15.5" customHeight="1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t="15.5" customHeight="1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t="15.5" customHeight="1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t="15.5" customHeight="1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236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237">
        <f>F76</f>
        <v/>
      </c>
      <c r="O76" s="44" t="n"/>
      <c r="P76" s="44" t="n"/>
      <c r="Q76" s="44" t="n"/>
    </row>
    <row r="77" ht="15.5" customHeight="1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t="15.5" customHeight="1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t="15.5" customHeight="1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t="15.5" customHeight="1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t="15.5" customHeight="1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213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t="15.5" customHeight="1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t="15.5" customHeight="1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t="15.5" customHeight="1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t="15.5" customHeight="1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t="15.5" customHeight="1">
      <c r="B103" s="67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t="15.5" customHeight="1">
      <c r="B110" s="67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t="15.5" customHeight="1">
      <c r="B114" s="67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t="15.5" customHeight="1">
      <c r="B121" s="67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>
      <c r="B123" s="67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t="15.5" customHeight="1">
      <c r="B130" s="67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>
      <c r="B135" s="67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t="15.5" customHeight="1">
      <c r="B137" s="67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t="15.5" customHeight="1">
      <c r="B141" s="67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>
      <c r="B146" s="67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>
      <c r="B149" s="67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t="15.5" customHeight="1">
      <c r="B151" s="67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>
      <c r="B167" s="67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t="15.5" customHeight="1">
      <c r="B170" s="67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t="15.5" customHeight="1">
      <c r="B172" s="67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t="15.5" customHeight="1">
      <c r="B181" s="67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t="15.5" customHeight="1">
      <c r="B189" s="67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t="15.5" customHeight="1">
      <c r="B192" s="67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t="15.5" customHeight="1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t="15.5" customHeight="1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t="15.5" customHeight="1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t="15.5" customHeight="1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t="15.5" customHeight="1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t="15.5" customHeight="1">
      <c r="B221" s="67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>
      <c r="B224" s="67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t="15.5" customHeight="1">
      <c r="B227" s="67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>
      <c r="B229" s="67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>
      <c r="B231" s="67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t="15.5" customHeight="1">
      <c r="B235" s="67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t="15.5" customHeight="1">
      <c r="B238" s="67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t="15.5" customHeight="1">
      <c r="B240" s="67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>
      <c r="B242" s="67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>
      <c r="B244" s="67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t="15.5" customHeight="1">
      <c r="B246" s="67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t="15.5" customHeight="1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t="15.5" customHeight="1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t="15.5" customHeight="1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t="15.5" customHeight="1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t="15.5" customHeight="1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t="15.5" customHeight="1">
      <c r="B281" s="67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t="15.5" customHeight="1">
      <c r="B292" s="67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t="15.5" customHeight="1">
      <c r="B294" s="67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t="15.5" customHeight="1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t="15.5" customHeight="1">
      <c r="B306" s="67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t="15.5" customHeight="1">
      <c r="B319" s="67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t="15.5" customHeight="1">
      <c r="B330" s="67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t="15.5" customHeight="1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t="15.5" customHeight="1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t="15.5" customHeight="1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t="15.5" customHeight="1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t="15.5" customHeight="1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t="15.5" customHeight="1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>
      <c r="B386" s="67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t="15.5" customHeight="1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t="15.5" customHeight="1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t="15.5" customHeight="1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t="15.5" customHeight="1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t="15.5" customHeight="1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t="15.5" customHeight="1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t="15.5" customHeight="1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t="15.5" customHeight="1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t="15.5" customHeight="1">
      <c r="B470" s="67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t="15.5" customHeight="1">
      <c r="B477" s="67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t="15.5" customHeight="1">
      <c r="B479" s="67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t="15.5" customHeight="1">
      <c r="B481" s="67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t="15.5" customHeight="1">
      <c r="B492" s="67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t="15.5" customHeight="1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t="15.5" customHeight="1">
      <c r="B518" s="67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t="15.5" customHeight="1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t="15.5" customHeight="1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t="15.5" customHeight="1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t="15.5" customHeight="1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t="15.5" customHeight="1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t="15.5" customHeight="1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>
      <c r="B601" s="67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t="15.5" customHeight="1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t="15.5" customHeight="1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t="15.5" customHeight="1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t="15.5" customHeight="1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t="15.5" customHeight="1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t="15.5" customHeight="1">
      <c r="B628" s="67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t="15.5" customHeight="1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t="15.5" customHeight="1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t="15.5" customHeight="1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t="15.5" customHeight="1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t="15.5" customHeight="1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t="15.5" customHeight="1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1328125" defaultRowHeight="12.75"/>
  <cols>
    <col width="1.1328125" customWidth="1" min="1" max="1"/>
    <col width="5.53125" customWidth="1" min="2" max="2"/>
    <col width="38.33203125" customWidth="1" min="3" max="3"/>
    <col width="3.6640625" customWidth="1" min="4" max="4"/>
    <col width="30.1328125" customWidth="1" min="5" max="5"/>
    <col width="1.1328125" customWidth="1" min="6" max="6"/>
    <col width="5.53125" customWidth="1" min="7" max="7"/>
    <col width="38.33203125" customWidth="1" min="8" max="8"/>
    <col width="3.6640625" customWidth="1" min="9" max="9"/>
    <col width="30.1328125" customWidth="1" min="10" max="10"/>
    <col width="9.1328125" customWidth="1" min="11" max="11"/>
  </cols>
  <sheetData>
    <row r="1" ht="15" customHeight="1">
      <c r="A1" s="248" t="n"/>
      <c r="B1" s="248" t="n"/>
      <c r="C1" s="248" t="n"/>
      <c r="D1" s="248" t="n"/>
      <c r="E1" s="249" t="n"/>
    </row>
    <row r="2" ht="37.25" customHeight="1">
      <c r="A2" s="248" t="n"/>
      <c r="B2" s="248" t="n"/>
      <c r="C2" s="248" t="n"/>
      <c r="D2" s="248" t="n"/>
      <c r="E2" s="249" t="n"/>
    </row>
    <row r="3" ht="33.6" customHeight="1">
      <c r="A3" s="248" t="n"/>
      <c r="B3" s="250" t="inlineStr">
        <is>
          <t>PT. EXSPAN WIRELINE INDONESIA</t>
        </is>
      </c>
      <c r="F3" s="251" t="n"/>
      <c r="G3" s="252" t="inlineStr">
        <is>
          <t>PT. EXSPAN WIRELINE INDONESIA</t>
        </is>
      </c>
      <c r="H3" s="252" t="n"/>
      <c r="I3" s="252" t="n"/>
      <c r="J3" s="252" t="n"/>
    </row>
    <row r="4" ht="20.45" customHeight="1">
      <c r="A4" s="248" t="n"/>
      <c r="B4" s="253" t="inlineStr">
        <is>
          <t>LABA RUGI | TAHUN 2024</t>
        </is>
      </c>
      <c r="F4" s="251" t="n"/>
      <c r="G4" s="254" t="inlineStr">
        <is>
          <t>NERACA |TAHUN YANG BERAKHIR, 31 DESEMBER 2024</t>
        </is>
      </c>
      <c r="H4" s="254" t="n"/>
      <c r="I4" s="254" t="n"/>
      <c r="J4" s="254" t="n"/>
    </row>
    <row r="5" ht="6" customHeight="1">
      <c r="A5" s="248" t="n"/>
      <c r="B5" s="248" t="n"/>
      <c r="C5" s="248" t="n"/>
      <c r="D5" s="248" t="n"/>
      <c r="E5" s="249" t="n"/>
      <c r="F5" s="251" t="n"/>
      <c r="G5" s="251" t="n"/>
      <c r="H5" s="255" t="n"/>
      <c r="I5" s="255" t="n"/>
      <c r="J5" s="255" t="n"/>
    </row>
    <row r="6" ht="15.4" customHeight="1">
      <c r="A6" s="248" t="n"/>
      <c r="B6" s="256" t="n"/>
      <c r="C6" s="257" t="n"/>
      <c r="D6" s="258" t="inlineStr">
        <is>
          <t>PT. Exspan Wireline Indonesia</t>
        </is>
      </c>
      <c r="E6" s="221" t="n"/>
      <c r="F6" s="251" t="n"/>
      <c r="G6" s="259" t="n"/>
      <c r="H6" s="260" t="n"/>
      <c r="I6" s="258" t="inlineStr">
        <is>
          <t>PT. Exspan Wireline Indonesia</t>
        </is>
      </c>
      <c r="J6" s="221" t="n"/>
    </row>
    <row r="7" ht="15.4" customHeight="1">
      <c r="A7" s="248" t="n"/>
      <c r="B7" s="261" t="n"/>
      <c r="C7" s="262" t="n"/>
      <c r="D7" s="263" t="inlineStr">
        <is>
          <t>(Rp)</t>
        </is>
      </c>
      <c r="E7" s="226" t="n"/>
      <c r="F7" s="251" t="n"/>
      <c r="G7" s="264" t="n"/>
      <c r="H7" s="265" t="n"/>
      <c r="I7" s="263" t="inlineStr">
        <is>
          <t>(Rp)</t>
        </is>
      </c>
      <c r="J7" s="226" t="n"/>
    </row>
    <row r="8" ht="14.25" customHeight="1">
      <c r="A8" s="248" t="n"/>
      <c r="B8" s="266" t="inlineStr">
        <is>
          <t>PENDAPATAN</t>
        </is>
      </c>
      <c r="C8" s="267" t="n"/>
      <c r="D8" s="268" t="n"/>
      <c r="E8" s="269" t="n"/>
      <c r="F8" s="251" t="n"/>
      <c r="G8" s="270" t="inlineStr">
        <is>
          <t>AKTIVA</t>
        </is>
      </c>
      <c r="H8" s="271" t="n"/>
      <c r="I8" s="272" t="n"/>
      <c r="J8" s="273" t="n"/>
    </row>
    <row r="9" ht="14.25" customHeight="1">
      <c r="A9" s="248" t="n"/>
      <c r="B9" s="274" t="n"/>
      <c r="C9" s="267" t="inlineStr">
        <is>
          <t>PENDAPATAN LANGSUNG</t>
        </is>
      </c>
      <c r="D9" s="274" t="inlineStr">
        <is>
          <t>Rp</t>
        </is>
      </c>
      <c r="E9" s="275">
        <f>SUM('Revenue-Cost_2024'!F8:F20)</f>
        <v/>
      </c>
      <c r="F9" s="251" t="n"/>
      <c r="G9" s="276" t="inlineStr">
        <is>
          <t>AKTIVA LANCAR</t>
        </is>
      </c>
      <c r="H9" s="277" t="n"/>
      <c r="I9" s="276" t="n"/>
      <c r="J9" s="278" t="n"/>
    </row>
    <row r="10" ht="14.25" customHeight="1">
      <c r="A10" s="248" t="n"/>
      <c r="B10" s="274" t="n"/>
      <c r="C10" s="267" t="inlineStr">
        <is>
          <t>PENDAPATAN LAIN LAIN</t>
        </is>
      </c>
      <c r="D10" s="274" t="inlineStr">
        <is>
          <t>Rp</t>
        </is>
      </c>
      <c r="E10" s="275">
        <f>SUM('Revenue-Cost_2024'!F21)</f>
        <v/>
      </c>
      <c r="F10" s="251" t="n"/>
      <c r="G10" s="279" t="n"/>
      <c r="H10" s="280" t="inlineStr">
        <is>
          <t>KAS DAN SETARA KAS TAHUN SEBELUMNYA</t>
        </is>
      </c>
      <c r="I10" s="274" t="inlineStr">
        <is>
          <t>Rp</t>
        </is>
      </c>
      <c r="J10" s="281">
        <f>161401093</f>
        <v/>
      </c>
    </row>
    <row r="11" ht="14.25" customHeight="1">
      <c r="A11" s="248" t="n"/>
      <c r="B11" s="274" t="n"/>
      <c r="C11" s="267" t="n"/>
      <c r="D11" s="282" t="n"/>
      <c r="E11" s="283" t="n"/>
      <c r="F11" s="251" t="n"/>
      <c r="G11" s="279" t="n"/>
      <c r="H11" s="280" t="inlineStr">
        <is>
          <t>KAS DAN SETARA KAS TAHUN LAPORAN</t>
        </is>
      </c>
      <c r="I11" s="274" t="inlineStr">
        <is>
          <t>Rp</t>
        </is>
      </c>
      <c r="J11" s="281">
        <f>E46-'Business Summary'!E13</f>
        <v/>
      </c>
    </row>
    <row r="12" ht="14.25" customHeight="1">
      <c r="A12" s="248" t="n"/>
      <c r="B12" s="284" t="inlineStr">
        <is>
          <t>TOTALPENDAPATAN</t>
        </is>
      </c>
      <c r="C12" s="285" t="n"/>
      <c r="D12" s="286" t="inlineStr">
        <is>
          <t>Rp</t>
        </is>
      </c>
      <c r="E12" s="287">
        <f>SUM(E9:E11)</f>
        <v/>
      </c>
      <c r="F12" s="251" t="n"/>
      <c r="G12" s="279" t="n"/>
      <c r="H12" s="280" t="inlineStr">
        <is>
          <t>PIUTANG USAHA</t>
        </is>
      </c>
      <c r="I12" s="274" t="inlineStr">
        <is>
          <t>Rp</t>
        </is>
      </c>
      <c r="J12" s="281" t="n">
        <v>0</v>
      </c>
    </row>
    <row r="13" ht="14.25" customHeight="1">
      <c r="A13" s="248" t="n"/>
      <c r="B13" s="274" t="n"/>
      <c r="C13" s="267" t="n"/>
      <c r="D13" s="268" t="n"/>
      <c r="E13" s="288" t="n"/>
      <c r="F13" s="251" t="n"/>
      <c r="G13" s="279" t="n"/>
      <c r="H13" s="280" t="inlineStr">
        <is>
          <t>PAJAK BAYAR DI MUKA (pph23)</t>
        </is>
      </c>
      <c r="I13" s="274" t="inlineStr">
        <is>
          <t>Rp</t>
        </is>
      </c>
      <c r="J13" s="281" t="n">
        <v>0</v>
      </c>
    </row>
    <row r="14" ht="14.25" customHeight="1">
      <c r="A14" s="248" t="n"/>
      <c r="B14" s="289" t="inlineStr">
        <is>
          <t>BEBAN LANGSUNG</t>
        </is>
      </c>
      <c r="C14" s="267" t="n"/>
      <c r="D14" s="274" t="n"/>
      <c r="E14" s="290" t="n"/>
      <c r="F14" s="251" t="n"/>
      <c r="G14" s="279" t="n"/>
      <c r="H14" s="280" t="inlineStr">
        <is>
          <t>BIAYA BAYAR DI MUKA</t>
        </is>
      </c>
      <c r="I14" s="274" t="inlineStr">
        <is>
          <t>Rp</t>
        </is>
      </c>
      <c r="J14" s="281" t="n">
        <v>0</v>
      </c>
    </row>
    <row r="15" ht="14.25" customHeight="1">
      <c r="A15" s="248" t="n"/>
      <c r="B15" s="291" t="n"/>
      <c r="C15" s="267" t="inlineStr">
        <is>
          <t xml:space="preserve">Biaya Operasi </t>
        </is>
      </c>
      <c r="D15" s="274" t="inlineStr">
        <is>
          <t>Rp</t>
        </is>
      </c>
      <c r="E15" s="290">
        <f>'Revenue-Cost_2024'!I750</f>
        <v/>
      </c>
      <c r="F15" s="251" t="n"/>
      <c r="G15" s="292" t="n"/>
      <c r="H15" s="280" t="inlineStr">
        <is>
          <t>PIUTANG LAIN LAIN</t>
        </is>
      </c>
      <c r="I15" s="274" t="inlineStr">
        <is>
          <t>Rp</t>
        </is>
      </c>
      <c r="J15" s="281" t="n">
        <v>0</v>
      </c>
    </row>
    <row r="16" ht="14.25" customHeight="1">
      <c r="A16" s="248" t="n"/>
      <c r="B16" s="291" t="n"/>
      <c r="C16" s="267" t="inlineStr">
        <is>
          <t>Biaya research (R &amp; D)</t>
        </is>
      </c>
      <c r="D16" s="274" t="inlineStr">
        <is>
          <t>Rp</t>
        </is>
      </c>
      <c r="E16" s="290">
        <f>'Revenue-Cost_2024'!J750</f>
        <v/>
      </c>
      <c r="F16" s="251" t="n"/>
      <c r="G16" s="293" t="n"/>
      <c r="H16" s="294" t="inlineStr">
        <is>
          <t>TOTAL AKTIVA LANCAR</t>
        </is>
      </c>
      <c r="I16" s="286" t="inlineStr">
        <is>
          <t>Rp</t>
        </is>
      </c>
      <c r="J16" s="295">
        <f>SUM(J10:J14)</f>
        <v/>
      </c>
    </row>
    <row r="17" ht="14.25" customHeight="1">
      <c r="A17" s="248" t="n"/>
      <c r="B17" s="291" t="n"/>
      <c r="C17" s="267" t="inlineStr">
        <is>
          <t>BIAYA SEWA PERALATAN</t>
        </is>
      </c>
      <c r="D17" s="274" t="inlineStr">
        <is>
          <t>Rp</t>
        </is>
      </c>
      <c r="E17" s="290">
        <f>'Revenue-Cost_2024'!K750</f>
        <v/>
      </c>
      <c r="F17" s="251" t="n"/>
      <c r="G17" s="279" t="n"/>
      <c r="H17" s="280" t="n"/>
      <c r="I17" s="296" t="n"/>
      <c r="J17" s="297" t="n"/>
    </row>
    <row r="18" ht="14.25" customHeight="1">
      <c r="A18" s="248" t="n"/>
      <c r="B18" s="291" t="n"/>
      <c r="C18" s="267" t="inlineStr">
        <is>
          <t>BIAYA Data Processing</t>
        </is>
      </c>
      <c r="D18" s="274" t="inlineStr">
        <is>
          <t>Rp</t>
        </is>
      </c>
      <c r="E18" s="290">
        <f>'Revenue-Cost_2024'!L750</f>
        <v/>
      </c>
      <c r="F18" s="251" t="n"/>
      <c r="G18" s="276" t="inlineStr">
        <is>
          <t>ACTIVA TETAP</t>
        </is>
      </c>
      <c r="H18" s="298" t="n"/>
      <c r="I18" s="270" t="n"/>
      <c r="J18" s="281" t="n"/>
    </row>
    <row r="19" ht="14.25" customHeight="1">
      <c r="A19" s="248" t="n"/>
      <c r="B19" s="291" t="n"/>
      <c r="C19" s="267" t="n"/>
      <c r="D19" s="274" t="n"/>
      <c r="E19" s="290" t="n"/>
      <c r="F19" s="251" t="n"/>
      <c r="G19" s="276" t="n"/>
      <c r="H19" s="298" t="n"/>
      <c r="I19" s="270" t="n"/>
      <c r="J19" s="281" t="n"/>
    </row>
    <row r="20" ht="14.25" customHeight="1">
      <c r="A20" s="248" t="n"/>
      <c r="B20" s="291" t="n"/>
      <c r="C20" s="267" t="n"/>
      <c r="D20" s="282" t="n"/>
      <c r="E20" s="299" t="n"/>
      <c r="F20" s="251" t="n"/>
      <c r="G20" s="279" t="n"/>
      <c r="H20" s="280" t="inlineStr">
        <is>
          <t>INVENTARIS KANTOR</t>
        </is>
      </c>
      <c r="I20" s="274" t="inlineStr">
        <is>
          <t>Rp</t>
        </is>
      </c>
      <c r="J20" s="281" t="n">
        <v>0</v>
      </c>
    </row>
    <row r="21" ht="14.25" customHeight="1">
      <c r="A21" s="248" t="n"/>
      <c r="B21" s="284" t="inlineStr">
        <is>
          <t>TOTAL BIAYA LANGSUNG</t>
        </is>
      </c>
      <c r="C21" s="285" t="n"/>
      <c r="D21" s="286" t="inlineStr">
        <is>
          <t>Rp</t>
        </is>
      </c>
      <c r="E21" s="300">
        <f>SUM(E15:E20)</f>
        <v/>
      </c>
      <c r="F21" s="251" t="n"/>
      <c r="G21" s="279" t="n"/>
      <c r="H21" s="298" t="n"/>
      <c r="I21" s="301" t="n"/>
      <c r="J21" s="302" t="n"/>
    </row>
    <row r="22" ht="14.25" customHeight="1">
      <c r="A22" s="248" t="n"/>
      <c r="B22" s="274" t="n"/>
      <c r="C22" s="267" t="n"/>
      <c r="D22" s="268" t="n"/>
      <c r="E22" s="303" t="n"/>
      <c r="F22" s="251" t="n"/>
      <c r="G22" s="293" t="n"/>
      <c r="H22" s="294" t="inlineStr">
        <is>
          <t>TOTAL AKTIVA TETAP</t>
        </is>
      </c>
      <c r="I22" s="286" t="inlineStr">
        <is>
          <t>Rp</t>
        </is>
      </c>
      <c r="J22" s="295">
        <f>J20</f>
        <v/>
      </c>
    </row>
    <row r="23" ht="14.25" customHeight="1">
      <c r="A23" s="248" t="n"/>
      <c r="B23" s="289" t="inlineStr">
        <is>
          <t>BEBAN TIDAK LANGSUNG</t>
        </is>
      </c>
      <c r="C23" s="267" t="n"/>
      <c r="D23" s="274" t="n"/>
      <c r="E23" s="290">
        <f>'Revenue-Cost_2024'!Q750</f>
        <v/>
      </c>
      <c r="F23" s="251" t="n"/>
      <c r="G23" s="279" t="n"/>
      <c r="H23" s="280" t="n"/>
      <c r="I23" s="296" t="n"/>
      <c r="J23" s="273" t="n"/>
    </row>
    <row r="24" ht="14.25" customHeight="1">
      <c r="A24" s="248" t="n"/>
      <c r="B24" s="274" t="n"/>
      <c r="C24" s="267" t="n"/>
      <c r="D24" s="274" t="n"/>
      <c r="E24" s="290" t="n"/>
      <c r="F24" s="251" t="n"/>
      <c r="G24" s="276" t="inlineStr">
        <is>
          <t>ACTIVA LAIN LAIN</t>
        </is>
      </c>
      <c r="H24" s="298" t="n"/>
      <c r="I24" s="270" t="n"/>
      <c r="J24" s="281" t="n">
        <v>0</v>
      </c>
    </row>
    <row r="25" ht="14.25" customHeight="1">
      <c r="A25" s="248" t="n"/>
      <c r="B25" s="274" t="n"/>
      <c r="C25" s="267" t="n"/>
      <c r="D25" s="274" t="inlineStr">
        <is>
          <t>Rp</t>
        </is>
      </c>
      <c r="E25" s="290" t="n"/>
      <c r="F25" s="251" t="n"/>
      <c r="G25" s="279" t="n"/>
      <c r="H25" s="280" t="n"/>
      <c r="I25" s="304" t="n"/>
      <c r="J25" s="305" t="n"/>
    </row>
    <row r="26" ht="14.25" customHeight="1">
      <c r="A26" s="248" t="n"/>
      <c r="B26" s="274" t="n"/>
      <c r="C26" s="267" t="n"/>
      <c r="D26" s="282" t="n"/>
      <c r="E26" s="299" t="n"/>
      <c r="F26" s="251" t="n"/>
      <c r="G26" s="293" t="n"/>
      <c r="H26" s="294" t="inlineStr">
        <is>
          <t>TOTAL AKTIVA LAIN LAIN</t>
        </is>
      </c>
      <c r="I26" s="286" t="inlineStr">
        <is>
          <t>Rp</t>
        </is>
      </c>
      <c r="J26" s="295">
        <f>SUM(J25:J25)</f>
        <v/>
      </c>
    </row>
    <row r="27" ht="14.25" customHeight="1">
      <c r="A27" s="248" t="n"/>
      <c r="B27" s="284" t="inlineStr">
        <is>
          <t>TOTAL BIAYA TIDAK LANGSUNG</t>
        </is>
      </c>
      <c r="C27" s="285" t="n"/>
      <c r="D27" s="286" t="inlineStr">
        <is>
          <t>Rp</t>
        </is>
      </c>
      <c r="E27" s="300">
        <f>SUM(E22:E26)</f>
        <v/>
      </c>
      <c r="F27" s="251" t="n"/>
      <c r="G27" s="279" t="n"/>
      <c r="H27" s="280" t="n"/>
      <c r="I27" s="306" t="n"/>
      <c r="J27" s="307" t="n"/>
    </row>
    <row r="28" ht="14.25" customHeight="1">
      <c r="A28" s="248" t="n"/>
      <c r="B28" s="274" t="n"/>
      <c r="C28" s="267" t="n"/>
      <c r="D28" s="268" t="n"/>
      <c r="E28" s="303" t="n"/>
      <c r="F28" s="251" t="n"/>
      <c r="G28" s="284" t="inlineStr">
        <is>
          <t>TOTAL AKTIVA</t>
        </is>
      </c>
      <c r="H28" s="285" t="n"/>
      <c r="I28" s="286" t="inlineStr">
        <is>
          <t>Rp</t>
        </is>
      </c>
      <c r="J28" s="308">
        <f>J26+J22+J16</f>
        <v/>
      </c>
    </row>
    <row r="29" ht="14.25" customHeight="1">
      <c r="A29" s="248" t="n"/>
      <c r="B29" s="289" t="inlineStr">
        <is>
          <t>BIAYA ADMINISTRASI DAN UMUM</t>
        </is>
      </c>
      <c r="C29" s="267" t="n"/>
      <c r="D29" s="274" t="n"/>
      <c r="E29" s="290" t="n"/>
      <c r="F29" s="251" t="n"/>
      <c r="G29" s="309" t="n"/>
      <c r="H29" s="310" t="n"/>
      <c r="I29" s="309" t="n"/>
      <c r="J29" s="297" t="n"/>
    </row>
    <row r="30" ht="14.25" customHeight="1">
      <c r="A30" s="248" t="n"/>
      <c r="B30" s="291" t="n"/>
      <c r="C30" s="267" t="inlineStr">
        <is>
          <t>BIAYA ADMINISTRASI</t>
        </is>
      </c>
      <c r="D30" s="274" t="inlineStr">
        <is>
          <t>Rp</t>
        </is>
      </c>
      <c r="E30" s="290">
        <f>'Revenue-Cost_2024'!M750</f>
        <v/>
      </c>
      <c r="F30" s="251" t="n"/>
      <c r="G30" s="311" t="inlineStr">
        <is>
          <t>HUTANG DAN MODAL</t>
        </is>
      </c>
      <c r="H30" s="271" t="n"/>
      <c r="I30" s="311" t="n"/>
      <c r="J30" s="312" t="n"/>
    </row>
    <row r="31" ht="14.25" customHeight="1">
      <c r="A31" s="248" t="n"/>
      <c r="B31" s="291" t="n"/>
      <c r="C31" s="267" t="inlineStr">
        <is>
          <t>BIAYA PEMBELIAN Barang</t>
        </is>
      </c>
      <c r="D31" s="274" t="inlineStr">
        <is>
          <t>Rp</t>
        </is>
      </c>
      <c r="E31" s="290">
        <f>'Revenue-Cost_2024'!N750</f>
        <v/>
      </c>
      <c r="F31" s="251" t="n"/>
      <c r="G31" s="311" t="n"/>
      <c r="H31" s="271" t="n"/>
      <c r="I31" s="311" t="n"/>
      <c r="J31" s="312" t="n"/>
    </row>
    <row r="32" ht="14.25" customHeight="1">
      <c r="A32" s="248" t="n"/>
      <c r="B32" s="291" t="n"/>
      <c r="C32" s="267" t="inlineStr">
        <is>
          <t>BIAYA SEWA KANTOR</t>
        </is>
      </c>
      <c r="D32" s="274" t="inlineStr">
        <is>
          <t>Rp</t>
        </is>
      </c>
      <c r="E32" s="290">
        <f>'Revenue-Cost_2024'!O750</f>
        <v/>
      </c>
      <c r="F32" s="251" t="n"/>
      <c r="G32" s="276" t="inlineStr">
        <is>
          <t>HUTANG LANCAR</t>
        </is>
      </c>
      <c r="H32" s="277" t="n"/>
      <c r="I32" s="276" t="n"/>
      <c r="J32" s="278" t="n"/>
    </row>
    <row r="33" ht="14.25" customHeight="1">
      <c r="A33" s="248" t="n"/>
      <c r="B33" s="291" t="n"/>
      <c r="C33" s="267" t="inlineStr">
        <is>
          <t>BIAYA KESEHATAN</t>
        </is>
      </c>
      <c r="D33" s="274" t="inlineStr">
        <is>
          <t>Rp</t>
        </is>
      </c>
      <c r="E33" s="290">
        <f>'Revenue-Cost_2024'!P750</f>
        <v/>
      </c>
      <c r="F33" s="251" t="n"/>
      <c r="G33" s="279" t="n"/>
      <c r="H33" s="280" t="inlineStr">
        <is>
          <t>HUTANG USAHA</t>
        </is>
      </c>
      <c r="I33" s="274" t="inlineStr">
        <is>
          <t>Rp</t>
        </is>
      </c>
      <c r="J33" s="281" t="n">
        <v>0</v>
      </c>
    </row>
    <row r="34" ht="14.25" customHeight="1">
      <c r="A34" s="248" t="n"/>
      <c r="B34" s="291" t="n"/>
      <c r="C34" s="267" t="n"/>
      <c r="D34" s="282" t="n"/>
      <c r="E34" s="299" t="n"/>
      <c r="F34" s="251" t="n"/>
      <c r="G34" s="279" t="n"/>
      <c r="H34" s="313" t="inlineStr">
        <is>
          <t>HUTANG GAJI</t>
        </is>
      </c>
      <c r="I34" s="274" t="inlineStr">
        <is>
          <t>Rp</t>
        </is>
      </c>
      <c r="J34" s="281" t="n">
        <v>0</v>
      </c>
    </row>
    <row r="35" ht="14.25" customHeight="1">
      <c r="A35" s="248" t="n"/>
      <c r="B35" s="284" t="inlineStr">
        <is>
          <t>TOTAL BIAYA ADMINISTRASI DAN UMUM</t>
        </is>
      </c>
      <c r="C35" s="285" t="n"/>
      <c r="D35" s="286" t="inlineStr">
        <is>
          <t>Rp</t>
        </is>
      </c>
      <c r="E35" s="287">
        <f>SUM(E30:E34)</f>
        <v/>
      </c>
      <c r="F35" s="251" t="n"/>
      <c r="G35" s="279" t="n"/>
      <c r="H35" s="280" t="inlineStr">
        <is>
          <t>HUTANG PEMEGANG SAHAM</t>
        </is>
      </c>
      <c r="I35" s="274" t="inlineStr">
        <is>
          <t>Rp</t>
        </is>
      </c>
      <c r="J35" s="281" t="n">
        <v>0</v>
      </c>
    </row>
    <row r="36" ht="14.25" customHeight="1">
      <c r="A36" s="248" t="n"/>
      <c r="B36" s="291" t="n"/>
      <c r="C36" s="267" t="n"/>
      <c r="D36" s="286" t="n"/>
      <c r="E36" s="314" t="n"/>
      <c r="F36" s="251" t="n"/>
      <c r="G36" s="279" t="n"/>
      <c r="H36" s="280" t="inlineStr">
        <is>
          <t>BIAYA YANG MASIH HARUS DI BAYAR</t>
        </is>
      </c>
      <c r="I36" s="274" t="inlineStr">
        <is>
          <t>Rp</t>
        </is>
      </c>
      <c r="J36" s="281" t="n">
        <v>0</v>
      </c>
    </row>
    <row r="37" ht="14.25" customHeight="1">
      <c r="A37" s="248" t="n"/>
      <c r="B37" s="284" t="inlineStr">
        <is>
          <t>TOTAL BIAYA</t>
        </is>
      </c>
      <c r="C37" s="285" t="n"/>
      <c r="D37" s="286" t="inlineStr">
        <is>
          <t>Rp</t>
        </is>
      </c>
      <c r="E37" s="287">
        <f>E35+E21+E27</f>
        <v/>
      </c>
      <c r="F37" s="251" t="n"/>
      <c r="G37" s="315" t="n"/>
      <c r="H37" s="316" t="n"/>
      <c r="I37" s="315" t="n"/>
      <c r="J37" s="317" t="n"/>
    </row>
    <row r="38" ht="14.25" customHeight="1">
      <c r="A38" s="248" t="n"/>
      <c r="B38" s="266" t="n"/>
      <c r="C38" s="318" t="n"/>
      <c r="D38" s="268" t="n"/>
      <c r="E38" s="319" t="n"/>
      <c r="F38" s="251" t="n"/>
      <c r="G38" s="293" t="n"/>
      <c r="H38" s="294" t="inlineStr">
        <is>
          <t>TOTAL HUTANG LANCAR</t>
        </is>
      </c>
      <c r="I38" s="320" t="n"/>
      <c r="J38" s="295">
        <f>SUM(J33:J36)</f>
        <v/>
      </c>
    </row>
    <row r="39" ht="14.25" customHeight="1">
      <c r="A39" s="248" t="n"/>
      <c r="B39" s="289" t="inlineStr">
        <is>
          <t xml:space="preserve">PENDAPATAN/BEBAN LAIN LAIN </t>
        </is>
      </c>
      <c r="C39" s="267" t="n"/>
      <c r="D39" s="274" t="inlineStr">
        <is>
          <t>Rp</t>
        </is>
      </c>
      <c r="E39" s="321" t="n"/>
      <c r="F39" s="251" t="n"/>
      <c r="G39" s="279" t="n"/>
      <c r="H39" s="298" t="n"/>
      <c r="I39" s="322" t="n"/>
      <c r="J39" s="273" t="n"/>
    </row>
    <row r="40" ht="14.25" customHeight="1">
      <c r="A40" s="248" t="n"/>
      <c r="B40" s="289" t="n"/>
      <c r="C40" s="267" t="inlineStr">
        <is>
          <t>PENDAPATAN LAINNYA</t>
        </is>
      </c>
      <c r="D40" s="274" t="inlineStr">
        <is>
          <t>Rp</t>
        </is>
      </c>
      <c r="E40" s="275" t="n">
        <v>0</v>
      </c>
      <c r="F40" s="251" t="n"/>
      <c r="G40" s="276" t="inlineStr">
        <is>
          <t>MODAL</t>
        </is>
      </c>
      <c r="H40" s="277" t="n"/>
      <c r="I40" s="276" t="n"/>
      <c r="J40" s="278" t="n"/>
    </row>
    <row r="41" ht="14.25" customHeight="1">
      <c r="A41" s="248" t="n"/>
      <c r="B41" s="289" t="n"/>
      <c r="C41" s="267" t="n"/>
      <c r="D41" s="282" t="n"/>
      <c r="E41" s="323" t="n"/>
      <c r="F41" s="251" t="n"/>
      <c r="G41" s="279" t="n"/>
      <c r="H41" s="280" t="inlineStr">
        <is>
          <t>MODAL SAHAM</t>
        </is>
      </c>
      <c r="I41" s="274" t="inlineStr">
        <is>
          <t>Rp</t>
        </is>
      </c>
      <c r="J41" s="281" t="n">
        <v>0</v>
      </c>
    </row>
    <row r="42" ht="14.25" customHeight="1">
      <c r="A42" s="248" t="n"/>
      <c r="B42" s="284" t="inlineStr">
        <is>
          <t>LABA RUGI SEBELUM PAJAK</t>
        </is>
      </c>
      <c r="C42" s="285" t="n"/>
      <c r="D42" s="286" t="inlineStr">
        <is>
          <t>Rp</t>
        </is>
      </c>
      <c r="E42" s="287">
        <f>E12-E37</f>
        <v/>
      </c>
      <c r="F42" s="251" t="n"/>
      <c r="G42" s="279" t="n"/>
      <c r="H42" s="280" t="inlineStr">
        <is>
          <t>LABA DI TAHAN</t>
        </is>
      </c>
      <c r="I42" s="274" t="inlineStr">
        <is>
          <t>Rp</t>
        </is>
      </c>
      <c r="J42" s="281" t="n">
        <v>0</v>
      </c>
    </row>
    <row r="43" ht="14.25" customHeight="1">
      <c r="A43" s="248" t="n"/>
      <c r="B43" s="324" t="n"/>
      <c r="C43" s="318" t="n"/>
      <c r="D43" s="268" t="n"/>
      <c r="E43" s="288" t="n"/>
      <c r="F43" s="251" t="n"/>
      <c r="G43" s="276" t="n"/>
      <c r="H43" s="280" t="inlineStr">
        <is>
          <t>TOTAL LABA (RUGI) DITAHAN</t>
        </is>
      </c>
      <c r="I43" s="282" t="inlineStr">
        <is>
          <t>Rp</t>
        </is>
      </c>
      <c r="J43" s="305">
        <f>J28</f>
        <v/>
      </c>
    </row>
    <row r="44" ht="14.25" customHeight="1">
      <c r="A44" s="248" t="n"/>
      <c r="B44" s="289" t="inlineStr">
        <is>
          <t>CORPORATE TAX (PPh 29)</t>
        </is>
      </c>
      <c r="D44" s="274" t="inlineStr">
        <is>
          <t>Rp</t>
        </is>
      </c>
      <c r="E44" s="275" t="n">
        <v>0.1</v>
      </c>
      <c r="F44" s="251" t="n"/>
      <c r="G44" s="293" t="n"/>
      <c r="H44" s="294" t="inlineStr">
        <is>
          <t>TOTAL MODAL</t>
        </is>
      </c>
      <c r="I44" s="286" t="inlineStr">
        <is>
          <t>Rp</t>
        </is>
      </c>
      <c r="J44" s="295">
        <f>SUM(J41:J43)</f>
        <v/>
      </c>
    </row>
    <row r="45" ht="14.25" customHeight="1">
      <c r="A45" s="248" t="n"/>
      <c r="B45" s="289" t="n"/>
      <c r="C45" s="267" t="n"/>
      <c r="D45" s="282" t="n"/>
      <c r="E45" s="323" t="n"/>
      <c r="F45" s="251" t="n"/>
      <c r="G45" s="279" t="n"/>
      <c r="H45" s="280" t="n"/>
      <c r="I45" s="306" t="n"/>
      <c r="J45" s="307" t="n"/>
    </row>
    <row r="46" ht="14.65" customHeight="1">
      <c r="A46" s="248" t="n"/>
      <c r="B46" s="325" t="inlineStr">
        <is>
          <t>LABA / RUGI BERSIH</t>
        </is>
      </c>
      <c r="C46" s="326" t="n"/>
      <c r="D46" s="327" t="n"/>
      <c r="E46" s="328">
        <f>E42-E44</f>
        <v/>
      </c>
      <c r="F46" s="251" t="n"/>
      <c r="G46" s="329" t="inlineStr">
        <is>
          <t>TOTAL HUTANG DAN MODAL</t>
        </is>
      </c>
      <c r="H46" s="330" t="n"/>
      <c r="I46" s="327" t="inlineStr">
        <is>
          <t>Rp</t>
        </is>
      </c>
      <c r="J46" s="331">
        <f>J44+J38</f>
        <v/>
      </c>
    </row>
    <row r="47" ht="4.5" customHeight="1">
      <c r="A47" s="248" t="n"/>
      <c r="F47" s="251" t="n"/>
    </row>
    <row r="48" ht="50.65" customHeight="1">
      <c r="A48" s="248" t="n"/>
      <c r="F48" s="251" t="n"/>
      <c r="G48" s="332" t="n"/>
    </row>
    <row r="49" ht="16.8" customHeight="1">
      <c r="A49" s="248" t="n"/>
      <c r="B49" s="333" t="inlineStr">
        <is>
          <t>Anevril Chairulsyah</t>
        </is>
      </c>
      <c r="F49" s="251" t="n"/>
      <c r="G49" s="333" t="inlineStr">
        <is>
          <t>Anevril Chairulsyah</t>
        </is>
      </c>
    </row>
    <row r="50" ht="15.6" customHeight="1">
      <c r="A50" s="267" t="n"/>
      <c r="B50" s="334" t="inlineStr">
        <is>
          <t>Direktur</t>
        </is>
      </c>
      <c r="F50" s="251" t="n"/>
      <c r="G50" s="334" t="inlineStr">
        <is>
          <t>Direktur</t>
        </is>
      </c>
    </row>
    <row r="51" ht="14.25" customHeight="1">
      <c r="A51" s="267" t="n"/>
      <c r="F51" s="251" t="n"/>
    </row>
    <row r="52" ht="14.25" customHeight="1">
      <c r="A52" s="267" t="n"/>
      <c r="F52" s="251" t="n"/>
      <c r="J52" s="335" t="n"/>
    </row>
    <row r="96" ht="64.5" customHeight="1"/>
  </sheetData>
  <mergeCells count="11">
    <mergeCell ref="D6:E6"/>
    <mergeCell ref="B49:E49"/>
    <mergeCell ref="B50:E50"/>
    <mergeCell ref="D7:E7"/>
    <mergeCell ref="B4:E4"/>
    <mergeCell ref="I6:J6"/>
    <mergeCell ref="G49:J49"/>
    <mergeCell ref="I7:J7"/>
    <mergeCell ref="B46:C46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ColWidth="9.1328125" defaultRowHeight="12.75"/>
  <cols>
    <col width="1.1328125" customWidth="1" min="1" max="1"/>
    <col width="5.53125" customWidth="1" min="2" max="2"/>
    <col width="40.796875" customWidth="1" min="3" max="3"/>
    <col width="3.6640625" customWidth="1" min="4" max="4"/>
    <col width="20.19921875" customWidth="1" min="5" max="5"/>
    <col width="1.1328125" customWidth="1" min="6" max="6"/>
    <col width="9.1328125" customWidth="1" min="7" max="7"/>
  </cols>
  <sheetData>
    <row r="1" ht="15" customHeight="1">
      <c r="A1" s="248" t="n"/>
      <c r="B1" s="248" t="n"/>
      <c r="C1" s="248" t="n"/>
      <c r="D1" s="248" t="n"/>
      <c r="E1" s="249" t="n"/>
    </row>
    <row r="2" ht="37.25" customHeight="1">
      <c r="A2" s="248" t="n"/>
      <c r="B2" s="248" t="n"/>
      <c r="C2" s="248" t="n"/>
      <c r="D2" s="248" t="n"/>
      <c r="E2" s="249" t="n"/>
    </row>
    <row r="3" ht="33.6" customHeight="1">
      <c r="A3" s="248" t="n"/>
      <c r="B3" s="250" t="inlineStr">
        <is>
          <t>PT. EXSPAN WIRELINE INDONESIA</t>
        </is>
      </c>
      <c r="F3" s="251" t="n"/>
    </row>
    <row r="4" ht="20.45" customHeight="1">
      <c r="A4" s="248" t="n"/>
      <c r="B4" s="253" t="inlineStr">
        <is>
          <t>BUSINESS SUMMARY | TAHUN 2024</t>
        </is>
      </c>
      <c r="F4" s="251" t="n"/>
    </row>
    <row r="5" ht="6" customHeight="1">
      <c r="A5" s="248" t="n"/>
      <c r="B5" s="248" t="n"/>
      <c r="C5" s="248" t="n"/>
      <c r="D5" s="248" t="n"/>
      <c r="E5" s="249" t="n"/>
      <c r="F5" s="251" t="n"/>
    </row>
    <row r="6" ht="18" customHeight="1">
      <c r="A6" s="248" t="n"/>
      <c r="B6" s="336" t="inlineStr">
        <is>
          <t>#</t>
        </is>
      </c>
      <c r="C6" s="336" t="inlineStr">
        <is>
          <t>Items</t>
        </is>
      </c>
      <c r="D6" s="337" t="inlineStr">
        <is>
          <t>Amount</t>
        </is>
      </c>
      <c r="E6" s="227" t="n"/>
      <c r="F6" s="251" t="n"/>
    </row>
    <row r="7" ht="18" customHeight="1">
      <c r="A7" s="248" t="n"/>
      <c r="B7" s="338" t="n">
        <v>1</v>
      </c>
      <c r="C7" s="339" t="inlineStr">
        <is>
          <t>Revenue</t>
        </is>
      </c>
      <c r="D7" s="340" t="inlineStr">
        <is>
          <t>Rp</t>
        </is>
      </c>
      <c r="E7" s="341">
        <f>'Revenue-Cost_2024'!F22</f>
        <v/>
      </c>
      <c r="F7" s="251" t="n"/>
    </row>
    <row r="8" ht="18" customHeight="1">
      <c r="A8" s="248" t="n"/>
      <c r="B8" s="338" t="n">
        <v>2</v>
      </c>
      <c r="C8" s="339" t="inlineStr">
        <is>
          <t>Revenue Diterima (Setelah Pajak)</t>
        </is>
      </c>
      <c r="D8" s="340" t="inlineStr">
        <is>
          <t>Rp</t>
        </is>
      </c>
      <c r="E8" s="341">
        <f>E7-'Revenue-Cost_2024'!N22</f>
        <v/>
      </c>
      <c r="F8" s="251" t="n"/>
    </row>
    <row r="9" ht="18" customHeight="1">
      <c r="A9" s="248" t="n"/>
      <c r="B9" s="338" t="n">
        <v>3</v>
      </c>
      <c r="C9" s="339" t="inlineStr">
        <is>
          <t>Biaya</t>
        </is>
      </c>
      <c r="D9" s="340" t="inlineStr">
        <is>
          <t>Rp</t>
        </is>
      </c>
      <c r="E9" s="341">
        <f>SUM('Revenue-Cost_2024'!I750:Q750)</f>
        <v/>
      </c>
      <c r="F9" s="251" t="n"/>
    </row>
    <row r="10" ht="18" customHeight="1">
      <c r="A10" s="248" t="n"/>
      <c r="B10" s="338" t="n">
        <v>4</v>
      </c>
      <c r="C10" s="339" t="inlineStr">
        <is>
          <t>Profit SebelumTax</t>
        </is>
      </c>
      <c r="D10" s="340" t="inlineStr">
        <is>
          <t>Rp</t>
        </is>
      </c>
      <c r="E10" s="341">
        <f>E7-E9</f>
        <v/>
      </c>
      <c r="F10" s="251" t="n"/>
    </row>
    <row r="11" ht="18" customHeight="1">
      <c r="A11" s="248" t="n"/>
      <c r="B11" s="338" t="n">
        <v>5</v>
      </c>
      <c r="C11" s="339" t="inlineStr">
        <is>
          <t>PPh Badan (22%*50%)</t>
        </is>
      </c>
      <c r="D11" s="340" t="inlineStr">
        <is>
          <t>Rp</t>
        </is>
      </c>
      <c r="E11" s="341">
        <f>E10*22%*50%</f>
        <v/>
      </c>
      <c r="F11" s="251" t="n"/>
    </row>
    <row r="12" ht="18" customHeight="1">
      <c r="A12" s="248" t="n"/>
      <c r="B12" s="338" t="n">
        <v>6</v>
      </c>
      <c r="C12" s="339" t="inlineStr">
        <is>
          <t>PPh 23 Dipotong oleh client</t>
        </is>
      </c>
      <c r="D12" s="340" t="inlineStr">
        <is>
          <t>Rp</t>
        </is>
      </c>
      <c r="E12" s="341">
        <f>'Revenue-Cost_2024'!N22</f>
        <v/>
      </c>
      <c r="F12" s="251" t="n"/>
    </row>
    <row r="13" ht="18" customHeight="1">
      <c r="A13" s="248" t="n"/>
      <c r="B13" s="338" t="n">
        <v>7</v>
      </c>
      <c r="C13" s="339" t="inlineStr">
        <is>
          <t>Kekurangan Bayar PPh Badan</t>
        </is>
      </c>
      <c r="D13" s="340" t="inlineStr">
        <is>
          <t>Rp</t>
        </is>
      </c>
      <c r="E13" s="342">
        <f>E11-E12</f>
        <v/>
      </c>
      <c r="F13" s="251" t="n"/>
    </row>
    <row r="14" ht="18" customHeight="1">
      <c r="A14" s="248" t="n"/>
      <c r="B14" s="338" t="n">
        <v>8</v>
      </c>
      <c r="C14" s="339" t="inlineStr">
        <is>
          <t>Profit After Tax</t>
        </is>
      </c>
      <c r="D14" s="340" t="inlineStr">
        <is>
          <t>Rp</t>
        </is>
      </c>
      <c r="E14" s="341">
        <f>E10-E13</f>
        <v/>
      </c>
      <c r="F14" s="251" t="n"/>
    </row>
    <row r="15" ht="18" customHeight="1">
      <c r="A15" s="248" t="n"/>
      <c r="B15" s="338" t="n">
        <v>9</v>
      </c>
      <c r="C15" s="339" t="inlineStr">
        <is>
          <t>Deviden Dibagi</t>
        </is>
      </c>
      <c r="D15" s="340" t="inlineStr">
        <is>
          <t>Rp</t>
        </is>
      </c>
      <c r="E15" s="341" t="n">
        <v>858000000</v>
      </c>
      <c r="F15" s="251" t="n"/>
    </row>
    <row r="16" ht="18" customHeight="1">
      <c r="A16" s="248" t="n"/>
      <c r="B16" s="338" t="n">
        <v>10</v>
      </c>
      <c r="C16" s="339" t="inlineStr">
        <is>
          <t>Profit Ditahan</t>
        </is>
      </c>
      <c r="D16" s="340" t="inlineStr">
        <is>
          <t>Rp</t>
        </is>
      </c>
      <c r="E16" s="341">
        <f>E14-E15</f>
        <v/>
      </c>
      <c r="F16" s="251" t="n"/>
    </row>
    <row r="17" ht="13.9" customHeight="1">
      <c r="A17" s="248" t="n"/>
      <c r="B17" s="248" t="n"/>
      <c r="C17" s="248" t="n"/>
      <c r="D17" s="248" t="n"/>
      <c r="E17" s="249" t="n"/>
      <c r="F17" s="251" t="n"/>
    </row>
    <row r="18" ht="17.65" customHeight="1">
      <c r="A18" s="248" t="n"/>
      <c r="B18" s="343" t="inlineStr">
        <is>
          <t>DEVIDEN</t>
        </is>
      </c>
      <c r="F18" s="251" t="n"/>
    </row>
    <row r="19" ht="18" customHeight="1">
      <c r="A19" s="248" t="n"/>
      <c r="B19" s="344" t="n">
        <v>1</v>
      </c>
      <c r="C19" s="345" t="inlineStr">
        <is>
          <t>Alan Muhadjir</t>
        </is>
      </c>
      <c r="D19" s="339" t="inlineStr">
        <is>
          <t>Rp</t>
        </is>
      </c>
      <c r="E19" s="346">
        <f>E15/2</f>
        <v/>
      </c>
      <c r="F19" s="251" t="n"/>
      <c r="G19" s="347" t="inlineStr">
        <is>
          <t>Pajak 10%</t>
        </is>
      </c>
    </row>
    <row r="20" ht="18" customHeight="1">
      <c r="A20" s="248" t="n"/>
      <c r="B20" s="344" t="n">
        <v>2</v>
      </c>
      <c r="C20" s="345" t="inlineStr">
        <is>
          <t>Anevril Chairulsyah</t>
        </is>
      </c>
      <c r="D20" s="339" t="inlineStr">
        <is>
          <t>Rp</t>
        </is>
      </c>
      <c r="E20" s="346">
        <f>E15/2</f>
        <v/>
      </c>
      <c r="F20" s="251" t="n"/>
      <c r="G20" s="347" t="inlineStr">
        <is>
          <t>Pajak 10%</t>
        </is>
      </c>
    </row>
    <row r="21" ht="48.75" customHeight="1">
      <c r="A21" s="267" t="n"/>
      <c r="F21" s="251" t="n"/>
    </row>
    <row r="22" ht="14.25" customHeight="1">
      <c r="A22" s="267" t="n"/>
      <c r="F22" s="251" t="n"/>
    </row>
    <row r="63" ht="64.5" customHeight="1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2026-03-04T16:07:13Z</dcterms:modified>
  <cp:lastModifiedBy>Diofavian - Student</cp:lastModifiedBy>
</cp:coreProperties>
</file>