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65" fontId="8" fillId="0" borderId="20" applyAlignment="1" pivotButton="0" quotePrefix="0" xfId="0">
      <alignment vertical="top"/>
    </xf>
    <xf numFmtId="15" fontId="36" fillId="12" borderId="20" applyAlignment="1" pivotButton="0" quotePrefix="0" xfId="0">
      <alignment horizontal="right" vertic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5" fontId="10" fillId="12" borderId="20" pivotButton="0" quotePrefix="0" xfId="2"/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left" vertical="center"/>
    </xf>
    <xf numFmtId="167" fontId="8" fillId="12" borderId="20" pivotButton="0" quotePrefix="0" xfId="0"/>
    <xf numFmtId="15" fontId="10" fillId="11" borderId="20" applyAlignment="1" pivotButton="0" quotePrefix="0" xfId="0">
      <alignment horizontal="right"/>
    </xf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5" fontId="10" fillId="12" borderId="20" pivotButton="0" quotePrefix="0" xfId="1"/>
    <xf numFmtId="167" fontId="8" fillId="11" borderId="20" pivotButton="0" quotePrefix="0" xfId="0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3" fontId="10" fillId="12" borderId="20" pivotButton="0" quotePrefix="0" xfId="0"/>
    <xf numFmtId="164" fontId="8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 wrapText="1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0" fillId="12" borderId="20" applyAlignment="1" pivotButton="0" quotePrefix="0" xfId="0">
      <alignment horizontal="left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0" fontId="17" fillId="11" borderId="20" applyAlignment="1" pivotButton="0" quotePrefix="0" xfId="0">
      <alignment horizontal="left" vertical="center"/>
    </xf>
    <xf numFmtId="0" fontId="10" fillId="0" borderId="20" pivotButton="0" quotePrefix="0" xfId="0"/>
    <xf numFmtId="0" fontId="8" fillId="0" borderId="20" applyAlignment="1" pivotButton="0" quotePrefix="0" xfId="0">
      <alignment horizontal="left" vertical="center" wrapText="1"/>
    </xf>
    <xf numFmtId="0" fontId="36" fillId="12" borderId="20" applyAlignment="1" pivotButton="0" quotePrefix="0" xfId="0">
      <alignment horizontal="left" vertical="center" wrapText="1"/>
    </xf>
    <xf numFmtId="0" fontId="8" fillId="12" borderId="20" applyAlignment="1" pivotButton="0" quotePrefix="0" xfId="0">
      <alignment horizontal="left" vertical="center" wrapText="1"/>
    </xf>
    <xf numFmtId="3" fontId="10" fillId="12" borderId="20" pivotButton="0" quotePrefix="0" xfId="1"/>
    <xf numFmtId="0" fontId="8" fillId="11" borderId="20" applyAlignment="1" pivotButton="0" quotePrefix="0" xfId="0">
      <alignment horizontal="left" vertical="center" wrapText="1"/>
    </xf>
    <xf numFmtId="0" fontId="8" fillId="5" borderId="20" pivotButton="0" quotePrefix="0" xfId="0"/>
    <xf numFmtId="0" fontId="8" fillId="5" borderId="20" applyAlignment="1" pivotButton="0" quotePrefix="0" xfId="0">
      <alignment horizontal="center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/>
    </xf>
    <xf numFmtId="165" fontId="8" fillId="5" borderId="20" pivotButton="0" quotePrefix="0" xfId="0"/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8" fillId="11" borderId="20" pivotButton="0" quotePrefix="0" xfId="0"/>
    <xf numFmtId="165" fontId="10" fillId="0" borderId="20" pivotButton="0" quotePrefix="0" xfId="2"/>
    <xf numFmtId="15" fontId="10" fillId="0" borderId="20" pivotButton="0" quotePrefix="0" xfId="0"/>
    <xf numFmtId="0" fontId="17" fillId="0" borderId="20" pivotButton="0" quotePrefix="0" xfId="0"/>
    <xf numFmtId="3" fontId="8" fillId="11" borderId="20" pivotButton="0" quotePrefix="0" xfId="1"/>
    <xf numFmtId="0" fontId="18" fillId="0" borderId="20" applyAlignment="1" pivotButton="0" quotePrefix="0" xfId="0">
      <alignment horizontal="left" vertical="center"/>
    </xf>
    <xf numFmtId="0" fontId="19" fillId="0" borderId="20" pivotButton="0" quotePrefix="0" xfId="0"/>
    <xf numFmtId="0" fontId="18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0" fontId="10" fillId="12" borderId="20" applyAlignment="1" pivotButton="0" quotePrefix="0" xfId="0">
      <alignment horizontal="left" vertical="center" wrapText="1"/>
    </xf>
    <xf numFmtId="176" fontId="10" fillId="12" borderId="20" applyAlignment="1" pivotButton="0" quotePrefix="0" xfId="0">
      <alignment horizontal="right"/>
    </xf>
    <xf numFmtId="15" fontId="36" fillId="12" borderId="20" pivotButton="0" quotePrefix="0" xfId="0"/>
    <xf numFmtId="176" fontId="10" fillId="12" borderId="20" pivotButton="0" quotePrefix="0" xfId="0"/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0" fontId="17" fillId="0" borderId="20" applyAlignment="1" pivotButton="0" quotePrefix="0" xfId="0">
      <alignment horizontal="left" vertical="center"/>
    </xf>
    <xf numFmtId="0" fontId="17" fillId="12" borderId="20" applyAlignment="1" pivotButton="0" quotePrefix="0" xfId="0">
      <alignment horizontal="left"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0">
      <alignment horizont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5" fontId="11" fillId="0" borderId="20" pivotButton="0" quotePrefix="0" xfId="1"/>
    <xf numFmtId="3" fontId="11" fillId="11" borderId="20" pivotButton="0" quotePrefix="0" xfId="1"/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3" fontId="11" fillId="12" borderId="20" pivotButton="0" quotePrefix="0" xfId="1"/>
    <xf numFmtId="165" fontId="11" fillId="12" borderId="20" pivotButton="0" quotePrefix="0" xfId="1"/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15" fontId="11" fillId="11" borderId="20" applyAlignment="1" pivotButton="0" quotePrefix="0" xfId="0">
      <alignment horizontal="right" vertical="center"/>
    </xf>
    <xf numFmtId="0" fontId="19" fillId="11" borderId="20" applyAlignment="1" pivotButton="0" quotePrefix="0" xfId="0">
      <alignment horizontal="left" vertical="center"/>
    </xf>
    <xf numFmtId="177" fontId="8" fillId="11" borderId="20" applyAlignment="1" pivotButton="0" quotePrefix="0" xfId="0">
      <alignment horizontal="left"/>
    </xf>
    <xf numFmtId="0" fontId="16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left"/>
    </xf>
    <xf numFmtId="0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/>
    </xf>
    <xf numFmtId="0" fontId="8" fillId="0" borderId="20" applyAlignment="1" pivotButton="0" quotePrefix="0" xfId="0">
      <alignment horizontal="center"/>
    </xf>
    <xf numFmtId="165" fontId="8" fillId="0" borderId="20" applyAlignment="1" pivotButton="0" quotePrefix="0" xfId="0">
      <alignment vertical="center"/>
    </xf>
    <xf numFmtId="165" fontId="8" fillId="5" borderId="20" applyAlignment="1" pivotButton="0" quotePrefix="0" xfId="0">
      <alignment vertical="center"/>
    </xf>
    <xf numFmtId="164" fontId="10" fillId="5" borderId="20" applyAlignment="1" pivotButton="0" quotePrefix="0" xfId="0">
      <alignment horizontal="left"/>
    </xf>
    <xf numFmtId="15" fontId="16" fillId="12" borderId="20" pivotButton="0" quotePrefix="0" xfId="0"/>
    <xf numFmtId="165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15" fontId="36" fillId="12" borderId="20" applyAlignment="1" pivotButton="0" quotePrefix="0" xfId="0">
      <alignment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0" fontId="10" fillId="11" borderId="20" applyAlignment="1" pivotButton="0" quotePrefix="0" xfId="0">
      <alignment horizontal="left" vertical="top" wrapText="1"/>
    </xf>
    <xf numFmtId="15" fontId="16" fillId="11" borderId="20" pivotButton="0" quotePrefix="0" xfId="0"/>
    <xf numFmtId="15" fontId="36" fillId="11" borderId="20" pivotButton="0" quotePrefix="0" xfId="0"/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36" fillId="11" borderId="20" applyAlignment="1" pivotButton="0" quotePrefix="0" xfId="0">
      <alignment vertical="top"/>
    </xf>
    <xf numFmtId="0" fontId="36" fillId="11" borderId="20" applyAlignment="1" pivotButton="0" quotePrefix="0" xfId="0">
      <alignment vertical="top" wrapText="1"/>
    </xf>
    <xf numFmtId="165" fontId="36" fillId="11" borderId="20" applyAlignment="1" pivotButton="0" quotePrefix="0" xfId="0">
      <alignment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45355</v>
      </c>
      <c r="C158" s="314" t="n">
        <v>10</v>
      </c>
      <c r="D158" s="367" t="inlineStr">
        <is>
          <t>Fuel</t>
        </is>
      </c>
      <c r="E158" s="367" t="n"/>
      <c r="F158" s="334" t="n">
        <v>200000</v>
      </c>
      <c r="G158" s="314" t="inlineStr">
        <is>
          <t>IDR</t>
        </is>
      </c>
      <c r="H158" s="345" t="n">
        <v>1</v>
      </c>
      <c r="I158" s="320" t="n"/>
      <c r="J158" s="329" t="n">
        <v>200000</v>
      </c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45358</v>
      </c>
      <c r="C159" s="314" t="n">
        <v>11</v>
      </c>
      <c r="D159" s="326" t="inlineStr">
        <is>
          <t>Toll Fee</t>
        </is>
      </c>
      <c r="E159" s="326" t="n"/>
      <c r="F159" s="334" t="n">
        <v>105000</v>
      </c>
      <c r="G159" s="314" t="inlineStr">
        <is>
          <t>IDR</t>
        </is>
      </c>
      <c r="H159" s="345" t="n">
        <v>1</v>
      </c>
      <c r="I159" s="319" t="n"/>
      <c r="J159" s="329" t="n">
        <v>105000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/>
      <c r="C160" s="314" t="n"/>
      <c r="D160" s="330" t="inlineStr">
        <is>
          <t>Transportation</t>
        </is>
      </c>
      <c r="E160" s="367" t="n"/>
      <c r="F160" s="332" t="n"/>
      <c r="G160" s="314" t="n"/>
      <c r="H160" s="314" t="n"/>
      <c r="I160" s="320" t="n"/>
      <c r="J160" s="320" t="n"/>
      <c r="K160" s="321" t="n"/>
      <c r="L160" s="321" t="n"/>
      <c r="M160" s="321" t="n"/>
      <c r="N160" s="321" t="n"/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idden="1" ht="15.5" customHeight="1" s="297">
      <c r="B161" s="368" t="n"/>
      <c r="C161" s="369" t="n"/>
      <c r="D161" s="378" t="n"/>
      <c r="E161" s="378" t="n"/>
      <c r="F161" s="371" t="n"/>
      <c r="G161" s="369" t="n"/>
      <c r="H161" s="379" t="n"/>
      <c r="I161" s="372" t="n"/>
      <c r="J161" s="372" t="n"/>
      <c r="K161" s="374" t="n"/>
      <c r="L161" s="374" t="n"/>
      <c r="M161" s="380" t="n"/>
      <c r="N161" s="374" t="n"/>
      <c r="O161" s="374" t="n"/>
      <c r="P161" s="374" t="n"/>
      <c r="Q161" s="374" t="n"/>
      <c r="R161" s="373" t="n"/>
      <c r="S161" s="373" t="n"/>
      <c r="T161" s="373" t="n"/>
      <c r="U161" s="373" t="n"/>
      <c r="V161" s="373" t="n"/>
      <c r="W161" s="373" t="n"/>
      <c r="X161" s="373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A181" s="346" t="n"/>
      <c r="B181" s="381" t="n"/>
      <c r="C181" s="375" t="n"/>
      <c r="D181" s="382" t="inlineStr">
        <is>
          <t>MCU RS PP _Titis Maulana</t>
        </is>
      </c>
      <c r="E181" s="383" t="n"/>
      <c r="F181" s="384" t="n"/>
      <c r="G181" s="375" t="n"/>
      <c r="H181" s="375" t="n"/>
      <c r="I181" s="364" t="n"/>
      <c r="J181" s="364" t="n"/>
      <c r="K181" s="377" t="n"/>
      <c r="L181" s="377" t="n"/>
      <c r="M181" s="377" t="n"/>
      <c r="N181" s="364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85" t="n">
        <v>45384</v>
      </c>
      <c r="C182" s="386" t="n">
        <v>1</v>
      </c>
      <c r="D182" s="387" t="inlineStr">
        <is>
          <t>MCU RS PP</t>
        </is>
      </c>
      <c r="E182" s="387" t="n"/>
      <c r="F182" s="338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A183" s="346" t="n"/>
      <c r="B183" s="357" t="n"/>
      <c r="C183" s="358" t="n"/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77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>
        <v>45402</v>
      </c>
      <c r="C184" s="314" t="n">
        <v>1</v>
      </c>
      <c r="D184" s="326" t="inlineStr">
        <is>
          <t>Laundry 5 days 1 Persons @ 50K IDR/day</t>
        </is>
      </c>
      <c r="E184" s="326" t="n"/>
      <c r="F184" s="323" t="n">
        <v>250000</v>
      </c>
      <c r="G184" s="314" t="inlineStr">
        <is>
          <t>IDR</t>
        </is>
      </c>
      <c r="H184" s="345" t="n">
        <v>1</v>
      </c>
      <c r="I184" s="320" t="n"/>
      <c r="J184" s="329" t="n">
        <v>250000</v>
      </c>
      <c r="K184" s="321" t="n"/>
      <c r="L184" s="321" t="n"/>
      <c r="M184" s="321" t="n"/>
      <c r="N184" s="321" t="n"/>
      <c r="O184" s="321" t="n"/>
      <c r="P184" s="320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85" t="n">
        <v>45402</v>
      </c>
      <c r="C185" s="386" t="n">
        <v>2</v>
      </c>
      <c r="D185" s="387" t="inlineStr">
        <is>
          <t>Meals 5 days 1 Persons @ 150K IDR/day</t>
        </is>
      </c>
      <c r="E185" s="387" t="n"/>
      <c r="F185" s="338" t="n">
        <v>750000</v>
      </c>
      <c r="G185" s="314" t="inlineStr">
        <is>
          <t>IDR</t>
        </is>
      </c>
      <c r="H185" s="345" t="n">
        <v>1</v>
      </c>
      <c r="I185" s="320" t="n"/>
      <c r="J185" s="329" t="n">
        <v>750000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/>
      <c r="C186" s="314" t="n"/>
      <c r="D186" s="315" t="inlineStr">
        <is>
          <t>Accommodation</t>
        </is>
      </c>
      <c r="E186" s="366" t="n"/>
      <c r="F186" s="332" t="n"/>
      <c r="G186" s="314" t="n"/>
      <c r="H186" s="314" t="n"/>
      <c r="I186" s="320" t="n"/>
      <c r="J186" s="320" t="n"/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45402</v>
      </c>
      <c r="C187" s="314" t="n">
        <v>3</v>
      </c>
      <c r="D187" s="326" t="inlineStr">
        <is>
          <t>Crews' Food</t>
        </is>
      </c>
      <c r="E187" s="326" t="n"/>
      <c r="F187" s="334" t="n">
        <v>160000</v>
      </c>
      <c r="G187" s="314" t="inlineStr">
        <is>
          <t>IDR</t>
        </is>
      </c>
      <c r="H187" s="345" t="n">
        <v>1</v>
      </c>
      <c r="I187" s="319" t="n"/>
      <c r="J187" s="329" t="n">
        <v>160000</v>
      </c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45385</v>
      </c>
      <c r="C188" s="314" t="n">
        <v>4</v>
      </c>
      <c r="D188" s="326" t="inlineStr">
        <is>
          <t>Send DTR Bintaro - Gowell</t>
        </is>
      </c>
      <c r="E188" s="326" t="n"/>
      <c r="F188" s="334" t="n">
        <v>38121</v>
      </c>
      <c r="G188" s="314" t="inlineStr">
        <is>
          <t>IDR</t>
        </is>
      </c>
      <c r="H188" s="345" t="n">
        <v>1</v>
      </c>
      <c r="I188" s="319" t="n"/>
      <c r="J188" s="329" t="n">
        <v>38121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Meal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45398</v>
      </c>
      <c r="C190" s="314" t="n">
        <v>5</v>
      </c>
      <c r="D190" s="326" t="inlineStr">
        <is>
          <t>Send QPS Gowell - TGE</t>
        </is>
      </c>
      <c r="E190" s="326" t="n"/>
      <c r="F190" s="334" t="n">
        <v>105879</v>
      </c>
      <c r="G190" s="314" t="inlineStr">
        <is>
          <t>IDR</t>
        </is>
      </c>
      <c r="H190" s="345" t="n">
        <v>1</v>
      </c>
      <c r="I190" s="320" t="n"/>
      <c r="J190" s="329" t="n">
        <v>105879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Shipping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45403</v>
      </c>
      <c r="C192" s="314" t="n">
        <v>6</v>
      </c>
      <c r="D192" s="326" t="inlineStr">
        <is>
          <t>Send ALFA Bintaro - Andara</t>
        </is>
      </c>
      <c r="E192" s="326" t="n"/>
      <c r="F192" s="334" t="n">
        <v>39654</v>
      </c>
      <c r="G192" s="314" t="inlineStr">
        <is>
          <t>IDR</t>
        </is>
      </c>
      <c r="H192" s="345" t="n">
        <v>1</v>
      </c>
      <c r="I192" s="320" t="n"/>
      <c r="J192" s="329" t="n">
        <v>39654</v>
      </c>
      <c r="K192" s="321" t="n"/>
      <c r="L192" s="321" t="n"/>
      <c r="M192" s="320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/>
      <c r="C193" s="314" t="n"/>
      <c r="D193" s="330" t="inlineStr">
        <is>
          <t>Transportation</t>
        </is>
      </c>
      <c r="E193" s="367" t="n"/>
      <c r="F193" s="332" t="n"/>
      <c r="G193" s="314" t="n"/>
      <c r="H193" s="314" t="n"/>
      <c r="I193" s="320" t="n"/>
      <c r="J193" s="320" t="n"/>
      <c r="K193" s="321" t="n"/>
      <c r="L193" s="321" t="n"/>
      <c r="M193" s="320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19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19" t="n"/>
      <c r="N197" s="321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t="15.5" customHeight="1" s="297">
      <c r="B198" s="333" t="n">
        <v>45402</v>
      </c>
      <c r="C198" s="314" t="n">
        <v>11</v>
      </c>
      <c r="D198" s="326" t="inlineStr">
        <is>
          <t>Taxi CGK-Bintaro</t>
        </is>
      </c>
      <c r="E198" s="326" t="n"/>
      <c r="F198" s="334" t="n">
        <v>250000</v>
      </c>
      <c r="G198" s="314" t="inlineStr">
        <is>
          <t>IDR</t>
        </is>
      </c>
      <c r="H198" s="345" t="n">
        <v>1</v>
      </c>
      <c r="I198" s="319" t="n"/>
      <c r="J198" s="329" t="n">
        <v>250000</v>
      </c>
      <c r="K198" s="321" t="n"/>
      <c r="L198" s="321" t="n"/>
      <c r="M198" s="321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idden="1" ht="15.5" customHeight="1" s="297">
      <c r="B199" s="368" t="n"/>
      <c r="C199" s="369" t="n"/>
      <c r="D199" s="378" t="n"/>
      <c r="E199" s="378" t="n"/>
      <c r="F199" s="371" t="n"/>
      <c r="G199" s="369" t="n"/>
      <c r="H199" s="369" t="n"/>
      <c r="I199" s="380" t="n"/>
      <c r="J199" s="372" t="n"/>
      <c r="K199" s="374" t="n"/>
      <c r="L199" s="374" t="n"/>
      <c r="M199" s="374" t="n"/>
      <c r="N199" s="380" t="n"/>
      <c r="O199" s="374" t="n"/>
      <c r="P199" s="374" t="n"/>
      <c r="Q199" s="374" t="n"/>
      <c r="R199" s="373" t="n"/>
      <c r="S199" s="373" t="n"/>
      <c r="T199" s="373" t="n"/>
      <c r="U199" s="373" t="n"/>
      <c r="V199" s="373" t="n"/>
      <c r="W199" s="373" t="n"/>
      <c r="X199" s="373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4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8" t="n"/>
      <c r="E201" s="378" t="n"/>
      <c r="F201" s="371" t="n"/>
      <c r="G201" s="369" t="n"/>
      <c r="H201" s="369" t="n"/>
      <c r="I201" s="380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81" t="n"/>
      <c r="C202" s="375" t="n"/>
      <c r="D202" s="382" t="inlineStr">
        <is>
          <t>PLT SRO_ TGB-33 (Jatibarang Field) Elnusa _ IC</t>
        </is>
      </c>
      <c r="E202" s="388" t="n"/>
      <c r="F202" s="384" t="n"/>
      <c r="G202" s="375" t="n"/>
      <c r="H202" s="375" t="n"/>
      <c r="I202" s="389" t="n"/>
      <c r="J202" s="377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33" t="n">
        <v>45410</v>
      </c>
      <c r="C203" s="314" t="n">
        <v>1</v>
      </c>
      <c r="D203" s="326" t="inlineStr">
        <is>
          <t>Hotel 2 days</t>
        </is>
      </c>
      <c r="E203" s="326" t="n"/>
      <c r="F203" s="334" t="n">
        <v>1357481</v>
      </c>
      <c r="G203" s="314" t="inlineStr">
        <is>
          <t>IDR</t>
        </is>
      </c>
      <c r="H203" s="345" t="n">
        <v>1</v>
      </c>
      <c r="I203" s="320" t="n"/>
      <c r="J203" s="329" t="n">
        <v>1357481</v>
      </c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85" t="n">
        <v>45410</v>
      </c>
      <c r="C204" s="386" t="n">
        <v>2</v>
      </c>
      <c r="D204" s="387" t="inlineStr">
        <is>
          <t>Laundry 2 days</t>
        </is>
      </c>
      <c r="E204" s="387" t="n"/>
      <c r="F204" s="338" t="n">
        <v>100000</v>
      </c>
      <c r="G204" s="314" t="inlineStr">
        <is>
          <t>IDR</t>
        </is>
      </c>
      <c r="H204" s="345" t="n">
        <v>1</v>
      </c>
      <c r="I204" s="320" t="n"/>
      <c r="J204" s="329" t="n">
        <v>100000</v>
      </c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13" t="n"/>
      <c r="C205" s="314" t="n"/>
      <c r="D205" s="315" t="inlineStr">
        <is>
          <t>Accommodation</t>
        </is>
      </c>
      <c r="E205" s="339" t="n"/>
      <c r="F205" s="332" t="n"/>
      <c r="G205" s="314" t="n"/>
      <c r="H205" s="314" t="n"/>
      <c r="I205" s="321" t="n"/>
      <c r="J205" s="320" t="n"/>
      <c r="K205" s="321" t="n"/>
      <c r="L205" s="321" t="n"/>
      <c r="M205" s="319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>
        <v>45410</v>
      </c>
      <c r="C206" s="314" t="n">
        <v>3</v>
      </c>
      <c r="D206" s="326" t="inlineStr">
        <is>
          <t>Tunjangan Lapangan for 2 days</t>
        </is>
      </c>
      <c r="E206" s="326" t="n"/>
      <c r="F206" s="334" t="n">
        <v>3251400</v>
      </c>
      <c r="G206" s="314" t="inlineStr">
        <is>
          <t>USD</t>
        </is>
      </c>
      <c r="H206" s="345" t="n">
        <v>16257</v>
      </c>
      <c r="I206" s="319" t="n"/>
      <c r="J206" s="329" t="n">
        <v>3251400</v>
      </c>
      <c r="K206" s="321" t="n"/>
      <c r="L206" s="321" t="n"/>
      <c r="M206" s="319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4</v>
      </c>
      <c r="D207" s="326" t="inlineStr">
        <is>
          <t>Meals 2 days 1 Persons @ 150K IDR/day</t>
        </is>
      </c>
      <c r="E207" s="326" t="n"/>
      <c r="F207" s="334" t="n">
        <v>300000</v>
      </c>
      <c r="G207" s="314" t="inlineStr">
        <is>
          <t>IDR</t>
        </is>
      </c>
      <c r="H207" s="345" t="n">
        <v>1</v>
      </c>
      <c r="I207" s="319" t="n"/>
      <c r="J207" s="329" t="n">
        <v>300000</v>
      </c>
      <c r="K207" s="321" t="n"/>
      <c r="L207" s="321" t="n"/>
      <c r="M207" s="321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/>
      <c r="C208" s="314" t="n"/>
      <c r="D208" s="330" t="inlineStr">
        <is>
          <t>Allowance</t>
        </is>
      </c>
      <c r="E208" s="367" t="n"/>
      <c r="F208" s="332" t="n"/>
      <c r="G208" s="314" t="n"/>
      <c r="H208" s="314" t="n"/>
      <c r="I208" s="320" t="n"/>
      <c r="J208" s="320" t="n"/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>
        <v>45408</v>
      </c>
      <c r="C209" s="314" t="n">
        <v>5</v>
      </c>
      <c r="D209" s="326" t="inlineStr">
        <is>
          <t>Fuels</t>
        </is>
      </c>
      <c r="E209" s="326" t="n"/>
      <c r="F209" s="334" t="n">
        <v>284308</v>
      </c>
      <c r="G209" s="314" t="inlineStr">
        <is>
          <t>IDR</t>
        </is>
      </c>
      <c r="H209" s="345" t="n">
        <v>1</v>
      </c>
      <c r="I209" s="319" t="n"/>
      <c r="J209" s="329" t="n">
        <v>284308</v>
      </c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45410</v>
      </c>
      <c r="C210" s="314" t="n">
        <v>6</v>
      </c>
      <c r="D210" s="326" t="inlineStr">
        <is>
          <t>Toll</t>
        </is>
      </c>
      <c r="E210" s="326" t="n"/>
      <c r="F210" s="334" t="n">
        <v>298000</v>
      </c>
      <c r="G210" s="314" t="inlineStr">
        <is>
          <t>IDR</t>
        </is>
      </c>
      <c r="H210" s="345" t="n">
        <v>1</v>
      </c>
      <c r="I210" s="319" t="n"/>
      <c r="J210" s="329" t="n">
        <v>298000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Meal</t>
        </is>
      </c>
      <c r="E211" s="367" t="n"/>
      <c r="F211" s="332" t="n"/>
      <c r="G211" s="314" t="n"/>
      <c r="H211" s="314" t="n"/>
      <c r="I211" s="319" t="n"/>
      <c r="J211" s="320" t="n"/>
      <c r="K211" s="321" t="n"/>
      <c r="L211" s="321" t="n"/>
      <c r="M211" s="321" t="n"/>
      <c r="N211" s="319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idden="1" ht="15.5" customHeight="1" s="297">
      <c r="B212" s="368" t="n"/>
      <c r="C212" s="369" t="n"/>
      <c r="D212" s="378" t="n"/>
      <c r="E212" s="378" t="n"/>
      <c r="F212" s="371" t="n"/>
      <c r="G212" s="369" t="n"/>
      <c r="H212" s="369" t="n"/>
      <c r="I212" s="380" t="n"/>
      <c r="J212" s="372" t="n"/>
      <c r="K212" s="374" t="n"/>
      <c r="L212" s="374" t="n"/>
      <c r="M212" s="374" t="n"/>
      <c r="N212" s="380" t="n"/>
      <c r="O212" s="374" t="n"/>
      <c r="P212" s="374" t="n"/>
      <c r="Q212" s="374" t="n"/>
      <c r="R212" s="373" t="n"/>
      <c r="S212" s="373" t="n"/>
      <c r="T212" s="373" t="n"/>
      <c r="U212" s="373" t="n"/>
      <c r="V212" s="373" t="n"/>
      <c r="W212" s="373" t="n"/>
      <c r="X212" s="373" t="n"/>
    </row>
    <row r="213" ht="15.5" customHeight="1" s="297">
      <c r="A213" s="346" t="n"/>
      <c r="B213" s="381" t="n"/>
      <c r="C213" s="375" t="n"/>
      <c r="D213" s="382" t="inlineStr">
        <is>
          <t>Training BST_ PHR-zona 4 (Dwiyanto) (Dwi_Febri dan Ilham)</t>
        </is>
      </c>
      <c r="E213" s="383" t="n"/>
      <c r="F213" s="384" t="n"/>
      <c r="G213" s="375" t="n"/>
      <c r="H213" s="375" t="n"/>
      <c r="I213" s="376" t="n"/>
      <c r="J213" s="364" t="n"/>
      <c r="K213" s="377" t="n"/>
      <c r="L213" s="377" t="n"/>
      <c r="M213" s="377" t="n"/>
      <c r="N213" s="376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33" t="n"/>
      <c r="C214" s="314" t="n"/>
      <c r="D214" s="330" t="inlineStr">
        <is>
          <t>Accommodation</t>
        </is>
      </c>
      <c r="E214" s="367" t="n"/>
      <c r="F214" s="332" t="n"/>
      <c r="G214" s="314" t="n"/>
      <c r="H214" s="314" t="n"/>
      <c r="I214" s="321" t="n"/>
      <c r="J214" s="320" t="n"/>
      <c r="K214" s="321" t="n"/>
      <c r="L214" s="321" t="n"/>
      <c r="M214" s="321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26" t="inlineStr">
        <is>
          <t>Hotel</t>
        </is>
      </c>
      <c r="E215" s="326" t="n"/>
      <c r="F215" s="334" t="n">
        <v>360000</v>
      </c>
      <c r="G215" s="314" t="inlineStr">
        <is>
          <t>IDR</t>
        </is>
      </c>
      <c r="H215" s="345" t="n">
        <v>1</v>
      </c>
      <c r="I215" s="320" t="n"/>
      <c r="J215" s="329" t="n">
        <v>360000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85" t="n">
        <v>45419</v>
      </c>
      <c r="C216" s="386" t="n">
        <v>2</v>
      </c>
      <c r="D216" s="387" t="inlineStr">
        <is>
          <t>Dinner (Dwi, Febri, Ilham)</t>
        </is>
      </c>
      <c r="E216" s="387" t="n"/>
      <c r="F216" s="338" t="n">
        <v>103400</v>
      </c>
      <c r="G216" s="314" t="inlineStr">
        <is>
          <t>IDR</t>
        </is>
      </c>
      <c r="H216" s="345" t="n">
        <v>1</v>
      </c>
      <c r="I216" s="321" t="n"/>
      <c r="J216" s="329" t="n">
        <v>103400</v>
      </c>
      <c r="K216" s="321" t="n"/>
      <c r="L216" s="321" t="n"/>
      <c r="M216" s="319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13" t="n"/>
      <c r="C217" s="314" t="n"/>
      <c r="D217" s="315" t="inlineStr">
        <is>
          <t>Meal</t>
        </is>
      </c>
      <c r="E217" s="366" t="n"/>
      <c r="F217" s="317" t="n"/>
      <c r="G217" s="314" t="n"/>
      <c r="H217" s="314" t="n"/>
      <c r="I217" s="320" t="n"/>
      <c r="J217" s="320" t="n"/>
      <c r="K217" s="321" t="n"/>
      <c r="L217" s="321" t="n"/>
      <c r="M217" s="320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16" t="inlineStr">
        <is>
          <t>Jakarta - Palembang - Jakarta</t>
        </is>
      </c>
      <c r="E218" s="31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19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/>
      <c r="C219" s="314" t="n"/>
      <c r="D219" s="315" t="inlineStr">
        <is>
          <t>Transportation</t>
        </is>
      </c>
      <c r="E219" s="366" t="n"/>
      <c r="F219" s="317" t="n"/>
      <c r="G219" s="314" t="n"/>
      <c r="H219" s="314" t="n"/>
      <c r="I219" s="320" t="n"/>
      <c r="J219" s="320" t="n"/>
      <c r="K219" s="321" t="n"/>
      <c r="L219" s="321" t="n"/>
      <c r="M219" s="320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90" t="n">
        <v>45419</v>
      </c>
      <c r="C220" s="314" t="n">
        <v>4</v>
      </c>
      <c r="D220" s="326" t="inlineStr">
        <is>
          <t>Taxi + Tol to Airport Jakarta</t>
        </is>
      </c>
      <c r="E220" s="326" t="n"/>
      <c r="F220" s="323" t="n">
        <v>234140</v>
      </c>
      <c r="G220" s="314" t="inlineStr">
        <is>
          <t>IDR</t>
        </is>
      </c>
      <c r="H220" s="345" t="n">
        <v>1</v>
      </c>
      <c r="I220" s="319" t="n"/>
      <c r="J220" s="329" t="n">
        <v>234140</v>
      </c>
      <c r="K220" s="321" t="n"/>
      <c r="L220" s="321" t="n"/>
      <c r="M220" s="319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45419</v>
      </c>
      <c r="C221" s="314" t="n">
        <v>5</v>
      </c>
      <c r="D221" s="326" t="inlineStr">
        <is>
          <t>Airport park + fuel + tol Indralaya</t>
        </is>
      </c>
      <c r="E221" s="326" t="n"/>
      <c r="F221" s="323" t="n">
        <v>232000</v>
      </c>
      <c r="G221" s="314" t="inlineStr">
        <is>
          <t>IDR</t>
        </is>
      </c>
      <c r="H221" s="345" t="n">
        <v>1</v>
      </c>
      <c r="I221" s="319" t="n"/>
      <c r="J221" s="329" t="n">
        <v>232000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>
        <v>45420</v>
      </c>
      <c r="C222" s="314" t="n">
        <v>6</v>
      </c>
      <c r="D222" s="326" t="inlineStr">
        <is>
          <t>Car Rental</t>
        </is>
      </c>
      <c r="E222" s="326" t="n"/>
      <c r="F222" s="323" t="n">
        <v>600000</v>
      </c>
      <c r="G222" s="314" t="inlineStr">
        <is>
          <t>IDR</t>
        </is>
      </c>
      <c r="H222" s="345" t="n">
        <v>1</v>
      </c>
      <c r="I222" s="319" t="n"/>
      <c r="J222" s="329" t="n">
        <v>600000</v>
      </c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19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45421</v>
      </c>
      <c r="C224" s="314" t="n">
        <v>8</v>
      </c>
      <c r="D224" s="326" t="inlineStr">
        <is>
          <t>Tol + Taxi From Airport Jakarta</t>
        </is>
      </c>
      <c r="E224" s="326" t="n"/>
      <c r="F224" s="323" t="n">
        <v>276900</v>
      </c>
      <c r="G224" s="314" t="inlineStr">
        <is>
          <t>IDR</t>
        </is>
      </c>
      <c r="H224" s="345" t="n">
        <v>1</v>
      </c>
      <c r="I224" s="319" t="n"/>
      <c r="J224" s="329" t="n">
        <v>276900</v>
      </c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idden="1" ht="15.5" customHeight="1" s="297">
      <c r="B225" s="391" t="n"/>
      <c r="C225" s="392" t="n"/>
      <c r="D225" s="393" t="n"/>
      <c r="E225" s="393" t="n"/>
      <c r="F225" s="394" t="n"/>
      <c r="G225" s="392" t="n"/>
      <c r="H225" s="392" t="n"/>
      <c r="I225" s="380" t="n"/>
      <c r="J225" s="372" t="n"/>
      <c r="K225" s="374" t="n"/>
      <c r="L225" s="374" t="n"/>
      <c r="M225" s="374" t="n"/>
      <c r="N225" s="374" t="n"/>
      <c r="O225" s="374" t="n"/>
      <c r="P225" s="374" t="n"/>
      <c r="Q225" s="374" t="n"/>
      <c r="R225" s="373" t="n"/>
      <c r="S225" s="373" t="n"/>
      <c r="T225" s="373" t="n"/>
      <c r="U225" s="373" t="n"/>
      <c r="V225" s="373" t="n"/>
      <c r="W225" s="373" t="n"/>
      <c r="X225" s="373" t="n"/>
    </row>
    <row r="226" ht="15.5" customHeight="1" s="297">
      <c r="B226" s="381" t="n">
        <v>45420</v>
      </c>
      <c r="C226" s="375" t="n">
        <v>7</v>
      </c>
      <c r="D226" s="382" t="inlineStr">
        <is>
          <t>MFC and ALFA Memory (Jatibarang Field) TGB-033_Elnusa_ AC</t>
        </is>
      </c>
      <c r="E226" s="383" t="n"/>
      <c r="F226" s="395">
        <f>3*120000</f>
        <v/>
      </c>
      <c r="G226" s="375" t="inlineStr">
        <is>
          <t>IDR</t>
        </is>
      </c>
      <c r="H226" s="375" t="n">
        <v>1</v>
      </c>
      <c r="I226" s="389">
        <f>F206</f>
        <v/>
      </c>
      <c r="J226" s="364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30" t="inlineStr">
        <is>
          <t>Accommodation</t>
        </is>
      </c>
      <c r="E227" s="367" t="n"/>
      <c r="F227" s="317" t="n"/>
      <c r="G227" s="314" t="n"/>
      <c r="H227" s="314" t="n"/>
      <c r="I227" s="396" t="n"/>
      <c r="J227" s="320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20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85" t="n">
        <v>45403</v>
      </c>
      <c r="C229" s="386" t="n">
        <v>2</v>
      </c>
      <c r="D229" s="387" t="inlineStr">
        <is>
          <t>Uang makan utk 3 hari (19-21 apr-24) @150.000</t>
        </is>
      </c>
      <c r="E229" s="387" t="n"/>
      <c r="F229" s="323" t="n">
        <v>450000</v>
      </c>
      <c r="G229" s="314" t="inlineStr">
        <is>
          <t>IDR</t>
        </is>
      </c>
      <c r="H229" s="345" t="n">
        <v>1</v>
      </c>
      <c r="I229" s="321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15" t="inlineStr">
        <is>
          <t>Allowance</t>
        </is>
      </c>
      <c r="E230" s="366" t="n"/>
      <c r="F230" s="317" t="n"/>
      <c r="G230" s="314" t="n"/>
      <c r="H230" s="314" t="n"/>
      <c r="I230" s="321" t="n"/>
      <c r="J230" s="321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19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45420</v>
      </c>
      <c r="C232" s="314" t="n">
        <v>4</v>
      </c>
      <c r="D232" s="326" t="inlineStr">
        <is>
          <t>Dinner (Dwi, Febri, Ilham)</t>
        </is>
      </c>
      <c r="E232" s="326" t="n"/>
      <c r="F232" s="323" t="n">
        <v>128000</v>
      </c>
      <c r="G232" s="314" t="inlineStr">
        <is>
          <t>IDR</t>
        </is>
      </c>
      <c r="H232" s="345" t="n">
        <v>1</v>
      </c>
      <c r="I232" s="319" t="n"/>
      <c r="J232" s="329" t="n">
        <v>128000</v>
      </c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/>
      <c r="C233" s="314" t="n"/>
      <c r="D233" s="330" t="inlineStr">
        <is>
          <t>Transportation</t>
        </is>
      </c>
      <c r="E233" s="367" t="n"/>
      <c r="F233" s="317" t="n"/>
      <c r="G233" s="314" t="n"/>
      <c r="H233" s="314" t="n"/>
      <c r="I233" s="320" t="n"/>
      <c r="J233" s="320" t="n"/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t="15.5" customHeight="1" s="297">
      <c r="B234" s="333" t="n">
        <v>45403</v>
      </c>
      <c r="C234" s="314" t="n">
        <v>5</v>
      </c>
      <c r="D234" s="326" t="inlineStr">
        <is>
          <t>Train (Jati barang - Jati Negara)</t>
        </is>
      </c>
      <c r="E234" s="326" t="n"/>
      <c r="F234" s="323" t="n">
        <v>255500</v>
      </c>
      <c r="G234" s="314" t="inlineStr">
        <is>
          <t>IDR</t>
        </is>
      </c>
      <c r="H234" s="345" t="n">
        <v>1</v>
      </c>
      <c r="I234" s="320" t="n"/>
      <c r="J234" s="329" t="n">
        <v>255500</v>
      </c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idden="1" ht="15.5" customHeight="1" s="297">
      <c r="B235" s="391" t="n"/>
      <c r="C235" s="392" t="n"/>
      <c r="D235" s="393" t="n"/>
      <c r="E235" s="393" t="n"/>
      <c r="F235" s="394" t="n"/>
      <c r="G235" s="392" t="n"/>
      <c r="H235" s="392" t="n"/>
      <c r="I235" s="372" t="n"/>
      <c r="J235" s="372" t="n"/>
      <c r="K235" s="374" t="n"/>
      <c r="L235" s="374" t="n"/>
      <c r="M235" s="374" t="n"/>
      <c r="N235" s="374" t="n"/>
      <c r="O235" s="374" t="n"/>
      <c r="P235" s="374" t="n"/>
      <c r="Q235" s="374" t="n"/>
      <c r="R235" s="373" t="n"/>
      <c r="S235" s="373" t="n"/>
      <c r="T235" s="373" t="n"/>
      <c r="U235" s="373" t="n"/>
      <c r="V235" s="373" t="n"/>
      <c r="W235" s="373" t="n"/>
      <c r="X235" s="373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81" t="n"/>
      <c r="C237" s="375" t="n"/>
      <c r="D237" s="382" t="inlineStr">
        <is>
          <t>ALFA+PLT (TGB-033 Zona 7) Elnusa_TMA</t>
        </is>
      </c>
      <c r="E237" s="388" t="n"/>
      <c r="F237" s="395" t="n"/>
      <c r="G237" s="375" t="n"/>
      <c r="H237" s="375" t="n"/>
      <c r="I237" s="364" t="n"/>
      <c r="J237" s="364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>
        <v>45407</v>
      </c>
      <c r="C238" s="314" t="n">
        <v>1</v>
      </c>
      <c r="D238" s="326" t="inlineStr">
        <is>
          <t>Hotel 25 Apr - 27 Apr &amp; 29 Apr- 2 May 2024 (6 days)</t>
        </is>
      </c>
      <c r="E238" s="326" t="n"/>
      <c r="F238" s="323" t="n">
        <v>3292802</v>
      </c>
      <c r="G238" s="314" t="inlineStr">
        <is>
          <t>IDR</t>
        </is>
      </c>
      <c r="H238" s="345" t="n">
        <v>1</v>
      </c>
      <c r="I238" s="320" t="n"/>
      <c r="J238" s="329" t="n">
        <v>3292802</v>
      </c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2</v>
      </c>
      <c r="D239" s="326" t="inlineStr">
        <is>
          <t>Laundry 7 days 1 Persons @ 50K IDR/day</t>
        </is>
      </c>
      <c r="E239" s="326" t="n"/>
      <c r="F239" s="323" t="n">
        <v>350000</v>
      </c>
      <c r="G239" s="314" t="inlineStr">
        <is>
          <t>IDR</t>
        </is>
      </c>
      <c r="H239" s="345" t="n">
        <v>1</v>
      </c>
      <c r="I239" s="320" t="n"/>
      <c r="J239" s="329" t="n">
        <v>350000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85" t="n">
        <v>45407</v>
      </c>
      <c r="C240" s="386" t="n">
        <v>3</v>
      </c>
      <c r="D240" s="387" t="inlineStr">
        <is>
          <t>Field Bonus for 7 days (25$/Day)</t>
        </is>
      </c>
      <c r="E240" s="387" t="n"/>
      <c r="F240" s="323" t="n">
        <v>1203813.75</v>
      </c>
      <c r="G240" s="314" t="inlineStr">
        <is>
          <t>USD</t>
        </is>
      </c>
      <c r="H240" s="345" t="n">
        <v>16050.85</v>
      </c>
      <c r="I240" s="329" t="n">
        <v>1203813.75</v>
      </c>
      <c r="J240" s="321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Accommodation</t>
        </is>
      </c>
      <c r="E241" s="367" t="n"/>
      <c r="F241" s="317" t="n"/>
      <c r="G241" s="316" t="n"/>
      <c r="H241" s="316" t="n"/>
      <c r="I241" s="321" t="n"/>
      <c r="J241" s="321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4</v>
      </c>
      <c r="D242" s="326" t="inlineStr">
        <is>
          <t>Field Bonus for 4 days 29 April-2 May 2024 (100$/Day</t>
        </is>
      </c>
      <c r="E242" s="326" t="n"/>
      <c r="F242" s="323" t="n">
        <v>6420340</v>
      </c>
      <c r="G242" s="316" t="inlineStr">
        <is>
          <t>USD</t>
        </is>
      </c>
      <c r="H242" s="345" t="n">
        <v>16050.85</v>
      </c>
      <c r="I242" s="319" t="n"/>
      <c r="J242" s="329" t="n">
        <v>6420340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45401</v>
      </c>
      <c r="C243" s="314" t="n">
        <v>5</v>
      </c>
      <c r="D243" s="326" t="inlineStr">
        <is>
          <t>Tekiro Kunci L, Tekiro Tang, Obeng Set</t>
        </is>
      </c>
      <c r="E243" s="326" t="n"/>
      <c r="F243" s="323" t="n">
        <v>349000</v>
      </c>
      <c r="G243" s="316" t="inlineStr">
        <is>
          <t>IDR</t>
        </is>
      </c>
      <c r="H243" s="345" t="n">
        <v>1</v>
      </c>
      <c r="I243" s="319" t="n"/>
      <c r="J243" s="320" t="n"/>
      <c r="K243" s="321" t="n"/>
      <c r="L243" s="321" t="n"/>
      <c r="M243" s="321" t="n"/>
      <c r="N243" s="329" t="n">
        <v>349000</v>
      </c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Allowance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45411</v>
      </c>
      <c r="C245" s="314" t="n">
        <v>6</v>
      </c>
      <c r="D245" s="316" t="inlineStr">
        <is>
          <t>Internet Data</t>
        </is>
      </c>
      <c r="E245" s="316" t="n"/>
      <c r="F245" s="323" t="n">
        <v>75000</v>
      </c>
      <c r="G245" s="316" t="inlineStr">
        <is>
          <t>IDR</t>
        </is>
      </c>
      <c r="H245" s="345" t="n">
        <v>1</v>
      </c>
      <c r="I245" s="320" t="n"/>
      <c r="J245" s="329" t="n">
        <v>75000</v>
      </c>
      <c r="K245" s="321" t="n"/>
      <c r="L245" s="321" t="n"/>
      <c r="M245" s="321" t="n"/>
      <c r="N245" s="319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45407</v>
      </c>
      <c r="C246" s="314" t="n">
        <v>7</v>
      </c>
      <c r="D246" s="316" t="inlineStr">
        <is>
          <t>Crew's Operational</t>
        </is>
      </c>
      <c r="E246" s="316" t="n"/>
      <c r="F246" s="323" t="n">
        <v>657000</v>
      </c>
      <c r="G246" s="316" t="inlineStr">
        <is>
          <t>IDR</t>
        </is>
      </c>
      <c r="H246" s="345" t="n">
        <v>1</v>
      </c>
      <c r="I246" s="319" t="n"/>
      <c r="J246" s="329" t="n">
        <v>657000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/>
      <c r="C247" s="314" t="n"/>
      <c r="D247" s="330" t="inlineStr">
        <is>
          <t>Logistic</t>
        </is>
      </c>
      <c r="E247" s="367" t="n"/>
      <c r="F247" s="317" t="n"/>
      <c r="G247" s="316" t="n"/>
      <c r="H247" s="314" t="n"/>
      <c r="I247" s="320" t="n"/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33" t="n">
        <v>45407</v>
      </c>
      <c r="C248" s="314" t="n">
        <v>8</v>
      </c>
      <c r="D248" s="326" t="inlineStr">
        <is>
          <t>Meals 7 days 1 Persons @ 150K IDR/day</t>
        </is>
      </c>
      <c r="E248" s="326" t="n"/>
      <c r="F248" s="338" t="n">
        <v>1050000</v>
      </c>
      <c r="G248" s="316" t="inlineStr">
        <is>
          <t>IDR</t>
        </is>
      </c>
      <c r="H248" s="345" t="n">
        <v>1</v>
      </c>
      <c r="I248" s="319" t="n"/>
      <c r="J248" s="329" t="n">
        <v>1050000</v>
      </c>
      <c r="K248" s="321" t="n"/>
      <c r="L248" s="321" t="n"/>
      <c r="M248" s="321" t="n"/>
      <c r="N248" s="321" t="n"/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n"/>
      <c r="C249" s="314" t="n"/>
      <c r="D249" s="330" t="inlineStr">
        <is>
          <t>Meal</t>
        </is>
      </c>
      <c r="E249" s="367" t="n"/>
      <c r="F249" s="317" t="n"/>
      <c r="G249" s="316" t="n"/>
      <c r="H249" s="314" t="n"/>
      <c r="I249" s="320" t="n"/>
      <c r="J249" s="320" t="n"/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idden="1" ht="15.5" customHeight="1" s="297">
      <c r="B250" s="368" t="n"/>
      <c r="C250" s="369" t="n"/>
      <c r="D250" s="378" t="n"/>
      <c r="E250" s="378" t="n"/>
      <c r="F250" s="397" t="n"/>
      <c r="G250" s="398" t="n"/>
      <c r="H250" s="369" t="n"/>
      <c r="I250" s="380" t="n"/>
      <c r="J250" s="374" t="n"/>
      <c r="K250" s="374" t="n"/>
      <c r="L250" s="374" t="n"/>
      <c r="M250" s="374" t="n"/>
      <c r="N250" s="374" t="n"/>
      <c r="O250" s="374" t="n"/>
      <c r="P250" s="374" t="n"/>
      <c r="Q250" s="374" t="n"/>
      <c r="R250" s="373" t="n"/>
      <c r="S250" s="373" t="n"/>
      <c r="T250" s="373" t="n"/>
      <c r="U250" s="373" t="n"/>
      <c r="V250" s="373" t="n"/>
      <c r="W250" s="373" t="n"/>
      <c r="X250" s="373" t="n"/>
    </row>
    <row r="251" ht="15.5" customHeight="1" s="297">
      <c r="B251" s="381" t="n"/>
      <c r="C251" s="375" t="n"/>
      <c r="D251" s="382" t="inlineStr">
        <is>
          <t>ALFA+MFC (TGB-033 Zona 7) Elnusa_TMA</t>
        </is>
      </c>
      <c r="E251" s="388" t="n"/>
      <c r="F251" s="395" t="n"/>
      <c r="G251" s="361" t="n"/>
      <c r="H251" s="375" t="n"/>
      <c r="I251" s="364" t="n"/>
      <c r="J251" s="364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>
        <v>45401</v>
      </c>
      <c r="C252" s="314" t="n">
        <v>1</v>
      </c>
      <c r="D252" s="326" t="inlineStr">
        <is>
          <t>Hotel 19 Apr-22 Apr 2024 (3 days)</t>
        </is>
      </c>
      <c r="E252" s="326" t="n"/>
      <c r="F252" s="323" t="n">
        <v>1950000</v>
      </c>
      <c r="G252" s="316" t="inlineStr">
        <is>
          <t>IDR</t>
        </is>
      </c>
      <c r="H252" s="345" t="n">
        <v>1</v>
      </c>
      <c r="I252" s="319" t="n"/>
      <c r="J252" s="329" t="n">
        <v>1950000</v>
      </c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2</v>
      </c>
      <c r="D253" s="326" t="inlineStr">
        <is>
          <t>Laundry 4 days 1 Persons @ 50K IDR/day</t>
        </is>
      </c>
      <c r="E253" s="326" t="n"/>
      <c r="F253" s="323" t="n">
        <v>200000</v>
      </c>
      <c r="G253" s="316" t="inlineStr">
        <is>
          <t>IDR</t>
        </is>
      </c>
      <c r="H253" s="345" t="n">
        <v>1</v>
      </c>
      <c r="I253" s="319" t="n"/>
      <c r="J253" s="329" t="n">
        <v>200000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85" t="n">
        <v>45401</v>
      </c>
      <c r="C254" s="386" t="n">
        <v>3</v>
      </c>
      <c r="D254" s="387" t="inlineStr">
        <is>
          <t>Field Bonus for 4 days (25$/Day)</t>
        </is>
      </c>
      <c r="E254" s="387" t="n"/>
      <c r="F254" s="323" t="n">
        <v>1605085</v>
      </c>
      <c r="G254" s="314" t="inlineStr">
        <is>
          <t>USD</t>
        </is>
      </c>
      <c r="H254" s="345" t="n">
        <v>16050.85</v>
      </c>
      <c r="I254" s="321" t="n"/>
      <c r="J254" s="329" t="n">
        <v>1605085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Accommodation</t>
        </is>
      </c>
      <c r="E255" s="367" t="n"/>
      <c r="F255" s="317" t="n"/>
      <c r="G255" s="316" t="n"/>
      <c r="H255" s="316" t="n"/>
      <c r="I255" s="321" t="n"/>
      <c r="J255" s="321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4</v>
      </c>
      <c r="D256" s="326" t="inlineStr">
        <is>
          <t>Battery A2</t>
        </is>
      </c>
      <c r="E256" s="326" t="n"/>
      <c r="F256" s="323" t="n">
        <v>101800</v>
      </c>
      <c r="G256" s="316" t="inlineStr">
        <is>
          <t>IDR</t>
        </is>
      </c>
      <c r="H256" s="399" t="n">
        <v>1</v>
      </c>
      <c r="I256" s="319" t="n"/>
      <c r="J256" s="329" t="n">
        <v>101800</v>
      </c>
      <c r="K256" s="321" t="n"/>
      <c r="L256" s="321" t="n"/>
      <c r="M256" s="321" t="n"/>
      <c r="N256" s="321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>
        <v>45401</v>
      </c>
      <c r="C257" s="314" t="n">
        <v>5</v>
      </c>
      <c r="D257" s="326" t="inlineStr">
        <is>
          <t>Crew's Operational</t>
        </is>
      </c>
      <c r="E257" s="326" t="n"/>
      <c r="F257" s="323" t="n">
        <v>481900</v>
      </c>
      <c r="G257" s="316" t="inlineStr">
        <is>
          <t>IDR</t>
        </is>
      </c>
      <c r="H257" s="399" t="n">
        <v>1</v>
      </c>
      <c r="I257" s="319" t="n"/>
      <c r="J257" s="329" t="n">
        <v>481900</v>
      </c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/>
      <c r="C258" s="314" t="n"/>
      <c r="D258" s="330" t="inlineStr">
        <is>
          <t>Allowance</t>
        </is>
      </c>
      <c r="E258" s="367" t="n"/>
      <c r="F258" s="317" t="n"/>
      <c r="G258" s="316" t="n"/>
      <c r="H258" s="316" t="n"/>
      <c r="I258" s="320" t="n"/>
      <c r="J258" s="320" t="n"/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45401</v>
      </c>
      <c r="C259" s="314" t="n">
        <v>6</v>
      </c>
      <c r="D259" s="316" t="inlineStr">
        <is>
          <t>Meals 4 days 1 Persons @ 150K IDR/day</t>
        </is>
      </c>
      <c r="E259" s="316" t="n"/>
      <c r="F259" s="323" t="n">
        <v>600000</v>
      </c>
      <c r="G259" s="316" t="inlineStr">
        <is>
          <t>IDR</t>
        </is>
      </c>
      <c r="H259" s="399" t="n">
        <v>1</v>
      </c>
      <c r="I259" s="319" t="n"/>
      <c r="J259" s="329" t="n">
        <v>600000</v>
      </c>
      <c r="K259" s="321" t="n"/>
      <c r="L259" s="321" t="n"/>
      <c r="M259" s="321" t="n"/>
      <c r="N259" s="319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/>
      <c r="C260" s="314" t="n"/>
      <c r="D260" s="330" t="inlineStr">
        <is>
          <t>Logistic</t>
        </is>
      </c>
      <c r="E260" s="367" t="n"/>
      <c r="F260" s="317" t="n"/>
      <c r="G260" s="316" t="n"/>
      <c r="H260" s="316" t="n"/>
      <c r="I260" s="319" t="n"/>
      <c r="J260" s="320" t="n"/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45404</v>
      </c>
      <c r="C261" s="314" t="n">
        <v>7</v>
      </c>
      <c r="D261" s="326" t="inlineStr">
        <is>
          <t>Taxi Bintaro-Wisma Mas</t>
        </is>
      </c>
      <c r="E261" s="326" t="n"/>
      <c r="F261" s="338" t="n">
        <v>78500</v>
      </c>
      <c r="G261" s="316" t="inlineStr">
        <is>
          <t>IDR</t>
        </is>
      </c>
      <c r="H261" s="399" t="n">
        <v>1</v>
      </c>
      <c r="I261" s="319" t="n"/>
      <c r="J261" s="329" t="n">
        <v>78500</v>
      </c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/>
      <c r="C262" s="314" t="n"/>
      <c r="D262" s="330" t="inlineStr">
        <is>
          <t>Meal</t>
        </is>
      </c>
      <c r="E262" s="367" t="n"/>
      <c r="F262" s="317" t="n"/>
      <c r="G262" s="316" t="n"/>
      <c r="H262" s="316" t="n"/>
      <c r="I262" s="319" t="n"/>
      <c r="J262" s="320" t="n"/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8" t="n"/>
      <c r="E263" s="378" t="n"/>
      <c r="F263" s="397" t="n"/>
      <c r="G263" s="398" t="n"/>
      <c r="H263" s="398" t="n"/>
      <c r="I263" s="380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/>
      <c r="C264" s="314" t="n"/>
      <c r="D264" s="330" t="inlineStr">
        <is>
          <t>Transportation</t>
        </is>
      </c>
      <c r="E264" s="367" t="n"/>
      <c r="F264" s="317" t="n"/>
      <c r="G264" s="316" t="n"/>
      <c r="H264" s="316" t="n"/>
      <c r="I264" s="319" t="n"/>
      <c r="J264" s="321" t="n"/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81" t="n">
        <v>45404</v>
      </c>
      <c r="C265" s="375" t="n">
        <v>6</v>
      </c>
      <c r="D265" s="382" t="inlineStr">
        <is>
          <t>BOSIET Training -_TMA</t>
        </is>
      </c>
      <c r="E265" s="383" t="n"/>
      <c r="F265" s="395" t="n">
        <v>78500</v>
      </c>
      <c r="G265" s="361" t="inlineStr">
        <is>
          <t>IDR</t>
        </is>
      </c>
      <c r="H265" s="361" t="n">
        <v>1</v>
      </c>
      <c r="I265" s="376">
        <f>$H245*$F245</f>
        <v/>
      </c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68" t="n"/>
      <c r="C266" s="369" t="n"/>
      <c r="D266" s="370" t="inlineStr">
        <is>
          <t>Allowance</t>
        </is>
      </c>
      <c r="E266" s="370" t="n"/>
      <c r="F266" s="397" t="n"/>
      <c r="G266" s="398" t="n"/>
      <c r="H266" s="398" t="n"/>
      <c r="I266" s="380" t="n"/>
      <c r="J266" s="372" t="n"/>
      <c r="K266" s="374" t="n"/>
      <c r="L266" s="374" t="n"/>
      <c r="M266" s="374" t="n"/>
      <c r="N266" s="374" t="n"/>
      <c r="O266" s="374" t="n"/>
      <c r="P266" s="374" t="n"/>
      <c r="Q266" s="374" t="n"/>
      <c r="R266" s="373" t="n"/>
      <c r="S266" s="373" t="n"/>
      <c r="T266" s="373" t="n"/>
      <c r="U266" s="373" t="n"/>
      <c r="V266" s="373" t="n"/>
      <c r="W266" s="373" t="n"/>
      <c r="X266" s="373" t="n"/>
    </row>
    <row r="267" ht="15.5" customHeight="1" s="297">
      <c r="B267" s="381" t="n">
        <v>45401</v>
      </c>
      <c r="C267" s="375" t="n">
        <v>7</v>
      </c>
      <c r="D267" s="382" t="inlineStr">
        <is>
          <t>Non Trip MCU Dwiyanto</t>
        </is>
      </c>
      <c r="E267" s="383" t="n"/>
      <c r="F267" s="395">
        <f>4*25</f>
        <v/>
      </c>
      <c r="G267" s="361" t="inlineStr">
        <is>
          <t>USD</t>
        </is>
      </c>
      <c r="H267" s="400" t="n">
        <v>16050.85</v>
      </c>
      <c r="I267" s="376">
        <f>$F247*$H247</f>
        <v/>
      </c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85" t="n">
        <v>45432</v>
      </c>
      <c r="C268" s="386" t="n">
        <v>1</v>
      </c>
      <c r="D268" s="387" t="inlineStr">
        <is>
          <t>MCU Paket Umum Basic 1</t>
        </is>
      </c>
      <c r="E268" s="387" t="n"/>
      <c r="F268" s="338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33" t="n">
        <v>45433</v>
      </c>
      <c r="C269" s="314" t="n">
        <v>2</v>
      </c>
      <c r="D269" s="326" t="inlineStr">
        <is>
          <t>Safety shoes</t>
        </is>
      </c>
      <c r="E269" s="326" t="n"/>
      <c r="F269" s="323" t="n">
        <v>2402000</v>
      </c>
      <c r="G269" s="314" t="inlineStr">
        <is>
          <t>IDR</t>
        </is>
      </c>
      <c r="H269" s="345" t="n">
        <v>1</v>
      </c>
      <c r="I269" s="319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A270" s="346" t="n"/>
      <c r="B270" s="381" t="n"/>
      <c r="C270" s="375" t="n"/>
      <c r="D270" s="382" t="inlineStr">
        <is>
          <t>Non project _ MCU - Ilham BR</t>
        </is>
      </c>
      <c r="E270" s="383" t="n"/>
      <c r="F270" s="395" t="n"/>
      <c r="G270" s="375" t="n"/>
      <c r="H270" s="375" t="n"/>
      <c r="I270" s="376" t="n"/>
      <c r="J270" s="364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A271" s="346" t="n"/>
      <c r="B271" s="333" t="n"/>
      <c r="C271" s="314" t="n"/>
      <c r="D271" s="330" t="inlineStr">
        <is>
          <t>Pembelian Barang</t>
        </is>
      </c>
      <c r="E271" s="326" t="n"/>
      <c r="F271" s="317" t="n"/>
      <c r="G271" s="314" t="n"/>
      <c r="H271" s="314" t="n"/>
      <c r="I271" s="319" t="n"/>
      <c r="J271" s="320" t="n"/>
      <c r="K271" s="321" t="n"/>
      <c r="L271" s="321" t="n"/>
      <c r="M271" s="321" t="n"/>
      <c r="N271" s="321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Expense#13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64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13" t="n">
        <v>45437</v>
      </c>
      <c r="C273" s="314" t="n">
        <v>1</v>
      </c>
      <c r="D273" s="316" t="inlineStr">
        <is>
          <t>Uang makan (25 - 30 May 2024)</t>
        </is>
      </c>
      <c r="E273" s="316" t="n"/>
      <c r="F273" s="323" t="n">
        <v>900000</v>
      </c>
      <c r="G273" s="314" t="inlineStr">
        <is>
          <t>IDR</t>
        </is>
      </c>
      <c r="H273" s="345" t="n">
        <v>1</v>
      </c>
      <c r="I273" s="320" t="n"/>
      <c r="J273" s="329" t="n">
        <v>900000</v>
      </c>
      <c r="K273" s="321" t="n"/>
      <c r="L273" s="321" t="n"/>
      <c r="M273" s="321" t="n"/>
      <c r="N273" s="321" t="n"/>
      <c r="O273" s="321" t="n"/>
      <c r="P273" s="320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13" t="n">
        <v>45437</v>
      </c>
      <c r="C274" s="314" t="n">
        <v>2</v>
      </c>
      <c r="D274" s="316" t="inlineStr">
        <is>
          <t>Tunjangan Lapangan JRK-193 (25 - 30 May 2024)</t>
        </is>
      </c>
      <c r="E274" s="316" t="n"/>
      <c r="F274" s="323" t="n">
        <v>2430000</v>
      </c>
      <c r="G274" s="314" t="inlineStr">
        <is>
          <t>$</t>
        </is>
      </c>
      <c r="H274" s="345" t="n">
        <v>16200</v>
      </c>
      <c r="I274" s="320" t="n"/>
      <c r="J274" s="329" t="n">
        <v>2430000</v>
      </c>
      <c r="K274" s="321" t="n"/>
      <c r="L274" s="321" t="n"/>
      <c r="M274" s="321" t="n"/>
      <c r="N274" s="320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85" t="n">
        <v>45433</v>
      </c>
      <c r="C275" s="386" t="n">
        <v>3</v>
      </c>
      <c r="D275" s="401" t="inlineStr">
        <is>
          <t>Tiket Pesawat Citilink (CGK-PLM 25 Mei 2024)</t>
        </is>
      </c>
      <c r="E275" s="401" t="n"/>
      <c r="F275" s="338" t="n">
        <v>773238</v>
      </c>
      <c r="G275" s="314" t="inlineStr">
        <is>
          <t>IDR</t>
        </is>
      </c>
      <c r="H275" s="345" t="n">
        <v>1</v>
      </c>
      <c r="I275" s="321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13" t="n">
        <v>45436</v>
      </c>
      <c r="C276" s="314" t="n">
        <v>4</v>
      </c>
      <c r="D276" s="316" t="inlineStr">
        <is>
          <t>Reschedule Tiket Pesawat dari Citilink ke Super Air Jet (CGK-PLg)</t>
        </is>
      </c>
      <c r="E276" s="316" t="n"/>
      <c r="F276" s="323" t="n">
        <v>296853</v>
      </c>
      <c r="G276" s="314" t="inlineStr">
        <is>
          <t>IDR</t>
        </is>
      </c>
      <c r="H276" s="345" t="n">
        <v>1</v>
      </c>
      <c r="I276" s="319" t="n"/>
      <c r="J276" s="329" t="n">
        <v>296853</v>
      </c>
      <c r="K276" s="321" t="n"/>
      <c r="L276" s="321" t="n"/>
      <c r="M276" s="321" t="n"/>
      <c r="N276" s="321" t="n"/>
      <c r="O276" s="321" t="n"/>
      <c r="P276" s="320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85" t="n">
        <v>45436</v>
      </c>
      <c r="C277" s="386" t="n">
        <v>5</v>
      </c>
      <c r="D277" s="387" t="inlineStr">
        <is>
          <t>Taxi + Tol To Airport CGK</t>
        </is>
      </c>
      <c r="E277" s="387" t="n"/>
      <c r="F277" s="338" t="n">
        <v>250000</v>
      </c>
      <c r="G277" s="314" t="inlineStr">
        <is>
          <t>IDR</t>
        </is>
      </c>
      <c r="H277" s="345" t="n">
        <v>1</v>
      </c>
      <c r="I277" s="319" t="n"/>
      <c r="J277" s="329" t="n">
        <v>250000</v>
      </c>
      <c r="K277" s="321" t="n"/>
      <c r="L277" s="321" t="n"/>
      <c r="M277" s="321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idden="1" ht="15.5" customHeight="1" s="297">
      <c r="B278" s="391" t="n"/>
      <c r="C278" s="392" t="n"/>
      <c r="D278" s="402" t="n"/>
      <c r="E278" s="402" t="n"/>
      <c r="F278" s="394" t="n"/>
      <c r="G278" s="392" t="n"/>
      <c r="H278" s="392" t="n"/>
      <c r="I278" s="380" t="n"/>
      <c r="J278" s="372" t="n"/>
      <c r="K278" s="374" t="n"/>
      <c r="L278" s="374" t="n"/>
      <c r="M278" s="374" t="n"/>
      <c r="N278" s="374" t="n"/>
      <c r="O278" s="374" t="n"/>
      <c r="P278" s="374" t="n"/>
      <c r="Q278" s="374" t="n"/>
      <c r="R278" s="373" t="n"/>
      <c r="S278" s="373" t="n"/>
      <c r="T278" s="373" t="n"/>
      <c r="U278" s="373" t="n"/>
      <c r="V278" s="373" t="n"/>
      <c r="W278" s="373" t="n"/>
      <c r="X278" s="373" t="n"/>
    </row>
    <row r="279" hidden="1" ht="15.5" customHeight="1" s="297">
      <c r="B279" s="391" t="n"/>
      <c r="C279" s="392" t="n"/>
      <c r="D279" s="403" t="n"/>
      <c r="E279" s="403" t="n"/>
      <c r="F279" s="394" t="n"/>
      <c r="G279" s="392" t="n"/>
      <c r="H279" s="392" t="n"/>
      <c r="I279" s="380" t="n"/>
      <c r="J279" s="372" t="n"/>
      <c r="K279" s="374" t="n"/>
      <c r="L279" s="374" t="n"/>
      <c r="M279" s="374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idden="1" ht="15.5" customHeight="1" s="297">
      <c r="B280" s="391" t="n"/>
      <c r="C280" s="392" t="n"/>
      <c r="D280" s="402" t="n"/>
      <c r="E280" s="402" t="n"/>
      <c r="F280" s="394" t="n"/>
      <c r="G280" s="392" t="n"/>
      <c r="H280" s="392" t="n"/>
      <c r="I280" s="380" t="n"/>
      <c r="J280" s="372" t="n"/>
      <c r="K280" s="374" t="n"/>
      <c r="L280" s="374" t="n"/>
      <c r="M280" s="374" t="n"/>
      <c r="N280" s="374" t="n"/>
      <c r="O280" s="374" t="n"/>
      <c r="P280" s="374" t="n"/>
      <c r="Q280" s="374" t="n"/>
      <c r="R280" s="373" t="n"/>
      <c r="S280" s="373" t="n"/>
      <c r="T280" s="373" t="n"/>
      <c r="U280" s="373" t="n"/>
      <c r="V280" s="373" t="n"/>
      <c r="W280" s="373" t="n"/>
      <c r="X280" s="373" t="n"/>
    </row>
    <row r="281" ht="15.5" customHeight="1" s="297">
      <c r="A281" s="346" t="n"/>
      <c r="B281" s="381" t="n"/>
      <c r="C281" s="375" t="n"/>
      <c r="D281" s="382" t="inlineStr">
        <is>
          <t>ALFA job - JRK-193 OJT - Dwiyanto S</t>
        </is>
      </c>
      <c r="E281" s="383" t="n"/>
      <c r="F281" s="395" t="n"/>
      <c r="G281" s="375" t="n"/>
      <c r="H281" s="375" t="n"/>
      <c r="I281" s="376" t="n"/>
      <c r="J281" s="364" t="n"/>
      <c r="K281" s="377" t="n"/>
      <c r="L281" s="377" t="n"/>
      <c r="M281" s="377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A282" s="346" t="n"/>
      <c r="B282" s="333" t="n"/>
      <c r="C282" s="314" t="n"/>
      <c r="D282" s="330" t="inlineStr">
        <is>
          <t>Allowance</t>
        </is>
      </c>
      <c r="E282" s="326" t="n"/>
      <c r="F282" s="317" t="n"/>
      <c r="G282" s="314" t="n"/>
      <c r="H282" s="314" t="n"/>
      <c r="I282" s="319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33" t="n"/>
      <c r="C283" s="314" t="n"/>
      <c r="D283" s="330" t="inlineStr">
        <is>
          <t>Hand Tools</t>
        </is>
      </c>
      <c r="E283" s="404" t="n"/>
      <c r="F283" s="317" t="n"/>
      <c r="G283" s="314" t="n"/>
      <c r="H283" s="314" t="n"/>
      <c r="I283" s="320" t="n"/>
      <c r="J283" s="320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1</v>
      </c>
      <c r="D284" s="326" t="inlineStr">
        <is>
          <t>Uang Makan (25 - 30 May 2024)</t>
        </is>
      </c>
      <c r="E284" s="326" t="n"/>
      <c r="F284" s="323" t="n">
        <v>900000</v>
      </c>
      <c r="G284" s="314" t="inlineStr">
        <is>
          <t>IDR</t>
        </is>
      </c>
      <c r="H284" s="345" t="n">
        <v>1</v>
      </c>
      <c r="I284" s="319" t="n"/>
      <c r="J284" s="329" t="n">
        <v>900000</v>
      </c>
      <c r="K284" s="321" t="n"/>
      <c r="L284" s="321" t="n"/>
      <c r="M284" s="319" t="n"/>
      <c r="N284" s="321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/>
      <c r="C285" s="314" t="n"/>
      <c r="D285" s="330" t="inlineStr">
        <is>
          <t>Laundry</t>
        </is>
      </c>
      <c r="E285" s="326" t="n"/>
      <c r="F285" s="317" t="n"/>
      <c r="G285" s="314" t="n"/>
      <c r="H285" s="314" t="n"/>
      <c r="I285" s="319" t="n"/>
      <c r="J285" s="320" t="n"/>
      <c r="K285" s="321" t="n"/>
      <c r="L285" s="321" t="n"/>
      <c r="M285" s="319" t="n"/>
      <c r="N285" s="321" t="n"/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Logistic</t>
        </is>
      </c>
      <c r="E286" s="404" t="n"/>
      <c r="F286" s="317" t="n"/>
      <c r="G286" s="314" t="n"/>
      <c r="H286" s="314" t="n"/>
      <c r="I286" s="319" t="n"/>
      <c r="J286" s="320" t="n"/>
      <c r="K286" s="321" t="n"/>
      <c r="L286" s="321" t="n"/>
      <c r="M286" s="319" t="n"/>
      <c r="N286" s="321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2</v>
      </c>
      <c r="D287" s="405" t="inlineStr">
        <is>
          <t>Tunjangan Lapangan JRK-193 (25 - 30 May 2024). 1US$=16.200</t>
        </is>
      </c>
      <c r="E287" s="405" t="n"/>
      <c r="F287" s="406" t="n">
        <v>150</v>
      </c>
      <c r="G287" s="318" t="inlineStr">
        <is>
          <t>IDR</t>
        </is>
      </c>
      <c r="H287" s="324" t="n">
        <v>16200</v>
      </c>
      <c r="I287" s="320" t="n"/>
      <c r="J287" s="329" t="n">
        <v>150</v>
      </c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85" t="n">
        <v>45443</v>
      </c>
      <c r="C288" s="386" t="n">
        <v>3</v>
      </c>
      <c r="D288" s="387" t="inlineStr">
        <is>
          <t>Allen key, pliers, screwdrivers</t>
        </is>
      </c>
      <c r="E288" s="387" t="n"/>
      <c r="F288" s="338" t="n">
        <v>268000</v>
      </c>
      <c r="G288" s="314" t="inlineStr">
        <is>
          <t>IDR</t>
        </is>
      </c>
      <c r="H288" s="345" t="n">
        <v>1</v>
      </c>
      <c r="I288" s="321" t="n"/>
      <c r="J288" s="320" t="n"/>
      <c r="K288" s="321" t="n"/>
      <c r="L288" s="321" t="n"/>
      <c r="M288" s="319" t="n"/>
      <c r="N288" s="329" t="n">
        <v>268000</v>
      </c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/>
      <c r="C289" s="314" t="n"/>
      <c r="D289" s="315" t="inlineStr">
        <is>
          <t>Transportation</t>
        </is>
      </c>
      <c r="E289" s="366" t="n"/>
      <c r="F289" s="317" t="n"/>
      <c r="G289" s="314" t="n"/>
      <c r="H289" s="314" t="n"/>
      <c r="I289" s="320" t="n"/>
      <c r="J289" s="320" t="n"/>
      <c r="K289" s="321" t="n"/>
      <c r="L289" s="321" t="n"/>
      <c r="M289" s="321" t="n"/>
      <c r="N289" s="321" t="n"/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90" t="n">
        <v>45437</v>
      </c>
      <c r="C290" s="314" t="n">
        <v>4</v>
      </c>
      <c r="D290" s="326" t="inlineStr">
        <is>
          <t>Laundry (25 - 30 May 2024)</t>
        </is>
      </c>
      <c r="E290" s="326" t="n"/>
      <c r="F290" s="323" t="n">
        <v>300000</v>
      </c>
      <c r="G290" s="314" t="inlineStr">
        <is>
          <t>IDR</t>
        </is>
      </c>
      <c r="H290" s="345" t="n">
        <v>1</v>
      </c>
      <c r="I290" s="319" t="n"/>
      <c r="J290" s="329" t="n">
        <v>300000</v>
      </c>
      <c r="K290" s="321" t="n"/>
      <c r="L290" s="321" t="n"/>
      <c r="M290" s="321" t="n"/>
      <c r="N290" s="319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45437</v>
      </c>
      <c r="C291" s="314" t="n">
        <v>5</v>
      </c>
      <c r="D291" s="326" t="inlineStr">
        <is>
          <t>Wrapping Alfa Box</t>
        </is>
      </c>
      <c r="E291" s="326" t="n"/>
      <c r="F291" s="323" t="n">
        <v>80000</v>
      </c>
      <c r="G291" s="314" t="inlineStr">
        <is>
          <t>IDR</t>
        </is>
      </c>
      <c r="H291" s="345" t="n">
        <v>1</v>
      </c>
      <c r="I291" s="319" t="n"/>
      <c r="J291" s="320" t="n"/>
      <c r="K291" s="321" t="n"/>
      <c r="L291" s="321" t="n"/>
      <c r="M291" s="321" t="n"/>
      <c r="N291" s="325" t="n">
        <v>80000</v>
      </c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45439</v>
      </c>
      <c r="C292" s="314" t="n">
        <v>6</v>
      </c>
      <c r="D292" s="326" t="inlineStr">
        <is>
          <t>Hand gloves</t>
        </is>
      </c>
      <c r="E292" s="326" t="n"/>
      <c r="F292" s="323" t="n">
        <v>21900</v>
      </c>
      <c r="G292" s="314" t="inlineStr">
        <is>
          <t>IDR</t>
        </is>
      </c>
      <c r="H292" s="345" t="n">
        <v>1</v>
      </c>
      <c r="I292" s="319" t="n"/>
      <c r="J292" s="320" t="n"/>
      <c r="K292" s="321" t="n"/>
      <c r="L292" s="321" t="n"/>
      <c r="M292" s="321" t="n"/>
      <c r="N292" s="325" t="n">
        <v>21900</v>
      </c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idden="1" ht="15.5" customHeight="1" s="297">
      <c r="B293" s="391" t="n"/>
      <c r="C293" s="392" t="n"/>
      <c r="D293" s="393" t="n"/>
      <c r="E293" s="393" t="n"/>
      <c r="F293" s="394" t="n"/>
      <c r="G293" s="392" t="n"/>
      <c r="H293" s="392" t="n"/>
      <c r="I293" s="380" t="n"/>
      <c r="J293" s="372" t="n"/>
      <c r="K293" s="374" t="n"/>
      <c r="L293" s="374" t="n"/>
      <c r="M293" s="374" t="n"/>
      <c r="N293" s="380" t="n"/>
      <c r="O293" s="374" t="n"/>
      <c r="P293" s="374" t="n"/>
      <c r="Q293" s="374" t="n"/>
      <c r="R293" s="373" t="n"/>
      <c r="S293" s="373" t="n"/>
      <c r="T293" s="373" t="n"/>
      <c r="U293" s="373" t="n"/>
      <c r="V293" s="373" t="n"/>
      <c r="W293" s="373" t="n"/>
      <c r="X293" s="373" t="n"/>
    </row>
    <row r="294" ht="15.5" customHeight="1" s="297">
      <c r="B294" s="333" t="n">
        <v>45437</v>
      </c>
      <c r="C294" s="314" t="n">
        <v>7</v>
      </c>
      <c r="D294" s="316" t="inlineStr">
        <is>
          <t>Taxi + Tol to Airport Jakarta</t>
        </is>
      </c>
      <c r="E294" s="316" t="n"/>
      <c r="F294" s="323" t="n">
        <v>232520</v>
      </c>
      <c r="G294" s="314" t="inlineStr">
        <is>
          <t>IDR</t>
        </is>
      </c>
      <c r="H294" s="345" t="n">
        <v>1</v>
      </c>
      <c r="I294" s="319" t="n"/>
      <c r="J294" s="329" t="n">
        <v>232520</v>
      </c>
      <c r="K294" s="321" t="n"/>
      <c r="L294" s="321" t="n"/>
      <c r="M294" s="321" t="n"/>
      <c r="N294" s="319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91" t="n"/>
      <c r="C295" s="392" t="n"/>
      <c r="D295" s="393" t="n"/>
      <c r="E295" s="393" t="n"/>
      <c r="F295" s="394" t="n"/>
      <c r="G295" s="392" t="n"/>
      <c r="H295" s="392" t="n"/>
      <c r="I295" s="380" t="n"/>
      <c r="J295" s="372" t="n"/>
      <c r="K295" s="374" t="n"/>
      <c r="L295" s="374" t="n"/>
      <c r="M295" s="374" t="n"/>
      <c r="N295" s="380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t="15.5" customHeight="1" s="297">
      <c r="B296" s="333" t="n">
        <v>45437</v>
      </c>
      <c r="C296" s="314" t="n">
        <v>8</v>
      </c>
      <c r="D296" s="407" t="inlineStr">
        <is>
          <t>fuel + tol PLM-Prabu</t>
        </is>
      </c>
      <c r="E296" s="407" t="n"/>
      <c r="F296" s="323" t="n">
        <v>312000</v>
      </c>
      <c r="G296" s="314" t="inlineStr">
        <is>
          <t>IDR</t>
        </is>
      </c>
      <c r="H296" s="345" t="n">
        <v>1</v>
      </c>
      <c r="I296" s="319" t="n"/>
      <c r="J296" s="329" t="n">
        <v>312000</v>
      </c>
      <c r="K296" s="321" t="n"/>
      <c r="L296" s="321" t="n"/>
      <c r="M296" s="321" t="n"/>
      <c r="N296" s="319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B297" s="381" t="n">
        <v>45439</v>
      </c>
      <c r="C297" s="375" t="n">
        <v>5</v>
      </c>
      <c r="D297" s="382" t="inlineStr">
        <is>
          <t>ALFA JRK-193 - project SI_ TMA</t>
        </is>
      </c>
      <c r="E297" s="383" t="n"/>
      <c r="F297" s="395" t="n">
        <v>21900</v>
      </c>
      <c r="G297" s="375" t="inlineStr">
        <is>
          <t>IDR</t>
        </is>
      </c>
      <c r="H297" s="375" t="n">
        <v>1</v>
      </c>
      <c r="I297" s="364" t="n"/>
      <c r="J297" s="364" t="n"/>
      <c r="K297" s="377" t="n"/>
      <c r="L297" s="377" t="n"/>
      <c r="M297" s="377" t="n"/>
      <c r="N297" s="376">
        <f>F273</f>
        <v/>
      </c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17" t="n"/>
      <c r="G298" s="314" t="n"/>
      <c r="H298" s="314" t="n"/>
      <c r="I298" s="320" t="n"/>
      <c r="J298" s="320" t="n"/>
      <c r="K298" s="321" t="n"/>
      <c r="L298" s="321" t="n"/>
      <c r="M298" s="319" t="n"/>
      <c r="N298" s="319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23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19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/>
      <c r="C300" s="314" t="n"/>
      <c r="D300" s="330" t="inlineStr">
        <is>
          <t>Allowance</t>
        </is>
      </c>
      <c r="E300" s="367" t="n"/>
      <c r="F300" s="317" t="n"/>
      <c r="G300" s="314" t="n"/>
      <c r="H300" s="314" t="n"/>
      <c r="I300" s="320" t="n"/>
      <c r="J300" s="320" t="n"/>
      <c r="K300" s="321" t="n"/>
      <c r="L300" s="321" t="n"/>
      <c r="M300" s="319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45437</v>
      </c>
      <c r="C301" s="314" t="n">
        <v>2</v>
      </c>
      <c r="D301" s="326" t="inlineStr">
        <is>
          <t>Laundry 6 days 1 Persons @ 50K IDR/day</t>
        </is>
      </c>
      <c r="E301" s="326" t="n"/>
      <c r="F301" s="323" t="n">
        <v>300000</v>
      </c>
      <c r="G301" s="314" t="inlineStr">
        <is>
          <t>IDR</t>
        </is>
      </c>
      <c r="H301" s="345" t="n">
        <v>1</v>
      </c>
      <c r="I301" s="320" t="n"/>
      <c r="J301" s="329" t="n">
        <v>300000</v>
      </c>
      <c r="K301" s="321" t="n"/>
      <c r="L301" s="321" t="n"/>
      <c r="M301" s="320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/>
      <c r="C302" s="314" t="n"/>
      <c r="D302" s="330" t="inlineStr">
        <is>
          <t>Meal</t>
        </is>
      </c>
      <c r="E302" s="367" t="n"/>
      <c r="F302" s="317" t="n"/>
      <c r="G302" s="314" t="n"/>
      <c r="H302" s="314" t="n"/>
      <c r="I302" s="320" t="n"/>
      <c r="J302" s="320" t="n"/>
      <c r="K302" s="321" t="n"/>
      <c r="L302" s="321" t="n"/>
      <c r="M302" s="319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3</v>
      </c>
      <c r="D303" s="405" t="inlineStr">
        <is>
          <t>Tunjangan Lapangan for 6 days</t>
        </is>
      </c>
      <c r="E303" s="405" t="n"/>
      <c r="F303" s="323" t="n">
        <v>9717600</v>
      </c>
      <c r="G303" s="314" t="inlineStr">
        <is>
          <t>USD</t>
        </is>
      </c>
      <c r="H303" s="345" t="n">
        <v>16196</v>
      </c>
      <c r="I303" s="320" t="n"/>
      <c r="J303" s="329" t="n">
        <v>9717600</v>
      </c>
      <c r="K303" s="321" t="n"/>
      <c r="L303" s="321" t="n"/>
      <c r="M303" s="320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85" t="n">
        <v>45437</v>
      </c>
      <c r="C304" s="386" t="n">
        <v>4</v>
      </c>
      <c r="D304" s="401" t="inlineStr">
        <is>
          <t>Meal Crew's Operational</t>
        </is>
      </c>
      <c r="E304" s="401" t="n"/>
      <c r="F304" s="338" t="n">
        <v>709300</v>
      </c>
      <c r="G304" s="314" t="inlineStr">
        <is>
          <t>IDR</t>
        </is>
      </c>
      <c r="H304" s="345" t="n">
        <v>1</v>
      </c>
      <c r="I304" s="320" t="n"/>
      <c r="J304" s="329" t="n">
        <v>709300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/>
      <c r="C305" s="314" t="n"/>
      <c r="D305" s="330" t="inlineStr">
        <is>
          <t>Transportation</t>
        </is>
      </c>
      <c r="E305" s="367" t="n"/>
      <c r="F305" s="332" t="n"/>
      <c r="G305" s="314" t="n"/>
      <c r="H305" s="314" t="n"/>
      <c r="I305" s="320" t="n"/>
      <c r="J305" s="320" t="n"/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5</v>
      </c>
      <c r="D306" s="326" t="inlineStr">
        <is>
          <t>Meals 7 days 1 Persons @ 150K IDR/day</t>
        </is>
      </c>
      <c r="E306" s="326" t="n"/>
      <c r="F306" s="334" t="n">
        <v>900000</v>
      </c>
      <c r="G306" s="314" t="inlineStr">
        <is>
          <t>IDR</t>
        </is>
      </c>
      <c r="H306" s="345" t="n">
        <v>1</v>
      </c>
      <c r="I306" s="320" t="n"/>
      <c r="J306" s="329" t="n">
        <v>900000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6</v>
      </c>
      <c r="D307" s="326" t="inlineStr">
        <is>
          <t>Airplane Ticket CGK-PLM (2 Person)</t>
        </is>
      </c>
      <c r="E307" s="326" t="n"/>
      <c r="F307" s="334" t="n">
        <v>1418800</v>
      </c>
      <c r="G307" s="314" t="inlineStr">
        <is>
          <t>IDR</t>
        </is>
      </c>
      <c r="H307" s="345" t="n">
        <v>1</v>
      </c>
      <c r="I307" s="320" t="n"/>
      <c r="J307" s="329" t="n">
        <v>1418800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idden="1" ht="15.5" customHeight="1" s="297">
      <c r="B308" s="368" t="n"/>
      <c r="C308" s="369" t="n"/>
      <c r="D308" s="370" t="n"/>
      <c r="E308" s="370" t="n"/>
      <c r="F308" s="371" t="n"/>
      <c r="G308" s="369" t="n"/>
      <c r="H308" s="369" t="n"/>
      <c r="I308" s="372" t="n"/>
      <c r="J308" s="372" t="n"/>
      <c r="K308" s="374" t="n"/>
      <c r="L308" s="374" t="n"/>
      <c r="M308" s="374" t="n"/>
      <c r="N308" s="374" t="n"/>
      <c r="O308" s="374" t="n"/>
      <c r="P308" s="374" t="n"/>
      <c r="Q308" s="374" t="n"/>
      <c r="R308" s="373" t="n"/>
      <c r="S308" s="373" t="n"/>
      <c r="T308" s="373" t="n"/>
      <c r="U308" s="373" t="n"/>
      <c r="V308" s="373" t="n"/>
      <c r="W308" s="373" t="n"/>
      <c r="X308" s="373" t="n"/>
    </row>
    <row r="309" ht="15.5" customHeight="1" s="297">
      <c r="B309" s="333" t="n">
        <v>45437</v>
      </c>
      <c r="C309" s="314" t="n">
        <v>7</v>
      </c>
      <c r="D309" s="326" t="inlineStr">
        <is>
          <t>Taxi Pondok Cabe-CGK</t>
        </is>
      </c>
      <c r="E309" s="326" t="n"/>
      <c r="F309" s="334" t="n">
        <v>166000</v>
      </c>
      <c r="G309" s="314" t="inlineStr">
        <is>
          <t>IDR</t>
        </is>
      </c>
      <c r="H309" s="345" t="n">
        <v>1</v>
      </c>
      <c r="I309" s="319" t="n"/>
      <c r="J309" s="329" t="n">
        <v>166000</v>
      </c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8</v>
      </c>
      <c r="D310" s="326" t="inlineStr">
        <is>
          <t>Toll (Pondok Cabe-CGK)</t>
        </is>
      </c>
      <c r="E310" s="326" t="n"/>
      <c r="F310" s="334" t="n">
        <v>60000</v>
      </c>
      <c r="G310" s="314" t="inlineStr">
        <is>
          <t>IDR</t>
        </is>
      </c>
      <c r="H310" s="345" t="n">
        <v>1</v>
      </c>
      <c r="I310" s="319" t="n"/>
      <c r="J310" s="329" t="n">
        <v>60000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>
        <v>45437</v>
      </c>
      <c r="C311" s="314" t="n">
        <v>9</v>
      </c>
      <c r="D311" s="326" t="inlineStr">
        <is>
          <t>Rent Car 6 Days</t>
        </is>
      </c>
      <c r="E311" s="326" t="n"/>
      <c r="F311" s="334" t="n">
        <v>2900000</v>
      </c>
      <c r="G311" s="314" t="inlineStr">
        <is>
          <t>IDR</t>
        </is>
      </c>
      <c r="H311" s="345" t="n">
        <v>1</v>
      </c>
      <c r="I311" s="319" t="n"/>
      <c r="J311" s="329" t="n">
        <v>2900000</v>
      </c>
      <c r="K311" s="321" t="n"/>
      <c r="L311" s="321" t="n"/>
      <c r="M311" s="321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45437</v>
      </c>
      <c r="C312" s="314" t="n">
        <v>10</v>
      </c>
      <c r="D312" s="326" t="inlineStr">
        <is>
          <t>Gasoline</t>
        </is>
      </c>
      <c r="E312" s="326" t="n"/>
      <c r="F312" s="334" t="n">
        <v>400000</v>
      </c>
      <c r="G312" s="314" t="inlineStr">
        <is>
          <t>IDR</t>
        </is>
      </c>
      <c r="H312" s="345" t="n">
        <v>1</v>
      </c>
      <c r="I312" s="319" t="n"/>
      <c r="J312" s="329" t="n">
        <v>400000</v>
      </c>
      <c r="K312" s="321" t="n"/>
      <c r="L312" s="321" t="n"/>
      <c r="M312" s="321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33" t="n">
        <v>45442</v>
      </c>
      <c r="C313" s="314" t="n">
        <v>11</v>
      </c>
      <c r="D313" s="316" t="inlineStr">
        <is>
          <t>Taxi CGK-Pondok Cabe (inc Toll+Parking)</t>
        </is>
      </c>
      <c r="E313" s="316" t="n"/>
      <c r="F313" s="334" t="n">
        <v>300000</v>
      </c>
      <c r="G313" s="314" t="inlineStr">
        <is>
          <t>IDR</t>
        </is>
      </c>
      <c r="H313" s="345" t="n">
        <v>1</v>
      </c>
      <c r="I313" s="319" t="n"/>
      <c r="J313" s="329" t="n">
        <v>300000</v>
      </c>
      <c r="K313" s="321" t="n"/>
      <c r="L313" s="321" t="n"/>
      <c r="M313" s="321" t="n"/>
      <c r="N313" s="321" t="n"/>
      <c r="O313" s="321" t="n"/>
      <c r="P313" s="321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</row>
    <row r="314" ht="15.5" customHeight="1" s="297">
      <c r="B314" s="333" t="n">
        <v>45442</v>
      </c>
      <c r="C314" s="314" t="n">
        <v>12</v>
      </c>
      <c r="D314" s="316" t="inlineStr">
        <is>
          <t>Airplane Ticket PLM-CGK (2 Person)</t>
        </is>
      </c>
      <c r="E314" s="316" t="n"/>
      <c r="F314" s="334" t="n">
        <v>1326410</v>
      </c>
      <c r="G314" s="314" t="inlineStr">
        <is>
          <t>IDR</t>
        </is>
      </c>
      <c r="H314" s="345" t="n">
        <v>1</v>
      </c>
      <c r="I314" s="319" t="n"/>
      <c r="J314" s="329" t="n">
        <v>1326410</v>
      </c>
      <c r="K314" s="321" t="n"/>
      <c r="L314" s="321" t="n"/>
      <c r="M314" s="321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81" t="n">
        <v>45442</v>
      </c>
      <c r="C315" s="375" t="n">
        <v>9</v>
      </c>
      <c r="D315" s="382" t="inlineStr">
        <is>
          <t>Non Trip - BOSIET Training - DS</t>
        </is>
      </c>
      <c r="E315" s="383" t="n"/>
      <c r="F315" s="384" t="n">
        <v>1326410</v>
      </c>
      <c r="G315" s="375" t="inlineStr">
        <is>
          <t>IDR</t>
        </is>
      </c>
      <c r="H315" s="375" t="n">
        <v>1</v>
      </c>
      <c r="I315" s="376">
        <f>$H291*$F291</f>
        <v/>
      </c>
      <c r="J315" s="364" t="n"/>
      <c r="K315" s="377" t="n"/>
      <c r="L315" s="377" t="n"/>
      <c r="M315" s="377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33" t="n"/>
      <c r="C316" s="407" t="n"/>
      <c r="D316" s="330" t="inlineStr">
        <is>
          <t>Training</t>
        </is>
      </c>
      <c r="E316" s="367" t="n"/>
      <c r="F316" s="332" t="n"/>
      <c r="G316" s="314" t="n"/>
      <c r="H316" s="314" t="n"/>
      <c r="I316" s="320" t="n"/>
      <c r="J316" s="320" t="n"/>
      <c r="K316" s="321" t="n"/>
      <c r="L316" s="321" t="n"/>
      <c r="M316" s="321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33" t="n">
        <v>45450</v>
      </c>
      <c r="C317" s="314" t="n">
        <v>1</v>
      </c>
      <c r="D317" s="326" t="inlineStr">
        <is>
          <t>BOSIET 5 - 7 June 2024</t>
        </is>
      </c>
      <c r="E317" s="326" t="n"/>
      <c r="F317" s="338" t="n">
        <v>9693878</v>
      </c>
      <c r="G317" s="314" t="inlineStr">
        <is>
          <t>IDR</t>
        </is>
      </c>
      <c r="H317" s="345" t="n">
        <v>1</v>
      </c>
      <c r="I317" s="320" t="n"/>
      <c r="J317" s="329" t="n">
        <v>9693878</v>
      </c>
      <c r="K317" s="321" t="n"/>
      <c r="L317" s="321" t="n"/>
      <c r="M317" s="321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407" t="n"/>
      <c r="D318" s="330" t="inlineStr">
        <is>
          <t>Transportation</t>
        </is>
      </c>
      <c r="E318" s="367" t="n"/>
      <c r="F318" s="332" t="n"/>
      <c r="G318" s="314" t="n"/>
      <c r="H318" s="314" t="n"/>
      <c r="I318" s="320" t="n"/>
      <c r="J318" s="320" t="n"/>
      <c r="K318" s="321" t="n"/>
      <c r="L318" s="321" t="n"/>
      <c r="M318" s="319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33" t="n">
        <v>45448</v>
      </c>
      <c r="C319" s="314" t="n">
        <v>2</v>
      </c>
      <c r="D319" s="326" t="inlineStr">
        <is>
          <t>Personal Car from Home to PT. LTJ (converted) DAY-1</t>
        </is>
      </c>
      <c r="E319" s="326" t="n"/>
      <c r="F319" s="334" t="n">
        <v>233000</v>
      </c>
      <c r="G319" s="314" t="inlineStr">
        <is>
          <t>IDR</t>
        </is>
      </c>
      <c r="H319" s="345" t="n">
        <v>1</v>
      </c>
      <c r="I319" s="320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idden="1" ht="15.5" customHeight="1" s="297">
      <c r="B320" s="368" t="n"/>
      <c r="C320" s="408" t="n"/>
      <c r="D320" s="370" t="n"/>
      <c r="E320" s="370" t="n"/>
      <c r="F320" s="371" t="n"/>
      <c r="G320" s="369" t="n"/>
      <c r="H320" s="369" t="n"/>
      <c r="I320" s="372" t="n"/>
      <c r="J320" s="372" t="n"/>
      <c r="K320" s="374" t="n"/>
      <c r="L320" s="374" t="n"/>
      <c r="M320" s="380" t="n"/>
      <c r="N320" s="374" t="n"/>
      <c r="O320" s="374" t="n"/>
      <c r="P320" s="374" t="n"/>
      <c r="Q320" s="374" t="n"/>
      <c r="R320" s="373" t="n"/>
      <c r="S320" s="373" t="n"/>
      <c r="T320" s="373" t="n"/>
      <c r="U320" s="373" t="n"/>
      <c r="V320" s="373" t="n"/>
      <c r="W320" s="373" t="n"/>
      <c r="X320" s="373" t="n"/>
    </row>
    <row r="321" ht="15.5" customHeight="1" s="297">
      <c r="B321" s="333" t="n">
        <v>45449</v>
      </c>
      <c r="C321" s="407" t="n">
        <v>3</v>
      </c>
      <c r="D321" s="326" t="inlineStr">
        <is>
          <t>Transport DAY - 2 BOSIET</t>
        </is>
      </c>
      <c r="E321" s="326" t="n"/>
      <c r="F321" s="334" t="n">
        <v>73000</v>
      </c>
      <c r="G321" s="314" t="inlineStr">
        <is>
          <t>IDR</t>
        </is>
      </c>
      <c r="H321" s="345" t="n">
        <v>1</v>
      </c>
      <c r="I321" s="320" t="n"/>
      <c r="J321" s="329" t="n">
        <v>73000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A322" s="346" t="n"/>
      <c r="B322" s="381" t="n">
        <v>45450</v>
      </c>
      <c r="C322" s="409" t="n">
        <v>4</v>
      </c>
      <c r="D322" s="382" t="inlineStr">
        <is>
          <t>ALFA JRK-163 (Pending job) - TMA</t>
        </is>
      </c>
      <c r="E322" s="383" t="n"/>
      <c r="F322" s="410" t="n">
        <v>59000</v>
      </c>
      <c r="G322" s="375" t="inlineStr">
        <is>
          <t>IDR</t>
        </is>
      </c>
      <c r="H322" s="411" t="n">
        <v>1</v>
      </c>
      <c r="I322" s="364" t="n"/>
      <c r="J322" s="412" t="n">
        <v>59000</v>
      </c>
      <c r="K322" s="377" t="n"/>
      <c r="L322" s="377" t="n"/>
      <c r="M322" s="376" t="n"/>
      <c r="N322" s="377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85" t="n">
        <v>45428</v>
      </c>
      <c r="C323" s="386" t="n">
        <v>1</v>
      </c>
      <c r="D323" s="387" t="inlineStr">
        <is>
          <t>Hotel 16 June - 19 June (3 days)</t>
        </is>
      </c>
      <c r="E323" s="387" t="n"/>
      <c r="F323" s="338" t="n">
        <v>720000</v>
      </c>
      <c r="G323" s="314" t="inlineStr">
        <is>
          <t>IDR</t>
        </is>
      </c>
      <c r="H323" s="345" t="n">
        <v>1</v>
      </c>
      <c r="I323" s="321" t="n"/>
      <c r="J323" s="329" t="n">
        <v>720000</v>
      </c>
      <c r="K323" s="321" t="n"/>
      <c r="L323" s="321" t="n"/>
      <c r="M323" s="319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13" t="n"/>
      <c r="C324" s="314" t="n"/>
      <c r="D324" s="315" t="inlineStr">
        <is>
          <t>Accommodation</t>
        </is>
      </c>
      <c r="E324" s="366" t="n"/>
      <c r="F324" s="317" t="n"/>
      <c r="G324" s="314" t="n"/>
      <c r="H324" s="314" t="n"/>
      <c r="I324" s="320" t="n"/>
      <c r="J324" s="320" t="n"/>
      <c r="K324" s="321" t="n"/>
      <c r="L324" s="321" t="n"/>
      <c r="M324" s="320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13" t="n">
        <v>45428</v>
      </c>
      <c r="C325" s="314" t="n">
        <v>2</v>
      </c>
      <c r="D325" s="316" t="inlineStr">
        <is>
          <t>Laundry 4 days 1 Persons @ 50K IDR/day</t>
        </is>
      </c>
      <c r="E325" s="31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15" t="inlineStr">
        <is>
          <t>Allowance</t>
        </is>
      </c>
      <c r="E326" s="366" t="n"/>
      <c r="F326" s="317" t="n"/>
      <c r="G326" s="314" t="n"/>
      <c r="H326" s="314" t="n"/>
      <c r="I326" s="320" t="n"/>
      <c r="J326" s="320" t="n"/>
      <c r="K326" s="321" t="n"/>
      <c r="L326" s="321" t="n"/>
      <c r="M326" s="320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90" t="n">
        <v>45428</v>
      </c>
      <c r="C327" s="314" t="n">
        <v>3</v>
      </c>
      <c r="D327" s="405" t="inlineStr">
        <is>
          <t>Tunjangan Lapangan for 4 days</t>
        </is>
      </c>
      <c r="E327" s="405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19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90" t="n">
        <v>45428</v>
      </c>
      <c r="C328" s="314" t="n">
        <v>4</v>
      </c>
      <c r="D328" s="405" t="inlineStr">
        <is>
          <t>Uneed Power Station</t>
        </is>
      </c>
      <c r="E328" s="405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21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85" t="n">
        <v>45428</v>
      </c>
      <c r="C330" s="386" t="n">
        <v>6</v>
      </c>
      <c r="D330" s="387" t="inlineStr">
        <is>
          <t>Airplane Ticket CGK-PLM</t>
        </is>
      </c>
      <c r="E330" s="387" t="n"/>
      <c r="F330" s="338" t="n">
        <v>995500</v>
      </c>
      <c r="G330" s="314" t="inlineStr">
        <is>
          <t>IDR</t>
        </is>
      </c>
      <c r="H330" s="345" t="n">
        <v>1</v>
      </c>
      <c r="I330" s="321" t="n"/>
      <c r="J330" s="329" t="n">
        <v>995500</v>
      </c>
      <c r="K330" s="321" t="n"/>
      <c r="L330" s="321" t="n"/>
      <c r="M330" s="321" t="n"/>
      <c r="N330" s="319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/>
      <c r="C331" s="314" t="n"/>
      <c r="D331" s="330" t="inlineStr">
        <is>
          <t>Logistic</t>
        </is>
      </c>
      <c r="E331" s="367" t="n"/>
      <c r="F331" s="317" t="n"/>
      <c r="G331" s="314" t="n"/>
      <c r="H331" s="314" t="n"/>
      <c r="I331" s="396" t="n"/>
      <c r="J331" s="320" t="n"/>
      <c r="K331" s="320" t="n"/>
      <c r="L331" s="320" t="n"/>
      <c r="M331" s="320" t="n"/>
      <c r="N331" s="320" t="n"/>
      <c r="O331" s="320" t="n"/>
      <c r="P331" s="320" t="n"/>
      <c r="Q331" s="320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7</v>
      </c>
      <c r="D332" s="326" t="inlineStr">
        <is>
          <t>Taxi Pondok Cabe-CGK</t>
        </is>
      </c>
      <c r="E332" s="326" t="n"/>
      <c r="F332" s="323" t="n">
        <v>273500</v>
      </c>
      <c r="G332" s="314" t="inlineStr">
        <is>
          <t>IDR</t>
        </is>
      </c>
      <c r="H332" s="345" t="n">
        <v>1</v>
      </c>
      <c r="I332" s="396" t="n"/>
      <c r="J332" s="329" t="n">
        <v>273500</v>
      </c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8</v>
      </c>
      <c r="D333" s="326" t="inlineStr">
        <is>
          <t>Toll Prabumulih (PP)</t>
        </is>
      </c>
      <c r="E333" s="326" t="n"/>
      <c r="F333" s="323" t="n">
        <v>224000</v>
      </c>
      <c r="G333" s="314" t="inlineStr">
        <is>
          <t>IDR</t>
        </is>
      </c>
      <c r="H333" s="345" t="n">
        <v>1</v>
      </c>
      <c r="I333" s="319" t="n"/>
      <c r="J333" s="329" t="n">
        <v>224000</v>
      </c>
      <c r="K333" s="321" t="n"/>
      <c r="L333" s="321" t="n"/>
      <c r="M333" s="321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14" t="n"/>
      <c r="D334" s="330" t="inlineStr">
        <is>
          <t>Meal</t>
        </is>
      </c>
      <c r="E334" s="367" t="n"/>
      <c r="F334" s="317" t="n"/>
      <c r="G334" s="314" t="n"/>
      <c r="H334" s="314" t="n"/>
      <c r="I334" s="396" t="n"/>
      <c r="J334" s="320" t="n"/>
      <c r="K334" s="321" t="n"/>
      <c r="L334" s="321" t="n"/>
      <c r="M334" s="321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9</v>
      </c>
      <c r="D335" s="326" t="inlineStr">
        <is>
          <t>Rent Car 4 Days</t>
        </is>
      </c>
      <c r="E335" s="326" t="n"/>
      <c r="F335" s="323" t="n">
        <v>2000000</v>
      </c>
      <c r="G335" s="314" t="inlineStr">
        <is>
          <t>IDR</t>
        </is>
      </c>
      <c r="H335" s="345" t="n">
        <v>1</v>
      </c>
      <c r="I335" s="319" t="n"/>
      <c r="J335" s="329" t="n">
        <v>2000000</v>
      </c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>
        <v>45428</v>
      </c>
      <c r="C336" s="314" t="n">
        <v>10</v>
      </c>
      <c r="D336" s="326" t="inlineStr">
        <is>
          <t>Gasoline</t>
        </is>
      </c>
      <c r="E336" s="326" t="n"/>
      <c r="F336" s="323" t="n">
        <v>330000</v>
      </c>
      <c r="G336" s="314" t="inlineStr">
        <is>
          <t>IDR</t>
        </is>
      </c>
      <c r="H336" s="345" t="n">
        <v>1</v>
      </c>
      <c r="I336" s="319" t="n"/>
      <c r="J336" s="329" t="n">
        <v>330000</v>
      </c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19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>
        <v>45428</v>
      </c>
      <c r="C338" s="314" t="n">
        <v>12</v>
      </c>
      <c r="D338" s="326" t="inlineStr">
        <is>
          <t>Airplane Ticket PLM-HLP</t>
        </is>
      </c>
      <c r="E338" s="326" t="n"/>
      <c r="F338" s="323" t="n">
        <v>1004000</v>
      </c>
      <c r="G338" s="314" t="inlineStr">
        <is>
          <t>IDR</t>
        </is>
      </c>
      <c r="H338" s="345" t="n">
        <v>1</v>
      </c>
      <c r="I338" s="319" t="n"/>
      <c r="J338" s="329" t="n">
        <v>1004000</v>
      </c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idden="1" ht="15.5" customHeight="1" s="297">
      <c r="B339" s="368" t="n"/>
      <c r="C339" s="369" t="n"/>
      <c r="D339" s="398" t="n"/>
      <c r="E339" s="398" t="n"/>
      <c r="F339" s="397" t="n"/>
      <c r="G339" s="369" t="n"/>
      <c r="H339" s="369" t="n"/>
      <c r="I339" s="380" t="n"/>
      <c r="J339" s="372" t="n"/>
      <c r="K339" s="374" t="n"/>
      <c r="L339" s="374" t="n"/>
      <c r="M339" s="380" t="n"/>
      <c r="N339" s="374" t="n"/>
      <c r="O339" s="374" t="n"/>
      <c r="P339" s="374" t="n"/>
      <c r="Q339" s="374" t="n"/>
      <c r="R339" s="373" t="n"/>
      <c r="S339" s="373" t="n"/>
      <c r="T339" s="373" t="n"/>
      <c r="U339" s="373" t="n"/>
      <c r="V339" s="373" t="n"/>
      <c r="W339" s="373" t="n"/>
      <c r="X339" s="373" t="n"/>
    </row>
    <row r="340" ht="15.5" customHeight="1" s="297">
      <c r="A340" s="346" t="n"/>
      <c r="B340" s="381" t="n"/>
      <c r="C340" s="375" t="n"/>
      <c r="D340" s="357" t="inlineStr">
        <is>
          <t>Preparation TIS Petroleum - TMA</t>
        </is>
      </c>
      <c r="E340" s="361" t="n"/>
      <c r="F340" s="395" t="n"/>
      <c r="G340" s="375" t="n"/>
      <c r="H340" s="375" t="n"/>
      <c r="I340" s="376" t="n"/>
      <c r="J340" s="364" t="n"/>
      <c r="K340" s="377" t="n"/>
      <c r="L340" s="377" t="n"/>
      <c r="M340" s="376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>
        <v>45483</v>
      </c>
      <c r="C341" s="314" t="n">
        <v>1</v>
      </c>
      <c r="D341" s="316" t="inlineStr">
        <is>
          <t>Pin Punch</t>
        </is>
      </c>
      <c r="E341" s="316" t="n"/>
      <c r="F341" s="323" t="n">
        <v>381960</v>
      </c>
      <c r="G341" s="314" t="inlineStr">
        <is>
          <t>IDR</t>
        </is>
      </c>
      <c r="H341" s="345" t="n">
        <v>1</v>
      </c>
      <c r="I341" s="319" t="n"/>
      <c r="J341" s="320" t="n"/>
      <c r="K341" s="321" t="n"/>
      <c r="L341" s="321" t="n"/>
      <c r="M341" s="319" t="n"/>
      <c r="N341" s="329" t="n">
        <v>381960</v>
      </c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2</v>
      </c>
      <c r="D342" s="326" t="inlineStr">
        <is>
          <t>Hardcase Custom</t>
        </is>
      </c>
      <c r="E342" s="326" t="n"/>
      <c r="F342" s="323" t="n">
        <v>3595000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3595000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407" t="n"/>
      <c r="D343" s="330" t="inlineStr">
        <is>
          <t>Logistic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19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45478</v>
      </c>
      <c r="C344" s="314" t="n">
        <v>3</v>
      </c>
      <c r="D344" s="326" t="inlineStr">
        <is>
          <t>Lalamove Gowell-Bogor-Gowell</t>
        </is>
      </c>
      <c r="E344" s="326" t="n"/>
      <c r="F344" s="338" t="n">
        <v>594804</v>
      </c>
      <c r="G344" s="314" t="inlineStr">
        <is>
          <t>IDR</t>
        </is>
      </c>
      <c r="H344" s="345" t="n">
        <v>1</v>
      </c>
      <c r="I344" s="320" t="n"/>
      <c r="J344" s="329" t="n">
        <v>594804</v>
      </c>
      <c r="K344" s="321" t="n"/>
      <c r="L344" s="321" t="n"/>
      <c r="M344" s="319" t="n"/>
      <c r="N344" s="320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/>
      <c r="C345" s="407" t="n"/>
      <c r="D345" s="330" t="inlineStr">
        <is>
          <t>Transportation</t>
        </is>
      </c>
      <c r="E345" s="367" t="n"/>
      <c r="F345" s="317" t="n"/>
      <c r="G345" s="314" t="n"/>
      <c r="H345" s="314" t="n"/>
      <c r="I345" s="320" t="n"/>
      <c r="J345" s="320" t="n"/>
      <c r="K345" s="321" t="n"/>
      <c r="L345" s="321" t="n"/>
      <c r="M345" s="319" t="n"/>
      <c r="N345" s="321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81" t="n">
        <v>45428</v>
      </c>
      <c r="C346" s="375" t="n">
        <v>10</v>
      </c>
      <c r="D346" s="382" t="inlineStr">
        <is>
          <t>Delivery Tools Sonoecho (KL) - TMA</t>
        </is>
      </c>
      <c r="E346" s="383" t="n"/>
      <c r="F346" s="395">
        <f>4*150000</f>
        <v/>
      </c>
      <c r="G346" s="375" t="inlineStr">
        <is>
          <t>IDR</t>
        </is>
      </c>
      <c r="H346" s="375" t="n">
        <v>1</v>
      </c>
      <c r="I346" s="364">
        <f>F320</f>
        <v/>
      </c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407" t="n"/>
      <c r="D347" s="330" t="inlineStr">
        <is>
          <t>Accommodation</t>
        </is>
      </c>
      <c r="E347" s="367" t="n"/>
      <c r="F347" s="317" t="n"/>
      <c r="G347" s="314" t="n"/>
      <c r="H347" s="314" t="n"/>
      <c r="I347" s="320" t="n"/>
      <c r="J347" s="320" t="n"/>
      <c r="K347" s="321" t="n"/>
      <c r="L347" s="321" t="n"/>
      <c r="M347" s="320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407" t="n">
        <v>1</v>
      </c>
      <c r="D348" s="326" t="inlineStr">
        <is>
          <t>Hotel</t>
        </is>
      </c>
      <c r="E348" s="326" t="n"/>
      <c r="F348" s="323" t="n">
        <v>344305</v>
      </c>
      <c r="G348" s="314" t="inlineStr">
        <is>
          <t>IDR</t>
        </is>
      </c>
      <c r="H348" s="345" t="n">
        <v>1</v>
      </c>
      <c r="I348" s="320" t="n"/>
      <c r="J348" s="329" t="n">
        <v>344305</v>
      </c>
      <c r="K348" s="321" t="n"/>
      <c r="L348" s="321" t="n"/>
      <c r="M348" s="319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85" t="n">
        <v>45481</v>
      </c>
      <c r="C349" s="386" t="n">
        <v>2</v>
      </c>
      <c r="D349" s="387" t="inlineStr">
        <is>
          <t>Hotel Tax Foreigner</t>
        </is>
      </c>
      <c r="E349" s="387" t="n"/>
      <c r="F349" s="338" t="n">
        <v>34620</v>
      </c>
      <c r="G349" s="314" t="inlineStr">
        <is>
          <t>MYR</t>
        </is>
      </c>
      <c r="H349" s="345" t="n">
        <v>3462</v>
      </c>
      <c r="I349" s="321" t="n"/>
      <c r="J349" s="329" t="n">
        <v>34620</v>
      </c>
      <c r="K349" s="321" t="n"/>
      <c r="L349" s="321" t="n"/>
      <c r="M349" s="320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17" t="n"/>
      <c r="G350" s="314" t="n"/>
      <c r="H350" s="314" t="n"/>
      <c r="I350" s="320" t="n"/>
      <c r="J350" s="320" t="n"/>
      <c r="K350" s="321" t="n"/>
      <c r="L350" s="321" t="n"/>
      <c r="M350" s="319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23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19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/>
      <c r="C352" s="314" t="n"/>
      <c r="D352" s="330" t="inlineStr">
        <is>
          <t>Transportation</t>
        </is>
      </c>
      <c r="E352" s="367" t="n"/>
      <c r="F352" s="317" t="n"/>
      <c r="G352" s="314" t="n"/>
      <c r="H352" s="314" t="n"/>
      <c r="I352" s="320" t="n"/>
      <c r="J352" s="320" t="n"/>
      <c r="K352" s="321" t="n"/>
      <c r="L352" s="321" t="n"/>
      <c r="M352" s="320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45483</v>
      </c>
      <c r="C353" s="314" t="n">
        <v>4</v>
      </c>
      <c r="D353" s="326" t="inlineStr">
        <is>
          <t>OTG Type C</t>
        </is>
      </c>
      <c r="E353" s="326" t="n"/>
      <c r="F353" s="323" t="n">
        <v>163100</v>
      </c>
      <c r="G353" s="314" t="inlineStr">
        <is>
          <t>IDR</t>
        </is>
      </c>
      <c r="H353" s="345" t="n">
        <v>1</v>
      </c>
      <c r="I353" s="320" t="n"/>
      <c r="J353" s="320" t="n"/>
      <c r="K353" s="321" t="n"/>
      <c r="L353" s="321" t="n"/>
      <c r="M353" s="319" t="n"/>
      <c r="N353" s="325" t="n">
        <v>163100</v>
      </c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5</v>
      </c>
      <c r="D354" s="326" t="inlineStr">
        <is>
          <t>Airplane Ticket CGK-KLIA</t>
        </is>
      </c>
      <c r="E354" s="326" t="n"/>
      <c r="F354" s="323" t="n">
        <v>4912100</v>
      </c>
      <c r="G354" s="314" t="inlineStr">
        <is>
          <t>IDR</t>
        </is>
      </c>
      <c r="H354" s="345" t="n">
        <v>1</v>
      </c>
      <c r="I354" s="320" t="n"/>
      <c r="J354" s="329" t="n">
        <v>4912100</v>
      </c>
      <c r="K354" s="321" t="n"/>
      <c r="L354" s="321" t="n"/>
      <c r="M354" s="319" t="n"/>
      <c r="N354" s="319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85" t="n">
        <v>45481</v>
      </c>
      <c r="C355" s="386" t="n">
        <v>6</v>
      </c>
      <c r="D355" s="387" t="inlineStr">
        <is>
          <t>Taxi Home - CGK</t>
        </is>
      </c>
      <c r="E355" s="387" t="n"/>
      <c r="F355" s="338" t="n">
        <v>250000</v>
      </c>
      <c r="G355" s="314" t="inlineStr">
        <is>
          <t>IDR</t>
        </is>
      </c>
      <c r="H355" s="345" t="n">
        <v>1</v>
      </c>
      <c r="I355" s="321" t="n"/>
      <c r="J355" s="329" t="n">
        <v>250000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idden="1" ht="15.5" customHeight="1" s="297">
      <c r="B356" s="368" t="n"/>
      <c r="C356" s="369" t="n"/>
      <c r="D356" s="370" t="n"/>
      <c r="E356" s="370" t="n"/>
      <c r="F356" s="371" t="n"/>
      <c r="G356" s="369" t="n"/>
      <c r="H356" s="369" t="n"/>
      <c r="I356" s="374" t="n"/>
      <c r="J356" s="374" t="n"/>
      <c r="K356" s="374" t="n"/>
      <c r="L356" s="374" t="n"/>
      <c r="M356" s="374" t="n"/>
      <c r="N356" s="374" t="n"/>
      <c r="O356" s="374" t="n"/>
      <c r="P356" s="374" t="n"/>
      <c r="Q356" s="374" t="n"/>
      <c r="R356" s="373" t="n"/>
      <c r="S356" s="373" t="n"/>
      <c r="T356" s="373" t="n"/>
      <c r="U356" s="373" t="n"/>
      <c r="V356" s="373" t="n"/>
      <c r="W356" s="373" t="n"/>
      <c r="X356" s="373" t="n"/>
    </row>
    <row r="357" ht="15.5" customHeight="1" s="297">
      <c r="B357" s="333" t="n">
        <v>45481</v>
      </c>
      <c r="C357" s="314" t="n">
        <v>7</v>
      </c>
      <c r="D357" s="326" t="inlineStr">
        <is>
          <t>Taxi KLIA - Hotel</t>
        </is>
      </c>
      <c r="E357" s="326" t="n"/>
      <c r="F357" s="334" t="n">
        <v>249264</v>
      </c>
      <c r="G357" s="314" t="inlineStr">
        <is>
          <t>MYR</t>
        </is>
      </c>
      <c r="H357" s="345" t="n">
        <v>3462</v>
      </c>
      <c r="I357" s="396" t="n"/>
      <c r="J357" s="329" t="n">
        <v>249264</v>
      </c>
      <c r="K357" s="321" t="n"/>
      <c r="L357" s="321" t="n"/>
      <c r="M357" s="321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8</v>
      </c>
      <c r="D358" s="316" t="inlineStr">
        <is>
          <t>Taxi Hyperseal - Hotel</t>
        </is>
      </c>
      <c r="E358" s="316" t="n"/>
      <c r="F358" s="334" t="n">
        <v>27696</v>
      </c>
      <c r="G358" s="314" t="inlineStr">
        <is>
          <t>MYR</t>
        </is>
      </c>
      <c r="H358" s="345" t="n">
        <v>3462</v>
      </c>
      <c r="I358" s="319" t="n"/>
      <c r="J358" s="329" t="n">
        <v>27696</v>
      </c>
      <c r="K358" s="321" t="n"/>
      <c r="L358" s="321" t="n"/>
      <c r="M358" s="321" t="n"/>
      <c r="N358" s="321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idden="1" ht="15.5" customHeight="1" s="297">
      <c r="B359" s="368" t="n"/>
      <c r="C359" s="369" t="n"/>
      <c r="D359" s="370" t="n"/>
      <c r="E359" s="370" t="n"/>
      <c r="F359" s="371" t="n"/>
      <c r="G359" s="369" t="n"/>
      <c r="H359" s="369" t="n"/>
      <c r="I359" s="372" t="n"/>
      <c r="J359" s="372" t="n"/>
      <c r="K359" s="374" t="n"/>
      <c r="L359" s="374" t="n"/>
      <c r="M359" s="374" t="n"/>
      <c r="N359" s="374" t="n"/>
      <c r="O359" s="374" t="n"/>
      <c r="P359" s="374" t="n"/>
      <c r="Q359" s="374" t="n"/>
      <c r="R359" s="373" t="n"/>
      <c r="S359" s="373" t="n"/>
      <c r="T359" s="373" t="n"/>
      <c r="U359" s="373" t="n"/>
      <c r="V359" s="373" t="n"/>
      <c r="W359" s="373" t="n"/>
      <c r="X359" s="373" t="n"/>
    </row>
    <row r="360" ht="15.5" customHeight="1" s="297">
      <c r="A360" s="346" t="n"/>
      <c r="B360" s="381" t="n">
        <v>45482</v>
      </c>
      <c r="C360" s="375" t="n">
        <v>9</v>
      </c>
      <c r="D360" s="382" t="inlineStr">
        <is>
          <t>Non project ( MCU ulang )_ IBR</t>
        </is>
      </c>
      <c r="E360" s="388" t="n"/>
      <c r="F360" s="410" t="n">
        <v>283987.86</v>
      </c>
      <c r="G360" s="375" t="inlineStr">
        <is>
          <t>MYR</t>
        </is>
      </c>
      <c r="H360" s="411" t="n">
        <v>3462</v>
      </c>
      <c r="I360" s="364" t="n"/>
      <c r="J360" s="412" t="n">
        <v>283987.86</v>
      </c>
      <c r="K360" s="377" t="n"/>
      <c r="L360" s="377" t="n"/>
      <c r="M360" s="377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A361" s="346" t="n"/>
      <c r="B361" s="333" t="n">
        <v>45446</v>
      </c>
      <c r="C361" s="314" t="n">
        <v>1</v>
      </c>
      <c r="D361" s="367" t="inlineStr">
        <is>
          <t>Konsultasi Spesialis Penyakit Dalam</t>
        </is>
      </c>
      <c r="E361" s="367" t="n"/>
      <c r="F361" s="334" t="n">
        <v>206000</v>
      </c>
      <c r="G361" s="314" t="inlineStr">
        <is>
          <t>IDR</t>
        </is>
      </c>
      <c r="H361" s="345" t="n">
        <v>1</v>
      </c>
      <c r="I361" s="320" t="n"/>
      <c r="J361" s="329" t="n"/>
      <c r="K361" s="321" t="n"/>
      <c r="L361" s="321" t="n"/>
      <c r="M361" s="321" t="n"/>
      <c r="N361" s="321" t="n"/>
      <c r="O361" s="321" t="n"/>
      <c r="P361" s="329" t="n">
        <v>206000</v>
      </c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33" t="n">
        <v>45446</v>
      </c>
      <c r="C362" s="314" t="n">
        <v>2</v>
      </c>
      <c r="D362" s="326" t="inlineStr">
        <is>
          <t>Unit Labolatorium</t>
        </is>
      </c>
      <c r="E362" s="326" t="n"/>
      <c r="F362" s="334" t="n">
        <v>1474000</v>
      </c>
      <c r="G362" s="314" t="inlineStr">
        <is>
          <t>IDR</t>
        </is>
      </c>
      <c r="H362" s="345" t="n">
        <v>1</v>
      </c>
      <c r="I362" s="319" t="n"/>
      <c r="J362" s="320" t="n"/>
      <c r="K362" s="321" t="n"/>
      <c r="L362" s="321" t="n"/>
      <c r="M362" s="321" t="n"/>
      <c r="N362" s="321" t="n"/>
      <c r="O362" s="321" t="n"/>
      <c r="P362" s="329" t="n">
        <v>1474000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33" t="n">
        <v>45453</v>
      </c>
      <c r="C363" s="314" t="n">
        <v>3</v>
      </c>
      <c r="D363" s="316" t="inlineStr">
        <is>
          <t>Konsultasi Spesialis Penyakit Dalam</t>
        </is>
      </c>
      <c r="E363" s="316" t="n"/>
      <c r="F363" s="334" t="n">
        <v>206000</v>
      </c>
      <c r="G363" s="314" t="inlineStr">
        <is>
          <t>IDR</t>
        </is>
      </c>
      <c r="H363" s="345" t="n">
        <v>1</v>
      </c>
      <c r="I363" s="319" t="n"/>
      <c r="J363" s="320" t="n"/>
      <c r="K363" s="321" t="n"/>
      <c r="L363" s="321" t="n"/>
      <c r="M363" s="321" t="n"/>
      <c r="N363" s="321" t="n"/>
      <c r="O363" s="321" t="n"/>
      <c r="P363" s="329" t="n">
        <v>206000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33" t="n">
        <v>45453</v>
      </c>
      <c r="C364" s="314" t="n">
        <v>4</v>
      </c>
      <c r="D364" s="316" t="inlineStr">
        <is>
          <t>Farmasi</t>
        </is>
      </c>
      <c r="E364" s="316" t="n"/>
      <c r="F364" s="334" t="n">
        <v>109000</v>
      </c>
      <c r="G364" s="314" t="inlineStr">
        <is>
          <t>IDR</t>
        </is>
      </c>
      <c r="H364" s="345" t="n">
        <v>1</v>
      </c>
      <c r="I364" s="319" t="n"/>
      <c r="J364" s="320" t="n"/>
      <c r="K364" s="321" t="n"/>
      <c r="L364" s="321" t="n"/>
      <c r="M364" s="321" t="n"/>
      <c r="N364" s="321" t="n"/>
      <c r="O364" s="321" t="n"/>
      <c r="P364" s="329" t="n">
        <v>109000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idden="1" ht="15.5" customHeight="1" s="297">
      <c r="B365" s="368" t="n"/>
      <c r="C365" s="369" t="n"/>
      <c r="D365" s="378" t="n"/>
      <c r="E365" s="378" t="n"/>
      <c r="F365" s="371" t="n"/>
      <c r="G365" s="369" t="n"/>
      <c r="H365" s="369" t="n"/>
      <c r="I365" s="380" t="n"/>
      <c r="J365" s="372" t="n"/>
      <c r="K365" s="374" t="n"/>
      <c r="L365" s="374" t="n"/>
      <c r="M365" s="374" t="n"/>
      <c r="N365" s="374" t="n"/>
      <c r="O365" s="374" t="n"/>
      <c r="P365" s="374" t="n"/>
      <c r="Q365" s="374" t="n"/>
      <c r="R365" s="373" t="n"/>
      <c r="S365" s="373" t="n"/>
      <c r="T365" s="373" t="n"/>
      <c r="U365" s="373" t="n"/>
      <c r="V365" s="373" t="n"/>
      <c r="W365" s="373" t="n"/>
      <c r="X365" s="373" t="n"/>
    </row>
    <row r="366" ht="15.5" customHeight="1" s="297">
      <c r="A366" s="346" t="n"/>
      <c r="B366" s="381" t="n"/>
      <c r="C366" s="375" t="n"/>
      <c r="D366" s="382" t="inlineStr">
        <is>
          <t>ALFA job - JRK-163 (Job)_undr Sijak_ DS</t>
        </is>
      </c>
      <c r="E366" s="383" t="n"/>
      <c r="F366" s="384" t="n"/>
      <c r="G366" s="375" t="n"/>
      <c r="H366" s="375" t="n"/>
      <c r="I366" s="376" t="n"/>
      <c r="J366" s="364" t="n"/>
      <c r="K366" s="377" t="n"/>
      <c r="L366" s="377" t="n"/>
      <c r="M366" s="377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33" t="n">
        <v>45500</v>
      </c>
      <c r="C367" s="314" t="n">
        <v>1</v>
      </c>
      <c r="D367" s="326" t="inlineStr">
        <is>
          <t>Lodge 21-27 Jul 2024 (3 rooms)</t>
        </is>
      </c>
      <c r="E367" s="326" t="n"/>
      <c r="F367" s="334" t="n">
        <v>2160000</v>
      </c>
      <c r="G367" s="314" t="inlineStr">
        <is>
          <t>IDR</t>
        </is>
      </c>
      <c r="H367" s="345" t="n">
        <v>1</v>
      </c>
      <c r="I367" s="319" t="n"/>
      <c r="J367" s="329" t="n">
        <v>2160000</v>
      </c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2</v>
      </c>
      <c r="D368" s="316" t="inlineStr">
        <is>
          <t>Uang Makan (21 - 27 Juli 2024)</t>
        </is>
      </c>
      <c r="E368" s="316" t="n"/>
      <c r="F368" s="334" t="n">
        <v>1050000</v>
      </c>
      <c r="G368" s="314" t="inlineStr">
        <is>
          <t>IDR</t>
        </is>
      </c>
      <c r="H368" s="345" t="n">
        <v>1</v>
      </c>
      <c r="I368" s="319" t="n"/>
      <c r="J368" s="329" t="n">
        <v>1050000</v>
      </c>
      <c r="K368" s="321" t="n"/>
      <c r="L368" s="321" t="n"/>
      <c r="M368" s="320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/>
      <c r="C369" s="314" t="n"/>
      <c r="D369" s="330" t="inlineStr">
        <is>
          <t>Accommodation</t>
        </is>
      </c>
      <c r="E369" s="367" t="n"/>
      <c r="F369" s="332" t="n"/>
      <c r="G369" s="314" t="n"/>
      <c r="H369" s="314" t="n"/>
      <c r="I369" s="320" t="n"/>
      <c r="J369" s="320" t="n"/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45500</v>
      </c>
      <c r="C370" s="314" t="n">
        <v>3</v>
      </c>
      <c r="D370" s="316" t="inlineStr">
        <is>
          <t>Tunajngan Lapangan JRK-163 (21-27 Juli 2024). 1US$=16.200</t>
        </is>
      </c>
      <c r="E370" s="316" t="n"/>
      <c r="F370" s="334" t="n">
        <v>700</v>
      </c>
      <c r="G370" s="314" t="inlineStr">
        <is>
          <t>IDR</t>
        </is>
      </c>
      <c r="H370" s="345" t="n">
        <v>16200</v>
      </c>
      <c r="I370" s="320" t="n"/>
      <c r="J370" s="329" t="n">
        <v>700</v>
      </c>
      <c r="K370" s="320" t="n"/>
      <c r="L370" s="320" t="n"/>
      <c r="M370" s="320" t="n"/>
      <c r="N370" s="320" t="n"/>
      <c r="O370" s="320" t="n"/>
      <c r="P370" s="320" t="n"/>
      <c r="Q370" s="320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45500</v>
      </c>
      <c r="C371" s="314" t="n">
        <v>4</v>
      </c>
      <c r="D371" s="316" t="inlineStr">
        <is>
          <t>Laundry (21 - 27 Juli 2024)</t>
        </is>
      </c>
      <c r="E371" s="316" t="n"/>
      <c r="F371" s="334" t="n">
        <v>350000</v>
      </c>
      <c r="G371" s="314" t="inlineStr">
        <is>
          <t>IDR</t>
        </is>
      </c>
      <c r="H371" s="345" t="n">
        <v>1</v>
      </c>
      <c r="I371" s="320" t="n"/>
      <c r="J371" s="329" t="n">
        <v>350000</v>
      </c>
      <c r="K371" s="321" t="n"/>
      <c r="L371" s="321" t="n"/>
      <c r="M371" s="321" t="n"/>
      <c r="N371" s="320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85" t="n">
        <v>45495</v>
      </c>
      <c r="C372" s="386" t="n">
        <v>5</v>
      </c>
      <c r="D372" s="401" t="inlineStr">
        <is>
          <t>Rags - Gloves</t>
        </is>
      </c>
      <c r="E372" s="401" t="n"/>
      <c r="F372" s="338" t="n">
        <v>70000</v>
      </c>
      <c r="G372" s="314" t="inlineStr">
        <is>
          <t>IDR</t>
        </is>
      </c>
      <c r="H372" s="345" t="n">
        <v>1</v>
      </c>
      <c r="I372" s="321" t="n"/>
      <c r="J372" s="321" t="n"/>
      <c r="K372" s="321" t="n"/>
      <c r="L372" s="321" t="n"/>
      <c r="M372" s="319" t="n"/>
      <c r="N372" s="329" t="n">
        <v>70000</v>
      </c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13" t="n"/>
      <c r="C373" s="314" t="n"/>
      <c r="D373" s="315" t="inlineStr">
        <is>
          <t>Allowance</t>
        </is>
      </c>
      <c r="E373" s="321" t="n"/>
      <c r="F373" s="317" t="n"/>
      <c r="G373" s="314" t="n"/>
      <c r="H373" s="314" t="n"/>
      <c r="I373" s="321" t="n"/>
      <c r="J373" s="321" t="n"/>
      <c r="K373" s="321" t="n"/>
      <c r="L373" s="321" t="n"/>
      <c r="M373" s="319" t="n"/>
      <c r="N373" s="321" t="n"/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13" t="n">
        <v>45498</v>
      </c>
      <c r="C374" s="314" t="n">
        <v>6</v>
      </c>
      <c r="D374" s="316" t="inlineStr">
        <is>
          <t>Snacks</t>
        </is>
      </c>
      <c r="E374" s="316" t="n"/>
      <c r="F374" s="323" t="n">
        <v>195000</v>
      </c>
      <c r="G374" s="314" t="inlineStr">
        <is>
          <t>IDR</t>
        </is>
      </c>
      <c r="H374" s="345" t="n">
        <v>1</v>
      </c>
      <c r="I374" s="321" t="n"/>
      <c r="J374" s="321" t="n"/>
      <c r="K374" s="321" t="n"/>
      <c r="L374" s="321" t="n"/>
      <c r="M374" s="320" t="n"/>
      <c r="N374" s="329" t="n">
        <v>195000</v>
      </c>
      <c r="O374" s="321" t="n"/>
      <c r="P374" s="320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13" t="n">
        <v>45498</v>
      </c>
      <c r="C375" s="314" t="n">
        <v>7</v>
      </c>
      <c r="D375" s="316" t="inlineStr">
        <is>
          <t>Battery for DTR (Spare)</t>
        </is>
      </c>
      <c r="E375" s="316" t="n"/>
      <c r="F375" s="323" t="n">
        <v>38900</v>
      </c>
      <c r="G375" s="314" t="inlineStr">
        <is>
          <t>IDR</t>
        </is>
      </c>
      <c r="H375" s="345" t="n">
        <v>1</v>
      </c>
      <c r="I375" s="321" t="n"/>
      <c r="J375" s="321" t="n"/>
      <c r="K375" s="321" t="n"/>
      <c r="L375" s="321" t="n"/>
      <c r="M375" s="319" t="n"/>
      <c r="N375" s="329" t="n">
        <v>38900</v>
      </c>
      <c r="O375" s="321" t="n"/>
      <c r="P375" s="320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13" t="n">
        <v>45494</v>
      </c>
      <c r="C376" s="314" t="n">
        <v>8</v>
      </c>
      <c r="D376" s="316" t="inlineStr">
        <is>
          <t>Jakarta - Palembang</t>
        </is>
      </c>
      <c r="E376" s="316" t="n"/>
      <c r="F376" s="323" t="n">
        <v>985367</v>
      </c>
      <c r="G376" s="314" t="inlineStr">
        <is>
          <t>IDR</t>
        </is>
      </c>
      <c r="H376" s="345" t="n">
        <v>1</v>
      </c>
      <c r="I376" s="321" t="n"/>
      <c r="J376" s="329" t="n">
        <v>985367</v>
      </c>
      <c r="K376" s="321" t="n"/>
      <c r="L376" s="321" t="n"/>
      <c r="M376" s="319" t="n"/>
      <c r="N376" s="321" t="n"/>
      <c r="O376" s="321" t="n"/>
      <c r="P376" s="320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13" t="n">
        <v>45500</v>
      </c>
      <c r="C377" s="314" t="n">
        <v>9</v>
      </c>
      <c r="D377" s="316" t="inlineStr">
        <is>
          <t>Palembang - Jakarta + Extra Bagage</t>
        </is>
      </c>
      <c r="E377" s="316" t="n"/>
      <c r="F377" s="323" t="n">
        <v>1175717</v>
      </c>
      <c r="G377" s="314" t="inlineStr">
        <is>
          <t>IDR</t>
        </is>
      </c>
      <c r="H377" s="345" t="n">
        <v>1</v>
      </c>
      <c r="I377" s="321" t="n"/>
      <c r="J377" s="329" t="n">
        <v>1175717</v>
      </c>
      <c r="K377" s="321" t="n"/>
      <c r="L377" s="321" t="n"/>
      <c r="M377" s="319" t="n"/>
      <c r="N377" s="321" t="n"/>
      <c r="O377" s="321" t="n"/>
      <c r="P377" s="320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85" t="n">
        <v>45494</v>
      </c>
      <c r="C378" s="386" t="n">
        <v>10</v>
      </c>
      <c r="D378" s="387" t="inlineStr">
        <is>
          <t>Taxi + Tol to Airport Jakarta</t>
        </is>
      </c>
      <c r="E378" s="387" t="n"/>
      <c r="F378" s="338" t="n">
        <v>225520</v>
      </c>
      <c r="G378" s="314" t="inlineStr">
        <is>
          <t>IDR</t>
        </is>
      </c>
      <c r="H378" s="345" t="n">
        <v>1</v>
      </c>
      <c r="I378" s="319" t="n"/>
      <c r="J378" s="329" t="n">
        <v>225520</v>
      </c>
      <c r="K378" s="321" t="n"/>
      <c r="L378" s="321" t="n"/>
      <c r="M378" s="319" t="n"/>
      <c r="N378" s="321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13" t="n"/>
      <c r="C379" s="314" t="n"/>
      <c r="D379" s="315" t="inlineStr">
        <is>
          <t>Laundry</t>
        </is>
      </c>
      <c r="E379" s="366" t="n"/>
      <c r="F379" s="317" t="n"/>
      <c r="G379" s="314" t="n"/>
      <c r="H379" s="314" t="n"/>
      <c r="I379" s="319" t="n"/>
      <c r="J379" s="321" t="n"/>
      <c r="K379" s="321" t="n"/>
      <c r="L379" s="321" t="n"/>
      <c r="M379" s="319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11</v>
      </c>
      <c r="D380" s="316" t="inlineStr">
        <is>
          <t>fuel + tol PLM-Prabu</t>
        </is>
      </c>
      <c r="E380" s="316" t="n"/>
      <c r="F380" s="323" t="n">
        <v>292060</v>
      </c>
      <c r="G380" s="314" t="inlineStr">
        <is>
          <t>IDR</t>
        </is>
      </c>
      <c r="H380" s="345" t="n">
        <v>1</v>
      </c>
      <c r="I380" s="319" t="n"/>
      <c r="J380" s="329" t="n">
        <v>292060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>
        <v>45497</v>
      </c>
      <c r="C381" s="314" t="n">
        <v>12</v>
      </c>
      <c r="D381" s="316" t="inlineStr">
        <is>
          <t>fuel</t>
        </is>
      </c>
      <c r="E381" s="316" t="n"/>
      <c r="F381" s="323" t="n">
        <v>190430</v>
      </c>
      <c r="G381" s="314" t="inlineStr">
        <is>
          <t>IDR</t>
        </is>
      </c>
      <c r="H381" s="345" t="n">
        <v>1</v>
      </c>
      <c r="I381" s="319" t="n"/>
      <c r="J381" s="329" t="n">
        <v>190430</v>
      </c>
      <c r="K381" s="321" t="n"/>
      <c r="L381" s="321" t="n"/>
      <c r="M381" s="319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/>
      <c r="C382" s="314" t="n"/>
      <c r="D382" s="315" t="inlineStr">
        <is>
          <t>Operation</t>
        </is>
      </c>
      <c r="E382" s="366" t="n"/>
      <c r="F382" s="317" t="n"/>
      <c r="G382" s="314" t="n"/>
      <c r="H382" s="314" t="n"/>
      <c r="I382" s="319" t="n"/>
      <c r="J382" s="321" t="n"/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90" t="n">
        <v>45500</v>
      </c>
      <c r="C383" s="314" t="n">
        <v>13</v>
      </c>
      <c r="D383" s="326" t="inlineStr">
        <is>
          <t>Tol Prabu - PLM + Fuel</t>
        </is>
      </c>
      <c r="E383" s="326" t="n"/>
      <c r="F383" s="323" t="n">
        <v>262000</v>
      </c>
      <c r="G383" s="314" t="inlineStr">
        <is>
          <t>IDR</t>
        </is>
      </c>
      <c r="H383" s="345" t="n">
        <v>1</v>
      </c>
      <c r="I383" s="319" t="n"/>
      <c r="J383" s="329" t="n">
        <v>262000</v>
      </c>
      <c r="K383" s="321" t="n"/>
      <c r="L383" s="321" t="n"/>
      <c r="M383" s="321" t="n"/>
      <c r="N383" s="321" t="n"/>
      <c r="O383" s="321" t="n"/>
      <c r="P383" s="321" t="n"/>
      <c r="Q383" s="321" t="n"/>
      <c r="R383" s="322" t="n"/>
      <c r="S383" s="322" t="n"/>
      <c r="T383" s="322" t="n"/>
      <c r="U383" s="322" t="n"/>
      <c r="V383" s="322" t="n"/>
      <c r="W383" s="322" t="n"/>
      <c r="X383" s="322" t="n"/>
    </row>
    <row r="384" ht="15.5" customHeight="1" s="297">
      <c r="B384" s="333" t="n">
        <v>45500</v>
      </c>
      <c r="C384" s="314" t="n">
        <v>14</v>
      </c>
      <c r="D384" s="326" t="inlineStr">
        <is>
          <t>Tol + Taxi From Airport Jakarta</t>
        </is>
      </c>
      <c r="E384" s="326" t="n"/>
      <c r="F384" s="323" t="n">
        <v>235000</v>
      </c>
      <c r="G384" s="314" t="inlineStr">
        <is>
          <t>IDR</t>
        </is>
      </c>
      <c r="H384" s="345" t="n">
        <v>1</v>
      </c>
      <c r="I384" s="319" t="n"/>
      <c r="J384" s="329" t="n">
        <v>235000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>
        <v>45500</v>
      </c>
      <c r="C385" s="314" t="n">
        <v>15</v>
      </c>
      <c r="D385" s="326" t="inlineStr">
        <is>
          <t>Car rental 21 - 27 Jul 2024</t>
        </is>
      </c>
      <c r="E385" s="326" t="n"/>
      <c r="F385" s="323" t="n">
        <v>3500000</v>
      </c>
      <c r="G385" s="314" t="inlineStr">
        <is>
          <t>IDR</t>
        </is>
      </c>
      <c r="H385" s="345" t="n">
        <v>1</v>
      </c>
      <c r="I385" s="319" t="n"/>
      <c r="J385" s="329" t="n">
        <v>3500000</v>
      </c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45494</v>
      </c>
      <c r="C386" s="314" t="n">
        <v>16</v>
      </c>
      <c r="D386" s="326" t="inlineStr">
        <is>
          <t>Jakarta - Palembang</t>
        </is>
      </c>
      <c r="E386" s="326" t="n"/>
      <c r="F386" s="323" t="n">
        <v>400000</v>
      </c>
      <c r="G386" s="314" t="inlineStr">
        <is>
          <t>IDR</t>
        </is>
      </c>
      <c r="H386" s="345" t="n">
        <v>1</v>
      </c>
      <c r="I386" s="319" t="n"/>
      <c r="J386" s="329" t="n">
        <v>400000</v>
      </c>
      <c r="K386" s="321" t="n"/>
      <c r="L386" s="321" t="n"/>
      <c r="M386" s="319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91" t="n"/>
      <c r="C387" s="392" t="n"/>
      <c r="D387" s="402" t="n"/>
      <c r="E387" s="402" t="n"/>
      <c r="F387" s="394" t="n"/>
      <c r="G387" s="392" t="n"/>
      <c r="H387" s="392" t="n"/>
      <c r="I387" s="380" t="n"/>
      <c r="J387" s="374" t="n"/>
      <c r="K387" s="374" t="n"/>
      <c r="L387" s="374" t="n"/>
      <c r="M387" s="374" t="n"/>
      <c r="N387" s="380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idden="1" ht="15.5" customHeight="1" s="297">
      <c r="B388" s="391" t="n"/>
      <c r="C388" s="392" t="n"/>
      <c r="D388" s="402" t="n"/>
      <c r="E388" s="402" t="n"/>
      <c r="F388" s="394" t="n"/>
      <c r="G388" s="392" t="n"/>
      <c r="H388" s="392" t="n"/>
      <c r="I388" s="380" t="n"/>
      <c r="J388" s="374" t="n"/>
      <c r="K388" s="374" t="n"/>
      <c r="L388" s="374" t="n"/>
      <c r="M388" s="374" t="n"/>
      <c r="N388" s="380" t="n"/>
      <c r="O388" s="374" t="n"/>
      <c r="P388" s="374" t="n"/>
      <c r="Q388" s="374" t="n"/>
      <c r="R388" s="373" t="n"/>
      <c r="S388" s="373" t="n"/>
      <c r="T388" s="373" t="n"/>
      <c r="U388" s="373" t="n"/>
      <c r="V388" s="373" t="n"/>
      <c r="W388" s="373" t="n"/>
      <c r="X388" s="373" t="n"/>
    </row>
    <row r="389" ht="15.5" customHeight="1" s="297">
      <c r="B389" s="333" t="n"/>
      <c r="C389" s="314" t="n"/>
      <c r="D389" s="330" t="inlineStr">
        <is>
          <t>Transportation</t>
        </is>
      </c>
      <c r="E389" s="413" t="n"/>
      <c r="F389" s="317" t="n"/>
      <c r="G389" s="314" t="n"/>
      <c r="H389" s="314" t="n"/>
      <c r="I389" s="319" t="n"/>
      <c r="J389" s="321" t="n"/>
      <c r="K389" s="321" t="n"/>
      <c r="L389" s="321" t="n"/>
      <c r="M389" s="321" t="n"/>
      <c r="N389" s="319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idden="1" ht="15.5" customHeight="1" s="297">
      <c r="B390" s="391" t="n"/>
      <c r="C390" s="392" t="n"/>
      <c r="D390" s="414" t="n"/>
      <c r="E390" s="414" t="n"/>
      <c r="F390" s="394" t="n"/>
      <c r="G390" s="392" t="n"/>
      <c r="H390" s="392" t="n"/>
      <c r="I390" s="380" t="n"/>
      <c r="J390" s="374" t="n"/>
      <c r="K390" s="374" t="n"/>
      <c r="L390" s="374" t="n"/>
      <c r="M390" s="374" t="n"/>
      <c r="N390" s="380" t="n"/>
      <c r="O390" s="374" t="n"/>
      <c r="P390" s="374" t="n"/>
      <c r="Q390" s="374" t="n"/>
      <c r="R390" s="373" t="n"/>
      <c r="S390" s="373" t="n"/>
      <c r="T390" s="373" t="n"/>
      <c r="U390" s="373" t="n"/>
      <c r="V390" s="373" t="n"/>
      <c r="W390" s="373" t="n"/>
      <c r="X390" s="373" t="n"/>
    </row>
    <row r="391" ht="15.5" customHeight="1" s="297">
      <c r="B391" s="381" t="n"/>
      <c r="C391" s="375" t="n"/>
      <c r="D391" s="382" t="inlineStr">
        <is>
          <t>ALFA JOB - JRK 163 (training 2nd_ IBR)</t>
        </is>
      </c>
      <c r="E391" s="388" t="n"/>
      <c r="F391" s="395" t="n"/>
      <c r="G391" s="375" t="n"/>
      <c r="H391" s="375" t="n"/>
      <c r="I391" s="364" t="n"/>
      <c r="J391" s="377" t="n"/>
      <c r="K391" s="377" t="n"/>
      <c r="L391" s="377" t="n"/>
      <c r="M391" s="377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>
        <v>45463</v>
      </c>
      <c r="C392" s="314" t="n">
        <v>1</v>
      </c>
      <c r="D392" s="326" t="inlineStr">
        <is>
          <t>Uang makan (16 - 19 June 2024) pending job /Job Postponed</t>
        </is>
      </c>
      <c r="E392" s="326" t="n"/>
      <c r="F392" s="323" t="n">
        <v>600000</v>
      </c>
      <c r="G392" s="314" t="inlineStr">
        <is>
          <t>IDR</t>
        </is>
      </c>
      <c r="H392" s="345" t="n">
        <v>1</v>
      </c>
      <c r="I392" s="320" t="n"/>
      <c r="J392" s="329" t="n">
        <v>600000</v>
      </c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/>
      <c r="C393" s="314" t="n"/>
      <c r="D393" s="330" t="inlineStr">
        <is>
          <t>Allowance</t>
        </is>
      </c>
      <c r="E393" s="367" t="n"/>
      <c r="F393" s="317" t="n"/>
      <c r="G393" s="314" t="n"/>
      <c r="H393" s="314" t="n"/>
      <c r="I393" s="396" t="n"/>
      <c r="J393" s="321" t="n"/>
      <c r="K393" s="321" t="n"/>
      <c r="L393" s="321" t="n"/>
      <c r="M393" s="321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96" t="n"/>
      <c r="J394" s="329" t="n">
        <v>200000</v>
      </c>
      <c r="K394" s="321" t="n"/>
      <c r="L394" s="321" t="n"/>
      <c r="M394" s="321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idden="1" ht="15.5" customHeight="1" s="297">
      <c r="B395" s="391" t="n"/>
      <c r="C395" s="392" t="n"/>
      <c r="D395" s="393" t="n"/>
      <c r="E395" s="393" t="n"/>
      <c r="F395" s="394" t="n"/>
      <c r="G395" s="392" t="n"/>
      <c r="H395" s="392" t="n"/>
      <c r="I395" s="374" t="n"/>
      <c r="J395" s="374" t="n"/>
      <c r="K395" s="374" t="n"/>
      <c r="L395" s="374" t="n"/>
      <c r="M395" s="374" t="n"/>
      <c r="N395" s="374" t="n"/>
      <c r="O395" s="374" t="n"/>
      <c r="P395" s="374" t="n"/>
      <c r="Q395" s="374" t="n"/>
      <c r="R395" s="373" t="n"/>
      <c r="S395" s="373" t="n"/>
      <c r="T395" s="373" t="n"/>
      <c r="U395" s="373" t="n"/>
      <c r="V395" s="373" t="n"/>
      <c r="W395" s="373" t="n"/>
      <c r="X395" s="373" t="n"/>
    </row>
    <row r="396" ht="15.5" customHeight="1" s="297">
      <c r="B396" s="333" t="n">
        <v>45501</v>
      </c>
      <c r="C396" s="314" t="n">
        <v>3</v>
      </c>
      <c r="D396" s="326" t="inlineStr">
        <is>
          <t>Uang makan (21 - 27 Juli 2024)</t>
        </is>
      </c>
      <c r="E396" s="326" t="n"/>
      <c r="F396" s="323" t="n">
        <v>1050000</v>
      </c>
      <c r="G396" s="314" t="inlineStr">
        <is>
          <t>IDR</t>
        </is>
      </c>
      <c r="H396" s="345" t="n">
        <v>1</v>
      </c>
      <c r="I396" s="320" t="n"/>
      <c r="J396" s="329" t="n">
        <v>1050000</v>
      </c>
      <c r="K396" s="321" t="n"/>
      <c r="L396" s="321" t="n"/>
      <c r="M396" s="321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91" t="n"/>
      <c r="C397" s="392" t="n"/>
      <c r="D397" s="393" t="n"/>
      <c r="E397" s="393" t="n"/>
      <c r="F397" s="394" t="n"/>
      <c r="G397" s="392" t="n"/>
      <c r="H397" s="392" t="n"/>
      <c r="I397" s="372" t="n"/>
      <c r="J397" s="374" t="n"/>
      <c r="K397" s="374" t="n"/>
      <c r="L397" s="374" t="n"/>
      <c r="M397" s="374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45501</v>
      </c>
      <c r="C398" s="314" t="n">
        <v>4</v>
      </c>
      <c r="D398" s="405" t="inlineStr">
        <is>
          <t>Laundry (21 - 27 Juli 2024)</t>
        </is>
      </c>
      <c r="E398" s="405" t="n"/>
      <c r="F398" s="323" t="n">
        <v>350000</v>
      </c>
      <c r="G398" s="314" t="inlineStr">
        <is>
          <t>IDR</t>
        </is>
      </c>
      <c r="H398" s="345" t="n">
        <v>1</v>
      </c>
      <c r="I398" s="320" t="n"/>
      <c r="J398" s="329" t="n">
        <v>350000</v>
      </c>
      <c r="K398" s="321" t="n"/>
      <c r="L398" s="321" t="n"/>
      <c r="M398" s="321" t="n"/>
      <c r="N398" s="321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idden="1" ht="15.5" customHeight="1" s="297">
      <c r="B399" s="391" t="n"/>
      <c r="C399" s="392" t="n"/>
      <c r="D399" s="415" t="n"/>
      <c r="E399" s="415" t="n"/>
      <c r="F399" s="394" t="n"/>
      <c r="G399" s="392" t="n"/>
      <c r="H399" s="392" t="n"/>
      <c r="I399" s="374" t="n"/>
      <c r="J399" s="374" t="n"/>
      <c r="K399" s="374" t="n"/>
      <c r="L399" s="374" t="n"/>
      <c r="M399" s="374" t="n"/>
      <c r="N399" s="374" t="n"/>
      <c r="O399" s="374" t="n"/>
      <c r="P399" s="374" t="n"/>
      <c r="Q399" s="374" t="n"/>
      <c r="R399" s="373" t="n"/>
      <c r="S399" s="373" t="n"/>
      <c r="T399" s="373" t="n"/>
      <c r="U399" s="373" t="n"/>
      <c r="V399" s="373" t="n"/>
      <c r="W399" s="373" t="n"/>
      <c r="X399" s="373" t="n"/>
    </row>
    <row r="400" ht="15.5" customHeight="1" s="297">
      <c r="A400" s="346" t="n"/>
      <c r="B400" s="381" t="n">
        <v>45463</v>
      </c>
      <c r="C400" s="375" t="n">
        <v>5</v>
      </c>
      <c r="D400" s="416" t="inlineStr">
        <is>
          <t>TIS-Blora Field-PLT ALFA BHS by BARIKIN - IC</t>
        </is>
      </c>
      <c r="E400" s="417" t="n"/>
      <c r="F400" s="418" t="n">
        <v>1630000</v>
      </c>
      <c r="G400" s="375" t="inlineStr">
        <is>
          <t>$</t>
        </is>
      </c>
      <c r="H400" s="411" t="n">
        <v>16300</v>
      </c>
      <c r="I400" s="377" t="n"/>
      <c r="J400" s="412" t="n">
        <v>1630000</v>
      </c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A401" s="346" t="n"/>
      <c r="B401" s="333" t="n">
        <v>45512</v>
      </c>
      <c r="C401" s="314" t="n">
        <v>1</v>
      </c>
      <c r="D401" s="419" t="inlineStr">
        <is>
          <t>Tunjangan Lapangan for 10 days</t>
        </is>
      </c>
      <c r="E401" s="419" t="n"/>
      <c r="F401" s="323" t="n">
        <v>16100000</v>
      </c>
      <c r="G401" s="314" t="inlineStr">
        <is>
          <t>USD</t>
        </is>
      </c>
      <c r="H401" s="345" t="n">
        <v>16100</v>
      </c>
      <c r="I401" s="321" t="n"/>
      <c r="J401" s="329" t="n">
        <v>16100000</v>
      </c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45511</v>
      </c>
      <c r="C402" s="314" t="n">
        <v>2</v>
      </c>
      <c r="D402" s="405" t="inlineStr">
        <is>
          <t>Laundry 10 days 1 Persons @ 50K IDR/day</t>
        </is>
      </c>
      <c r="E402" s="405" t="n"/>
      <c r="F402" s="323" t="n">
        <v>500000</v>
      </c>
      <c r="G402" s="314" t="inlineStr">
        <is>
          <t>IDR</t>
        </is>
      </c>
      <c r="H402" s="345" t="n">
        <v>1</v>
      </c>
      <c r="I402" s="321" t="n"/>
      <c r="J402" s="329" t="n">
        <v>500000</v>
      </c>
      <c r="K402" s="321" t="n"/>
      <c r="L402" s="321" t="n"/>
      <c r="M402" s="321" t="n"/>
      <c r="N402" s="320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>
        <v>45516</v>
      </c>
      <c r="C403" s="314" t="n">
        <v>3</v>
      </c>
      <c r="D403" s="405" t="inlineStr">
        <is>
          <t>Pelican Long Case 1770</t>
        </is>
      </c>
      <c r="E403" s="405" t="n"/>
      <c r="F403" s="323" t="n">
        <v>15166600</v>
      </c>
      <c r="G403" s="314" t="inlineStr">
        <is>
          <t>IDR</t>
        </is>
      </c>
      <c r="H403" s="345" t="n">
        <v>1</v>
      </c>
      <c r="I403" s="321" t="n"/>
      <c r="J403" s="321" t="n"/>
      <c r="K403" s="321" t="n"/>
      <c r="L403" s="321" t="n"/>
      <c r="M403" s="321" t="n"/>
      <c r="N403" s="329" t="n">
        <v>15166600</v>
      </c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4</v>
      </c>
      <c r="D404" s="405" t="inlineStr">
        <is>
          <t>Meals 10 days 1 Persons @ 150K IDR/day</t>
        </is>
      </c>
      <c r="E404" s="405" t="n"/>
      <c r="F404" s="323" t="n">
        <v>1500000</v>
      </c>
      <c r="G404" s="314" t="inlineStr">
        <is>
          <t>IDR</t>
        </is>
      </c>
      <c r="H404" s="345" t="n">
        <v>1</v>
      </c>
      <c r="I404" s="321" t="n"/>
      <c r="J404" s="329" t="n">
        <v>1500000</v>
      </c>
      <c r="K404" s="321" t="n"/>
      <c r="L404" s="321" t="n"/>
      <c r="M404" s="319" t="n"/>
      <c r="N404" s="320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idden="1" ht="15.5" customHeight="1" s="297">
      <c r="B405" s="420" t="n"/>
      <c r="C405" s="421" t="n"/>
      <c r="D405" s="422" t="n"/>
      <c r="E405" s="422" t="n"/>
      <c r="F405" s="423" t="n"/>
      <c r="G405" s="424" t="n"/>
      <c r="H405" s="424" t="n"/>
      <c r="I405" s="420" t="n"/>
      <c r="J405" s="420" t="n"/>
      <c r="K405" s="420" t="n"/>
      <c r="L405" s="420" t="n"/>
      <c r="M405" s="425" t="n"/>
      <c r="N405" s="420" t="n"/>
      <c r="O405" s="420" t="n"/>
      <c r="P405" s="420" t="n"/>
      <c r="Q405" s="420" t="n"/>
      <c r="R405" s="373" t="n"/>
      <c r="S405" s="373" t="n"/>
      <c r="T405" s="373" t="n"/>
      <c r="U405" s="373" t="n"/>
      <c r="V405" s="373" t="n"/>
      <c r="W405" s="373" t="n"/>
      <c r="X405" s="373" t="n"/>
    </row>
    <row r="406" ht="15.5" customHeight="1" s="297">
      <c r="B406" s="333" t="n"/>
      <c r="C406" s="314" t="n"/>
      <c r="D406" s="330" t="inlineStr">
        <is>
          <t>Allowance</t>
        </is>
      </c>
      <c r="E406" s="413" t="n"/>
      <c r="F406" s="317" t="n"/>
      <c r="G406" s="314" t="n"/>
      <c r="H406" s="314" t="n"/>
      <c r="I406" s="321" t="n"/>
      <c r="J406" s="321" t="n"/>
      <c r="K406" s="321" t="n"/>
      <c r="L406" s="321" t="n"/>
      <c r="M406" s="319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idden="1" ht="15.5" customHeight="1" s="297">
      <c r="B407" s="391" t="n"/>
      <c r="C407" s="392" t="n"/>
      <c r="D407" s="402" t="n"/>
      <c r="E407" s="402" t="n"/>
      <c r="F407" s="394" t="n"/>
      <c r="G407" s="392" t="n"/>
      <c r="H407" s="392" t="n"/>
      <c r="I407" s="372" t="n"/>
      <c r="J407" s="374" t="n"/>
      <c r="K407" s="374" t="n"/>
      <c r="L407" s="374" t="n"/>
      <c r="M407" s="380" t="n"/>
      <c r="N407" s="374" t="n"/>
      <c r="O407" s="374" t="n"/>
      <c r="P407" s="374" t="n"/>
      <c r="Q407" s="374" t="n"/>
      <c r="R407" s="373" t="n"/>
      <c r="S407" s="373" t="n"/>
      <c r="T407" s="373" t="n"/>
      <c r="U407" s="373" t="n"/>
      <c r="V407" s="373" t="n"/>
      <c r="W407" s="373" t="n"/>
      <c r="X407" s="373" t="n"/>
    </row>
    <row r="408" hidden="1" ht="15.5" customHeight="1" s="297">
      <c r="B408" s="391" t="n"/>
      <c r="C408" s="392" t="n"/>
      <c r="D408" s="402" t="n"/>
      <c r="E408" s="402" t="n"/>
      <c r="F408" s="394" t="n"/>
      <c r="G408" s="392" t="n"/>
      <c r="H408" s="392" t="n"/>
      <c r="I408" s="372" t="n"/>
      <c r="J408" s="374" t="n"/>
      <c r="K408" s="374" t="n"/>
      <c r="L408" s="374" t="n"/>
      <c r="M408" s="380" t="n"/>
      <c r="N408" s="374" t="n"/>
      <c r="O408" s="374" t="n"/>
      <c r="P408" s="374" t="n"/>
      <c r="Q408" s="374" t="n"/>
      <c r="R408" s="373" t="n"/>
      <c r="S408" s="373" t="n"/>
      <c r="T408" s="373" t="n"/>
      <c r="U408" s="373" t="n"/>
      <c r="V408" s="373" t="n"/>
      <c r="W408" s="373" t="n"/>
      <c r="X408" s="373" t="n"/>
    </row>
    <row r="409" ht="15.5" customHeight="1" s="297">
      <c r="A409" s="346" t="n"/>
      <c r="B409" s="381" t="n"/>
      <c r="C409" s="375" t="n"/>
      <c r="D409" s="382" t="inlineStr">
        <is>
          <t>ALFA-MPLT-BHS_ RBG 3B PT. TIS under Barikin sakti _DS</t>
        </is>
      </c>
      <c r="E409" s="383" t="n"/>
      <c r="F409" s="395" t="n"/>
      <c r="G409" s="375" t="n"/>
      <c r="H409" s="375" t="n"/>
      <c r="I409" s="364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A410" s="346" t="n"/>
      <c r="B410" s="333" t="n"/>
      <c r="C410" s="314" t="n"/>
      <c r="D410" s="330" t="inlineStr">
        <is>
          <t>Accommodation</t>
        </is>
      </c>
      <c r="E410" s="326" t="n"/>
      <c r="F410" s="317" t="n"/>
      <c r="G410" s="314" t="n"/>
      <c r="H410" s="314" t="n"/>
      <c r="I410" s="320" t="n"/>
      <c r="J410" s="321" t="n"/>
      <c r="K410" s="321" t="n"/>
      <c r="L410" s="321" t="n"/>
      <c r="M410" s="319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A411" s="346" t="n"/>
      <c r="B411" s="333" t="n"/>
      <c r="C411" s="314" t="n"/>
      <c r="D411" s="330" t="inlineStr">
        <is>
          <t>Allowance</t>
        </is>
      </c>
      <c r="E411" s="326" t="n"/>
      <c r="F411" s="317" t="n"/>
      <c r="G411" s="314" t="n"/>
      <c r="H411" s="314" t="n"/>
      <c r="I411" s="320" t="n"/>
      <c r="J411" s="321" t="n"/>
      <c r="K411" s="321" t="n"/>
      <c r="L411" s="321" t="n"/>
      <c r="M411" s="319" t="n"/>
      <c r="N411" s="321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>
        <v>45507</v>
      </c>
      <c r="C412" s="314" t="n">
        <v>1</v>
      </c>
      <c r="D412" s="326" t="inlineStr">
        <is>
          <t>Hotel 3 Aug - 6 Aug 2024 (2 rooms)</t>
        </is>
      </c>
      <c r="E412" s="326" t="n"/>
      <c r="F412" s="323" t="n">
        <v>1591200</v>
      </c>
      <c r="G412" s="314" t="inlineStr">
        <is>
          <t>IDR</t>
        </is>
      </c>
      <c r="H412" s="345" t="n">
        <v>1</v>
      </c>
      <c r="I412" s="320" t="n"/>
      <c r="J412" s="329" t="n">
        <v>1591200</v>
      </c>
      <c r="K412" s="321" t="n"/>
      <c r="L412" s="321" t="n"/>
      <c r="M412" s="319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33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23" t="n">
        <v>795600</v>
      </c>
      <c r="G413" s="314" t="inlineStr">
        <is>
          <t>IDR</t>
        </is>
      </c>
      <c r="H413" s="345" t="n">
        <v>1</v>
      </c>
      <c r="I413" s="320" t="n"/>
      <c r="J413" s="329" t="n">
        <v>795600</v>
      </c>
      <c r="K413" s="321" t="n"/>
      <c r="L413" s="321" t="n"/>
      <c r="M413" s="320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33" t="n"/>
      <c r="C414" s="314" t="n"/>
      <c r="D414" s="330" t="inlineStr">
        <is>
          <t>Laundry</t>
        </is>
      </c>
      <c r="E414" s="413" t="n"/>
      <c r="F414" s="317" t="n"/>
      <c r="G414" s="314" t="n"/>
      <c r="H414" s="314" t="n"/>
      <c r="I414" s="321" t="n"/>
      <c r="J414" s="321" t="n"/>
      <c r="K414" s="321" t="n"/>
      <c r="L414" s="321" t="n"/>
      <c r="M414" s="319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8" t="n">
        <v>3</v>
      </c>
      <c r="D415" s="405" t="inlineStr">
        <is>
          <t>Uang Makan (3 - 7 Aug 2024)</t>
        </is>
      </c>
      <c r="E415" s="405" t="n"/>
      <c r="F415" s="406" t="n">
        <v>750000</v>
      </c>
      <c r="G415" s="318" t="inlineStr">
        <is>
          <t>IDR</t>
        </is>
      </c>
      <c r="H415" s="324" t="n">
        <v>1</v>
      </c>
      <c r="I415" s="426" t="n"/>
      <c r="J415" s="427" t="n">
        <v>750000</v>
      </c>
      <c r="K415" s="428" t="n"/>
      <c r="L415" s="428" t="n"/>
      <c r="M415" s="426" t="n"/>
      <c r="N415" s="428" t="n"/>
      <c r="O415" s="428" t="n"/>
      <c r="P415" s="428" t="n"/>
      <c r="Q415" s="428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>
        <v>45511</v>
      </c>
      <c r="C416" s="314" t="n">
        <v>4</v>
      </c>
      <c r="D416" s="326" t="inlineStr">
        <is>
          <t>Tunjangan LapanganRBG-3B PT. TIS (3-7 Aug 2024)</t>
        </is>
      </c>
      <c r="E416" s="326" t="n"/>
      <c r="F416" s="323" t="n">
        <v>500</v>
      </c>
      <c r="G416" s="314" t="inlineStr">
        <is>
          <t>IDR</t>
        </is>
      </c>
      <c r="H416" s="345" t="n">
        <v>15900</v>
      </c>
      <c r="I416" s="320" t="n"/>
      <c r="J416" s="329" t="n">
        <v>500</v>
      </c>
      <c r="K416" s="321" t="n"/>
      <c r="L416" s="321" t="n"/>
      <c r="M416" s="319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429" t="n">
        <v>45511</v>
      </c>
      <c r="C417" s="314" t="n">
        <v>5</v>
      </c>
      <c r="D417" s="339" t="inlineStr">
        <is>
          <t>Laundry (3 - 7 Aug 2024)</t>
        </is>
      </c>
      <c r="E417" s="339" t="n"/>
      <c r="F417" s="334" t="n">
        <v>250000</v>
      </c>
      <c r="G417" s="314" t="inlineStr">
        <is>
          <t>IDR</t>
        </is>
      </c>
      <c r="H417" s="345" t="n">
        <v>1</v>
      </c>
      <c r="I417" s="321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/>
      <c r="C418" s="314" t="n"/>
      <c r="D418" s="330" t="inlineStr">
        <is>
          <t>Transportation</t>
        </is>
      </c>
      <c r="E418" s="367" t="n"/>
      <c r="F418" s="332" t="n"/>
      <c r="G418" s="314" t="n"/>
      <c r="H418" s="314" t="n"/>
      <c r="I418" s="321" t="n"/>
      <c r="J418" s="321" t="n"/>
      <c r="K418" s="321" t="n"/>
      <c r="L418" s="321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45507</v>
      </c>
      <c r="C419" s="314" t="n">
        <v>6</v>
      </c>
      <c r="D419" s="326" t="inlineStr">
        <is>
          <t>Jakarta - Semarang</t>
        </is>
      </c>
      <c r="E419" s="326" t="n"/>
      <c r="F419" s="334" t="n">
        <v>673500</v>
      </c>
      <c r="G419" s="314" t="inlineStr">
        <is>
          <t>IDR</t>
        </is>
      </c>
      <c r="H419" s="345" t="n">
        <v>1</v>
      </c>
      <c r="I419" s="320" t="n"/>
      <c r="J419" s="329" t="n">
        <v>673500</v>
      </c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idden="1" ht="15.5" customHeight="1" s="297">
      <c r="B420" s="368" t="n"/>
      <c r="C420" s="369" t="n"/>
      <c r="D420" s="370" t="n"/>
      <c r="E420" s="370" t="n"/>
      <c r="F420" s="371" t="n"/>
      <c r="G420" s="369" t="n"/>
      <c r="H420" s="369" t="n"/>
      <c r="I420" s="374" t="n"/>
      <c r="J420" s="374" t="n"/>
      <c r="K420" s="374" t="n"/>
      <c r="L420" s="374" t="n"/>
      <c r="M420" s="374" t="n"/>
      <c r="N420" s="374" t="n"/>
      <c r="O420" s="374" t="n"/>
      <c r="P420" s="374" t="n"/>
      <c r="Q420" s="374" t="n"/>
      <c r="R420" s="373" t="n"/>
      <c r="S420" s="373" t="n"/>
      <c r="T420" s="373" t="n"/>
      <c r="U420" s="373" t="n"/>
      <c r="V420" s="373" t="n"/>
      <c r="W420" s="373" t="n"/>
      <c r="X420" s="373" t="n"/>
    </row>
    <row r="421" ht="15.5" customHeight="1" s="297">
      <c r="B421" s="333" t="n">
        <v>45507</v>
      </c>
      <c r="C421" s="314" t="n">
        <v>7</v>
      </c>
      <c r="D421" s="326" t="inlineStr">
        <is>
          <t>Taxi+Tol Serpong - Gambir</t>
        </is>
      </c>
      <c r="E421" s="326" t="n"/>
      <c r="F421" s="334" t="n">
        <v>154000</v>
      </c>
      <c r="G421" s="314" t="inlineStr">
        <is>
          <t>IDR</t>
        </is>
      </c>
      <c r="H421" s="345" t="n">
        <v>1</v>
      </c>
      <c r="I421" s="320" t="n"/>
      <c r="J421" s="329" t="n">
        <v>154000</v>
      </c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idden="1" ht="15.5" customHeight="1" s="297">
      <c r="B422" s="368" t="n"/>
      <c r="C422" s="369" t="n"/>
      <c r="D422" s="370" t="n"/>
      <c r="E422" s="370" t="n"/>
      <c r="F422" s="371" t="n"/>
      <c r="G422" s="369" t="n"/>
      <c r="H422" s="369" t="n"/>
      <c r="I422" s="374" t="n"/>
      <c r="J422" s="374" t="n"/>
      <c r="K422" s="374" t="n"/>
      <c r="L422" s="374" t="n"/>
      <c r="M422" s="374" t="n"/>
      <c r="N422" s="374" t="n"/>
      <c r="O422" s="374" t="n"/>
      <c r="P422" s="374" t="n"/>
      <c r="Q422" s="374" t="n"/>
      <c r="R422" s="373" t="n"/>
      <c r="S422" s="373" t="n"/>
      <c r="T422" s="373" t="n"/>
      <c r="U422" s="373" t="n"/>
      <c r="V422" s="373" t="n"/>
      <c r="W422" s="373" t="n"/>
      <c r="X422" s="373" t="n"/>
    </row>
    <row r="423" ht="15.5" customHeight="1" s="297">
      <c r="B423" s="333" t="n">
        <v>45507</v>
      </c>
      <c r="C423" s="314" t="n">
        <v>8</v>
      </c>
      <c r="D423" s="326" t="inlineStr">
        <is>
          <t>Gocar St. Tawang - PT. TIS</t>
        </is>
      </c>
      <c r="E423" s="326" t="n"/>
      <c r="F423" s="334" t="n">
        <v>129000</v>
      </c>
      <c r="G423" s="314" t="inlineStr">
        <is>
          <t>IDR</t>
        </is>
      </c>
      <c r="H423" s="345" t="n">
        <v>1</v>
      </c>
      <c r="I423" s="321" t="n"/>
      <c r="J423" s="329" t="n">
        <v>129000</v>
      </c>
      <c r="K423" s="321" t="n"/>
      <c r="L423" s="321" t="n"/>
      <c r="M423" s="321" t="n"/>
      <c r="N423" s="320" t="n"/>
      <c r="O423" s="321" t="n"/>
      <c r="P423" s="321" t="n"/>
      <c r="Q423" s="321" t="n"/>
      <c r="R423" s="322" t="n"/>
      <c r="S423" s="322" t="n"/>
      <c r="T423" s="322" t="n"/>
      <c r="U423" s="322" t="n"/>
      <c r="V423" s="322" t="n"/>
      <c r="W423" s="322" t="n"/>
      <c r="X423" s="322" t="n"/>
    </row>
    <row r="424" hidden="1" ht="15.5" customHeight="1" s="297">
      <c r="B424" s="368" t="n"/>
      <c r="C424" s="369" t="n"/>
      <c r="D424" s="370" t="n"/>
      <c r="E424" s="370" t="n"/>
      <c r="F424" s="371" t="n"/>
      <c r="G424" s="369" t="n"/>
      <c r="H424" s="369" t="n"/>
      <c r="I424" s="374" t="n"/>
      <c r="J424" s="374" t="n"/>
      <c r="K424" s="374" t="n"/>
      <c r="L424" s="374" t="n"/>
      <c r="M424" s="374" t="n"/>
      <c r="N424" s="374" t="n"/>
      <c r="O424" s="374" t="n"/>
      <c r="P424" s="374" t="n"/>
      <c r="Q424" s="374" t="n"/>
      <c r="R424" s="373" t="n"/>
      <c r="S424" s="373" t="n"/>
      <c r="T424" s="373" t="n"/>
      <c r="U424" s="373" t="n"/>
      <c r="V424" s="373" t="n"/>
      <c r="W424" s="373" t="n"/>
      <c r="X424" s="373" t="n"/>
    </row>
    <row r="425" ht="15.5" customHeight="1" s="297">
      <c r="A425" s="346" t="n"/>
      <c r="B425" s="381" t="n">
        <v>45511</v>
      </c>
      <c r="C425" s="375" t="n">
        <v>9</v>
      </c>
      <c r="D425" s="382" t="inlineStr">
        <is>
          <t>Non tripo 1st -- MCU + Pembelian barang kelengkapan pump AC</t>
        </is>
      </c>
      <c r="E425" s="388" t="n"/>
      <c r="F425" s="410" t="n">
        <v>45000</v>
      </c>
      <c r="G425" s="375" t="inlineStr">
        <is>
          <t>IDR</t>
        </is>
      </c>
      <c r="H425" s="411" t="n">
        <v>1</v>
      </c>
      <c r="I425" s="377" t="n"/>
      <c r="J425" s="412" t="n">
        <v>45000</v>
      </c>
      <c r="K425" s="377" t="n"/>
      <c r="L425" s="377" t="n"/>
      <c r="M425" s="377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33" t="n">
        <v>45497</v>
      </c>
      <c r="C426" s="314" t="n">
        <v>1</v>
      </c>
      <c r="D426" s="326" t="inlineStr">
        <is>
          <t>Buy Tang Bnegkok (Tekiro)</t>
        </is>
      </c>
      <c r="E426" s="326" t="n"/>
      <c r="F426" s="334" t="n">
        <v>75000</v>
      </c>
      <c r="G426" s="314" t="inlineStr">
        <is>
          <t>IDR</t>
        </is>
      </c>
      <c r="H426" s="345" t="n">
        <v>1</v>
      </c>
      <c r="I426" s="320" t="n"/>
      <c r="J426" s="321" t="n"/>
      <c r="K426" s="321" t="n"/>
      <c r="L426" s="321" t="n"/>
      <c r="M426" s="321" t="n"/>
      <c r="N426" s="329" t="n">
        <v>75000</v>
      </c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85" t="n">
        <v>45498</v>
      </c>
      <c r="C427" s="386" t="n">
        <v>2</v>
      </c>
      <c r="D427" s="387" t="inlineStr">
        <is>
          <t>Buy Hose 1/4"</t>
        </is>
      </c>
      <c r="E427" s="387" t="n"/>
      <c r="F427" s="338" t="n">
        <v>133000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133000</v>
      </c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/>
      <c r="C428" s="314" t="n"/>
      <c r="D428" s="315" t="inlineStr">
        <is>
          <t>Logistic</t>
        </is>
      </c>
      <c r="E428" s="366" t="n"/>
      <c r="F428" s="332" t="n"/>
      <c r="G428" s="314" t="n"/>
      <c r="H428" s="314" t="n"/>
      <c r="I428" s="321" t="n"/>
      <c r="J428" s="321" t="n"/>
      <c r="K428" s="321" t="n"/>
      <c r="L428" s="321" t="n"/>
      <c r="M428" s="320" t="n"/>
      <c r="N428" s="321" t="n"/>
      <c r="O428" s="321" t="n"/>
      <c r="P428" s="321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33" t="n">
        <v>45498</v>
      </c>
      <c r="C429" s="314" t="n">
        <v>3</v>
      </c>
      <c r="D429" s="316" t="inlineStr">
        <is>
          <t>Buy Needle Neple</t>
        </is>
      </c>
      <c r="E429" s="316" t="n"/>
      <c r="F429" s="334" t="n">
        <v>700000</v>
      </c>
      <c r="G429" s="314" t="inlineStr">
        <is>
          <t>IDR</t>
        </is>
      </c>
      <c r="H429" s="345" t="n">
        <v>1</v>
      </c>
      <c r="I429" s="319" t="n"/>
      <c r="J429" s="321" t="n"/>
      <c r="K429" s="321" t="n"/>
      <c r="L429" s="321" t="n"/>
      <c r="M429" s="319" t="n"/>
      <c r="N429" s="325" t="n">
        <v>700000</v>
      </c>
      <c r="O429" s="321" t="n"/>
      <c r="P429" s="321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33" t="n"/>
      <c r="C430" s="314" t="n"/>
      <c r="D430" s="315" t="inlineStr">
        <is>
          <t>Meal</t>
        </is>
      </c>
      <c r="E430" s="366" t="n"/>
      <c r="F430" s="332" t="n"/>
      <c r="G430" s="314" t="n"/>
      <c r="H430" s="314" t="n"/>
      <c r="I430" s="321" t="n"/>
      <c r="J430" s="321" t="n"/>
      <c r="K430" s="321" t="n"/>
      <c r="L430" s="321" t="n"/>
      <c r="M430" s="320" t="n"/>
      <c r="N430" s="321" t="n"/>
      <c r="O430" s="321" t="n"/>
      <c r="P430" s="321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90" t="n">
        <v>45499</v>
      </c>
      <c r="C431" s="314" t="n">
        <v>4</v>
      </c>
      <c r="D431" s="326" t="inlineStr">
        <is>
          <t>buy Adapter</t>
        </is>
      </c>
      <c r="E431" s="326" t="n"/>
      <c r="F431" s="334" t="n">
        <v>20000</v>
      </c>
      <c r="G431" s="314" t="inlineStr">
        <is>
          <t>IDR</t>
        </is>
      </c>
      <c r="H431" s="345" t="n">
        <v>1</v>
      </c>
      <c r="I431" s="319" t="n"/>
      <c r="J431" s="321" t="n"/>
      <c r="K431" s="321" t="n"/>
      <c r="L431" s="321" t="n"/>
      <c r="M431" s="319" t="n"/>
      <c r="N431" s="329" t="n">
        <v>20000</v>
      </c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90" t="n">
        <v>45500</v>
      </c>
      <c r="C432" s="314" t="n">
        <v>5</v>
      </c>
      <c r="D432" s="326" t="inlineStr">
        <is>
          <t>Buy Hose 1/4"</t>
        </is>
      </c>
      <c r="E432" s="326" t="n"/>
      <c r="F432" s="334" t="n">
        <v>155000</v>
      </c>
      <c r="G432" s="314" t="inlineStr">
        <is>
          <t>IDR</t>
        </is>
      </c>
      <c r="H432" s="345" t="n">
        <v>1</v>
      </c>
      <c r="I432" s="319" t="n"/>
      <c r="J432" s="321" t="n"/>
      <c r="K432" s="321" t="n"/>
      <c r="L432" s="321" t="n"/>
      <c r="M432" s="320" t="n"/>
      <c r="N432" s="329" t="n">
        <v>155000</v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33" t="n">
        <v>45500</v>
      </c>
      <c r="C433" s="314" t="n">
        <v>6</v>
      </c>
      <c r="D433" s="326" t="inlineStr">
        <is>
          <t>Buy Needle Neple</t>
        </is>
      </c>
      <c r="E433" s="326" t="n"/>
      <c r="F433" s="334" t="n">
        <v>660000</v>
      </c>
      <c r="G433" s="314" t="inlineStr">
        <is>
          <t>IDR</t>
        </is>
      </c>
      <c r="H433" s="345" t="n">
        <v>1</v>
      </c>
      <c r="I433" s="319" t="n"/>
      <c r="J433" s="321" t="n"/>
      <c r="K433" s="321" t="n"/>
      <c r="L433" s="321" t="n"/>
      <c r="M433" s="319" t="n"/>
      <c r="N433" s="329" t="n">
        <v>660000</v>
      </c>
      <c r="O433" s="321" t="n"/>
      <c r="P433" s="321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30" t="inlineStr">
        <is>
          <t>Medical</t>
        </is>
      </c>
      <c r="E434" s="367" t="n"/>
      <c r="F434" s="332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45500</v>
      </c>
      <c r="C435" s="314" t="n">
        <v>7</v>
      </c>
      <c r="D435" s="326" t="inlineStr">
        <is>
          <t>Buy Connection 1/4"</t>
        </is>
      </c>
      <c r="E435" s="326" t="n"/>
      <c r="F435" s="334" t="n">
        <v>1760000</v>
      </c>
      <c r="G435" s="314" t="inlineStr">
        <is>
          <t>IDR</t>
        </is>
      </c>
      <c r="H435" s="345" t="n">
        <v>1</v>
      </c>
      <c r="I435" s="320" t="n"/>
      <c r="J435" s="321" t="n"/>
      <c r="K435" s="321" t="n"/>
      <c r="L435" s="321" t="n"/>
      <c r="M435" s="321" t="n"/>
      <c r="N435" s="329" t="n">
        <v>1760000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>
        <v>45501</v>
      </c>
      <c r="C436" s="314" t="n">
        <v>8</v>
      </c>
      <c r="D436" s="326" t="inlineStr">
        <is>
          <t>Buy Case for tools box dan hydraulic pump</t>
        </is>
      </c>
      <c r="E436" s="326" t="n"/>
      <c r="F436" s="334" t="n">
        <v>2636800</v>
      </c>
      <c r="G436" s="314" t="inlineStr">
        <is>
          <t>IDR</t>
        </is>
      </c>
      <c r="H436" s="345" t="n">
        <v>1</v>
      </c>
      <c r="I436" s="320" t="n"/>
      <c r="J436" s="320" t="n"/>
      <c r="K436" s="321" t="n"/>
      <c r="L436" s="319" t="n"/>
      <c r="M436" s="321" t="n"/>
      <c r="N436" s="329" t="n">
        <v>2636800</v>
      </c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33" t="n"/>
      <c r="C437" s="314" t="n"/>
      <c r="D437" s="330" t="inlineStr">
        <is>
          <t>Transportation</t>
        </is>
      </c>
      <c r="E437" s="367" t="n"/>
      <c r="F437" s="332" t="n"/>
      <c r="G437" s="314" t="n"/>
      <c r="H437" s="314" t="n"/>
      <c r="I437" s="321" t="n"/>
      <c r="J437" s="321" t="n"/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33" t="n">
        <v>45476</v>
      </c>
      <c r="C438" s="314" t="n">
        <v>9</v>
      </c>
      <c r="D438" s="326" t="inlineStr">
        <is>
          <t>Coffe drink visit to MEPI Jakarta ( Bondan)</t>
        </is>
      </c>
      <c r="E438" s="326" t="n"/>
      <c r="F438" s="334" t="n">
        <v>144100</v>
      </c>
      <c r="G438" s="314" t="inlineStr">
        <is>
          <t>IDR</t>
        </is>
      </c>
      <c r="H438" s="345" t="n">
        <v>1</v>
      </c>
      <c r="I438" s="320" t="n"/>
      <c r="J438" s="329" t="n">
        <v>144100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idden="1" ht="15.5" customHeight="1" s="297">
      <c r="B439" s="391" t="n"/>
      <c r="C439" s="392" t="n"/>
      <c r="D439" s="393" t="n"/>
      <c r="E439" s="393" t="n"/>
      <c r="F439" s="430" t="n"/>
      <c r="G439" s="392" t="n"/>
      <c r="H439" s="392" t="n"/>
      <c r="I439" s="374" t="n"/>
      <c r="J439" s="374" t="n"/>
      <c r="K439" s="374" t="n"/>
      <c r="L439" s="374" t="n"/>
      <c r="M439" s="374" t="n"/>
      <c r="N439" s="374" t="n"/>
      <c r="O439" s="374" t="n"/>
      <c r="P439" s="374" t="n"/>
      <c r="Q439" s="374" t="n"/>
      <c r="R439" s="373" t="n"/>
      <c r="S439" s="373" t="n"/>
      <c r="T439" s="373" t="n"/>
      <c r="U439" s="373" t="n"/>
      <c r="V439" s="373" t="n"/>
      <c r="W439" s="373" t="n"/>
      <c r="X439" s="373" t="n"/>
    </row>
    <row r="440" ht="15.5" customHeight="1" s="297">
      <c r="B440" s="333" t="n">
        <v>45477</v>
      </c>
      <c r="C440" s="314" t="n">
        <v>10</v>
      </c>
      <c r="D440" s="326" t="inlineStr">
        <is>
          <t>Meal lunch when inspect Sample tool</t>
        </is>
      </c>
      <c r="E440" s="326" t="n"/>
      <c r="F440" s="334" t="n">
        <v>157000</v>
      </c>
      <c r="G440" s="314" t="inlineStr">
        <is>
          <t>IDR</t>
        </is>
      </c>
      <c r="H440" s="345" t="n">
        <v>1</v>
      </c>
      <c r="I440" s="320" t="n"/>
      <c r="J440" s="329" t="n">
        <v>157000</v>
      </c>
      <c r="K440" s="321" t="n"/>
      <c r="L440" s="321" t="n"/>
      <c r="M440" s="321" t="n"/>
      <c r="N440" s="321" t="n"/>
      <c r="O440" s="321" t="n"/>
      <c r="P440" s="321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idden="1" ht="15.5" customHeight="1" s="297">
      <c r="B441" s="391" t="n"/>
      <c r="C441" s="392" t="n"/>
      <c r="D441" s="393" t="n"/>
      <c r="E441" s="393" t="n"/>
      <c r="F441" s="430" t="n"/>
      <c r="G441" s="392" t="n"/>
      <c r="H441" s="392" t="n"/>
      <c r="I441" s="374" t="n"/>
      <c r="J441" s="374" t="n"/>
      <c r="K441" s="374" t="n"/>
      <c r="L441" s="374" t="n"/>
      <c r="M441" s="374" t="n"/>
      <c r="N441" s="374" t="n"/>
      <c r="O441" s="374" t="n"/>
      <c r="P441" s="374" t="n"/>
      <c r="Q441" s="374" t="n"/>
      <c r="R441" s="373" t="n"/>
      <c r="S441" s="373" t="n"/>
      <c r="T441" s="373" t="n"/>
      <c r="U441" s="373" t="n"/>
      <c r="V441" s="373" t="n"/>
      <c r="W441" s="373" t="n"/>
      <c r="X441" s="373" t="n"/>
    </row>
    <row r="442" ht="15.5" customHeight="1" s="297">
      <c r="B442" s="333" t="n">
        <v>45484</v>
      </c>
      <c r="C442" s="314" t="n">
        <v>11</v>
      </c>
      <c r="D442" s="405" t="inlineStr">
        <is>
          <t>Meal lunch when visit to Lemigas (Sample Botol)</t>
        </is>
      </c>
      <c r="E442" s="405" t="n"/>
      <c r="F442" s="334" t="n">
        <v>81000</v>
      </c>
      <c r="G442" s="314" t="inlineStr">
        <is>
          <t>IDR</t>
        </is>
      </c>
      <c r="H442" s="345" t="n">
        <v>1</v>
      </c>
      <c r="I442" s="320" t="n"/>
      <c r="J442" s="329" t="n">
        <v>81000</v>
      </c>
      <c r="K442" s="321" t="n"/>
      <c r="L442" s="321" t="n"/>
      <c r="M442" s="321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85" t="n">
        <v>45474</v>
      </c>
      <c r="C443" s="386" t="n">
        <v>12</v>
      </c>
      <c r="D443" s="387" t="inlineStr">
        <is>
          <t>Biaya MCU di RSPP</t>
        </is>
      </c>
      <c r="E443" s="387" t="n"/>
      <c r="F443" s="338" t="n">
        <v>5630000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1" t="n"/>
      <c r="O443" s="321" t="n"/>
      <c r="P443" s="329" t="n">
        <v>5630000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idden="1" ht="15.5" customHeight="1" s="297">
      <c r="B444" s="431" t="n"/>
      <c r="C444" s="392" t="n"/>
      <c r="D444" s="374" t="n"/>
      <c r="E444" s="374" t="n"/>
      <c r="F444" s="394" t="n"/>
      <c r="G444" s="392" t="n"/>
      <c r="H444" s="392" t="n"/>
      <c r="I444" s="374" t="n"/>
      <c r="J444" s="374" t="n"/>
      <c r="K444" s="374" t="n"/>
      <c r="L444" s="374" t="n"/>
      <c r="M444" s="380" t="n"/>
      <c r="N444" s="374" t="n"/>
      <c r="O444" s="374" t="n"/>
      <c r="P444" s="374" t="n"/>
      <c r="Q444" s="374" t="n"/>
      <c r="R444" s="373" t="n"/>
      <c r="S444" s="373" t="n"/>
      <c r="T444" s="373" t="n"/>
      <c r="U444" s="373" t="n"/>
      <c r="V444" s="373" t="n"/>
      <c r="W444" s="373" t="n"/>
      <c r="X444" s="373" t="n"/>
    </row>
    <row r="445" ht="15.5" customHeight="1" s="297">
      <c r="B445" s="313" t="n">
        <v>45476</v>
      </c>
      <c r="C445" s="314" t="n">
        <v>13</v>
      </c>
      <c r="D445" s="316" t="inlineStr">
        <is>
          <t>Biaya Konsul Dokter Jantung</t>
        </is>
      </c>
      <c r="E445" s="316" t="n"/>
      <c r="F445" s="323" t="n">
        <v>460000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1" t="n"/>
      <c r="O445" s="321" t="n"/>
      <c r="P445" s="329" t="n">
        <v>460000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45476</v>
      </c>
      <c r="C446" s="314" t="n">
        <v>14</v>
      </c>
      <c r="D446" s="316" t="inlineStr">
        <is>
          <t>Biaya Echo_ kardio non Invasif</t>
        </is>
      </c>
      <c r="E446" s="316" t="n"/>
      <c r="F446" s="323" t="n">
        <v>2108000</v>
      </c>
      <c r="G446" s="314" t="inlineStr">
        <is>
          <t>IDR</t>
        </is>
      </c>
      <c r="H446" s="345" t="n">
        <v>1</v>
      </c>
      <c r="I446" s="321" t="n"/>
      <c r="J446" s="321" t="n"/>
      <c r="K446" s="321" t="n"/>
      <c r="L446" s="321" t="n"/>
      <c r="M446" s="320" t="n"/>
      <c r="N446" s="321" t="n"/>
      <c r="O446" s="321" t="n"/>
      <c r="P446" s="329" t="n">
        <v>2108000</v>
      </c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45483</v>
      </c>
      <c r="C447" s="314" t="n">
        <v>15</v>
      </c>
      <c r="D447" s="316" t="inlineStr">
        <is>
          <t>Biaya Obat Candesartan</t>
        </is>
      </c>
      <c r="E447" s="316" t="n"/>
      <c r="F447" s="323" t="n">
        <v>149850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19" t="n"/>
      <c r="N447" s="321" t="n"/>
      <c r="O447" s="321" t="n"/>
      <c r="P447" s="329" t="n">
        <v>149850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45482</v>
      </c>
      <c r="C448" s="314" t="n">
        <v>16</v>
      </c>
      <c r="D448" s="316" t="inlineStr">
        <is>
          <t>Fisioterapi 1st</t>
        </is>
      </c>
      <c r="E448" s="316" t="n"/>
      <c r="F448" s="323" t="n">
        <v>285000</v>
      </c>
      <c r="G448" s="314" t="inlineStr">
        <is>
          <t>IDR</t>
        </is>
      </c>
      <c r="H448" s="345" t="n">
        <v>1</v>
      </c>
      <c r="I448" s="321" t="n"/>
      <c r="J448" s="321" t="n"/>
      <c r="K448" s="321" t="n"/>
      <c r="L448" s="321" t="n"/>
      <c r="M448" s="319" t="n"/>
      <c r="N448" s="321" t="n"/>
      <c r="O448" s="321" t="n"/>
      <c r="P448" s="329" t="n">
        <v>285000</v>
      </c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45483</v>
      </c>
      <c r="C449" s="314" t="n">
        <v>17</v>
      </c>
      <c r="D449" s="316" t="inlineStr">
        <is>
          <t>Fisioterapi 2nd</t>
        </is>
      </c>
      <c r="E449" s="316" t="n"/>
      <c r="F449" s="323" t="n">
        <v>285000</v>
      </c>
      <c r="G449" s="314" t="inlineStr">
        <is>
          <t>IDR</t>
        </is>
      </c>
      <c r="H449" s="345" t="n">
        <v>1</v>
      </c>
      <c r="I449" s="321" t="n"/>
      <c r="J449" s="321" t="n"/>
      <c r="K449" s="321" t="n"/>
      <c r="L449" s="321" t="n"/>
      <c r="M449" s="319" t="n"/>
      <c r="N449" s="321" t="n"/>
      <c r="O449" s="321" t="n"/>
      <c r="P449" s="329" t="n">
        <v>285000</v>
      </c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45484</v>
      </c>
      <c r="C450" s="314" t="n">
        <v>18</v>
      </c>
      <c r="D450" s="316" t="inlineStr">
        <is>
          <t>Fisioterapi 3rd</t>
        </is>
      </c>
      <c r="E450" s="316" t="n"/>
      <c r="F450" s="323" t="n">
        <v>285000</v>
      </c>
      <c r="G450" s="314" t="inlineStr">
        <is>
          <t>IDR</t>
        </is>
      </c>
      <c r="H450" s="345" t="n">
        <v>1</v>
      </c>
      <c r="I450" s="321" t="n"/>
      <c r="J450" s="321" t="n"/>
      <c r="K450" s="321" t="n"/>
      <c r="L450" s="321" t="n"/>
      <c r="M450" s="320" t="n"/>
      <c r="N450" s="321" t="n"/>
      <c r="O450" s="321" t="n"/>
      <c r="P450" s="329" t="n">
        <v>285000</v>
      </c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13" t="n">
        <v>45484</v>
      </c>
      <c r="C451" s="314" t="n">
        <v>19</v>
      </c>
      <c r="D451" s="316" t="inlineStr">
        <is>
          <t>Fuel ( trip ambil tool Sampler and to Andara )</t>
        </is>
      </c>
      <c r="E451" s="316" t="n"/>
      <c r="F451" s="323" t="n">
        <v>164100</v>
      </c>
      <c r="G451" s="314" t="inlineStr">
        <is>
          <t>IDR</t>
        </is>
      </c>
      <c r="H451" s="345" t="n">
        <v>1</v>
      </c>
      <c r="I451" s="321" t="n"/>
      <c r="J451" s="329" t="n">
        <v>164100</v>
      </c>
      <c r="K451" s="321" t="n"/>
      <c r="L451" s="321" t="n"/>
      <c r="M451" s="319" t="n"/>
      <c r="N451" s="321" t="n"/>
      <c r="O451" s="321" t="n"/>
      <c r="P451" s="320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idden="1" ht="15.5" customHeight="1" s="297">
      <c r="B452" s="391" t="n"/>
      <c r="C452" s="392" t="n"/>
      <c r="D452" s="432" t="n"/>
      <c r="E452" s="432" t="n"/>
      <c r="F452" s="394" t="n"/>
      <c r="G452" s="392" t="n"/>
      <c r="H452" s="392" t="n"/>
      <c r="I452" s="374" t="n"/>
      <c r="J452" s="374" t="n"/>
      <c r="K452" s="374" t="n"/>
      <c r="L452" s="374" t="n"/>
      <c r="M452" s="374" t="n"/>
      <c r="N452" s="374" t="n"/>
      <c r="O452" s="374" t="n"/>
      <c r="P452" s="374" t="n"/>
      <c r="Q452" s="374" t="n"/>
      <c r="R452" s="373" t="n"/>
      <c r="S452" s="373" t="n"/>
      <c r="T452" s="373" t="n"/>
      <c r="U452" s="373" t="n"/>
      <c r="V452" s="373" t="n"/>
      <c r="W452" s="373" t="n"/>
      <c r="X452" s="373" t="n"/>
    </row>
    <row r="453" ht="15.5" customHeight="1" s="297">
      <c r="B453" s="333" t="n">
        <v>45484</v>
      </c>
      <c r="C453" s="314" t="n">
        <v>20</v>
      </c>
      <c r="D453" s="326" t="inlineStr">
        <is>
          <t>Fuel ( trip ke Lemigas and Workshop sampler)</t>
        </is>
      </c>
      <c r="E453" s="326" t="n"/>
      <c r="F453" s="323" t="n">
        <v>291000</v>
      </c>
      <c r="G453" s="314" t="inlineStr">
        <is>
          <t>IDR</t>
        </is>
      </c>
      <c r="H453" s="345" t="n">
        <v>1</v>
      </c>
      <c r="I453" s="319" t="n"/>
      <c r="J453" s="329" t="n">
        <v>291000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391" t="n"/>
      <c r="C454" s="392" t="n"/>
      <c r="D454" s="393" t="n"/>
      <c r="E454" s="393" t="n"/>
      <c r="F454" s="394" t="n"/>
      <c r="G454" s="392" t="n"/>
      <c r="H454" s="392" t="n"/>
      <c r="I454" s="374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A455" s="346" t="n"/>
      <c r="B455" s="381" t="n">
        <v>45490</v>
      </c>
      <c r="C455" s="375" t="n">
        <v>21</v>
      </c>
      <c r="D455" s="382" t="inlineStr">
        <is>
          <t>ALFA-MPLT-Sampler project TIS Energy Blora_well RBG-3B by Barekin Sakti- AC</t>
        </is>
      </c>
      <c r="E455" s="388" t="n"/>
      <c r="F455" s="418" t="n">
        <v>177350</v>
      </c>
      <c r="G455" s="375" t="inlineStr">
        <is>
          <t>IDR</t>
        </is>
      </c>
      <c r="H455" s="411" t="n">
        <v>1</v>
      </c>
      <c r="I455" s="377" t="n"/>
      <c r="J455" s="412" t="n">
        <v>177350</v>
      </c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A456" s="346" t="n"/>
      <c r="B456" s="333" t="n">
        <v>45511</v>
      </c>
      <c r="C456" s="314" t="n">
        <v>1</v>
      </c>
      <c r="D456" s="367" t="inlineStr">
        <is>
          <t>Laundry dor 10 days @Rp.50.000.</t>
        </is>
      </c>
      <c r="E456" s="367" t="n"/>
      <c r="F456" s="323" t="n">
        <v>500000</v>
      </c>
      <c r="G456" s="314" t="inlineStr">
        <is>
          <t>IDR</t>
        </is>
      </c>
      <c r="H456" s="345" t="n">
        <v>1</v>
      </c>
      <c r="I456" s="321" t="n"/>
      <c r="J456" s="329" t="n">
        <v>500000</v>
      </c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A457" s="346" t="n"/>
      <c r="B457" s="333" t="n">
        <v>45507</v>
      </c>
      <c r="C457" s="314" t="n">
        <v>2</v>
      </c>
      <c r="D457" s="367" t="inlineStr">
        <is>
          <t>Hotel for 6 days ( 29 Jul - 3 aug 24)</t>
        </is>
      </c>
      <c r="E457" s="367" t="n"/>
      <c r="F457" s="323" t="n">
        <v>2700000</v>
      </c>
      <c r="G457" s="314" t="inlineStr">
        <is>
          <t>IDR</t>
        </is>
      </c>
      <c r="H457" s="345" t="n">
        <v>1</v>
      </c>
      <c r="I457" s="321" t="n"/>
      <c r="J457" s="329" t="n">
        <v>2700000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13" t="n">
        <v>45511</v>
      </c>
      <c r="C458" s="314" t="n">
        <v>3</v>
      </c>
      <c r="D458" s="326" t="inlineStr">
        <is>
          <t>Meal utk 10 hari (29 Jul -7Aug-24) @Rp. 150.000</t>
        </is>
      </c>
      <c r="E458" s="326" t="n"/>
      <c r="F458" s="323" t="n">
        <v>1500000</v>
      </c>
      <c r="G458" s="314" t="inlineStr">
        <is>
          <t>IDR</t>
        </is>
      </c>
      <c r="H458" s="345" t="n">
        <v>1</v>
      </c>
      <c r="I458" s="319" t="n"/>
      <c r="J458" s="329" t="n">
        <v>1500000</v>
      </c>
      <c r="K458" s="321" t="n"/>
      <c r="L458" s="321" t="n"/>
      <c r="M458" s="321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13" t="n">
        <v>45511</v>
      </c>
      <c r="C459" s="314" t="n">
        <v>4</v>
      </c>
      <c r="D459" s="326" t="inlineStr">
        <is>
          <t>Tunjangan lapangan for 10 days (29Jul - 07Aug24) Anevril</t>
        </is>
      </c>
      <c r="E459" s="326" t="n"/>
      <c r="F459" s="323" t="n">
        <v>16100000</v>
      </c>
      <c r="G459" s="314" t="inlineStr">
        <is>
          <t>USD</t>
        </is>
      </c>
      <c r="H459" s="345" t="n">
        <v>16100</v>
      </c>
      <c r="I459" s="319" t="n"/>
      <c r="J459" s="329" t="n">
        <v>16100000</v>
      </c>
      <c r="K459" s="321" t="n"/>
      <c r="L459" s="321" t="n"/>
      <c r="M459" s="321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13" t="n">
        <v>45502</v>
      </c>
      <c r="C460" s="314" t="n">
        <v>5</v>
      </c>
      <c r="D460" s="326" t="inlineStr">
        <is>
          <t>buy Zirolic</t>
        </is>
      </c>
      <c r="E460" s="326" t="n"/>
      <c r="F460" s="323" t="n">
        <v>34200</v>
      </c>
      <c r="G460" s="314" t="inlineStr">
        <is>
          <t>IDR</t>
        </is>
      </c>
      <c r="H460" s="345" t="n">
        <v>1</v>
      </c>
      <c r="I460" s="319" t="n"/>
      <c r="J460" s="321" t="n"/>
      <c r="K460" s="321" t="n"/>
      <c r="L460" s="321" t="n"/>
      <c r="M460" s="319" t="n"/>
      <c r="N460" s="321" t="n"/>
      <c r="O460" s="321" t="n"/>
      <c r="P460" s="329" t="n">
        <v>34200</v>
      </c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13" t="n">
        <v>45502</v>
      </c>
      <c r="C461" s="314" t="n">
        <v>6</v>
      </c>
      <c r="D461" s="326" t="inlineStr">
        <is>
          <t>buy Soft drink</t>
        </is>
      </c>
      <c r="E461" s="326" t="n"/>
      <c r="F461" s="323" t="n">
        <v>199900</v>
      </c>
      <c r="G461" s="314" t="inlineStr">
        <is>
          <t>IDR</t>
        </is>
      </c>
      <c r="H461" s="345" t="n">
        <v>1</v>
      </c>
      <c r="I461" s="319" t="n"/>
      <c r="J461" s="329" t="n">
        <v>199900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13" t="n">
        <v>45504</v>
      </c>
      <c r="C462" s="314" t="n">
        <v>7</v>
      </c>
      <c r="D462" s="326" t="inlineStr">
        <is>
          <t>buy Soft drink</t>
        </is>
      </c>
      <c r="E462" s="326" t="n"/>
      <c r="F462" s="323" t="n">
        <v>69000</v>
      </c>
      <c r="G462" s="314" t="inlineStr">
        <is>
          <t>IDR</t>
        </is>
      </c>
      <c r="H462" s="345" t="n">
        <v>1</v>
      </c>
      <c r="I462" s="319" t="n"/>
      <c r="J462" s="329" t="n">
        <v>69000</v>
      </c>
      <c r="K462" s="321" t="n"/>
      <c r="L462" s="321" t="n"/>
      <c r="M462" s="321" t="n"/>
      <c r="N462" s="321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13" t="n"/>
      <c r="C463" s="314" t="n"/>
      <c r="D463" s="330" t="inlineStr">
        <is>
          <t>Accommodation</t>
        </is>
      </c>
      <c r="E463" s="326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13" t="n">
        <v>45476</v>
      </c>
      <c r="C464" s="314" t="n">
        <v>8</v>
      </c>
      <c r="D464" s="326" t="inlineStr">
        <is>
          <t>buy Soft drink</t>
        </is>
      </c>
      <c r="E464" s="326" t="n"/>
      <c r="F464" s="323" t="n">
        <v>98000</v>
      </c>
      <c r="G464" s="314" t="inlineStr">
        <is>
          <t>IDR</t>
        </is>
      </c>
      <c r="H464" s="345" t="n">
        <v>1</v>
      </c>
      <c r="I464" s="321" t="n"/>
      <c r="J464" s="329" t="n">
        <v>98000</v>
      </c>
      <c r="K464" s="321" t="n"/>
      <c r="L464" s="321" t="n"/>
      <c r="M464" s="319" t="n"/>
      <c r="N464" s="320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13" t="n">
        <v>45505</v>
      </c>
      <c r="C465" s="314" t="n">
        <v>9</v>
      </c>
      <c r="D465" s="326" t="inlineStr">
        <is>
          <t>Buy WD 40</t>
        </is>
      </c>
      <c r="E465" s="326" t="n"/>
      <c r="F465" s="323" t="n">
        <v>65000</v>
      </c>
      <c r="G465" s="314" t="inlineStr">
        <is>
          <t>IDR</t>
        </is>
      </c>
      <c r="H465" s="345" t="n">
        <v>1</v>
      </c>
      <c r="I465" s="321" t="n"/>
      <c r="J465" s="321" t="n"/>
      <c r="K465" s="321" t="n"/>
      <c r="L465" s="321" t="n"/>
      <c r="M465" s="320" t="n"/>
      <c r="N465" s="329" t="n">
        <v>65000</v>
      </c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13" t="n">
        <v>45505</v>
      </c>
      <c r="C466" s="314" t="n">
        <v>10</v>
      </c>
      <c r="D466" s="326" t="inlineStr">
        <is>
          <t>buy Soft drink</t>
        </is>
      </c>
      <c r="E466" s="326" t="n"/>
      <c r="F466" s="323" t="n">
        <v>109800</v>
      </c>
      <c r="G466" s="314" t="inlineStr">
        <is>
          <t>IDR</t>
        </is>
      </c>
      <c r="H466" s="345" t="n">
        <v>1</v>
      </c>
      <c r="I466" s="321" t="n"/>
      <c r="J466" s="329" t="n">
        <v>109800</v>
      </c>
      <c r="K466" s="321" t="n"/>
      <c r="L466" s="321" t="n"/>
      <c r="M466" s="319" t="n"/>
      <c r="N466" s="320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13" t="n">
        <v>45507</v>
      </c>
      <c r="C467" s="314" t="n">
        <v>11</v>
      </c>
      <c r="D467" s="326" t="inlineStr">
        <is>
          <t>buy Soft drink</t>
        </is>
      </c>
      <c r="E467" s="326" t="n"/>
      <c r="F467" s="323" t="n">
        <v>96600</v>
      </c>
      <c r="G467" s="314" t="inlineStr">
        <is>
          <t>IDR</t>
        </is>
      </c>
      <c r="H467" s="345" t="n">
        <v>1</v>
      </c>
      <c r="I467" s="335" t="n"/>
      <c r="J467" s="433" t="n">
        <v>96600</v>
      </c>
      <c r="K467" s="335" t="n"/>
      <c r="L467" s="335" t="n"/>
      <c r="M467" s="335" t="n"/>
      <c r="N467" s="320" t="n"/>
      <c r="O467" s="335" t="n"/>
      <c r="P467" s="335" t="n"/>
      <c r="Q467" s="335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13" t="n">
        <v>45508</v>
      </c>
      <c r="C468" s="314" t="n">
        <v>12</v>
      </c>
      <c r="D468" s="326" t="inlineStr">
        <is>
          <t>buy Soft drink</t>
        </is>
      </c>
      <c r="E468" s="326" t="n"/>
      <c r="F468" s="323" t="n">
        <v>56600</v>
      </c>
      <c r="G468" s="314" t="inlineStr">
        <is>
          <t>IDR</t>
        </is>
      </c>
      <c r="H468" s="345" t="n">
        <v>1</v>
      </c>
      <c r="I468" s="321" t="n"/>
      <c r="J468" s="329" t="n">
        <v>56600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13" t="n">
        <v>45509</v>
      </c>
      <c r="C469" s="314" t="n">
        <v>13</v>
      </c>
      <c r="D469" s="326" t="inlineStr">
        <is>
          <t>Buy connection T dan nipple</t>
        </is>
      </c>
      <c r="E469" s="326" t="n"/>
      <c r="F469" s="323" t="n">
        <v>72500</v>
      </c>
      <c r="G469" s="314" t="inlineStr">
        <is>
          <t>IDR</t>
        </is>
      </c>
      <c r="H469" s="345" t="n">
        <v>1</v>
      </c>
      <c r="I469" s="321" t="n"/>
      <c r="J469" s="321" t="n"/>
      <c r="K469" s="321" t="n"/>
      <c r="L469" s="321" t="n"/>
      <c r="M469" s="321" t="n"/>
      <c r="N469" s="329" t="n">
        <v>72500</v>
      </c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13" t="n">
        <v>45509</v>
      </c>
      <c r="C470" s="314" t="n">
        <v>14</v>
      </c>
      <c r="D470" s="326" t="inlineStr">
        <is>
          <t>Buy Quick connection</t>
        </is>
      </c>
      <c r="E470" s="326" t="n"/>
      <c r="F470" s="323" t="n">
        <v>400000</v>
      </c>
      <c r="G470" s="314" t="inlineStr">
        <is>
          <t>IDR</t>
        </is>
      </c>
      <c r="H470" s="345" t="n">
        <v>1</v>
      </c>
      <c r="I470" s="321" t="n"/>
      <c r="J470" s="321" t="n"/>
      <c r="K470" s="321" t="n"/>
      <c r="L470" s="321" t="n"/>
      <c r="M470" s="321" t="n"/>
      <c r="N470" s="329" t="n">
        <v>400000</v>
      </c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13" t="n">
        <v>45510</v>
      </c>
      <c r="C471" s="314" t="n">
        <v>15</v>
      </c>
      <c r="D471" s="326" t="inlineStr">
        <is>
          <t>Buy Paint nippon</t>
        </is>
      </c>
      <c r="E471" s="326" t="n"/>
      <c r="F471" s="323" t="n">
        <v>60000</v>
      </c>
      <c r="G471" s="314" t="inlineStr">
        <is>
          <t>IDR</t>
        </is>
      </c>
      <c r="H471" s="345" t="n">
        <v>1</v>
      </c>
      <c r="I471" s="321" t="n"/>
      <c r="J471" s="321" t="n"/>
      <c r="K471" s="321" t="n"/>
      <c r="L471" s="321" t="n"/>
      <c r="M471" s="321" t="n"/>
      <c r="N471" s="329" t="n">
        <v>60000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/>
      <c r="C472" s="314" t="n"/>
      <c r="D472" s="330" t="inlineStr">
        <is>
          <t>Allowance</t>
        </is>
      </c>
      <c r="E472" s="367" t="n"/>
      <c r="F472" s="317" t="n"/>
      <c r="G472" s="314" t="n"/>
      <c r="H472" s="314" t="n"/>
      <c r="I472" s="321" t="n"/>
      <c r="J472" s="321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13" t="n">
        <v>45510</v>
      </c>
      <c r="C473" s="314" t="n">
        <v>16</v>
      </c>
      <c r="D473" s="326" t="inlineStr">
        <is>
          <t>buy Soft drink</t>
        </is>
      </c>
      <c r="E473" s="326" t="n"/>
      <c r="F473" s="323" t="n">
        <v>118100</v>
      </c>
      <c r="G473" s="314" t="inlineStr">
        <is>
          <t>IDR</t>
        </is>
      </c>
      <c r="H473" s="345" t="n">
        <v>1</v>
      </c>
      <c r="I473" s="320" t="n"/>
      <c r="J473" s="329" t="n">
        <v>118100</v>
      </c>
      <c r="K473" s="321" t="n"/>
      <c r="L473" s="321" t="n"/>
      <c r="M473" s="321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13" t="n">
        <v>45502</v>
      </c>
      <c r="C474" s="314" t="n">
        <v>17</v>
      </c>
      <c r="D474" s="326" t="inlineStr">
        <is>
          <t>w/ Crew Barekin</t>
        </is>
      </c>
      <c r="E474" s="326" t="n"/>
      <c r="F474" s="323" t="n">
        <v>275000</v>
      </c>
      <c r="G474" s="314" t="inlineStr">
        <is>
          <t>IDR</t>
        </is>
      </c>
      <c r="H474" s="345" t="n">
        <v>1</v>
      </c>
      <c r="I474" s="320" t="n"/>
      <c r="J474" s="329" t="n">
        <v>275000</v>
      </c>
      <c r="K474" s="321" t="n"/>
      <c r="L474" s="321" t="n"/>
      <c r="M474" s="321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13" t="n">
        <v>45505</v>
      </c>
      <c r="C475" s="314" t="n">
        <v>18</v>
      </c>
      <c r="D475" s="326" t="inlineStr">
        <is>
          <t>W/ TIS Petroleum personnel</t>
        </is>
      </c>
      <c r="E475" s="326" t="n"/>
      <c r="F475" s="323" t="n">
        <v>157000</v>
      </c>
      <c r="G475" s="314" t="inlineStr">
        <is>
          <t>IDR</t>
        </is>
      </c>
      <c r="H475" s="345" t="n">
        <v>1</v>
      </c>
      <c r="I475" s="320" t="n"/>
      <c r="J475" s="329" t="n">
        <v>157000</v>
      </c>
      <c r="K475" s="321" t="n"/>
      <c r="L475" s="321" t="n"/>
      <c r="M475" s="321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85" t="n">
        <v>45506</v>
      </c>
      <c r="C476" s="386" t="n">
        <v>19</v>
      </c>
      <c r="D476" s="387" t="inlineStr">
        <is>
          <t>w/ Crew Barekin (buy ice sirop) No reciept</t>
        </is>
      </c>
      <c r="E476" s="387" t="n"/>
      <c r="F476" s="338" t="n">
        <v>80000</v>
      </c>
      <c r="G476" s="314" t="inlineStr">
        <is>
          <t>IDR</t>
        </is>
      </c>
      <c r="H476" s="345" t="n">
        <v>1</v>
      </c>
      <c r="I476" s="321" t="n"/>
      <c r="J476" s="329" t="n">
        <v>80000</v>
      </c>
      <c r="K476" s="321" t="n"/>
      <c r="L476" s="321" t="n"/>
      <c r="M476" s="321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13" t="n"/>
      <c r="C477" s="314" t="n"/>
      <c r="D477" s="315" t="inlineStr">
        <is>
          <t>Logistic</t>
        </is>
      </c>
      <c r="E477" s="339" t="n"/>
      <c r="F477" s="317" t="n"/>
      <c r="G477" s="314" t="n"/>
      <c r="H477" s="314" t="n"/>
      <c r="I477" s="321" t="n"/>
      <c r="J477" s="321" t="n"/>
      <c r="K477" s="321" t="n"/>
      <c r="L477" s="321" t="n"/>
      <c r="M477" s="321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45507</v>
      </c>
      <c r="C478" s="314" t="n">
        <v>20</v>
      </c>
      <c r="D478" s="326" t="inlineStr">
        <is>
          <t>w/ TIS Lemigas Personnel</t>
        </is>
      </c>
      <c r="E478" s="326" t="n"/>
      <c r="F478" s="323" t="n">
        <v>270350</v>
      </c>
      <c r="G478" s="314" t="inlineStr">
        <is>
          <t>IDR</t>
        </is>
      </c>
      <c r="H478" s="345" t="n">
        <v>1</v>
      </c>
      <c r="I478" s="319" t="n"/>
      <c r="J478" s="329" t="n">
        <v>270350</v>
      </c>
      <c r="K478" s="321" t="n"/>
      <c r="L478" s="321" t="n"/>
      <c r="M478" s="321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21</v>
      </c>
      <c r="D479" s="326" t="inlineStr">
        <is>
          <t>w/ TIS Petroleum Personnel</t>
        </is>
      </c>
      <c r="E479" s="326" t="n"/>
      <c r="F479" s="323" t="n">
        <v>401000</v>
      </c>
      <c r="G479" s="314" t="inlineStr">
        <is>
          <t>IDR</t>
        </is>
      </c>
      <c r="H479" s="345" t="n">
        <v>1</v>
      </c>
      <c r="I479" s="319" t="n"/>
      <c r="J479" s="329" t="n">
        <v>401000</v>
      </c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45511</v>
      </c>
      <c r="C480" s="314" t="n">
        <v>22</v>
      </c>
      <c r="D480" s="326" t="inlineStr">
        <is>
          <t>Rental car (include Fuel ) 10 days, @Rp1.100.000</t>
        </is>
      </c>
      <c r="E480" s="326" t="n"/>
      <c r="F480" s="323" t="n">
        <v>11000000</v>
      </c>
      <c r="G480" s="314" t="inlineStr">
        <is>
          <t>IDR</t>
        </is>
      </c>
      <c r="H480" s="345" t="n">
        <v>1</v>
      </c>
      <c r="I480" s="319" t="n"/>
      <c r="J480" s="329" t="n">
        <v>11000000</v>
      </c>
      <c r="K480" s="321" t="n"/>
      <c r="L480" s="321" t="n"/>
      <c r="M480" s="320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/>
      <c r="C481" s="314" t="n"/>
      <c r="D481" s="330" t="inlineStr">
        <is>
          <t>Meal</t>
        </is>
      </c>
      <c r="E481" s="367" t="n"/>
      <c r="F481" s="317" t="n"/>
      <c r="G481" s="314" t="n"/>
      <c r="H481" s="314" t="n"/>
      <c r="I481" s="321" t="n"/>
      <c r="J481" s="321" t="n"/>
      <c r="K481" s="321" t="n"/>
      <c r="L481" s="321" t="n"/>
      <c r="M481" s="319" t="n"/>
      <c r="N481" s="319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45502</v>
      </c>
      <c r="C482" s="314" t="n">
        <v>23</v>
      </c>
      <c r="D482" s="326" t="inlineStr">
        <is>
          <t>Toll (Jkt Blora - PP)</t>
        </is>
      </c>
      <c r="E482" s="326" t="n"/>
      <c r="F482" s="323" t="n">
        <v>483000</v>
      </c>
      <c r="G482" s="314" t="inlineStr">
        <is>
          <t>IDR</t>
        </is>
      </c>
      <c r="H482" s="345" t="n">
        <v>1</v>
      </c>
      <c r="I482" s="320" t="n"/>
      <c r="J482" s="329" t="n">
        <v>483000</v>
      </c>
      <c r="K482" s="321" t="n"/>
      <c r="L482" s="321" t="n"/>
      <c r="M482" s="320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45511</v>
      </c>
      <c r="C483" s="314" t="n">
        <v>24</v>
      </c>
      <c r="D483" s="326" t="inlineStr">
        <is>
          <t>Toll (Gubug - Jakarta)</t>
        </is>
      </c>
      <c r="E483" s="326" t="n"/>
      <c r="F483" s="323" t="n">
        <v>496000</v>
      </c>
      <c r="G483" s="314" t="inlineStr">
        <is>
          <t>IDR</t>
        </is>
      </c>
      <c r="H483" s="345" t="n">
        <v>1</v>
      </c>
      <c r="I483" s="320" t="n"/>
      <c r="J483" s="329" t="n">
        <v>496000</v>
      </c>
      <c r="K483" s="321" t="n"/>
      <c r="L483" s="321" t="n"/>
      <c r="M483" s="319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33" t="n"/>
      <c r="C484" s="314" t="n"/>
      <c r="D484" s="330" t="inlineStr">
        <is>
          <t>Transportation</t>
        </is>
      </c>
      <c r="E484" s="367" t="n"/>
      <c r="F484" s="317" t="n"/>
      <c r="G484" s="314" t="n"/>
      <c r="H484" s="314" t="n"/>
      <c r="I484" s="321" t="n"/>
      <c r="J484" s="321" t="n"/>
      <c r="K484" s="321" t="n"/>
      <c r="L484" s="321" t="n"/>
      <c r="M484" s="320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idden="1" ht="15.5" customHeight="1" s="297">
      <c r="B485" s="391" t="n"/>
      <c r="C485" s="392" t="n"/>
      <c r="D485" s="402" t="n"/>
      <c r="E485" s="402" t="n"/>
      <c r="F485" s="394" t="n"/>
      <c r="G485" s="392" t="n"/>
      <c r="H485" s="392" t="n"/>
      <c r="I485" s="374" t="n"/>
      <c r="J485" s="374" t="n"/>
      <c r="K485" s="374" t="n"/>
      <c r="L485" s="374" t="n"/>
      <c r="M485" s="380" t="n"/>
      <c r="N485" s="374" t="n"/>
      <c r="O485" s="374" t="n"/>
      <c r="P485" s="372" t="n"/>
      <c r="Q485" s="374" t="n"/>
      <c r="R485" s="373" t="n"/>
      <c r="S485" s="373" t="n"/>
      <c r="T485" s="373" t="n"/>
      <c r="U485" s="373" t="n"/>
      <c r="V485" s="373" t="n"/>
      <c r="W485" s="373" t="n"/>
      <c r="X485" s="373" t="n"/>
    </row>
    <row r="486" ht="15.5" customFormat="1" customHeight="1" s="126">
      <c r="B486" s="381" t="n">
        <v>45502</v>
      </c>
      <c r="C486" s="375" t="n">
        <v>7</v>
      </c>
      <c r="D486" s="382" t="inlineStr">
        <is>
          <t>ALFA-MPLT-BHS_ RBG 3B PT. TIS under Barikin sakti _TMA</t>
        </is>
      </c>
      <c r="E486" s="383" t="n"/>
      <c r="F486" s="395" t="n">
        <v>199900</v>
      </c>
      <c r="G486" s="375" t="inlineStr">
        <is>
          <t>IDR</t>
        </is>
      </c>
      <c r="H486" s="375" t="n">
        <v>1</v>
      </c>
      <c r="I486" s="364">
        <f>F448</f>
        <v/>
      </c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>
        <v>45502</v>
      </c>
      <c r="C487" s="314" t="n">
        <v>1</v>
      </c>
      <c r="D487" s="326" t="inlineStr">
        <is>
          <t>Electrical Bill</t>
        </is>
      </c>
      <c r="E487" s="326" t="n"/>
      <c r="F487" s="323" t="n">
        <v>159682</v>
      </c>
      <c r="G487" s="314" t="inlineStr">
        <is>
          <t>IDR</t>
        </is>
      </c>
      <c r="H487" s="345" t="n">
        <v>1</v>
      </c>
      <c r="I487" s="320" t="n"/>
      <c r="J487" s="329" t="n">
        <v>159682</v>
      </c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2</v>
      </c>
      <c r="D488" s="326" t="inlineStr">
        <is>
          <t>Laundry 10 days 1 Persons @ 50K IDR/day</t>
        </is>
      </c>
      <c r="E488" s="326" t="n"/>
      <c r="F488" s="323" t="n">
        <v>500000</v>
      </c>
      <c r="G488" s="314" t="inlineStr">
        <is>
          <t>IDR</t>
        </is>
      </c>
      <c r="H488" s="345" t="n">
        <v>1</v>
      </c>
      <c r="I488" s="320" t="n"/>
      <c r="J488" s="329" t="n">
        <v>500000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3</v>
      </c>
      <c r="D489" s="326" t="inlineStr">
        <is>
          <t>Tunjangan Lapangan for 10 days</t>
        </is>
      </c>
      <c r="E489" s="326" t="n"/>
      <c r="F489" s="323" t="n">
        <v>15513000</v>
      </c>
      <c r="G489" s="314" t="inlineStr">
        <is>
          <t>USD</t>
        </is>
      </c>
      <c r="H489" s="345" t="n">
        <v>15513</v>
      </c>
      <c r="I489" s="321" t="n"/>
      <c r="J489" s="329" t="n">
        <v>15513000</v>
      </c>
      <c r="K489" s="321" t="n"/>
      <c r="L489" s="321" t="n"/>
      <c r="M489" s="321" t="n"/>
      <c r="N489" s="320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>
        <v>45502</v>
      </c>
      <c r="C490" s="314" t="n">
        <v>4</v>
      </c>
      <c r="D490" s="326" t="inlineStr">
        <is>
          <t>Meal Crew's Operational</t>
        </is>
      </c>
      <c r="E490" s="326" t="n"/>
      <c r="F490" s="323" t="n">
        <v>263200</v>
      </c>
      <c r="G490" s="314" t="inlineStr">
        <is>
          <t>IDR</t>
        </is>
      </c>
      <c r="H490" s="345" t="n">
        <v>1</v>
      </c>
      <c r="I490" s="320" t="n"/>
      <c r="J490" s="329" t="n">
        <v>263200</v>
      </c>
      <c r="K490" s="321" t="n"/>
      <c r="L490" s="321" t="n"/>
      <c r="M490" s="321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5</v>
      </c>
      <c r="D491" s="326" t="inlineStr">
        <is>
          <t>Meals 10 days 1 Persons @ 150K IDR/day</t>
        </is>
      </c>
      <c r="E491" s="326" t="n"/>
      <c r="F491" s="323" t="n">
        <v>1500000</v>
      </c>
      <c r="G491" s="314" t="inlineStr">
        <is>
          <t>IDR</t>
        </is>
      </c>
      <c r="H491" s="345" t="n">
        <v>1</v>
      </c>
      <c r="I491" s="320" t="n"/>
      <c r="J491" s="329" t="n">
        <v>1500000</v>
      </c>
      <c r="K491" s="321" t="n"/>
      <c r="L491" s="321" t="n"/>
      <c r="M491" s="321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45499</v>
      </c>
      <c r="C492" s="314" t="n">
        <v>6</v>
      </c>
      <c r="D492" s="326" t="inlineStr">
        <is>
          <t>TOP 1 High Temp Grease</t>
        </is>
      </c>
      <c r="E492" s="326" t="n"/>
      <c r="F492" s="323" t="n">
        <v>144900</v>
      </c>
      <c r="G492" s="314" t="inlineStr">
        <is>
          <t>IDR</t>
        </is>
      </c>
      <c r="H492" s="345" t="n">
        <v>1</v>
      </c>
      <c r="I492" s="320" t="n"/>
      <c r="J492" s="321" t="n"/>
      <c r="K492" s="321" t="n"/>
      <c r="L492" s="321" t="n"/>
      <c r="M492" s="321" t="n"/>
      <c r="N492" s="329" t="n">
        <v>144900</v>
      </c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45499</v>
      </c>
      <c r="C493" s="314" t="n">
        <v>7</v>
      </c>
      <c r="D493" s="326" t="inlineStr">
        <is>
          <t>Lalamove Base to Barikin</t>
        </is>
      </c>
      <c r="E493" s="326" t="n"/>
      <c r="F493" s="323" t="n">
        <v>276500</v>
      </c>
      <c r="G493" s="314" t="inlineStr">
        <is>
          <t>IDR</t>
        </is>
      </c>
      <c r="H493" s="345" t="n">
        <v>1</v>
      </c>
      <c r="I493" s="321" t="n"/>
      <c r="J493" s="329" t="n">
        <v>276500</v>
      </c>
      <c r="K493" s="321" t="n"/>
      <c r="L493" s="321" t="n"/>
      <c r="M493" s="321" t="n"/>
      <c r="N493" s="320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>
        <v>45499</v>
      </c>
      <c r="C494" s="314" t="n">
        <v>8</v>
      </c>
      <c r="D494" s="326" t="inlineStr">
        <is>
          <t>Lalamove Pak Subi to Base</t>
        </is>
      </c>
      <c r="E494" s="326" t="n"/>
      <c r="F494" s="323" t="n">
        <v>63568</v>
      </c>
      <c r="G494" s="314" t="inlineStr">
        <is>
          <t>IDR</t>
        </is>
      </c>
      <c r="H494" s="345" t="n">
        <v>1</v>
      </c>
      <c r="I494" s="321" t="n"/>
      <c r="J494" s="329" t="n">
        <v>63568</v>
      </c>
      <c r="K494" s="321" t="n"/>
      <c r="L494" s="321" t="n"/>
      <c r="M494" s="321" t="n"/>
      <c r="N494" s="320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45517</v>
      </c>
      <c r="C495" s="314" t="n">
        <v>9</v>
      </c>
      <c r="D495" s="326" t="inlineStr">
        <is>
          <t>Lalamove Barikin to Base</t>
        </is>
      </c>
      <c r="E495" s="326" t="n"/>
      <c r="F495" s="323" t="n">
        <v>161885</v>
      </c>
      <c r="G495" s="314" t="inlineStr">
        <is>
          <t>IDR</t>
        </is>
      </c>
      <c r="H495" s="345" t="n">
        <v>1</v>
      </c>
      <c r="I495" s="321" t="n"/>
      <c r="J495" s="329" t="n">
        <v>161885</v>
      </c>
      <c r="K495" s="321" t="n"/>
      <c r="L495" s="321" t="n"/>
      <c r="M495" s="319" t="n"/>
      <c r="N495" s="320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idden="1" ht="15.5" customHeight="1" s="297">
      <c r="B496" s="391" t="n"/>
      <c r="C496" s="392" t="n"/>
      <c r="D496" s="402" t="n"/>
      <c r="E496" s="402" t="n"/>
      <c r="F496" s="394" t="n"/>
      <c r="G496" s="392" t="n"/>
      <c r="H496" s="392" t="n"/>
      <c r="I496" s="372" t="n"/>
      <c r="J496" s="374" t="n"/>
      <c r="K496" s="374" t="n"/>
      <c r="L496" s="374" t="n"/>
      <c r="M496" s="372" t="n"/>
      <c r="N496" s="374" t="n"/>
      <c r="O496" s="374" t="n"/>
      <c r="P496" s="374" t="n"/>
      <c r="Q496" s="374" t="n"/>
      <c r="R496" s="373" t="n"/>
      <c r="S496" s="373" t="n"/>
      <c r="T496" s="373" t="n"/>
      <c r="U496" s="373" t="n"/>
      <c r="V496" s="373" t="n"/>
      <c r="W496" s="373" t="n"/>
      <c r="X496" s="373" t="n"/>
    </row>
    <row r="497" ht="15.5" customHeight="1" s="297">
      <c r="B497" s="333" t="n"/>
      <c r="C497" s="314" t="n"/>
      <c r="D497" s="330" t="inlineStr">
        <is>
          <t>Accommodation</t>
        </is>
      </c>
      <c r="E497" s="367" t="n"/>
      <c r="F497" s="317" t="n"/>
      <c r="G497" s="314" t="n"/>
      <c r="H497" s="314" t="n"/>
      <c r="I497" s="321" t="n"/>
      <c r="J497" s="321" t="n"/>
      <c r="K497" s="321" t="n"/>
      <c r="L497" s="321" t="n"/>
      <c r="M497" s="319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idden="1" ht="15.5" customHeight="1" s="297">
      <c r="B498" s="391" t="n"/>
      <c r="C498" s="392" t="n"/>
      <c r="D498" s="402" t="n"/>
      <c r="E498" s="402" t="n"/>
      <c r="F498" s="394" t="n"/>
      <c r="G498" s="392" t="n"/>
      <c r="H498" s="392" t="n"/>
      <c r="I498" s="372" t="n"/>
      <c r="J498" s="374" t="n"/>
      <c r="K498" s="374" t="n"/>
      <c r="L498" s="374" t="n"/>
      <c r="M498" s="380" t="n"/>
      <c r="N498" s="374" t="n"/>
      <c r="O498" s="374" t="n"/>
      <c r="P498" s="374" t="n"/>
      <c r="Q498" s="374" t="n"/>
      <c r="R498" s="373" t="n"/>
      <c r="S498" s="373" t="n"/>
      <c r="T498" s="373" t="n"/>
      <c r="U498" s="373" t="n"/>
      <c r="V498" s="373" t="n"/>
      <c r="W498" s="373" t="n"/>
      <c r="X498" s="373" t="n"/>
    </row>
    <row r="499" hidden="1" ht="15.5" customHeight="1" s="297">
      <c r="B499" s="391" t="n"/>
      <c r="C499" s="392" t="n"/>
      <c r="D499" s="402" t="n"/>
      <c r="E499" s="402" t="n"/>
      <c r="F499" s="394" t="n"/>
      <c r="G499" s="392" t="n"/>
      <c r="H499" s="392" t="n"/>
      <c r="I499" s="372" t="n"/>
      <c r="J499" s="374" t="n"/>
      <c r="K499" s="374" t="n"/>
      <c r="L499" s="374" t="n"/>
      <c r="M499" s="380" t="n"/>
      <c r="N499" s="374" t="n"/>
      <c r="O499" s="374" t="n"/>
      <c r="P499" s="374" t="n"/>
      <c r="Q499" s="374" t="n"/>
      <c r="R499" s="373" t="n"/>
      <c r="S499" s="373" t="n"/>
      <c r="T499" s="373" t="n"/>
      <c r="U499" s="373" t="n"/>
      <c r="V499" s="373" t="n"/>
      <c r="W499" s="373" t="n"/>
      <c r="X499" s="373" t="n"/>
    </row>
    <row r="500" hidden="1" ht="15.5" customHeight="1" s="297">
      <c r="B500" s="391" t="n"/>
      <c r="C500" s="392" t="n"/>
      <c r="D500" s="402" t="n"/>
      <c r="E500" s="402" t="n"/>
      <c r="F500" s="394" t="n"/>
      <c r="G500" s="392" t="n"/>
      <c r="H500" s="392" t="n"/>
      <c r="I500" s="372" t="n"/>
      <c r="J500" s="374" t="n"/>
      <c r="K500" s="374" t="n"/>
      <c r="L500" s="374" t="n"/>
      <c r="M500" s="372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idden="1" ht="15.5" customHeight="1" s="297">
      <c r="B501" s="391" t="n"/>
      <c r="C501" s="392" t="n"/>
      <c r="D501" s="402" t="n"/>
      <c r="E501" s="402" t="n"/>
      <c r="F501" s="394" t="n"/>
      <c r="G501" s="392" t="n"/>
      <c r="H501" s="392" t="n"/>
      <c r="I501" s="372" t="n"/>
      <c r="J501" s="374" t="n"/>
      <c r="K501" s="374" t="n"/>
      <c r="L501" s="374" t="n"/>
      <c r="M501" s="380" t="n"/>
      <c r="N501" s="374" t="n"/>
      <c r="O501" s="374" t="n"/>
      <c r="P501" s="374" t="n"/>
      <c r="Q501" s="374" t="n"/>
      <c r="R501" s="373" t="n"/>
      <c r="S501" s="373" t="n"/>
      <c r="T501" s="373" t="n"/>
      <c r="U501" s="373" t="n"/>
      <c r="V501" s="373" t="n"/>
      <c r="W501" s="373" t="n"/>
      <c r="X501" s="373" t="n"/>
    </row>
    <row r="502" ht="15.5" customHeight="1" s="297">
      <c r="A502" s="346" t="n"/>
      <c r="B502" s="381" t="n"/>
      <c r="C502" s="375" t="n"/>
      <c r="D502" s="382" t="inlineStr">
        <is>
          <t>ALFA JOB - PMB 009 (cancel job) - IBR</t>
        </is>
      </c>
      <c r="E502" s="383" t="n"/>
      <c r="F502" s="395" t="n"/>
      <c r="G502" s="375" t="n"/>
      <c r="H502" s="375" t="n"/>
      <c r="I502" s="364" t="n"/>
      <c r="J502" s="377" t="n"/>
      <c r="K502" s="377" t="n"/>
      <c r="L502" s="377" t="n"/>
      <c r="M502" s="376" t="n"/>
      <c r="N502" s="377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A503" s="346" t="n"/>
      <c r="B503" s="333" t="n"/>
      <c r="C503" s="314" t="n"/>
      <c r="D503" s="330" t="inlineStr">
        <is>
          <t>Allowance</t>
        </is>
      </c>
      <c r="E503" s="326" t="n"/>
      <c r="F503" s="317" t="n"/>
      <c r="G503" s="314" t="n"/>
      <c r="H503" s="314" t="n"/>
      <c r="I503" s="320" t="n"/>
      <c r="J503" s="321" t="n"/>
      <c r="K503" s="321" t="n"/>
      <c r="L503" s="321" t="n"/>
      <c r="M503" s="319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idden="1" ht="15.5" customHeight="1" s="297">
      <c r="A504" s="346" t="n"/>
      <c r="B504" s="333" t="n"/>
      <c r="C504" s="314" t="n"/>
      <c r="D504" s="330" t="n"/>
      <c r="E504" s="326" t="n"/>
      <c r="F504" s="317" t="n"/>
      <c r="G504" s="314" t="n"/>
      <c r="H504" s="314" t="n"/>
      <c r="I504" s="320" t="n"/>
      <c r="J504" s="321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idden="1" ht="15.5" customHeight="1" s="297">
      <c r="A505" s="346" t="n"/>
      <c r="B505" s="333" t="n"/>
      <c r="C505" s="314" t="n"/>
      <c r="D505" s="330" t="n"/>
      <c r="E505" s="326" t="n"/>
      <c r="F505" s="317" t="n"/>
      <c r="G505" s="314" t="n"/>
      <c r="H505" s="314" t="n"/>
      <c r="I505" s="320" t="n"/>
      <c r="J505" s="321" t="n"/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33" t="n">
        <v>45548</v>
      </c>
      <c r="C506" s="314" t="n">
        <v>1</v>
      </c>
      <c r="D506" s="326" t="inlineStr">
        <is>
          <t>Uang makan (6 - 11 September 2024) 6 days</t>
        </is>
      </c>
      <c r="E506" s="326" t="n"/>
      <c r="F506" s="323" t="n">
        <v>900000</v>
      </c>
      <c r="G506" s="314" t="inlineStr">
        <is>
          <t>IDR</t>
        </is>
      </c>
      <c r="H506" s="345" t="n">
        <v>1</v>
      </c>
      <c r="I506" s="320" t="n"/>
      <c r="J506" s="329" t="n">
        <v>900000</v>
      </c>
      <c r="K506" s="321" t="n"/>
      <c r="L506" s="321" t="n"/>
      <c r="M506" s="320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idden="1" ht="15.5" customHeight="1" s="297">
      <c r="B507" s="391" t="n"/>
      <c r="C507" s="392" t="n"/>
      <c r="D507" s="393" t="n"/>
      <c r="E507" s="393" t="n"/>
      <c r="F507" s="394" t="n"/>
      <c r="G507" s="392" t="n"/>
      <c r="H507" s="392" t="n"/>
      <c r="I507" s="374" t="n"/>
      <c r="J507" s="374" t="n"/>
      <c r="K507" s="374" t="n"/>
      <c r="L507" s="374" t="n"/>
      <c r="M507" s="380" t="n"/>
      <c r="N507" s="374" t="n"/>
      <c r="O507" s="374" t="n"/>
      <c r="P507" s="374" t="n"/>
      <c r="Q507" s="374" t="n"/>
      <c r="R507" s="373" t="n"/>
      <c r="S507" s="373" t="n"/>
      <c r="T507" s="373" t="n"/>
      <c r="U507" s="373" t="n"/>
      <c r="V507" s="373" t="n"/>
      <c r="W507" s="373" t="n"/>
      <c r="X507" s="373" t="n"/>
    </row>
    <row r="508" ht="15.5" customHeight="1" s="297">
      <c r="A508" s="346" t="n"/>
      <c r="B508" s="381" t="n">
        <v>45548</v>
      </c>
      <c r="C508" s="375" t="n">
        <v>2</v>
      </c>
      <c r="D508" s="382" t="inlineStr">
        <is>
          <t>ALFA PMB-009 (Cancel)_ TMA</t>
        </is>
      </c>
      <c r="E508" s="388" t="n"/>
      <c r="F508" s="418" t="n">
        <v>300000</v>
      </c>
      <c r="G508" s="375" t="inlineStr">
        <is>
          <t>IDR</t>
        </is>
      </c>
      <c r="H508" s="411" t="n">
        <v>1</v>
      </c>
      <c r="I508" s="377" t="n"/>
      <c r="J508" s="412" t="n">
        <v>300000</v>
      </c>
      <c r="K508" s="377" t="n"/>
      <c r="L508" s="377" t="n"/>
      <c r="M508" s="376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A509" s="346" t="n"/>
      <c r="B509" s="333" t="n">
        <v>45541</v>
      </c>
      <c r="C509" s="314" t="n">
        <v>1</v>
      </c>
      <c r="D509" s="367" t="inlineStr">
        <is>
          <t>Hotel 6 Sept - 11 Sept (5 days)</t>
        </is>
      </c>
      <c r="E509" s="367" t="n"/>
      <c r="F509" s="323" t="n">
        <v>1800000</v>
      </c>
      <c r="G509" s="314" t="inlineStr">
        <is>
          <t>IDR</t>
        </is>
      </c>
      <c r="H509" s="345" t="n">
        <v>1</v>
      </c>
      <c r="I509" s="321" t="n"/>
      <c r="J509" s="329" t="n">
        <v>1800000</v>
      </c>
      <c r="K509" s="321" t="n"/>
      <c r="L509" s="321" t="n"/>
      <c r="M509" s="319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2</v>
      </c>
      <c r="D510" s="326" t="inlineStr">
        <is>
          <t>Laundry 6 days 1 Persons @ 50K IDR/day</t>
        </is>
      </c>
      <c r="E510" s="326" t="n"/>
      <c r="F510" s="323" t="n">
        <v>300000</v>
      </c>
      <c r="G510" s="314" t="inlineStr">
        <is>
          <t>IDR</t>
        </is>
      </c>
      <c r="H510" s="345" t="n">
        <v>1</v>
      </c>
      <c r="I510" s="320" t="n"/>
      <c r="J510" s="329" t="n">
        <v>300000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/>
      <c r="C511" s="314" t="n"/>
      <c r="D511" s="330" t="inlineStr">
        <is>
          <t>Accommodation</t>
        </is>
      </c>
      <c r="E511" s="367" t="n"/>
      <c r="F511" s="317" t="n"/>
      <c r="G511" s="314" t="n"/>
      <c r="H511" s="314" t="n"/>
      <c r="I511" s="321" t="n"/>
      <c r="J511" s="321" t="n"/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>
        <v>45541</v>
      </c>
      <c r="C512" s="314" t="n">
        <v>3</v>
      </c>
      <c r="D512" s="326" t="inlineStr">
        <is>
          <t>Field Allowance</t>
        </is>
      </c>
      <c r="E512" s="326" t="n"/>
      <c r="F512" s="323" t="n">
        <v>9262800</v>
      </c>
      <c r="G512" s="314" t="inlineStr">
        <is>
          <t>USD</t>
        </is>
      </c>
      <c r="H512" s="345" t="n">
        <v>15438</v>
      </c>
      <c r="I512" s="320" t="n"/>
      <c r="J512" s="329" t="n">
        <v>9262800</v>
      </c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85" t="n">
        <v>45541</v>
      </c>
      <c r="C513" s="386" t="n">
        <v>4</v>
      </c>
      <c r="D513" s="387" t="inlineStr">
        <is>
          <t>Meals</t>
        </is>
      </c>
      <c r="E513" s="387" t="n"/>
      <c r="F513" s="338" t="n">
        <v>900000</v>
      </c>
      <c r="G513" s="314" t="inlineStr">
        <is>
          <t>IDR</t>
        </is>
      </c>
      <c r="H513" s="345" t="n">
        <v>1</v>
      </c>
      <c r="I513" s="321" t="n"/>
      <c r="J513" s="329" t="n">
        <v>900000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/>
      <c r="C514" s="314" t="n"/>
      <c r="D514" s="330" t="inlineStr">
        <is>
          <t>Allowance</t>
        </is>
      </c>
      <c r="E514" s="367" t="n"/>
      <c r="F514" s="332" t="n"/>
      <c r="G514" s="314" t="n"/>
      <c r="H514" s="314" t="n"/>
      <c r="I514" s="321" t="n"/>
      <c r="J514" s="321" t="n"/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20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20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/>
      <c r="C517" s="314" t="n"/>
      <c r="D517" s="330" t="inlineStr">
        <is>
          <t>Transportation</t>
        </is>
      </c>
      <c r="E517" s="367" t="n"/>
      <c r="F517" s="332" t="n"/>
      <c r="G517" s="314" t="n"/>
      <c r="H517" s="314" t="n"/>
      <c r="I517" s="321" t="n"/>
      <c r="J517" s="321" t="n"/>
      <c r="K517" s="321" t="n"/>
      <c r="L517" s="321" t="n"/>
      <c r="M517" s="319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7</v>
      </c>
      <c r="D518" s="326" t="inlineStr">
        <is>
          <t>Toll (PLM-Prabumulih-PLM)</t>
        </is>
      </c>
      <c r="E518" s="326" t="n"/>
      <c r="F518" s="334" t="n">
        <v>224000</v>
      </c>
      <c r="G518" s="314" t="inlineStr">
        <is>
          <t>IDR</t>
        </is>
      </c>
      <c r="H518" s="345" t="n">
        <v>1</v>
      </c>
      <c r="I518" s="319" t="n"/>
      <c r="J518" s="329" t="n">
        <v>224000</v>
      </c>
      <c r="K518" s="321" t="n"/>
      <c r="L518" s="321" t="n"/>
      <c r="M518" s="320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8</v>
      </c>
      <c r="D519" s="326" t="inlineStr">
        <is>
          <t>Rent Car 6 Days</t>
        </is>
      </c>
      <c r="E519" s="326" t="n"/>
      <c r="F519" s="334" t="n">
        <v>3000000</v>
      </c>
      <c r="G519" s="314" t="inlineStr">
        <is>
          <t>IDR</t>
        </is>
      </c>
      <c r="H519" s="345" t="n">
        <v>1</v>
      </c>
      <c r="I519" s="319" t="n"/>
      <c r="J519" s="329" t="n">
        <v>3000000</v>
      </c>
      <c r="K519" s="321" t="n"/>
      <c r="L519" s="321" t="n"/>
      <c r="M519" s="319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>
        <v>45541</v>
      </c>
      <c r="C520" s="314" t="n">
        <v>9</v>
      </c>
      <c r="D520" s="326" t="inlineStr">
        <is>
          <t>Gasoline</t>
        </is>
      </c>
      <c r="E520" s="326" t="n"/>
      <c r="F520" s="334" t="n">
        <v>400000</v>
      </c>
      <c r="G520" s="314" t="inlineStr">
        <is>
          <t>IDR</t>
        </is>
      </c>
      <c r="H520" s="345" t="n">
        <v>1</v>
      </c>
      <c r="I520" s="319" t="n"/>
      <c r="J520" s="329" t="n">
        <v>400000</v>
      </c>
      <c r="K520" s="321" t="n"/>
      <c r="L520" s="321" t="n"/>
      <c r="M520" s="320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idden="1" ht="15.5" customHeight="1" s="297">
      <c r="B521" s="368" t="n"/>
      <c r="C521" s="369" t="n"/>
      <c r="D521" s="370" t="n"/>
      <c r="E521" s="370" t="n"/>
      <c r="F521" s="371" t="n"/>
      <c r="G521" s="369" t="n"/>
      <c r="H521" s="369" t="n"/>
      <c r="I521" s="374" t="n"/>
      <c r="J521" s="374" t="n"/>
      <c r="K521" s="374" t="n"/>
      <c r="L521" s="374" t="n"/>
      <c r="M521" s="380" t="n"/>
      <c r="N521" s="374" t="n"/>
      <c r="O521" s="374" t="n"/>
      <c r="P521" s="374" t="n"/>
      <c r="Q521" s="374" t="n"/>
      <c r="R521" s="373" t="n"/>
      <c r="S521" s="373" t="n"/>
      <c r="T521" s="373" t="n"/>
      <c r="U521" s="373" t="n"/>
      <c r="V521" s="373" t="n"/>
      <c r="W521" s="373" t="n"/>
      <c r="X521" s="373" t="n"/>
    </row>
    <row r="522" ht="15.5" customHeight="1" s="297">
      <c r="B522" s="333" t="n">
        <v>45541</v>
      </c>
      <c r="C522" s="314" t="n">
        <v>10</v>
      </c>
      <c r="D522" s="326" t="inlineStr">
        <is>
          <t>Taxi CGK-Pondok Cabe (inc Toll+Parking)</t>
        </is>
      </c>
      <c r="E522" s="326" t="n"/>
      <c r="F522" s="334" t="n">
        <v>310660</v>
      </c>
      <c r="G522" s="314" t="inlineStr">
        <is>
          <t>IDR</t>
        </is>
      </c>
      <c r="H522" s="345" t="n">
        <v>1</v>
      </c>
      <c r="I522" s="321" t="n"/>
      <c r="J522" s="329" t="n">
        <v>310660</v>
      </c>
      <c r="K522" s="321" t="n"/>
      <c r="L522" s="321" t="n"/>
      <c r="M522" s="320" t="n"/>
      <c r="N522" s="320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A523" s="346" t="n"/>
      <c r="B523" s="381" t="n">
        <v>45543</v>
      </c>
      <c r="C523" s="375" t="n">
        <v>11</v>
      </c>
      <c r="D523" s="382" t="inlineStr">
        <is>
          <t>ALFA PMB-009 (Cancel)_ TMA</t>
        </is>
      </c>
      <c r="E523" s="383" t="n"/>
      <c r="F523" s="410" t="n">
        <v>836100</v>
      </c>
      <c r="G523" s="375" t="inlineStr">
        <is>
          <t>IDR</t>
        </is>
      </c>
      <c r="H523" s="411" t="n">
        <v>1</v>
      </c>
      <c r="I523" s="377" t="n"/>
      <c r="J523" s="412" t="n">
        <v>836100</v>
      </c>
      <c r="K523" s="377" t="n"/>
      <c r="L523" s="377" t="n"/>
      <c r="M523" s="364" t="n"/>
      <c r="N523" s="364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407" t="n"/>
      <c r="D524" s="330" t="inlineStr">
        <is>
          <t>Allowance</t>
        </is>
      </c>
      <c r="E524" s="367" t="n"/>
      <c r="F524" s="332" t="n"/>
      <c r="G524" s="314" t="n"/>
      <c r="H524" s="314" t="n"/>
      <c r="I524" s="321" t="n"/>
      <c r="J524" s="321" t="n"/>
      <c r="K524" s="321" t="n"/>
      <c r="L524" s="321" t="n"/>
      <c r="M524" s="319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33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38" t="n">
        <v>750000</v>
      </c>
      <c r="G525" s="314" t="inlineStr">
        <is>
          <t>IDR</t>
        </is>
      </c>
      <c r="H525" s="345" t="n">
        <v>1</v>
      </c>
      <c r="I525" s="320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/>
      <c r="C526" s="407" t="n"/>
      <c r="D526" s="330" t="inlineStr">
        <is>
          <t>Laundry</t>
        </is>
      </c>
      <c r="E526" s="367" t="n"/>
      <c r="F526" s="332" t="n"/>
      <c r="G526" s="314" t="n"/>
      <c r="H526" s="314" t="n"/>
      <c r="I526" s="321" t="n"/>
      <c r="J526" s="321" t="n"/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2</v>
      </c>
      <c r="D527" s="326" t="inlineStr">
        <is>
          <t>Field Bonus SKW#26 (22 - 26 Sept 2024). 1US$=15.100</t>
        </is>
      </c>
      <c r="E527" s="326" t="n"/>
      <c r="F527" s="334" t="n">
        <v>500</v>
      </c>
      <c r="G527" s="314" t="inlineStr">
        <is>
          <t>IDR</t>
        </is>
      </c>
      <c r="H527" s="345" t="n">
        <v>15100</v>
      </c>
      <c r="I527" s="320" t="n"/>
      <c r="J527" s="329" t="n">
        <v>500</v>
      </c>
      <c r="K527" s="321" t="n"/>
      <c r="L527" s="321" t="n"/>
      <c r="M527" s="321" t="n"/>
      <c r="N527" s="319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407" t="n"/>
      <c r="D528" s="330" t="inlineStr">
        <is>
          <t>Transportation</t>
        </is>
      </c>
      <c r="E528" s="367" t="n"/>
      <c r="F528" s="332" t="n"/>
      <c r="G528" s="314" t="n"/>
      <c r="H528" s="314" t="n"/>
      <c r="I528" s="321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45561</v>
      </c>
      <c r="C529" s="314" t="n">
        <v>3</v>
      </c>
      <c r="D529" s="326" t="inlineStr">
        <is>
          <t>Laundry (22 - 26 Sept 2024)</t>
        </is>
      </c>
      <c r="E529" s="326" t="n"/>
      <c r="F529" s="334" t="n">
        <v>250000</v>
      </c>
      <c r="G529" s="314" t="inlineStr">
        <is>
          <t>IDR</t>
        </is>
      </c>
      <c r="H529" s="345" t="n">
        <v>1</v>
      </c>
      <c r="I529" s="320" t="n"/>
      <c r="J529" s="329" t="n">
        <v>250000</v>
      </c>
      <c r="K529" s="321" t="n"/>
      <c r="L529" s="321" t="n"/>
      <c r="M529" s="319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85" t="n">
        <v>45557</v>
      </c>
      <c r="C530" s="386" t="n">
        <v>4</v>
      </c>
      <c r="D530" s="387" t="inlineStr">
        <is>
          <t>Taxi+Tol Serpong - Gambir</t>
        </is>
      </c>
      <c r="E530" s="387" t="n"/>
      <c r="F530" s="338" t="n">
        <v>241280</v>
      </c>
      <c r="G530" s="314" t="inlineStr">
        <is>
          <t>IDR</t>
        </is>
      </c>
      <c r="H530" s="345" t="n">
        <v>1</v>
      </c>
      <c r="I530" s="321" t="n"/>
      <c r="J530" s="329" t="n">
        <v>241280</v>
      </c>
      <c r="K530" s="321" t="n"/>
      <c r="L530" s="321" t="n"/>
      <c r="M530" s="321" t="n"/>
      <c r="N530" s="319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idden="1" ht="15.5" customHeight="1" s="297">
      <c r="B531" s="391" t="n"/>
      <c r="C531" s="392" t="n"/>
      <c r="D531" s="434" t="n"/>
      <c r="E531" s="434" t="n"/>
      <c r="F531" s="394" t="n"/>
      <c r="G531" s="392" t="n"/>
      <c r="H531" s="392" t="n"/>
      <c r="I531" s="435" t="n"/>
      <c r="J531" s="435" t="n"/>
      <c r="K531" s="435" t="n"/>
      <c r="L531" s="435" t="n"/>
      <c r="M531" s="435" t="n"/>
      <c r="N531" s="435" t="n"/>
      <c r="O531" s="435" t="n"/>
      <c r="P531" s="435" t="n"/>
      <c r="Q531" s="435" t="n"/>
      <c r="R531" s="373" t="n"/>
      <c r="S531" s="373" t="n"/>
      <c r="T531" s="373" t="n"/>
      <c r="U531" s="373" t="n"/>
      <c r="V531" s="373" t="n"/>
      <c r="W531" s="373" t="n"/>
      <c r="X531" s="373" t="n"/>
    </row>
    <row r="532" ht="15.5" customHeight="1" s="297">
      <c r="B532" s="333" t="n">
        <v>45558</v>
      </c>
      <c r="C532" s="314" t="n">
        <v>5</v>
      </c>
      <c r="D532" s="326" t="inlineStr">
        <is>
          <t>Gocar St. Cepu, Kalog - Bojonegoro</t>
        </is>
      </c>
      <c r="E532" s="326" t="n"/>
      <c r="F532" s="323" t="n">
        <v>250000</v>
      </c>
      <c r="G532" s="314" t="inlineStr">
        <is>
          <t>IDR</t>
        </is>
      </c>
      <c r="H532" s="345" t="n">
        <v>1</v>
      </c>
      <c r="I532" s="320" t="n"/>
      <c r="J532" s="329" t="n">
        <v>250000</v>
      </c>
      <c r="K532" s="321" t="n"/>
      <c r="L532" s="321" t="n"/>
      <c r="M532" s="321" t="n"/>
      <c r="N532" s="319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33" t="n">
        <v>45561</v>
      </c>
      <c r="C533" s="314" t="n">
        <v>6</v>
      </c>
      <c r="D533" s="326" t="inlineStr">
        <is>
          <t>Taxi+Tol Gambir - Serpong</t>
        </is>
      </c>
      <c r="E533" s="326" t="n"/>
      <c r="F533" s="323" t="n">
        <v>240000</v>
      </c>
      <c r="G533" s="314" t="inlineStr">
        <is>
          <t>IDR</t>
        </is>
      </c>
      <c r="H533" s="345" t="n">
        <v>1</v>
      </c>
      <c r="I533" s="320" t="n"/>
      <c r="J533" s="329" t="n">
        <v>240000</v>
      </c>
      <c r="K533" s="321" t="n"/>
      <c r="L533" s="321" t="n"/>
      <c r="M533" s="319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81" t="n"/>
      <c r="C534" s="375" t="n"/>
      <c r="D534" s="382" t="inlineStr">
        <is>
          <t>ALFA Job JRK-095 (Jirak) - IBR</t>
        </is>
      </c>
      <c r="E534" s="436" t="n"/>
      <c r="F534" s="395" t="n"/>
      <c r="G534" s="375" t="n"/>
      <c r="H534" s="375" t="n"/>
      <c r="I534" s="377" t="n"/>
      <c r="J534" s="377" t="n"/>
      <c r="K534" s="377" t="n"/>
      <c r="L534" s="377" t="n"/>
      <c r="M534" s="377" t="n"/>
      <c r="N534" s="376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>
        <v>45563</v>
      </c>
      <c r="C535" s="314" t="n">
        <v>1</v>
      </c>
      <c r="D535" s="326" t="inlineStr">
        <is>
          <t>Hotel 21 Sept - 27 Sept 2024 (6 days)</t>
        </is>
      </c>
      <c r="E535" s="326" t="n"/>
      <c r="F535" s="323" t="n">
        <v>1680000</v>
      </c>
      <c r="G535" s="314" t="inlineStr">
        <is>
          <t>IDR</t>
        </is>
      </c>
      <c r="H535" s="345" t="n">
        <v>1</v>
      </c>
      <c r="I535" s="320" t="n"/>
      <c r="J535" s="329" t="n">
        <v>1680000</v>
      </c>
      <c r="K535" s="321" t="n"/>
      <c r="L535" s="321" t="n"/>
      <c r="M535" s="321" t="n"/>
      <c r="N535" s="319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85" t="n">
        <v>45563</v>
      </c>
      <c r="C536" s="386" t="n">
        <v>2</v>
      </c>
      <c r="D536" s="387" t="inlineStr">
        <is>
          <t>Laundry 20 Sept - 27 Sept 2024 (7days) @ Rp. 50000</t>
        </is>
      </c>
      <c r="E536" s="387" t="n"/>
      <c r="F536" s="338" t="n">
        <v>350000</v>
      </c>
      <c r="G536" s="314" t="inlineStr">
        <is>
          <t>IDR</t>
        </is>
      </c>
      <c r="H536" s="345" t="n">
        <v>1</v>
      </c>
      <c r="I536" s="396" t="n"/>
      <c r="J536" s="329" t="n">
        <v>350000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/>
      <c r="C537" s="314" t="n"/>
      <c r="D537" s="330" t="inlineStr">
        <is>
          <t>Accommodation</t>
        </is>
      </c>
      <c r="E537" s="413" t="n"/>
      <c r="F537" s="332" t="n"/>
      <c r="G537" s="314" t="n"/>
      <c r="H537" s="314" t="n"/>
      <c r="I537" s="319" t="n"/>
      <c r="J537" s="321" t="n"/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45563</v>
      </c>
      <c r="C538" s="314" t="n">
        <v>3</v>
      </c>
      <c r="D538" s="326" t="inlineStr">
        <is>
          <t>Field Allowance 20 Sept - 27 Sept 2024</t>
        </is>
      </c>
      <c r="E538" s="326" t="n"/>
      <c r="F538" s="334" t="n">
        <v>2668750</v>
      </c>
      <c r="G538" s="314" t="inlineStr">
        <is>
          <t>USD</t>
        </is>
      </c>
      <c r="H538" s="345" t="n">
        <v>15250</v>
      </c>
      <c r="I538" s="396" t="n"/>
      <c r="J538" s="329" t="n">
        <v>2668750</v>
      </c>
      <c r="K538" s="321" t="n"/>
      <c r="L538" s="321" t="n"/>
      <c r="M538" s="321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4</v>
      </c>
      <c r="D539" s="326" t="inlineStr">
        <is>
          <t>Meals 20 Sept - 27 Sept 2024 7 days</t>
        </is>
      </c>
      <c r="E539" s="326" t="n"/>
      <c r="F539" s="334" t="n">
        <v>1050000</v>
      </c>
      <c r="G539" s="314" t="inlineStr">
        <is>
          <t>IDR</t>
        </is>
      </c>
      <c r="H539" s="345" t="n">
        <v>1</v>
      </c>
      <c r="I539" s="320" t="n"/>
      <c r="J539" s="329" t="n">
        <v>1050000</v>
      </c>
      <c r="K539" s="321" t="n"/>
      <c r="L539" s="321" t="n"/>
      <c r="M539" s="321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/>
      <c r="C540" s="314" t="n"/>
      <c r="D540" s="330" t="inlineStr">
        <is>
          <t>Allowance</t>
        </is>
      </c>
      <c r="E540" s="413" t="n"/>
      <c r="F540" s="332" t="n"/>
      <c r="G540" s="314" t="n"/>
      <c r="H540" s="314" t="n"/>
      <c r="I540" s="321" t="n"/>
      <c r="J540" s="321" t="n"/>
      <c r="K540" s="321" t="n"/>
      <c r="L540" s="321" t="n"/>
      <c r="M540" s="321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21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16" t="inlineStr">
        <is>
          <t>Meal's + Soft Drink Crew</t>
        </is>
      </c>
      <c r="E545" s="31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16" t="inlineStr">
        <is>
          <t>Aqua 600 ML</t>
        </is>
      </c>
      <c r="E546" s="31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>
        <v>45563</v>
      </c>
      <c r="C547" s="314" t="n">
        <v>11</v>
      </c>
      <c r="D547" s="326" t="inlineStr">
        <is>
          <t>Meal's Crws + Ice Tea</t>
        </is>
      </c>
      <c r="E547" s="326" t="n"/>
      <c r="F547" s="334" t="n">
        <v>200000</v>
      </c>
      <c r="G547" s="314" t="inlineStr">
        <is>
          <t>IDR</t>
        </is>
      </c>
      <c r="H547" s="345" t="n">
        <v>1</v>
      </c>
      <c r="I547" s="319" t="n"/>
      <c r="J547" s="329" t="n">
        <v>200000</v>
      </c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/>
      <c r="C548" s="407" t="n"/>
      <c r="D548" s="330" t="inlineStr">
        <is>
          <t>Operation</t>
        </is>
      </c>
      <c r="E548" s="413" t="n"/>
      <c r="F548" s="332" t="n"/>
      <c r="G548" s="314" t="n"/>
      <c r="H548" s="314" t="n"/>
      <c r="I548" s="321" t="n"/>
      <c r="J548" s="321" t="n"/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26" t="inlineStr">
        <is>
          <t>Snack's Crew</t>
        </is>
      </c>
      <c r="E549" s="32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19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26" t="inlineStr">
        <is>
          <t>Meal's + Soft Drink Crew</t>
        </is>
      </c>
      <c r="E550" s="32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85" t="n">
        <v>45563</v>
      </c>
      <c r="C551" s="386" t="n">
        <v>14</v>
      </c>
      <c r="D551" s="387" t="inlineStr">
        <is>
          <t>Soft Drink</t>
        </is>
      </c>
      <c r="E551" s="387" t="n"/>
      <c r="F551" s="338" t="n">
        <v>110000</v>
      </c>
      <c r="G551" s="314" t="inlineStr">
        <is>
          <t>IDR</t>
        </is>
      </c>
      <c r="H551" s="345" t="n">
        <v>1</v>
      </c>
      <c r="I551" s="396" t="n"/>
      <c r="J551" s="329" t="n">
        <v>110000</v>
      </c>
      <c r="K551" s="321" t="n"/>
      <c r="L551" s="321" t="n"/>
      <c r="M551" s="321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/>
      <c r="C552" s="314" t="n"/>
      <c r="D552" s="315" t="inlineStr">
        <is>
          <t>Transportation</t>
        </is>
      </c>
      <c r="E552" s="366" t="n"/>
      <c r="F552" s="317" t="n"/>
      <c r="G552" s="316" t="n"/>
      <c r="H552" s="437" t="n"/>
      <c r="I552" s="319" t="n"/>
      <c r="J552" s="321" t="n"/>
      <c r="K552" s="321" t="n"/>
      <c r="L552" s="321" t="n"/>
      <c r="M552" s="321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90" t="n">
        <v>45563</v>
      </c>
      <c r="C553" s="314" t="n">
        <v>15</v>
      </c>
      <c r="D553" s="326" t="inlineStr">
        <is>
          <t>Black Coffe</t>
        </is>
      </c>
      <c r="E553" s="326" t="n"/>
      <c r="F553" s="323" t="n">
        <v>47000</v>
      </c>
      <c r="G553" s="316" t="inlineStr">
        <is>
          <t>IDR</t>
        </is>
      </c>
      <c r="H553" s="438" t="n">
        <v>1</v>
      </c>
      <c r="I553" s="319" t="n"/>
      <c r="J553" s="329" t="n">
        <v>47000</v>
      </c>
      <c r="K553" s="321" t="n"/>
      <c r="L553" s="321" t="n"/>
      <c r="M553" s="321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90" t="n">
        <v>45563</v>
      </c>
      <c r="C554" s="314" t="n">
        <v>16</v>
      </c>
      <c r="D554" s="326" t="inlineStr">
        <is>
          <t>Gasoline</t>
        </is>
      </c>
      <c r="E554" s="326" t="n"/>
      <c r="F554" s="323" t="n">
        <v>200000</v>
      </c>
      <c r="G554" s="316" t="inlineStr">
        <is>
          <t>IDR</t>
        </is>
      </c>
      <c r="H554" s="438" t="n">
        <v>1</v>
      </c>
      <c r="I554" s="319" t="n"/>
      <c r="J554" s="329" t="n">
        <v>200000</v>
      </c>
      <c r="K554" s="321" t="n"/>
      <c r="L554" s="321" t="n"/>
      <c r="M554" s="321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17</v>
      </c>
      <c r="D555" s="326" t="inlineStr">
        <is>
          <t>Gasoline</t>
        </is>
      </c>
      <c r="E555" s="326" t="n"/>
      <c r="F555" s="323" t="n">
        <v>215000</v>
      </c>
      <c r="G555" s="316" t="inlineStr">
        <is>
          <t>IDR</t>
        </is>
      </c>
      <c r="H555" s="438" t="n">
        <v>1</v>
      </c>
      <c r="I555" s="319" t="n"/>
      <c r="J555" s="329" t="n">
        <v>215000</v>
      </c>
      <c r="K555" s="321" t="n"/>
      <c r="L555" s="321" t="n"/>
      <c r="M555" s="321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idden="1" ht="15.5" customHeight="1" s="297">
      <c r="B556" s="391" t="n"/>
      <c r="C556" s="392" t="n"/>
      <c r="D556" s="393" t="n"/>
      <c r="E556" s="393" t="n"/>
      <c r="F556" s="394" t="n"/>
      <c r="G556" s="414" t="n"/>
      <c r="H556" s="439" t="n"/>
      <c r="I556" s="372" t="n"/>
      <c r="J556" s="374" t="n"/>
      <c r="K556" s="374" t="n"/>
      <c r="L556" s="374" t="n"/>
      <c r="M556" s="374" t="n"/>
      <c r="N556" s="374" t="n"/>
      <c r="O556" s="374" t="n"/>
      <c r="P556" s="374" t="n"/>
      <c r="Q556" s="374" t="n"/>
      <c r="R556" s="373" t="n"/>
      <c r="S556" s="373" t="n"/>
      <c r="T556" s="373" t="n"/>
      <c r="U556" s="373" t="n"/>
      <c r="V556" s="373" t="n"/>
      <c r="W556" s="373" t="n"/>
      <c r="X556" s="373" t="n"/>
    </row>
    <row r="557" ht="15.5" customHeight="1" s="297">
      <c r="B557" s="333" t="n">
        <v>45563</v>
      </c>
      <c r="C557" s="314" t="n">
        <v>18</v>
      </c>
      <c r="D557" s="326" t="inlineStr">
        <is>
          <t>Gasoline</t>
        </is>
      </c>
      <c r="E557" s="326" t="n"/>
      <c r="F557" s="323" t="n">
        <v>197000</v>
      </c>
      <c r="G557" s="316" t="inlineStr">
        <is>
          <t>IDR</t>
        </is>
      </c>
      <c r="H557" s="438" t="n">
        <v>1</v>
      </c>
      <c r="I557" s="396" t="n"/>
      <c r="J557" s="329" t="n">
        <v>197000</v>
      </c>
      <c r="K557" s="321" t="n"/>
      <c r="L557" s="321" t="n"/>
      <c r="M557" s="321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idden="1" ht="15.5" customHeight="1" s="297">
      <c r="B558" s="391" t="n"/>
      <c r="C558" s="392" t="n"/>
      <c r="D558" s="393" t="n"/>
      <c r="E558" s="393" t="n"/>
      <c r="F558" s="394" t="n"/>
      <c r="G558" s="414" t="n"/>
      <c r="H558" s="439" t="n"/>
      <c r="I558" s="374" t="n"/>
      <c r="J558" s="374" t="n"/>
      <c r="K558" s="374" t="n"/>
      <c r="L558" s="374" t="n"/>
      <c r="M558" s="374" t="n"/>
      <c r="N558" s="374" t="n"/>
      <c r="O558" s="374" t="n"/>
      <c r="P558" s="374" t="n"/>
      <c r="Q558" s="374" t="n"/>
      <c r="R558" s="373" t="n"/>
      <c r="S558" s="373" t="n"/>
      <c r="T558" s="373" t="n"/>
      <c r="U558" s="373" t="n"/>
      <c r="V558" s="373" t="n"/>
      <c r="W558" s="373" t="n"/>
      <c r="X558" s="373" t="n"/>
    </row>
    <row r="559" ht="15.5" customHeight="1" s="297">
      <c r="B559" s="333" t="n">
        <v>45563</v>
      </c>
      <c r="C559" s="314" t="n">
        <v>19</v>
      </c>
      <c r="D559" s="326" t="inlineStr">
        <is>
          <t>Gasoline</t>
        </is>
      </c>
      <c r="E559" s="326" t="n"/>
      <c r="F559" s="323" t="n">
        <v>200000</v>
      </c>
      <c r="G559" s="316" t="inlineStr">
        <is>
          <t>IDR</t>
        </is>
      </c>
      <c r="H559" s="438" t="n">
        <v>1</v>
      </c>
      <c r="I559" s="396" t="n"/>
      <c r="J559" s="329" t="n">
        <v>200000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idden="1" ht="15.5" customHeight="1" s="297">
      <c r="B560" s="391" t="n"/>
      <c r="C560" s="392" t="n"/>
      <c r="D560" s="393" t="n"/>
      <c r="E560" s="393" t="n"/>
      <c r="F560" s="394" t="n"/>
      <c r="G560" s="414" t="n"/>
      <c r="H560" s="439" t="n"/>
      <c r="I560" s="374" t="n"/>
      <c r="J560" s="374" t="n"/>
      <c r="K560" s="374" t="n"/>
      <c r="L560" s="374" t="n"/>
      <c r="M560" s="374" t="n"/>
      <c r="N560" s="374" t="n"/>
      <c r="O560" s="374" t="n"/>
      <c r="P560" s="374" t="n"/>
      <c r="Q560" s="374" t="n"/>
      <c r="R560" s="373" t="n"/>
      <c r="S560" s="373" t="n"/>
      <c r="T560" s="373" t="n"/>
      <c r="U560" s="373" t="n"/>
      <c r="V560" s="373" t="n"/>
      <c r="W560" s="373" t="n"/>
      <c r="X560" s="373" t="n"/>
    </row>
    <row r="561" ht="15.5" customHeight="1" s="297">
      <c r="B561" s="333" t="n">
        <v>45563</v>
      </c>
      <c r="C561" s="314" t="n">
        <v>20</v>
      </c>
      <c r="D561" s="405" t="inlineStr">
        <is>
          <t>Gasoline</t>
        </is>
      </c>
      <c r="E561" s="405" t="n"/>
      <c r="F561" s="323" t="n">
        <v>220000</v>
      </c>
      <c r="G561" s="316" t="inlineStr">
        <is>
          <t>IDR</t>
        </is>
      </c>
      <c r="H561" s="438" t="n">
        <v>1</v>
      </c>
      <c r="I561" s="396" t="n"/>
      <c r="J561" s="329" t="n">
        <v>220000</v>
      </c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A562" s="346" t="n"/>
      <c r="B562" s="381" t="n">
        <v>45563</v>
      </c>
      <c r="C562" s="375" t="n">
        <v>21</v>
      </c>
      <c r="D562" s="416" t="inlineStr">
        <is>
          <t>ALFA_JRK-095 well (PEPZ4-PEndopo field) SI jakarta _ AC</t>
        </is>
      </c>
      <c r="E562" s="440" t="n"/>
      <c r="F562" s="418" t="n">
        <v>112000</v>
      </c>
      <c r="G562" s="361" t="inlineStr">
        <is>
          <t>IDR</t>
        </is>
      </c>
      <c r="H562" s="441" t="n">
        <v>1</v>
      </c>
      <c r="I562" s="389" t="n"/>
      <c r="J562" s="412" t="n">
        <v>112000</v>
      </c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A563" s="346" t="n"/>
      <c r="B563" s="333" t="n">
        <v>45564</v>
      </c>
      <c r="C563" s="314" t="n">
        <v>1</v>
      </c>
      <c r="D563" s="405" t="inlineStr">
        <is>
          <t>Laundry 8 days @ 50K IDR/day</t>
        </is>
      </c>
      <c r="E563" s="405" t="n"/>
      <c r="F563" s="323" t="n">
        <v>400000</v>
      </c>
      <c r="G563" s="316" t="inlineStr">
        <is>
          <t>IDR</t>
        </is>
      </c>
      <c r="H563" s="438" t="n">
        <v>1</v>
      </c>
      <c r="I563" s="396" t="n"/>
      <c r="J563" s="329" t="n">
        <v>400000</v>
      </c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A564" s="346" t="n"/>
      <c r="B564" s="333" t="n">
        <v>45564</v>
      </c>
      <c r="C564" s="314" t="n">
        <v>2</v>
      </c>
      <c r="D564" s="405" t="inlineStr">
        <is>
          <t>Meals 8 days @ 150K IDR/day</t>
        </is>
      </c>
      <c r="E564" s="405" t="n"/>
      <c r="F564" s="323" t="n">
        <v>900000</v>
      </c>
      <c r="G564" s="316" t="inlineStr">
        <is>
          <t>IDR</t>
        </is>
      </c>
      <c r="H564" s="438" t="n">
        <v>1</v>
      </c>
      <c r="I564" s="396" t="n"/>
      <c r="J564" s="329" t="n">
        <v>900000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85" t="n">
        <v>45565</v>
      </c>
      <c r="C565" s="386" t="n">
        <v>3</v>
      </c>
      <c r="D565" s="387" t="inlineStr">
        <is>
          <t>Tunjangan lapaangan for 8 days- (job at JRK-095)</t>
        </is>
      </c>
      <c r="E565" s="387" t="n"/>
      <c r="F565" s="338" t="n">
        <v>12160000</v>
      </c>
      <c r="G565" s="314" t="inlineStr">
        <is>
          <t>USD</t>
        </is>
      </c>
      <c r="H565" s="345" t="n">
        <v>15200</v>
      </c>
      <c r="I565" s="319" t="n"/>
      <c r="J565" s="329" t="n">
        <v>12160000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30" t="inlineStr">
        <is>
          <t>Accommodation</t>
        </is>
      </c>
      <c r="E566" s="367" t="n"/>
      <c r="F566" s="332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45556</v>
      </c>
      <c r="C567" s="314" t="n">
        <v>4</v>
      </c>
      <c r="D567" s="326" t="inlineStr">
        <is>
          <t>Air ticket Anevril JKT-Palembang</t>
        </is>
      </c>
      <c r="E567" s="326" t="n"/>
      <c r="F567" s="334" t="n">
        <v>796800</v>
      </c>
      <c r="G567" s="314" t="inlineStr">
        <is>
          <t>IDR</t>
        </is>
      </c>
      <c r="H567" s="345" t="n">
        <v>1</v>
      </c>
      <c r="I567" s="319" t="n"/>
      <c r="J567" s="329" t="n">
        <v>796800</v>
      </c>
      <c r="K567" s="321" t="n"/>
      <c r="L567" s="321" t="n"/>
      <c r="M567" s="321" t="n"/>
      <c r="N567" s="321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45564</v>
      </c>
      <c r="C568" s="314" t="n">
        <v>5</v>
      </c>
      <c r="D568" s="326" t="inlineStr">
        <is>
          <t>Air ticket Anevril Palembang-JKT</t>
        </is>
      </c>
      <c r="E568" s="326" t="n"/>
      <c r="F568" s="334" t="n">
        <v>804500</v>
      </c>
      <c r="G568" s="314" t="inlineStr">
        <is>
          <t>IDR</t>
        </is>
      </c>
      <c r="H568" s="345" t="n">
        <v>1</v>
      </c>
      <c r="I568" s="320" t="n"/>
      <c r="J568" s="329" t="n">
        <v>804500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/>
      <c r="C569" s="314" t="n"/>
      <c r="D569" s="330" t="inlineStr">
        <is>
          <t>Allowance</t>
        </is>
      </c>
      <c r="E569" s="367" t="n"/>
      <c r="F569" s="332" t="n"/>
      <c r="G569" s="314" t="n"/>
      <c r="H569" s="314" t="n"/>
      <c r="I569" s="319" t="n"/>
      <c r="J569" s="321" t="n"/>
      <c r="K569" s="321" t="n"/>
      <c r="L569" s="321" t="n"/>
      <c r="M569" s="319" t="n"/>
      <c r="N569" s="321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>
        <v>45556</v>
      </c>
      <c r="C570" s="314" t="n">
        <v>6</v>
      </c>
      <c r="D570" s="326" t="inlineStr">
        <is>
          <t>Taxi Anevril Home - CGK Airport</t>
        </is>
      </c>
      <c r="E570" s="326" t="n"/>
      <c r="F570" s="334" t="n">
        <v>250000</v>
      </c>
      <c r="G570" s="314" t="inlineStr">
        <is>
          <t>IDR</t>
        </is>
      </c>
      <c r="H570" s="345" t="n">
        <v>1</v>
      </c>
      <c r="I570" s="319" t="n"/>
      <c r="J570" s="329" t="n">
        <v>250000</v>
      </c>
      <c r="K570" s="321" t="n"/>
      <c r="L570" s="321" t="n"/>
      <c r="M570" s="319" t="n"/>
      <c r="N570" s="321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33" t="n">
        <v>45564</v>
      </c>
      <c r="C571" s="314" t="n">
        <v>7</v>
      </c>
      <c r="D571" s="326" t="inlineStr">
        <is>
          <t>Taxi Anevril CGK Airport - Home</t>
        </is>
      </c>
      <c r="E571" s="326" t="n"/>
      <c r="F571" s="334" t="n">
        <v>250000</v>
      </c>
      <c r="G571" s="314" t="inlineStr">
        <is>
          <t>IDR</t>
        </is>
      </c>
      <c r="H571" s="345" t="n">
        <v>1</v>
      </c>
      <c r="I571" s="319" t="n"/>
      <c r="J571" s="329" t="n">
        <v>250000</v>
      </c>
      <c r="K571" s="321" t="n"/>
      <c r="L571" s="321" t="n"/>
      <c r="M571" s="319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333" t="n">
        <v>45564</v>
      </c>
      <c r="C572" s="314" t="n">
        <v>8</v>
      </c>
      <c r="D572" s="326" t="inlineStr">
        <is>
          <t>Sewa mobil 8 hari (21/09/24 - 29/09/24)</t>
        </is>
      </c>
      <c r="E572" s="326" t="n"/>
      <c r="F572" s="334" t="n">
        <v>4000000</v>
      </c>
      <c r="G572" s="314" t="inlineStr">
        <is>
          <t>IDR</t>
        </is>
      </c>
      <c r="H572" s="345" t="n">
        <v>1</v>
      </c>
      <c r="I572" s="319" t="n"/>
      <c r="J572" s="329" t="n">
        <v>4000000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68" t="n"/>
      <c r="C573" s="369" t="n"/>
      <c r="D573" s="378" t="n"/>
      <c r="E573" s="378" t="n"/>
      <c r="F573" s="371" t="n"/>
      <c r="G573" s="369" t="n"/>
      <c r="H573" s="369" t="n"/>
      <c r="I573" s="380" t="n"/>
      <c r="J573" s="374" t="n"/>
      <c r="K573" s="374" t="n"/>
      <c r="L573" s="374" t="n"/>
      <c r="M573" s="374" t="n"/>
      <c r="N573" s="380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idden="1" ht="15.5" customHeight="1" s="297">
      <c r="B574" s="368" t="n"/>
      <c r="C574" s="369" t="n"/>
      <c r="D574" s="378" t="n"/>
      <c r="E574" s="378" t="n"/>
      <c r="F574" s="371" t="n"/>
      <c r="G574" s="369" t="n"/>
      <c r="H574" s="369" t="n"/>
      <c r="I574" s="380" t="n"/>
      <c r="J574" s="374" t="n"/>
      <c r="K574" s="374" t="n"/>
      <c r="L574" s="374" t="n"/>
      <c r="M574" s="374" t="n"/>
      <c r="N574" s="374" t="n"/>
      <c r="O574" s="374" t="n"/>
      <c r="P574" s="374" t="n"/>
      <c r="Q574" s="374" t="n"/>
      <c r="R574" s="373" t="n"/>
      <c r="S574" s="373" t="n"/>
      <c r="T574" s="373" t="n"/>
      <c r="U574" s="373" t="n"/>
      <c r="V574" s="373" t="n"/>
      <c r="W574" s="373" t="n"/>
      <c r="X574" s="373" t="n"/>
    </row>
    <row r="575" hidden="1" ht="15.5" customHeight="1" s="297">
      <c r="B575" s="368" t="n"/>
      <c r="C575" s="369" t="n"/>
      <c r="D575" s="378" t="n"/>
      <c r="E575" s="378" t="n"/>
      <c r="F575" s="371" t="n"/>
      <c r="G575" s="369" t="n"/>
      <c r="H575" s="369" t="n"/>
      <c r="I575" s="380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idden="1" ht="15.5" customHeight="1" s="297">
      <c r="B576" s="368" t="n"/>
      <c r="C576" s="369" t="n"/>
      <c r="D576" s="378" t="n"/>
      <c r="E576" s="378" t="n"/>
      <c r="F576" s="371" t="n"/>
      <c r="G576" s="369" t="n"/>
      <c r="H576" s="369" t="n"/>
      <c r="I576" s="380" t="n"/>
      <c r="J576" s="374" t="n"/>
      <c r="K576" s="374" t="n"/>
      <c r="L576" s="374" t="n"/>
      <c r="M576" s="374" t="n"/>
      <c r="N576" s="374" t="n"/>
      <c r="O576" s="374" t="n"/>
      <c r="P576" s="374" t="n"/>
      <c r="Q576" s="374" t="n"/>
      <c r="R576" s="373" t="n"/>
      <c r="S576" s="373" t="n"/>
      <c r="T576" s="373" t="n"/>
      <c r="U576" s="373" t="n"/>
      <c r="V576" s="373" t="n"/>
      <c r="W576" s="373" t="n"/>
      <c r="X576" s="373" t="n"/>
    </row>
    <row r="577" ht="15.5" customHeight="1" s="297">
      <c r="A577" s="346" t="n"/>
      <c r="B577" s="381" t="n"/>
      <c r="C577" s="375" t="n"/>
      <c r="D577" s="382" t="inlineStr">
        <is>
          <t>Trip to Cirebon Meeting MTD job X-ray field with PEP Zona 7 Region2_AC</t>
        </is>
      </c>
      <c r="E577" s="383" t="n"/>
      <c r="F577" s="384" t="n"/>
      <c r="G577" s="375" t="n"/>
      <c r="H577" s="375" t="n"/>
      <c r="I577" s="376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>
        <v>45552</v>
      </c>
      <c r="C578" s="314" t="n">
        <v>1</v>
      </c>
      <c r="D578" s="326" t="inlineStr">
        <is>
          <t>Hotel</t>
        </is>
      </c>
      <c r="E578" s="326" t="n"/>
      <c r="F578" s="334" t="n">
        <v>700000</v>
      </c>
      <c r="G578" s="314" t="inlineStr">
        <is>
          <t>IDR</t>
        </is>
      </c>
      <c r="H578" s="345" t="n">
        <v>1</v>
      </c>
      <c r="I578" s="319" t="n"/>
      <c r="J578" s="329" t="n">
        <v>700000</v>
      </c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/>
      <c r="C579" s="314" t="n"/>
      <c r="D579" s="330" t="inlineStr">
        <is>
          <t>Accommodation</t>
        </is>
      </c>
      <c r="E579" s="367" t="n"/>
      <c r="F579" s="332" t="n"/>
      <c r="G579" s="314" t="n"/>
      <c r="H579" s="314" t="n"/>
      <c r="I579" s="320" t="n"/>
      <c r="J579" s="321" t="n"/>
      <c r="K579" s="321" t="n"/>
      <c r="L579" s="321" t="n"/>
      <c r="M579" s="321" t="n"/>
      <c r="N579" s="321" t="n"/>
      <c r="O579" s="321" t="n"/>
      <c r="P579" s="321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45553</v>
      </c>
      <c r="C580" s="314" t="n">
        <v>2</v>
      </c>
      <c r="D580" s="316" t="inlineStr">
        <is>
          <t>Loundry 2 days @Rp. 50.000</t>
        </is>
      </c>
      <c r="E580" s="316" t="n"/>
      <c r="F580" s="334" t="n">
        <v>100000</v>
      </c>
      <c r="G580" s="314" t="inlineStr">
        <is>
          <t>IDR</t>
        </is>
      </c>
      <c r="H580" s="345" t="n">
        <v>1</v>
      </c>
      <c r="I580" s="320" t="n"/>
      <c r="J580" s="329" t="n">
        <v>100000</v>
      </c>
      <c r="K580" s="321" t="n"/>
      <c r="L580" s="321" t="n"/>
      <c r="M580" s="321" t="n"/>
      <c r="N580" s="321" t="n"/>
      <c r="O580" s="321" t="n"/>
      <c r="P580" s="321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33" t="n">
        <v>45546</v>
      </c>
      <c r="C581" s="314" t="n">
        <v>3</v>
      </c>
      <c r="D581" s="316" t="inlineStr">
        <is>
          <t>lunch when check MTD tool at workshop Gowell</t>
        </is>
      </c>
      <c r="E581" s="316" t="n"/>
      <c r="F581" s="334" t="n">
        <v>171000</v>
      </c>
      <c r="G581" s="314" t="inlineStr">
        <is>
          <t>IDR</t>
        </is>
      </c>
      <c r="H581" s="345" t="n">
        <v>1</v>
      </c>
      <c r="I581" s="320" t="n"/>
      <c r="J581" s="329" t="n">
        <v>171000</v>
      </c>
      <c r="K581" s="321" t="n"/>
      <c r="L581" s="321" t="n"/>
      <c r="M581" s="321" t="n"/>
      <c r="N581" s="321" t="n"/>
      <c r="O581" s="321" t="n"/>
      <c r="P581" s="321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45553</v>
      </c>
      <c r="C582" s="314" t="n">
        <v>4</v>
      </c>
      <c r="D582" s="316" t="inlineStr">
        <is>
          <t>Uang makan utk 3 hari (17-18 Sept-24) @150.000</t>
        </is>
      </c>
      <c r="E582" s="316" t="n"/>
      <c r="F582" s="334" t="n">
        <v>300000</v>
      </c>
      <c r="G582" s="314" t="inlineStr">
        <is>
          <t>IDR</t>
        </is>
      </c>
      <c r="H582" s="345" t="n">
        <v>1</v>
      </c>
      <c r="I582" s="320" t="n"/>
      <c r="J582" s="329" t="n">
        <v>300000</v>
      </c>
      <c r="K582" s="321" t="n"/>
      <c r="L582" s="321" t="n"/>
      <c r="M582" s="321" t="n"/>
      <c r="N582" s="321" t="n"/>
      <c r="O582" s="321" t="n"/>
      <c r="P582" s="321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33" t="n">
        <v>45526</v>
      </c>
      <c r="C583" s="314" t="n">
        <v>5</v>
      </c>
      <c r="D583" s="316" t="inlineStr">
        <is>
          <t>Fuel ( trip modified tool Sampler to Mr suby)</t>
        </is>
      </c>
      <c r="E583" s="316" t="n"/>
      <c r="F583" s="334" t="n">
        <v>274000</v>
      </c>
      <c r="G583" s="314" t="inlineStr">
        <is>
          <t>IDR</t>
        </is>
      </c>
      <c r="H583" s="345" t="n">
        <v>1</v>
      </c>
      <c r="I583" s="320" t="n"/>
      <c r="J583" s="329" t="n">
        <v>274000</v>
      </c>
      <c r="K583" s="321" t="n"/>
      <c r="L583" s="321" t="n"/>
      <c r="M583" s="319" t="n"/>
      <c r="N583" s="321" t="n"/>
      <c r="O583" s="321" t="n"/>
      <c r="P583" s="321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33" t="n">
        <v>45544</v>
      </c>
      <c r="C584" s="314" t="n">
        <v>6</v>
      </c>
      <c r="D584" s="316" t="inlineStr">
        <is>
          <t>Gocar ( trip Bintaro - Instrutek solusindo)</t>
        </is>
      </c>
      <c r="E584" s="316" t="n"/>
      <c r="F584" s="334" t="n">
        <v>144500</v>
      </c>
      <c r="G584" s="314" t="inlineStr">
        <is>
          <t>IDR</t>
        </is>
      </c>
      <c r="H584" s="345" t="n">
        <v>1</v>
      </c>
      <c r="I584" s="320" t="n"/>
      <c r="J584" s="329" t="n">
        <v>144500</v>
      </c>
      <c r="K584" s="321" t="n"/>
      <c r="L584" s="321" t="n"/>
      <c r="M584" s="320" t="n"/>
      <c r="N584" s="321" t="n"/>
      <c r="O584" s="321" t="n"/>
      <c r="P584" s="321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33" t="n">
        <v>45544</v>
      </c>
      <c r="C585" s="314" t="n">
        <v>7</v>
      </c>
      <c r="D585" s="316" t="inlineStr">
        <is>
          <t>Gocar ( trip Instrutek solusindo - Bintaro)</t>
        </is>
      </c>
      <c r="E585" s="316" t="n"/>
      <c r="F585" s="334" t="n">
        <v>160000</v>
      </c>
      <c r="G585" s="314" t="inlineStr">
        <is>
          <t>IDR</t>
        </is>
      </c>
      <c r="H585" s="345" t="n">
        <v>1</v>
      </c>
      <c r="I585" s="320" t="n"/>
      <c r="J585" s="329" t="n">
        <v>160000</v>
      </c>
      <c r="K585" s="321" t="n"/>
      <c r="L585" s="321" t="n"/>
      <c r="M585" s="319" t="n"/>
      <c r="N585" s="321" t="n"/>
      <c r="O585" s="321" t="n"/>
      <c r="P585" s="321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33" t="n">
        <v>45545</v>
      </c>
      <c r="C586" s="314" t="n">
        <v>8</v>
      </c>
      <c r="D586" s="316" t="inlineStr">
        <is>
          <t>Fuel ( trip to Sclumberger Cikaranga,SIT seeting tool )</t>
        </is>
      </c>
      <c r="E586" s="316" t="n"/>
      <c r="F586" s="334" t="n">
        <v>232500</v>
      </c>
      <c r="G586" s="314" t="inlineStr">
        <is>
          <t>IDR</t>
        </is>
      </c>
      <c r="H586" s="345" t="n">
        <v>1</v>
      </c>
      <c r="I586" s="320" t="n"/>
      <c r="J586" s="329" t="n">
        <v>232500</v>
      </c>
      <c r="K586" s="321" t="n"/>
      <c r="L586" s="321" t="n"/>
      <c r="M586" s="319" t="n"/>
      <c r="N586" s="321" t="n"/>
      <c r="O586" s="321" t="n"/>
      <c r="P586" s="321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33" t="n">
        <v>45548</v>
      </c>
      <c r="C587" s="314" t="n">
        <v>9</v>
      </c>
      <c r="D587" s="316" t="inlineStr">
        <is>
          <t>Fuel ( trip to workshop Gowell &amp; ktr Pajak)</t>
        </is>
      </c>
      <c r="E587" s="316" t="n"/>
      <c r="F587" s="334" t="n">
        <v>256800</v>
      </c>
      <c r="G587" s="314" t="inlineStr">
        <is>
          <t>IDR</t>
        </is>
      </c>
      <c r="H587" s="345" t="n">
        <v>1</v>
      </c>
      <c r="I587" s="320" t="n"/>
      <c r="J587" s="329" t="n">
        <v>256800</v>
      </c>
      <c r="K587" s="321" t="n"/>
      <c r="L587" s="321" t="n"/>
      <c r="M587" s="320" t="n"/>
      <c r="N587" s="321" t="n"/>
      <c r="O587" s="321" t="n"/>
      <c r="P587" s="321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33" t="n">
        <v>45544</v>
      </c>
      <c r="C588" s="314" t="n">
        <v>10</v>
      </c>
      <c r="D588" s="316" t="inlineStr">
        <is>
          <t>Tol ( trip Bintaro - Instrutek solusindo) No reciept</t>
        </is>
      </c>
      <c r="E588" s="316" t="n"/>
      <c r="F588" s="334" t="n">
        <v>64500</v>
      </c>
      <c r="G588" s="314" t="inlineStr">
        <is>
          <t>IDR</t>
        </is>
      </c>
      <c r="H588" s="345" t="n">
        <v>1</v>
      </c>
      <c r="I588" s="320" t="n"/>
      <c r="J588" s="329" t="n">
        <v>64500</v>
      </c>
      <c r="K588" s="321" t="n"/>
      <c r="L588" s="321" t="n"/>
      <c r="M588" s="319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33" t="n">
        <v>45544</v>
      </c>
      <c r="C589" s="314" t="n">
        <v>11</v>
      </c>
      <c r="D589" s="316" t="inlineStr">
        <is>
          <t>Tol ( trip Instrutek solusindo - Bintaro) No Reciept</t>
        </is>
      </c>
      <c r="E589" s="316" t="n"/>
      <c r="F589" s="334" t="n">
        <v>64500</v>
      </c>
      <c r="G589" s="314" t="inlineStr">
        <is>
          <t>IDR</t>
        </is>
      </c>
      <c r="H589" s="345" t="n">
        <v>1</v>
      </c>
      <c r="I589" s="320" t="n"/>
      <c r="J589" s="329" t="n">
        <v>64500</v>
      </c>
      <c r="K589" s="321" t="n"/>
      <c r="L589" s="321" t="n"/>
      <c r="M589" s="319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45545</v>
      </c>
      <c r="C590" s="314" t="n">
        <v>12</v>
      </c>
      <c r="D590" s="316" t="inlineStr">
        <is>
          <t>tol (Bintaro - Cikarang)</t>
        </is>
      </c>
      <c r="E590" s="316" t="n"/>
      <c r="F590" s="334" t="n">
        <v>112500</v>
      </c>
      <c r="G590" s="314" t="inlineStr">
        <is>
          <t>IDR</t>
        </is>
      </c>
      <c r="H590" s="345" t="n">
        <v>1</v>
      </c>
      <c r="I590" s="320" t="n"/>
      <c r="J590" s="329" t="n">
        <v>112500</v>
      </c>
      <c r="K590" s="321" t="n"/>
      <c r="L590" s="321" t="n"/>
      <c r="M590" s="320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/>
      <c r="C591" s="407" t="n"/>
      <c r="D591" s="330" t="inlineStr">
        <is>
          <t>Meal</t>
        </is>
      </c>
      <c r="E591" s="367" t="n"/>
      <c r="F591" s="332" t="n"/>
      <c r="G591" s="314" t="n"/>
      <c r="H591" s="314" t="n"/>
      <c r="I591" s="321" t="n"/>
      <c r="J591" s="321" t="n"/>
      <c r="K591" s="321" t="n"/>
      <c r="L591" s="321" t="n"/>
      <c r="M591" s="319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407" t="n">
        <v>13</v>
      </c>
      <c r="D592" s="326" t="inlineStr">
        <is>
          <t>tol (Cikarang - Bekasi -Bintaro)</t>
        </is>
      </c>
      <c r="E592" s="326" t="n"/>
      <c r="F592" s="334" t="n">
        <v>50500</v>
      </c>
      <c r="G592" s="314" t="inlineStr">
        <is>
          <t>IDR</t>
        </is>
      </c>
      <c r="H592" s="345" t="n">
        <v>1</v>
      </c>
      <c r="I592" s="320" t="n"/>
      <c r="J592" s="329" t="n">
        <v>50500</v>
      </c>
      <c r="K592" s="321" t="n"/>
      <c r="L592" s="321" t="n"/>
      <c r="M592" s="320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34" t="n">
        <v>59000</v>
      </c>
      <c r="G593" s="314" t="inlineStr">
        <is>
          <t>IDR</t>
        </is>
      </c>
      <c r="H593" s="345" t="n">
        <v>1</v>
      </c>
      <c r="I593" s="320" t="n"/>
      <c r="J593" s="329" t="n">
        <v>59000</v>
      </c>
      <c r="K593" s="321" t="n"/>
      <c r="L593" s="321" t="n"/>
      <c r="M593" s="319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85" t="n">
        <v>45552</v>
      </c>
      <c r="C594" s="386" t="n">
        <v>15</v>
      </c>
      <c r="D594" s="387" t="inlineStr">
        <is>
          <t>Tol  Jakarta - Cirebon</t>
        </is>
      </c>
      <c r="E594" s="387" t="n"/>
      <c r="F594" s="338" t="n">
        <v>245000</v>
      </c>
      <c r="G594" s="314" t="inlineStr">
        <is>
          <t>IDR</t>
        </is>
      </c>
      <c r="H594" s="345" t="n">
        <v>1</v>
      </c>
      <c r="I594" s="321" t="n"/>
      <c r="J594" s="329" t="n">
        <v>245000</v>
      </c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13" t="n"/>
      <c r="C595" s="314" t="n"/>
      <c r="D595" s="315" t="inlineStr">
        <is>
          <t>Transportation</t>
        </is>
      </c>
      <c r="E595" s="366" t="n"/>
      <c r="F595" s="317" t="n"/>
      <c r="G595" s="314" t="n"/>
      <c r="H595" s="314" t="n"/>
      <c r="I595" s="321" t="n"/>
      <c r="J595" s="321" t="n"/>
      <c r="K595" s="321" t="n"/>
      <c r="L595" s="321" t="n"/>
      <c r="M595" s="321" t="n"/>
      <c r="N595" s="321" t="n"/>
      <c r="O595" s="321" t="n"/>
      <c r="P595" s="321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16" t="inlineStr">
        <is>
          <t>Fuel</t>
        </is>
      </c>
      <c r="E596" s="316" t="n"/>
      <c r="F596" s="323" t="n">
        <v>180000</v>
      </c>
      <c r="G596" s="314" t="inlineStr">
        <is>
          <t>IDR</t>
        </is>
      </c>
      <c r="H596" s="345" t="n">
        <v>1</v>
      </c>
      <c r="I596" s="319" t="n"/>
      <c r="J596" s="329" t="n">
        <v>180000</v>
      </c>
      <c r="K596" s="321" t="n"/>
      <c r="L596" s="321" t="n"/>
      <c r="M596" s="321" t="n"/>
      <c r="N596" s="321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>
        <v>45553</v>
      </c>
      <c r="C597" s="314" t="n">
        <v>17</v>
      </c>
      <c r="D597" s="316" t="inlineStr">
        <is>
          <t>Tol  Cirebon - Jakarta</t>
        </is>
      </c>
      <c r="E597" s="316" t="n"/>
      <c r="F597" s="323" t="n">
        <v>166000</v>
      </c>
      <c r="G597" s="314" t="inlineStr">
        <is>
          <t>IDR</t>
        </is>
      </c>
      <c r="H597" s="345" t="n">
        <v>1</v>
      </c>
      <c r="I597" s="319" t="n"/>
      <c r="J597" s="329" t="n">
        <v>166000</v>
      </c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33" t="n"/>
      <c r="C598" s="314" t="n"/>
      <c r="D598" s="315" t="inlineStr">
        <is>
          <t>Trip</t>
        </is>
      </c>
      <c r="E598" s="366" t="n"/>
      <c r="F598" s="317" t="n"/>
      <c r="G598" s="314" t="n"/>
      <c r="H598" s="314" t="n"/>
      <c r="I598" s="319" t="n"/>
      <c r="J598" s="321" t="n"/>
      <c r="K598" s="321" t="n"/>
      <c r="L598" s="321" t="n"/>
      <c r="M598" s="321" t="n"/>
      <c r="N598" s="321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4" t="inlineStr">
        <is>
          <t>IDR</t>
        </is>
      </c>
      <c r="H599" s="345" t="n">
        <v>1</v>
      </c>
      <c r="I599" s="319" t="n"/>
      <c r="J599" s="329" t="n">
        <v>222650</v>
      </c>
      <c r="K599" s="321" t="n"/>
      <c r="L599" s="321" t="n"/>
      <c r="M599" s="321" t="n"/>
      <c r="N599" s="319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81" t="n">
        <v>45564</v>
      </c>
      <c r="C600" s="375" t="n">
        <v>4</v>
      </c>
      <c r="D600" s="382" t="inlineStr">
        <is>
          <t>Non project (follow up MCU concul &amp; inspection tool)_AC_ 2 nd</t>
        </is>
      </c>
      <c r="E600" s="383" t="n"/>
      <c r="F600" s="395" t="n">
        <v>250000</v>
      </c>
      <c r="G600" s="375" t="inlineStr">
        <is>
          <t>IDR</t>
        </is>
      </c>
      <c r="H600" s="375" t="n">
        <v>1</v>
      </c>
      <c r="I600" s="376">
        <f>$H551*$F551</f>
        <v/>
      </c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33" t="n">
        <v>45530</v>
      </c>
      <c r="C601" s="314" t="n">
        <v>1</v>
      </c>
      <c r="D601" s="326" t="inlineStr">
        <is>
          <t>Biaya Konsul Dokter Penyakit dalam</t>
        </is>
      </c>
      <c r="E601" s="326" t="n"/>
      <c r="F601" s="323" t="n">
        <v>854100</v>
      </c>
      <c r="G601" s="314" t="inlineStr">
        <is>
          <t>IDR</t>
        </is>
      </c>
      <c r="H601" s="345" t="n">
        <v>1</v>
      </c>
      <c r="I601" s="319" t="n"/>
      <c r="J601" s="321" t="n"/>
      <c r="K601" s="321" t="n"/>
      <c r="L601" s="321" t="n"/>
      <c r="M601" s="321" t="n"/>
      <c r="N601" s="319" t="n"/>
      <c r="O601" s="321" t="n"/>
      <c r="P601" s="329" t="n">
        <v>854100</v>
      </c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33" t="n"/>
      <c r="C602" s="314" t="n"/>
      <c r="D602" s="330" t="inlineStr">
        <is>
          <t>Medical</t>
        </is>
      </c>
      <c r="E602" s="413" t="n"/>
      <c r="F602" s="317" t="n"/>
      <c r="G602" s="314" t="n"/>
      <c r="H602" s="314" t="n"/>
      <c r="I602" s="319" t="n"/>
      <c r="J602" s="321" t="n"/>
      <c r="K602" s="321" t="n"/>
      <c r="L602" s="321" t="n"/>
      <c r="M602" s="321" t="n"/>
      <c r="N602" s="319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33" t="n"/>
      <c r="C603" s="314" t="n"/>
      <c r="D603" s="330" t="inlineStr">
        <is>
          <t>Shipping</t>
        </is>
      </c>
      <c r="E603" s="367" t="n"/>
      <c r="F603" s="317" t="n"/>
      <c r="G603" s="314" t="n"/>
      <c r="H603" s="314" t="n"/>
      <c r="I603" s="319" t="n"/>
      <c r="J603" s="321" t="n"/>
      <c r="K603" s="321" t="n"/>
      <c r="L603" s="321" t="n"/>
      <c r="M603" s="321" t="n"/>
      <c r="N603" s="319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33" t="n">
        <v>45532</v>
      </c>
      <c r="C604" s="314" t="n">
        <v>2</v>
      </c>
      <c r="D604" s="326" t="inlineStr">
        <is>
          <t>Fisioterapi 1st</t>
        </is>
      </c>
      <c r="E604" s="326" t="n"/>
      <c r="F604" s="323" t="n">
        <v>285000</v>
      </c>
      <c r="G604" s="314" t="inlineStr">
        <is>
          <t>IDR</t>
        </is>
      </c>
      <c r="H604" s="345" t="n">
        <v>1</v>
      </c>
      <c r="I604" s="319" t="n"/>
      <c r="J604" s="321" t="n"/>
      <c r="K604" s="321" t="n"/>
      <c r="L604" s="321" t="n"/>
      <c r="M604" s="321" t="n"/>
      <c r="N604" s="319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idden="1" ht="15.5" customHeight="1" s="297">
      <c r="B605" s="391" t="n"/>
      <c r="C605" s="392" t="n"/>
      <c r="D605" s="393" t="n"/>
      <c r="E605" s="393" t="n"/>
      <c r="F605" s="394" t="n"/>
      <c r="G605" s="392" t="n"/>
      <c r="H605" s="392" t="n"/>
      <c r="I605" s="374" t="n"/>
      <c r="J605" s="374" t="n"/>
      <c r="K605" s="374" t="n"/>
      <c r="L605" s="374" t="n"/>
      <c r="M605" s="374" t="n"/>
      <c r="N605" s="374" t="n"/>
      <c r="O605" s="374" t="n"/>
      <c r="P605" s="374" t="n"/>
      <c r="Q605" s="374" t="n"/>
      <c r="R605" s="373" t="n"/>
      <c r="S605" s="373" t="n"/>
      <c r="T605" s="373" t="n"/>
      <c r="U605" s="373" t="n"/>
      <c r="V605" s="373" t="n"/>
      <c r="W605" s="373" t="n"/>
      <c r="X605" s="373" t="n"/>
    </row>
    <row r="606" ht="15.5" customHeight="1" s="297">
      <c r="B606" s="333" t="n">
        <v>45533</v>
      </c>
      <c r="C606" s="314" t="n">
        <v>3</v>
      </c>
      <c r="D606" s="326" t="inlineStr">
        <is>
          <t>Fisioterapi 2nd</t>
        </is>
      </c>
      <c r="E606" s="326" t="n"/>
      <c r="F606" s="323" t="n">
        <v>285000</v>
      </c>
      <c r="G606" s="314" t="inlineStr">
        <is>
          <t>IDR</t>
        </is>
      </c>
      <c r="H606" s="345" t="n">
        <v>1</v>
      </c>
      <c r="I606" s="320" t="n"/>
      <c r="J606" s="321" t="n"/>
      <c r="K606" s="321" t="n"/>
      <c r="L606" s="321" t="n"/>
      <c r="M606" s="319" t="n"/>
      <c r="N606" s="321" t="n"/>
      <c r="O606" s="321" t="n"/>
      <c r="P606" s="329" t="n">
        <v>285000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idden="1" ht="15.5" customHeight="1" s="297">
      <c r="B607" s="391" t="n"/>
      <c r="C607" s="392" t="n"/>
      <c r="D607" s="393" t="n"/>
      <c r="E607" s="393" t="n"/>
      <c r="F607" s="394" t="n"/>
      <c r="G607" s="392" t="n"/>
      <c r="H607" s="392" t="n"/>
      <c r="I607" s="374" t="n"/>
      <c r="J607" s="374" t="n"/>
      <c r="K607" s="374" t="n"/>
      <c r="L607" s="374" t="n"/>
      <c r="M607" s="374" t="n"/>
      <c r="N607" s="374" t="n"/>
      <c r="O607" s="374" t="n"/>
      <c r="P607" s="374" t="n"/>
      <c r="Q607" s="374" t="n"/>
      <c r="R607" s="373" t="n"/>
      <c r="S607" s="373" t="n"/>
      <c r="T607" s="373" t="n"/>
      <c r="U607" s="373" t="n"/>
      <c r="V607" s="373" t="n"/>
      <c r="W607" s="373" t="n"/>
      <c r="X607" s="373" t="n"/>
    </row>
    <row r="608" ht="15.5" customHeight="1" s="297">
      <c r="B608" s="333" t="n">
        <v>45534</v>
      </c>
      <c r="C608" s="314" t="n">
        <v>4</v>
      </c>
      <c r="D608" s="326" t="inlineStr">
        <is>
          <t>Fisioterapi 3rd</t>
        </is>
      </c>
      <c r="E608" s="326" t="n"/>
      <c r="F608" s="323" t="n">
        <v>285000</v>
      </c>
      <c r="G608" s="314" t="inlineStr">
        <is>
          <t>IDR</t>
        </is>
      </c>
      <c r="H608" s="345" t="n">
        <v>1</v>
      </c>
      <c r="I608" s="396" t="n"/>
      <c r="J608" s="321" t="n"/>
      <c r="K608" s="321" t="n"/>
      <c r="L608" s="321" t="n"/>
      <c r="M608" s="321" t="n"/>
      <c r="N608" s="321" t="n"/>
      <c r="O608" s="321" t="n"/>
      <c r="P608" s="329" t="n">
        <v>285000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85" t="n">
        <v>45537</v>
      </c>
      <c r="C609" s="386" t="n">
        <v>5</v>
      </c>
      <c r="D609" s="387" t="inlineStr">
        <is>
          <t>Biaya Konsul Dokter Syaraf</t>
        </is>
      </c>
      <c r="E609" s="387" t="n"/>
      <c r="F609" s="338" t="n">
        <v>2906650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2906650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idden="1" ht="15.5" customHeight="1" s="297">
      <c r="B610" s="391" t="n"/>
      <c r="C610" s="392" t="n"/>
      <c r="D610" s="393" t="n"/>
      <c r="E610" s="393" t="n"/>
      <c r="F610" s="394" t="n"/>
      <c r="G610" s="414" t="n"/>
      <c r="H610" s="414" t="n"/>
      <c r="I610" s="374" t="n"/>
      <c r="J610" s="374" t="n"/>
      <c r="K610" s="374" t="n"/>
      <c r="L610" s="374" t="n"/>
      <c r="M610" s="374" t="n"/>
      <c r="N610" s="374" t="n"/>
      <c r="O610" s="374" t="n"/>
      <c r="P610" s="374" t="n"/>
      <c r="Q610" s="374" t="n"/>
      <c r="R610" s="373" t="n"/>
      <c r="S610" s="373" t="n"/>
      <c r="T610" s="373" t="n"/>
      <c r="U610" s="373" t="n"/>
      <c r="V610" s="373" t="n"/>
      <c r="W610" s="373" t="n"/>
      <c r="X610" s="373" t="n"/>
    </row>
    <row r="611" ht="15.5" customHeight="1" s="297">
      <c r="B611" s="313" t="n">
        <v>45528</v>
      </c>
      <c r="C611" s="314" t="n">
        <v>6</v>
      </c>
      <c r="D611" s="326" t="inlineStr">
        <is>
          <t>Medicine</t>
        </is>
      </c>
      <c r="E611" s="326" t="n"/>
      <c r="F611" s="323" t="n">
        <v>36000</v>
      </c>
      <c r="G611" s="316" t="inlineStr">
        <is>
          <t>IDR</t>
        </is>
      </c>
      <c r="H611" s="399" t="n">
        <v>1</v>
      </c>
      <c r="I611" s="319" t="n"/>
      <c r="J611" s="321" t="n"/>
      <c r="K611" s="321" t="n"/>
      <c r="L611" s="321" t="n"/>
      <c r="M611" s="321" t="n"/>
      <c r="N611" s="321" t="n"/>
      <c r="O611" s="321" t="n"/>
      <c r="P611" s="329" t="n">
        <v>36000</v>
      </c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13" t="n">
        <v>45536</v>
      </c>
      <c r="C612" s="314" t="n">
        <v>7</v>
      </c>
      <c r="D612" s="326" t="inlineStr">
        <is>
          <t>medicine</t>
        </is>
      </c>
      <c r="E612" s="326" t="n"/>
      <c r="F612" s="323" t="n">
        <v>45000</v>
      </c>
      <c r="G612" s="316" t="inlineStr">
        <is>
          <t>IDR</t>
        </is>
      </c>
      <c r="H612" s="399" t="n">
        <v>1</v>
      </c>
      <c r="I612" s="319" t="n"/>
      <c r="J612" s="321" t="n"/>
      <c r="K612" s="321" t="n"/>
      <c r="L612" s="321" t="n"/>
      <c r="M612" s="321" t="n"/>
      <c r="N612" s="321" t="n"/>
      <c r="O612" s="321" t="n"/>
      <c r="P612" s="329" t="n">
        <v>45000</v>
      </c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13" t="n">
        <v>45547</v>
      </c>
      <c r="C613" s="314" t="n">
        <v>8</v>
      </c>
      <c r="D613" s="326" t="inlineStr">
        <is>
          <t>Medicine</t>
        </is>
      </c>
      <c r="E613" s="326" t="n"/>
      <c r="F613" s="323" t="n">
        <v>241100</v>
      </c>
      <c r="G613" s="316" t="inlineStr">
        <is>
          <t>IDR</t>
        </is>
      </c>
      <c r="H613" s="399" t="n">
        <v>1</v>
      </c>
      <c r="I613" s="319" t="n"/>
      <c r="J613" s="321" t="n"/>
      <c r="K613" s="321" t="n"/>
      <c r="L613" s="321" t="n"/>
      <c r="M613" s="321" t="n"/>
      <c r="N613" s="321" t="n"/>
      <c r="O613" s="321" t="n"/>
      <c r="P613" s="329" t="n">
        <v>241100</v>
      </c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13" t="n">
        <v>45566</v>
      </c>
      <c r="C614" s="314" t="n">
        <v>9</v>
      </c>
      <c r="D614" s="326" t="inlineStr">
        <is>
          <t>Biaya Konsul ke 2, Dokter Jantung</t>
        </is>
      </c>
      <c r="E614" s="326" t="n"/>
      <c r="F614" s="323" t="n">
        <v>1370000</v>
      </c>
      <c r="G614" s="316" t="inlineStr">
        <is>
          <t>IDR</t>
        </is>
      </c>
      <c r="H614" s="399" t="n">
        <v>1</v>
      </c>
      <c r="I614" s="319" t="n"/>
      <c r="J614" s="321" t="n"/>
      <c r="K614" s="321" t="n"/>
      <c r="L614" s="321" t="n"/>
      <c r="M614" s="321" t="n"/>
      <c r="N614" s="321" t="n"/>
      <c r="O614" s="321" t="n"/>
      <c r="P614" s="329" t="n">
        <v>1370000</v>
      </c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13" t="n">
        <v>45537</v>
      </c>
      <c r="C615" s="314" t="n">
        <v>10</v>
      </c>
      <c r="D615" s="326" t="inlineStr">
        <is>
          <t>Pengiriman dokumen ke Yufitri</t>
        </is>
      </c>
      <c r="E615" s="326" t="n"/>
      <c r="F615" s="323" t="n">
        <v>10000</v>
      </c>
      <c r="G615" s="316" t="inlineStr">
        <is>
          <t>IDR</t>
        </is>
      </c>
      <c r="H615" s="399" t="n">
        <v>1</v>
      </c>
      <c r="I615" s="319" t="n"/>
      <c r="J615" s="329" t="n">
        <v>10000</v>
      </c>
      <c r="K615" s="321" t="n"/>
      <c r="L615" s="321" t="n"/>
      <c r="M615" s="321" t="n"/>
      <c r="N615" s="321" t="n"/>
      <c r="O615" s="321" t="n"/>
      <c r="P615" s="320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13" t="n">
        <v>45520</v>
      </c>
      <c r="C616" s="314" t="n">
        <v>11</v>
      </c>
      <c r="D616" s="326" t="inlineStr">
        <is>
          <t>Pengiriman dokumen ke Yulia - LBU</t>
        </is>
      </c>
      <c r="E616" s="326" t="n"/>
      <c r="F616" s="323" t="n">
        <v>18000</v>
      </c>
      <c r="G616" s="316" t="inlineStr">
        <is>
          <t>IDR</t>
        </is>
      </c>
      <c r="H616" s="399" t="n">
        <v>1</v>
      </c>
      <c r="I616" s="319" t="n"/>
      <c r="J616" s="329" t="n">
        <v>18000</v>
      </c>
      <c r="K616" s="321" t="n"/>
      <c r="L616" s="321" t="n"/>
      <c r="M616" s="321" t="n"/>
      <c r="N616" s="321" t="n"/>
      <c r="O616" s="321" t="n"/>
      <c r="P616" s="320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A617" s="346" t="n"/>
      <c r="B617" s="442" t="n">
        <v>45537</v>
      </c>
      <c r="C617" s="375" t="n">
        <v>12</v>
      </c>
      <c r="D617" s="382" t="inlineStr">
        <is>
          <t>MTD SKW-26_sukowati_TMA</t>
        </is>
      </c>
      <c r="E617" s="383" t="n"/>
      <c r="F617" s="418" t="n">
        <v>18000</v>
      </c>
      <c r="G617" s="361" t="inlineStr">
        <is>
          <t>IDR</t>
        </is>
      </c>
      <c r="H617" s="443" t="n">
        <v>1</v>
      </c>
      <c r="I617" s="376" t="n"/>
      <c r="J617" s="412" t="n">
        <v>18000</v>
      </c>
      <c r="K617" s="377" t="n"/>
      <c r="L617" s="377" t="n"/>
      <c r="M617" s="377" t="n"/>
      <c r="N617" s="377" t="n"/>
      <c r="O617" s="377" t="n"/>
      <c r="P617" s="364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A618" s="346" t="n"/>
      <c r="B618" s="313" t="n">
        <v>45558</v>
      </c>
      <c r="C618" s="314" t="n">
        <v>1</v>
      </c>
      <c r="D618" s="326" t="inlineStr">
        <is>
          <t>Hotel 23 Sept - 26 Sept (3 days)</t>
        </is>
      </c>
      <c r="E618" s="326" t="n"/>
      <c r="F618" s="323" t="n">
        <v>1584184</v>
      </c>
      <c r="G618" s="316" t="inlineStr">
        <is>
          <t>IDR</t>
        </is>
      </c>
      <c r="H618" s="399" t="n">
        <v>1</v>
      </c>
      <c r="I618" s="319" t="n"/>
      <c r="J618" s="329" t="n">
        <v>1584184</v>
      </c>
      <c r="K618" s="321" t="n"/>
      <c r="L618" s="321" t="n"/>
      <c r="M618" s="321" t="n"/>
      <c r="N618" s="321" t="n"/>
      <c r="O618" s="321" t="n"/>
      <c r="P618" s="320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A619" s="346" t="n"/>
      <c r="B619" s="313" t="n">
        <v>45558</v>
      </c>
      <c r="C619" s="314" t="n">
        <v>2</v>
      </c>
      <c r="D619" s="326" t="inlineStr">
        <is>
          <t>Laundry 6 days 1 Persons @ 50K IDR/day</t>
        </is>
      </c>
      <c r="E619" s="326" t="n"/>
      <c r="F619" s="323" t="n">
        <v>250000</v>
      </c>
      <c r="G619" s="316" t="inlineStr">
        <is>
          <t>IDR</t>
        </is>
      </c>
      <c r="H619" s="399" t="n">
        <v>1</v>
      </c>
      <c r="I619" s="319" t="n"/>
      <c r="J619" s="329" t="n">
        <v>250000</v>
      </c>
      <c r="K619" s="321" t="n"/>
      <c r="L619" s="321" t="n"/>
      <c r="M619" s="321" t="n"/>
      <c r="N619" s="321" t="n"/>
      <c r="O619" s="321" t="n"/>
      <c r="P619" s="320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13" t="n">
        <v>45558</v>
      </c>
      <c r="C620" s="314" t="n">
        <v>3</v>
      </c>
      <c r="D620" s="326" t="inlineStr">
        <is>
          <t>Field Allowance</t>
        </is>
      </c>
      <c r="E620" s="326" t="n"/>
      <c r="F620" s="323" t="n">
        <v>7615500</v>
      </c>
      <c r="G620" s="316" t="inlineStr">
        <is>
          <t>USD</t>
        </is>
      </c>
      <c r="H620" s="399" t="n">
        <v>15231</v>
      </c>
      <c r="I620" s="319" t="n"/>
      <c r="J620" s="329" t="n">
        <v>7615500</v>
      </c>
      <c r="K620" s="321" t="n"/>
      <c r="L620" s="321" t="n"/>
      <c r="M620" s="321" t="n"/>
      <c r="N620" s="321" t="n"/>
      <c r="O620" s="321" t="n"/>
      <c r="P620" s="320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13" t="n">
        <v>45558</v>
      </c>
      <c r="C621" s="314" t="n">
        <v>4</v>
      </c>
      <c r="D621" s="326" t="inlineStr">
        <is>
          <t>Meals</t>
        </is>
      </c>
      <c r="E621" s="326" t="n"/>
      <c r="F621" s="323" t="n">
        <v>750000</v>
      </c>
      <c r="G621" s="316" t="inlineStr">
        <is>
          <t>IDR</t>
        </is>
      </c>
      <c r="H621" s="399" t="n">
        <v>1</v>
      </c>
      <c r="I621" s="319" t="n"/>
      <c r="J621" s="329" t="n">
        <v>750000</v>
      </c>
      <c r="K621" s="321" t="n"/>
      <c r="L621" s="321" t="n"/>
      <c r="M621" s="321" t="n"/>
      <c r="N621" s="321" t="n"/>
      <c r="O621" s="321" t="n"/>
      <c r="P621" s="320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13" t="n">
        <v>45558</v>
      </c>
      <c r="C622" s="314" t="n">
        <v>5</v>
      </c>
      <c r="D622" s="326" t="inlineStr">
        <is>
          <t>Train Ticket Gambir-Cepu (2 pax)</t>
        </is>
      </c>
      <c r="E622" s="326" t="n"/>
      <c r="F622" s="323" t="n">
        <v>1213500</v>
      </c>
      <c r="G622" s="316" t="inlineStr">
        <is>
          <t>IDR</t>
        </is>
      </c>
      <c r="H622" s="399" t="n">
        <v>1</v>
      </c>
      <c r="I622" s="319" t="n"/>
      <c r="J622" s="329" t="n">
        <v>1213500</v>
      </c>
      <c r="K622" s="321" t="n"/>
      <c r="L622" s="321" t="n"/>
      <c r="M622" s="321" t="n"/>
      <c r="N622" s="321" t="n"/>
      <c r="O622" s="321" t="n"/>
      <c r="P622" s="320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13" t="n">
        <v>45558</v>
      </c>
      <c r="C623" s="314" t="n">
        <v>6</v>
      </c>
      <c r="D623" s="326" t="inlineStr">
        <is>
          <t>Taxi Pondok Cabe-Gambir</t>
        </is>
      </c>
      <c r="E623" s="326" t="n"/>
      <c r="F623" s="323" t="n">
        <v>132500</v>
      </c>
      <c r="G623" s="316" t="inlineStr">
        <is>
          <t>IDR</t>
        </is>
      </c>
      <c r="H623" s="399" t="n">
        <v>1</v>
      </c>
      <c r="I623" s="319" t="n"/>
      <c r="J623" s="329" t="n">
        <v>132500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444" t="n"/>
      <c r="C624" s="444" t="n"/>
      <c r="D624" s="445" t="inlineStr">
        <is>
          <t>Accommodation</t>
        </is>
      </c>
      <c r="E624" s="446" t="n"/>
      <c r="F624" s="317" t="n"/>
      <c r="G624" s="316" t="n"/>
      <c r="H624" s="316" t="n"/>
      <c r="I624" s="321" t="n"/>
      <c r="J624" s="321" t="n"/>
      <c r="K624" s="321" t="n"/>
      <c r="L624" s="321" t="n"/>
      <c r="M624" s="321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7</v>
      </c>
      <c r="D625" s="326" t="inlineStr">
        <is>
          <t>Demob Tools (Kalog)</t>
        </is>
      </c>
      <c r="E625" s="326" t="n"/>
      <c r="F625" s="323" t="n">
        <v>280400</v>
      </c>
      <c r="G625" s="316" t="inlineStr">
        <is>
          <t>IDR</t>
        </is>
      </c>
      <c r="H625" s="399" t="n">
        <v>1</v>
      </c>
      <c r="I625" s="319" t="n"/>
      <c r="J625" s="329" t="n">
        <v>280400</v>
      </c>
      <c r="K625" s="321" t="n"/>
      <c r="L625" s="321" t="n"/>
      <c r="M625" s="321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8</v>
      </c>
      <c r="D626" s="326" t="inlineStr">
        <is>
          <t>Taxi Gambir-Pondok Cabe (inc Toll+Parking)</t>
        </is>
      </c>
      <c r="E626" s="326" t="n"/>
      <c r="F626" s="323" t="n">
        <v>326600</v>
      </c>
      <c r="G626" s="316" t="inlineStr">
        <is>
          <t>IDR</t>
        </is>
      </c>
      <c r="H626" s="399" t="n">
        <v>1</v>
      </c>
      <c r="I626" s="319" t="n"/>
      <c r="J626" s="329" t="n">
        <v>326600</v>
      </c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9</v>
      </c>
      <c r="D627" s="326" t="inlineStr">
        <is>
          <t>Train Ticket Bojonegoro-Gambir (2 pax)</t>
        </is>
      </c>
      <c r="E627" s="326" t="n"/>
      <c r="F627" s="323" t="n">
        <v>1653500</v>
      </c>
      <c r="G627" s="316" t="inlineStr">
        <is>
          <t>IDR</t>
        </is>
      </c>
      <c r="H627" s="399" t="n">
        <v>1</v>
      </c>
      <c r="I627" s="319" t="n"/>
      <c r="J627" s="329" t="n">
        <v>1653500</v>
      </c>
      <c r="K627" s="321" t="n"/>
      <c r="L627" s="321" t="n"/>
      <c r="M627" s="321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>
        <v>45558</v>
      </c>
      <c r="C628" s="314" t="n">
        <v>10</v>
      </c>
      <c r="D628" s="326" t="inlineStr">
        <is>
          <t>Lalamove Kalog-Gowell</t>
        </is>
      </c>
      <c r="E628" s="326" t="n"/>
      <c r="F628" s="323" t="n">
        <v>73584</v>
      </c>
      <c r="G628" s="316" t="inlineStr">
        <is>
          <t>IDR</t>
        </is>
      </c>
      <c r="H628" s="399" t="n">
        <v>1</v>
      </c>
      <c r="I628" s="319" t="n"/>
      <c r="J628" s="329" t="n">
        <v>73584</v>
      </c>
      <c r="K628" s="321" t="n"/>
      <c r="L628" s="321" t="n"/>
      <c r="M628" s="321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/>
      <c r="C629" s="314" t="n"/>
      <c r="D629" s="330" t="inlineStr">
        <is>
          <t>Allowance</t>
        </is>
      </c>
      <c r="E629" s="367" t="n"/>
      <c r="F629" s="317" t="n"/>
      <c r="G629" s="316" t="n"/>
      <c r="H629" s="316" t="n"/>
      <c r="I629" s="321" t="n"/>
      <c r="J629" s="321" t="n"/>
      <c r="K629" s="321" t="n"/>
      <c r="L629" s="321" t="n"/>
      <c r="M629" s="321" t="n"/>
      <c r="N629" s="321" t="n"/>
      <c r="O629" s="321" t="n"/>
      <c r="P629" s="320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idden="1" ht="15.5" customHeight="1" s="297">
      <c r="B630" s="391" t="n"/>
      <c r="C630" s="392" t="n"/>
      <c r="D630" s="402" t="n"/>
      <c r="E630" s="402" t="n"/>
      <c r="F630" s="394" t="n"/>
      <c r="G630" s="414" t="n"/>
      <c r="H630" s="414" t="n"/>
      <c r="I630" s="372" t="n"/>
      <c r="J630" s="374" t="n"/>
      <c r="K630" s="374" t="n"/>
      <c r="L630" s="374" t="n"/>
      <c r="M630" s="374" t="n"/>
      <c r="N630" s="374" t="n"/>
      <c r="O630" s="374" t="n"/>
      <c r="P630" s="372" t="n"/>
      <c r="Q630" s="374" t="n"/>
      <c r="R630" s="373" t="n"/>
      <c r="S630" s="373" t="n"/>
      <c r="T630" s="373" t="n"/>
      <c r="U630" s="373" t="n"/>
      <c r="V630" s="373" t="n"/>
      <c r="W630" s="373" t="n"/>
      <c r="X630" s="373" t="n"/>
    </row>
    <row r="631" ht="15.5" customHeight="1" s="297">
      <c r="A631" s="346" t="n"/>
      <c r="B631" s="381" t="n"/>
      <c r="C631" s="375" t="n"/>
      <c r="D631" s="382" t="inlineStr">
        <is>
          <t>MTD_STM_HDP 01 s/d 03 well (BHI project ndr Gowell) Sumbawa</t>
        </is>
      </c>
      <c r="E631" s="383" t="n"/>
      <c r="F631" s="395" t="n"/>
      <c r="G631" s="361" t="n"/>
      <c r="H631" s="361" t="n"/>
      <c r="I631" s="364" t="n"/>
      <c r="J631" s="377" t="n"/>
      <c r="K631" s="377" t="n"/>
      <c r="L631" s="377" t="n"/>
      <c r="M631" s="377" t="n"/>
      <c r="N631" s="377" t="n"/>
      <c r="O631" s="377" t="n"/>
      <c r="P631" s="364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>
        <v>45585</v>
      </c>
      <c r="C632" s="314" t="n">
        <v>1</v>
      </c>
      <c r="D632" s="326" t="inlineStr">
        <is>
          <t>Laundry 18 days @ 50K IDR/day</t>
        </is>
      </c>
      <c r="E632" s="326" t="n"/>
      <c r="F632" s="323" t="n">
        <v>900000</v>
      </c>
      <c r="G632" s="316" t="inlineStr">
        <is>
          <t>IDR</t>
        </is>
      </c>
      <c r="H632" s="399" t="n">
        <v>1</v>
      </c>
      <c r="I632" s="320" t="n"/>
      <c r="J632" s="329" t="n">
        <v>900000</v>
      </c>
      <c r="K632" s="321" t="n"/>
      <c r="L632" s="321" t="n"/>
      <c r="M632" s="321" t="n"/>
      <c r="N632" s="321" t="n"/>
      <c r="O632" s="321" t="n"/>
      <c r="P632" s="320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/>
      <c r="C633" s="314" t="n"/>
      <c r="D633" s="330" t="inlineStr">
        <is>
          <t>Accommodation</t>
        </is>
      </c>
      <c r="E633" s="367" t="n"/>
      <c r="F633" s="317" t="n"/>
      <c r="G633" s="316" t="n"/>
      <c r="H633" s="316" t="n"/>
      <c r="I633" s="321" t="n"/>
      <c r="J633" s="321" t="n"/>
      <c r="K633" s="321" t="n"/>
      <c r="L633" s="321" t="n"/>
      <c r="M633" s="321" t="n"/>
      <c r="N633" s="321" t="n"/>
      <c r="O633" s="321" t="n"/>
      <c r="P633" s="320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1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6" t="inlineStr">
        <is>
          <t>IDR</t>
        </is>
      </c>
      <c r="H634" s="399" t="n">
        <v>1</v>
      </c>
      <c r="I634" s="320" t="n"/>
      <c r="J634" s="329" t="n">
        <v>2700000</v>
      </c>
      <c r="K634" s="321" t="n"/>
      <c r="L634" s="321" t="n"/>
      <c r="M634" s="321" t="n"/>
      <c r="N634" s="321" t="n"/>
      <c r="O634" s="321" t="n"/>
      <c r="P634" s="320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>
        <v>45585</v>
      </c>
      <c r="C635" s="314" t="n">
        <v>3</v>
      </c>
      <c r="D635" s="326" t="inlineStr">
        <is>
          <t>Field Allowance for 18 days</t>
        </is>
      </c>
      <c r="E635" s="326" t="n"/>
      <c r="F635" s="323" t="n">
        <v>28528200</v>
      </c>
      <c r="G635" s="316" t="inlineStr">
        <is>
          <t>USD</t>
        </is>
      </c>
      <c r="H635" s="399" t="n">
        <v>15849</v>
      </c>
      <c r="I635" s="320" t="n"/>
      <c r="J635" s="329" t="n">
        <v>28528200</v>
      </c>
      <c r="K635" s="321" t="n"/>
      <c r="L635" s="321" t="n"/>
      <c r="M635" s="321" t="n"/>
      <c r="N635" s="321" t="n"/>
      <c r="O635" s="321" t="n"/>
      <c r="P635" s="320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85" t="n">
        <v>45585</v>
      </c>
      <c r="C636" s="386" t="n">
        <v>4</v>
      </c>
      <c r="D636" s="387" t="inlineStr">
        <is>
          <t>operation meal with BHI person</t>
        </is>
      </c>
      <c r="E636" s="387" t="n"/>
      <c r="F636" s="338" t="n">
        <v>1102050</v>
      </c>
      <c r="G636" s="314" t="inlineStr">
        <is>
          <t>IDR</t>
        </is>
      </c>
      <c r="H636" s="345" t="n">
        <v>1</v>
      </c>
      <c r="I636" s="321" t="n"/>
      <c r="J636" s="329" t="n">
        <v>1102050</v>
      </c>
      <c r="K636" s="321" t="n"/>
      <c r="L636" s="321" t="n"/>
      <c r="M636" s="321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13" t="n"/>
      <c r="C637" s="314" t="n"/>
      <c r="D637" s="315" t="inlineStr">
        <is>
          <t>Allowance</t>
        </is>
      </c>
      <c r="E637" s="339" t="n"/>
      <c r="F637" s="317" t="n"/>
      <c r="G637" s="314" t="n"/>
      <c r="H637" s="314" t="n"/>
      <c r="I637" s="321" t="n"/>
      <c r="J637" s="321" t="n"/>
      <c r="K637" s="321" t="n"/>
      <c r="L637" s="321" t="n"/>
      <c r="M637" s="321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13" t="n">
        <v>45568</v>
      </c>
      <c r="C638" s="314" t="n">
        <v>5</v>
      </c>
      <c r="D638" s="316" t="inlineStr">
        <is>
          <t>Taxi Anevril Home - CGK Airport</t>
        </is>
      </c>
      <c r="E638" s="316" t="n"/>
      <c r="F638" s="323" t="n">
        <v>250000</v>
      </c>
      <c r="G638" s="314" t="inlineStr">
        <is>
          <t>IDR</t>
        </is>
      </c>
      <c r="H638" s="345" t="n">
        <v>1</v>
      </c>
      <c r="I638" s="321" t="n"/>
      <c r="J638" s="329" t="n">
        <v>250000</v>
      </c>
      <c r="K638" s="321" t="n"/>
      <c r="L638" s="321" t="n"/>
      <c r="M638" s="321" t="n"/>
      <c r="N638" s="321" t="n"/>
      <c r="O638" s="321" t="n"/>
      <c r="P638" s="320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13" t="n">
        <v>45585</v>
      </c>
      <c r="C639" s="314" t="n">
        <v>6</v>
      </c>
      <c r="D639" s="316" t="inlineStr">
        <is>
          <t>Taxi Anevril CGK Airport - Home</t>
        </is>
      </c>
      <c r="E639" s="316" t="n"/>
      <c r="F639" s="323" t="n">
        <v>250000</v>
      </c>
      <c r="G639" s="314" t="inlineStr">
        <is>
          <t>IDR</t>
        </is>
      </c>
      <c r="H639" s="345" t="n">
        <v>1</v>
      </c>
      <c r="I639" s="321" t="n"/>
      <c r="J639" s="329" t="n">
        <v>250000</v>
      </c>
      <c r="K639" s="321" t="n"/>
      <c r="L639" s="321" t="n"/>
      <c r="M639" s="321" t="n"/>
      <c r="N639" s="321" t="n"/>
      <c r="O639" s="321" t="n"/>
      <c r="P639" s="320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431" t="n"/>
      <c r="C640" s="392" t="n"/>
      <c r="D640" s="414" t="n"/>
      <c r="E640" s="414" t="n"/>
      <c r="F640" s="394" t="n"/>
      <c r="G640" s="392" t="n"/>
      <c r="H640" s="392" t="n"/>
      <c r="I640" s="374" t="n"/>
      <c r="J640" s="374" t="n"/>
      <c r="K640" s="374" t="n"/>
      <c r="L640" s="374" t="n"/>
      <c r="M640" s="374" t="n"/>
      <c r="N640" s="374" t="n"/>
      <c r="O640" s="374" t="n"/>
      <c r="P640" s="372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idden="1" ht="15.5" customHeight="1" s="297">
      <c r="B641" s="431" t="n"/>
      <c r="C641" s="392" t="n"/>
      <c r="D641" s="414" t="n"/>
      <c r="E641" s="414" t="n"/>
      <c r="F641" s="394" t="n"/>
      <c r="G641" s="392" t="n"/>
      <c r="H641" s="392" t="n"/>
      <c r="I641" s="374" t="n"/>
      <c r="J641" s="374" t="n"/>
      <c r="K641" s="374" t="n"/>
      <c r="L641" s="374" t="n"/>
      <c r="M641" s="374" t="n"/>
      <c r="N641" s="374" t="n"/>
      <c r="O641" s="374" t="n"/>
      <c r="P641" s="372" t="n"/>
      <c r="Q641" s="374" t="n"/>
      <c r="R641" s="373" t="n"/>
      <c r="S641" s="373" t="n"/>
      <c r="T641" s="373" t="n"/>
      <c r="U641" s="373" t="n"/>
      <c r="V641" s="373" t="n"/>
      <c r="W641" s="373" t="n"/>
      <c r="X641" s="373" t="n"/>
    </row>
    <row r="642" hidden="1" ht="15.5" customHeight="1" s="297">
      <c r="B642" s="431" t="n"/>
      <c r="C642" s="392" t="n"/>
      <c r="D642" s="414" t="n"/>
      <c r="E642" s="414" t="n"/>
      <c r="F642" s="394" t="n"/>
      <c r="G642" s="392" t="n"/>
      <c r="H642" s="392" t="n"/>
      <c r="I642" s="374" t="n"/>
      <c r="J642" s="374" t="n"/>
      <c r="K642" s="374" t="n"/>
      <c r="L642" s="374" t="n"/>
      <c r="M642" s="374" t="n"/>
      <c r="N642" s="374" t="n"/>
      <c r="O642" s="374" t="n"/>
      <c r="P642" s="372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idden="1" ht="15.5" customHeight="1" s="297">
      <c r="B643" s="431" t="n"/>
      <c r="C643" s="392" t="n"/>
      <c r="D643" s="414" t="n"/>
      <c r="E643" s="414" t="n"/>
      <c r="F643" s="394" t="n"/>
      <c r="G643" s="392" t="n"/>
      <c r="H643" s="392" t="n"/>
      <c r="I643" s="374" t="n"/>
      <c r="J643" s="374" t="n"/>
      <c r="K643" s="374" t="n"/>
      <c r="L643" s="374" t="n"/>
      <c r="M643" s="374" t="n"/>
      <c r="N643" s="374" t="n"/>
      <c r="O643" s="374" t="n"/>
      <c r="P643" s="372" t="n"/>
      <c r="Q643" s="374" t="n"/>
      <c r="R643" s="373" t="n"/>
      <c r="S643" s="373" t="n"/>
      <c r="T643" s="373" t="n"/>
      <c r="U643" s="373" t="n"/>
      <c r="V643" s="373" t="n"/>
      <c r="W643" s="373" t="n"/>
      <c r="X643" s="373" t="n"/>
    </row>
    <row r="644" ht="15.5" customHeight="1" s="297">
      <c r="A644" s="346" t="n"/>
      <c r="B644" s="442" t="n"/>
      <c r="C644" s="375" t="n"/>
      <c r="D644" s="357" t="inlineStr">
        <is>
          <t>Training Basic Sea Survival_IBR</t>
        </is>
      </c>
      <c r="E644" s="361" t="n"/>
      <c r="F644" s="395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64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A645" s="346" t="n"/>
      <c r="B645" s="313" t="n"/>
      <c r="C645" s="314" t="n"/>
      <c r="D645" s="315" t="inlineStr">
        <is>
          <t>Training</t>
        </is>
      </c>
      <c r="E645" s="316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0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13" t="n">
        <v>45622</v>
      </c>
      <c r="C646" s="314" t="n">
        <v>1</v>
      </c>
      <c r="D646" s="316" t="inlineStr">
        <is>
          <t>Basic Sea Survival</t>
        </is>
      </c>
      <c r="E646" s="316" t="n"/>
      <c r="F646" s="323" t="n">
        <v>2700000</v>
      </c>
      <c r="G646" s="314" t="inlineStr">
        <is>
          <t>IDR</t>
        </is>
      </c>
      <c r="H646" s="345" t="n">
        <v>1</v>
      </c>
      <c r="I646" s="321" t="n"/>
      <c r="J646" s="329" t="n">
        <v>2700000</v>
      </c>
      <c r="K646" s="321" t="n"/>
      <c r="L646" s="321" t="n"/>
      <c r="M646" s="321" t="n"/>
      <c r="N646" s="321" t="n"/>
      <c r="O646" s="321" t="n"/>
      <c r="P646" s="320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13" t="n">
        <v>45622</v>
      </c>
      <c r="C647" s="314" t="n">
        <v>2</v>
      </c>
      <c r="D647" s="316" t="inlineStr">
        <is>
          <t>Gojek ( Damn Coffe - PT Lautan Tenang Jaya )</t>
        </is>
      </c>
      <c r="E647" s="316" t="n"/>
      <c r="F647" s="323" t="n">
        <v>15000</v>
      </c>
      <c r="G647" s="314" t="inlineStr">
        <is>
          <t>IDR</t>
        </is>
      </c>
      <c r="H647" s="345" t="n">
        <v>1</v>
      </c>
      <c r="I647" s="321" t="n"/>
      <c r="J647" s="329" t="n">
        <v>15000</v>
      </c>
      <c r="K647" s="321" t="n"/>
      <c r="L647" s="321" t="n"/>
      <c r="M647" s="321" t="n"/>
      <c r="N647" s="321" t="n"/>
      <c r="O647" s="321" t="n"/>
      <c r="P647" s="320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13" t="n">
        <v>45622</v>
      </c>
      <c r="C648" s="314" t="n">
        <v>3</v>
      </c>
      <c r="D648" s="316" t="inlineStr">
        <is>
          <t>Gojek ( PT Lautan Tenang Jaya - Stasiun MRT )</t>
        </is>
      </c>
      <c r="E648" s="316" t="n"/>
      <c r="F648" s="323" t="n">
        <v>15000</v>
      </c>
      <c r="G648" s="314" t="inlineStr">
        <is>
          <t>IDR</t>
        </is>
      </c>
      <c r="H648" s="345" t="n">
        <v>1</v>
      </c>
      <c r="I648" s="321" t="n"/>
      <c r="J648" s="329" t="n">
        <v>15000</v>
      </c>
      <c r="K648" s="321" t="n"/>
      <c r="L648" s="321" t="n"/>
      <c r="M648" s="321" t="n"/>
      <c r="N648" s="321" t="n"/>
      <c r="O648" s="321" t="n"/>
      <c r="P648" s="320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/>
      <c r="C649" s="314" t="n"/>
      <c r="D649" s="315" t="inlineStr">
        <is>
          <t>Transportation</t>
        </is>
      </c>
      <c r="E649" s="366" t="n"/>
      <c r="F649" s="317" t="n"/>
      <c r="G649" s="314" t="n"/>
      <c r="H649" s="314" t="n"/>
      <c r="I649" s="321" t="n"/>
      <c r="J649" s="321" t="n"/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21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21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81" t="n">
        <v>45436</v>
      </c>
      <c r="C653" s="375" t="n">
        <v>4</v>
      </c>
      <c r="D653" s="382" t="inlineStr">
        <is>
          <t>Non trip 1st - project _ Pety cash 1st - YY</t>
        </is>
      </c>
      <c r="E653" s="383" t="n"/>
      <c r="F653" s="395" t="n">
        <v>25000</v>
      </c>
      <c r="G653" s="375" t="inlineStr">
        <is>
          <t>IDR</t>
        </is>
      </c>
      <c r="H653" s="375" t="n">
        <v>1</v>
      </c>
      <c r="I653" s="376">
        <f>$H598*$F598</f>
        <v/>
      </c>
      <c r="J653" s="377" t="n"/>
      <c r="K653" s="377" t="n"/>
      <c r="L653" s="377" t="n"/>
      <c r="M653" s="377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333" t="n">
        <v>45572</v>
      </c>
      <c r="C654" s="314" t="n">
        <v>1</v>
      </c>
      <c r="D654" s="326" t="inlineStr">
        <is>
          <t>Materai 6 pcs</t>
        </is>
      </c>
      <c r="E654" s="326" t="n"/>
      <c r="F654" s="323" t="n">
        <v>62000</v>
      </c>
      <c r="G654" s="314" t="inlineStr">
        <is>
          <t>IDR</t>
        </is>
      </c>
      <c r="H654" s="345" t="n">
        <v>1</v>
      </c>
      <c r="I654" s="319" t="n"/>
      <c r="J654" s="321" t="n"/>
      <c r="K654" s="321" t="n"/>
      <c r="L654" s="321" t="n"/>
      <c r="M654" s="329" t="n">
        <v>62000</v>
      </c>
      <c r="N654" s="321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385" t="n">
        <v>45555</v>
      </c>
      <c r="C655" s="386" t="n">
        <v>2</v>
      </c>
      <c r="D655" s="387" t="inlineStr">
        <is>
          <t>JNE courier</t>
        </is>
      </c>
      <c r="E655" s="387" t="n"/>
      <c r="F655" s="338" t="n">
        <v>18000</v>
      </c>
      <c r="G655" s="314" t="inlineStr">
        <is>
          <t>IDR</t>
        </is>
      </c>
      <c r="H655" s="345" t="n">
        <v>1</v>
      </c>
      <c r="I655" s="321" t="n"/>
      <c r="J655" s="329" t="n">
        <v>18000</v>
      </c>
      <c r="K655" s="321" t="n"/>
      <c r="L655" s="321" t="n"/>
      <c r="M655" s="321" t="n"/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333" t="n"/>
      <c r="C656" s="314" t="n"/>
      <c r="D656" s="330" t="inlineStr">
        <is>
          <t>Shipping</t>
        </is>
      </c>
      <c r="E656" s="367" t="n"/>
      <c r="F656" s="317" t="n"/>
      <c r="G656" s="314" t="n"/>
      <c r="H656" s="314" t="n"/>
      <c r="I656" s="321" t="n"/>
      <c r="J656" s="321" t="n"/>
      <c r="K656" s="321" t="n"/>
      <c r="L656" s="321" t="n"/>
      <c r="M656" s="321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333" t="n">
        <v>45560</v>
      </c>
      <c r="C657" s="314" t="n">
        <v>3</v>
      </c>
      <c r="D657" s="326" t="inlineStr">
        <is>
          <t>POS courier</t>
        </is>
      </c>
      <c r="E657" s="326" t="n"/>
      <c r="F657" s="323" t="n">
        <v>8000</v>
      </c>
      <c r="G657" s="314" t="inlineStr">
        <is>
          <t>IDR</t>
        </is>
      </c>
      <c r="H657" s="345" t="n">
        <v>1</v>
      </c>
      <c r="I657" s="320" t="n"/>
      <c r="J657" s="329" t="n">
        <v>8000</v>
      </c>
      <c r="K657" s="321" t="n"/>
      <c r="L657" s="321" t="n"/>
      <c r="M657" s="321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333" t="n">
        <v>45574</v>
      </c>
      <c r="C658" s="314" t="n">
        <v>4</v>
      </c>
      <c r="D658" s="326" t="inlineStr">
        <is>
          <t>POS courier</t>
        </is>
      </c>
      <c r="E658" s="326" t="n"/>
      <c r="F658" s="323" t="n">
        <v>15000</v>
      </c>
      <c r="G658" s="314" t="inlineStr">
        <is>
          <t>IDR</t>
        </is>
      </c>
      <c r="H658" s="345" t="n">
        <v>1</v>
      </c>
      <c r="I658" s="320" t="n"/>
      <c r="J658" s="329" t="n">
        <v>15000</v>
      </c>
      <c r="K658" s="321" t="n"/>
      <c r="L658" s="321" t="n"/>
      <c r="M658" s="321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333" t="n"/>
      <c r="C659" s="314" t="n"/>
      <c r="D659" s="330" t="inlineStr">
        <is>
          <t>Transportation</t>
        </is>
      </c>
      <c r="E659" s="367" t="n"/>
      <c r="F659" s="317" t="n"/>
      <c r="G659" s="314" t="n"/>
      <c r="H659" s="314" t="n"/>
      <c r="I659" s="321" t="n"/>
      <c r="J659" s="321" t="n"/>
      <c r="K659" s="321" t="n"/>
      <c r="L659" s="321" t="n"/>
      <c r="M659" s="321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333" t="n">
        <v>45579</v>
      </c>
      <c r="C660" s="314" t="n">
        <v>5</v>
      </c>
      <c r="D660" s="326" t="inlineStr">
        <is>
          <t>JNE courier</t>
        </is>
      </c>
      <c r="E660" s="326" t="n"/>
      <c r="F660" s="323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21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333" t="n">
        <v>45579</v>
      </c>
      <c r="C661" s="314" t="n">
        <v>6</v>
      </c>
      <c r="D661" s="326" t="inlineStr">
        <is>
          <t>Materai 10 pcs</t>
        </is>
      </c>
      <c r="E661" s="326" t="n"/>
      <c r="F661" s="323" t="n">
        <v>103000</v>
      </c>
      <c r="G661" s="314" t="inlineStr">
        <is>
          <t>IDR</t>
        </is>
      </c>
      <c r="H661" s="345" t="n">
        <v>1</v>
      </c>
      <c r="I661" s="319" t="n"/>
      <c r="J661" s="321" t="n"/>
      <c r="K661" s="321" t="n"/>
      <c r="L661" s="321" t="n"/>
      <c r="M661" s="329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333" t="n">
        <v>45582</v>
      </c>
      <c r="C662" s="314" t="n">
        <v>7</v>
      </c>
      <c r="D662" s="326" t="inlineStr">
        <is>
          <t>Materai 5 pcs</t>
        </is>
      </c>
      <c r="E662" s="326" t="n"/>
      <c r="F662" s="323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333" t="n">
        <v>45617</v>
      </c>
      <c r="C663" s="314" t="n">
        <v>8</v>
      </c>
      <c r="D663" s="316" t="inlineStr">
        <is>
          <t>Materai 10 pcs</t>
        </is>
      </c>
      <c r="E663" s="316" t="n"/>
      <c r="F663" s="323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333" t="n">
        <v>45579</v>
      </c>
      <c r="C664" s="314" t="n">
        <v>9</v>
      </c>
      <c r="D664" s="326" t="inlineStr">
        <is>
          <t>GoCar to Elnusa PP</t>
        </is>
      </c>
      <c r="E664" s="326" t="n"/>
      <c r="F664" s="323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20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333" t="n">
        <v>45579</v>
      </c>
      <c r="C665" s="314" t="n">
        <v>10</v>
      </c>
      <c r="D665" s="326" t="inlineStr">
        <is>
          <t>Tol &amp; parking fee</t>
        </is>
      </c>
      <c r="E665" s="326" t="n"/>
      <c r="F665" s="323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19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idden="1" ht="15.5" customHeight="1" s="297">
      <c r="B666" s="368" t="n"/>
      <c r="C666" s="408" t="n"/>
      <c r="D666" s="370" t="n"/>
      <c r="E666" s="370" t="n"/>
      <c r="F666" s="397" t="n"/>
      <c r="G666" s="369" t="n"/>
      <c r="H666" s="369" t="n"/>
      <c r="I666" s="374" t="n"/>
      <c r="J666" s="374" t="n"/>
      <c r="K666" s="374" t="n"/>
      <c r="L666" s="374" t="n"/>
      <c r="M666" s="380" t="n"/>
      <c r="N666" s="374" t="n"/>
      <c r="O666" s="374" t="n"/>
      <c r="P666" s="374" t="n"/>
      <c r="Q666" s="374" t="n"/>
      <c r="R666" s="373" t="n"/>
      <c r="S666" s="373" t="n"/>
      <c r="T666" s="373" t="n"/>
      <c r="U666" s="373" t="n"/>
      <c r="V666" s="373" t="n"/>
      <c r="W666" s="373" t="n"/>
      <c r="X666" s="373" t="n"/>
    </row>
    <row r="667" ht="15.5" customHeight="1" s="297">
      <c r="B667" s="333" t="n">
        <v>45582</v>
      </c>
      <c r="C667" s="314" t="n">
        <v>11</v>
      </c>
      <c r="D667" s="326" t="inlineStr">
        <is>
          <t>GoCar to Elnusa PP</t>
        </is>
      </c>
      <c r="E667" s="326" t="n"/>
      <c r="F667" s="323" t="n">
        <v>266000</v>
      </c>
      <c r="G667" s="314" t="inlineStr">
        <is>
          <t>IDR</t>
        </is>
      </c>
      <c r="H667" s="345" t="n">
        <v>1</v>
      </c>
      <c r="I667" s="320" t="n"/>
      <c r="J667" s="329" t="n">
        <v>266000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333" t="n">
        <v>45582</v>
      </c>
      <c r="C668" s="314" t="n">
        <v>12</v>
      </c>
      <c r="D668" s="326" t="inlineStr">
        <is>
          <t>Tol &amp; parking fee</t>
        </is>
      </c>
      <c r="E668" s="326" t="n"/>
      <c r="F668" s="323" t="n">
        <v>53500</v>
      </c>
      <c r="G668" s="314" t="inlineStr">
        <is>
          <t>IDR</t>
        </is>
      </c>
      <c r="H668" s="345" t="n">
        <v>1</v>
      </c>
      <c r="I668" s="320" t="n"/>
      <c r="J668" s="329" t="n">
        <v>53500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t="15.5" customHeight="1" s="297">
      <c r="B669" s="385" t="n">
        <v>45617</v>
      </c>
      <c r="C669" s="386" t="n">
        <v>13</v>
      </c>
      <c r="D669" s="387" t="inlineStr">
        <is>
          <t>GoCar to Elnusa PP</t>
        </is>
      </c>
      <c r="E669" s="387" t="n"/>
      <c r="F669" s="338" t="n">
        <v>269000</v>
      </c>
      <c r="G669" s="314" t="inlineStr">
        <is>
          <t>IDR</t>
        </is>
      </c>
      <c r="H669" s="345" t="n">
        <v>1</v>
      </c>
      <c r="I669" s="321" t="n"/>
      <c r="J669" s="329" t="n">
        <v>269000</v>
      </c>
      <c r="K669" s="321" t="n"/>
      <c r="L669" s="321" t="n"/>
      <c r="M669" s="319" t="n"/>
      <c r="N669" s="321" t="n"/>
      <c r="O669" s="321" t="n"/>
      <c r="P669" s="321" t="n"/>
      <c r="Q669" s="321" t="n"/>
      <c r="R669" s="322" t="n"/>
      <c r="S669" s="322" t="n"/>
      <c r="T669" s="322" t="n"/>
      <c r="U669" s="322" t="n"/>
      <c r="V669" s="322" t="n"/>
      <c r="W669" s="322" t="n"/>
      <c r="X669" s="322" t="n"/>
    </row>
    <row r="670" hidden="1" ht="15.5" customHeight="1" s="297">
      <c r="B670" s="391" t="n"/>
      <c r="C670" s="392" t="n"/>
      <c r="D670" s="432" t="n"/>
      <c r="E670" s="432" t="n"/>
      <c r="F670" s="394" t="n"/>
      <c r="G670" s="392" t="n"/>
      <c r="H670" s="392" t="n"/>
      <c r="I670" s="374" t="n"/>
      <c r="J670" s="374" t="n"/>
      <c r="K670" s="374" t="n"/>
      <c r="L670" s="374" t="n"/>
      <c r="M670" s="380" t="n"/>
      <c r="N670" s="374" t="n"/>
      <c r="O670" s="374" t="n"/>
      <c r="P670" s="374" t="n"/>
      <c r="Q670" s="374" t="n"/>
      <c r="R670" s="373" t="n"/>
      <c r="S670" s="373" t="n"/>
      <c r="T670" s="373" t="n"/>
      <c r="U670" s="373" t="n"/>
      <c r="V670" s="373" t="n"/>
      <c r="W670" s="373" t="n"/>
      <c r="X670" s="373" t="n"/>
    </row>
    <row r="671" ht="15.5" customHeight="1" s="297">
      <c r="B671" s="333" t="n">
        <v>45617</v>
      </c>
      <c r="C671" s="314" t="n">
        <v>14</v>
      </c>
      <c r="D671" s="326" t="inlineStr">
        <is>
          <t>Tol &amp; parking fee</t>
        </is>
      </c>
      <c r="E671" s="326" t="n"/>
      <c r="F671" s="323" t="n">
        <v>43450</v>
      </c>
      <c r="G671" s="314" t="inlineStr">
        <is>
          <t>IDR</t>
        </is>
      </c>
      <c r="H671" s="345" t="n">
        <v>1</v>
      </c>
      <c r="I671" s="319" t="n"/>
      <c r="J671" s="329" t="n">
        <v>43450</v>
      </c>
      <c r="K671" s="321" t="n"/>
      <c r="L671" s="321" t="n"/>
      <c r="M671" s="321" t="n"/>
      <c r="N671" s="319" t="n"/>
      <c r="O671" s="321" t="n"/>
      <c r="P671" s="321" t="n"/>
      <c r="Q671" s="321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333" t="n">
        <v>45636</v>
      </c>
      <c r="C672" s="314" t="n">
        <v>15</v>
      </c>
      <c r="D672" s="326" t="inlineStr">
        <is>
          <t>GoCar to Elnusa PP</t>
        </is>
      </c>
      <c r="E672" s="326" t="n"/>
      <c r="F672" s="323" t="n">
        <v>290000</v>
      </c>
      <c r="G672" s="314" t="inlineStr">
        <is>
          <t>IDR</t>
        </is>
      </c>
      <c r="H672" s="345" t="n">
        <v>1</v>
      </c>
      <c r="I672" s="319" t="n"/>
      <c r="J672" s="329" t="n">
        <v>290000</v>
      </c>
      <c r="K672" s="321" t="n"/>
      <c r="L672" s="321" t="n"/>
      <c r="M672" s="321" t="n"/>
      <c r="N672" s="321" t="n"/>
      <c r="O672" s="321" t="n"/>
      <c r="P672" s="321" t="n"/>
      <c r="Q672" s="321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391" t="n"/>
      <c r="C673" s="392" t="n"/>
      <c r="D673" s="447" t="n"/>
      <c r="E673" s="447" t="n"/>
      <c r="F673" s="394" t="n"/>
      <c r="G673" s="392" t="n"/>
      <c r="H673" s="392" t="n"/>
      <c r="I673" s="374" t="n"/>
      <c r="J673" s="374" t="n"/>
      <c r="K673" s="374" t="n"/>
      <c r="L673" s="374" t="n"/>
      <c r="M673" s="374" t="n"/>
      <c r="N673" s="374" t="n"/>
      <c r="O673" s="374" t="n"/>
      <c r="P673" s="374" t="n"/>
      <c r="Q673" s="374" t="n"/>
      <c r="R673" s="373" t="n"/>
      <c r="S673" s="373" t="n"/>
      <c r="T673" s="373" t="n"/>
      <c r="U673" s="373" t="n"/>
      <c r="V673" s="373" t="n"/>
      <c r="W673" s="373" t="n"/>
      <c r="X673" s="373" t="n"/>
    </row>
    <row r="674" ht="15.5" customHeight="1" s="297">
      <c r="B674" s="333" t="n">
        <v>45636</v>
      </c>
      <c r="C674" s="314" t="n">
        <v>16</v>
      </c>
      <c r="D674" s="326" t="inlineStr">
        <is>
          <t>Tol &amp; parking fee</t>
        </is>
      </c>
      <c r="E674" s="326" t="n"/>
      <c r="F674" s="323" t="n">
        <v>48500</v>
      </c>
      <c r="G674" s="314" t="inlineStr">
        <is>
          <t>IDR</t>
        </is>
      </c>
      <c r="H674" s="345" t="n">
        <v>1</v>
      </c>
      <c r="I674" s="320" t="n"/>
      <c r="J674" s="329" t="n">
        <v>48500</v>
      </c>
      <c r="K674" s="321" t="n"/>
      <c r="L674" s="321" t="n"/>
      <c r="M674" s="319" t="n"/>
      <c r="N674" s="321" t="n"/>
      <c r="O674" s="321" t="n"/>
      <c r="P674" s="321" t="n"/>
      <c r="Q674" s="321" t="n"/>
      <c r="R674" s="322" t="n"/>
      <c r="S674" s="322" t="n"/>
      <c r="T674" s="322" t="n"/>
      <c r="U674" s="322" t="n"/>
      <c r="V674" s="322" t="n"/>
      <c r="W674" s="322" t="n"/>
      <c r="X674" s="322" t="n"/>
    </row>
    <row r="675" hidden="1" ht="15.5" customHeight="1" s="297">
      <c r="B675" s="391" t="n"/>
      <c r="C675" s="392" t="n"/>
      <c r="D675" s="393" t="n"/>
      <c r="E675" s="393" t="n"/>
      <c r="F675" s="394" t="n"/>
      <c r="G675" s="392" t="n"/>
      <c r="H675" s="392" t="n"/>
      <c r="I675" s="374" t="n"/>
      <c r="J675" s="374" t="n"/>
      <c r="K675" s="374" t="n"/>
      <c r="L675" s="374" t="n"/>
      <c r="M675" s="380" t="n"/>
      <c r="N675" s="374" t="n"/>
      <c r="O675" s="374" t="n"/>
      <c r="P675" s="374" t="n"/>
      <c r="Q675" s="374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391" t="n"/>
      <c r="C676" s="392" t="n"/>
      <c r="D676" s="447" t="n"/>
      <c r="E676" s="447" t="n"/>
      <c r="F676" s="394" t="n"/>
      <c r="G676" s="392" t="n"/>
      <c r="H676" s="392" t="n"/>
      <c r="I676" s="374" t="n"/>
      <c r="J676" s="374" t="n"/>
      <c r="K676" s="374" t="n"/>
      <c r="L676" s="374" t="n"/>
      <c r="M676" s="372" t="n"/>
      <c r="N676" s="374" t="n"/>
      <c r="O676" s="374" t="n"/>
      <c r="P676" s="374" t="n"/>
      <c r="Q676" s="374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391" t="n"/>
      <c r="C677" s="392" t="n"/>
      <c r="D677" s="402" t="n"/>
      <c r="E677" s="402" t="n"/>
      <c r="F677" s="394" t="n"/>
      <c r="G677" s="392" t="n"/>
      <c r="H677" s="392" t="n"/>
      <c r="I677" s="372" t="n"/>
      <c r="J677" s="374" t="n"/>
      <c r="K677" s="374" t="n"/>
      <c r="L677" s="374" t="n"/>
      <c r="M677" s="380" t="n"/>
      <c r="N677" s="374" t="n"/>
      <c r="O677" s="374" t="n"/>
      <c r="P677" s="374" t="n"/>
      <c r="Q677" s="374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381" t="n"/>
      <c r="C678" s="375" t="n"/>
      <c r="D678" s="382" t="inlineStr">
        <is>
          <t>Starlink Kit_DS</t>
        </is>
      </c>
      <c r="E678" s="448" t="n"/>
      <c r="F678" s="395" t="n"/>
      <c r="G678" s="375" t="n"/>
      <c r="H678" s="375" t="n"/>
      <c r="I678" s="377" t="n"/>
      <c r="J678" s="377" t="n"/>
      <c r="K678" s="377" t="n"/>
      <c r="L678" s="377" t="n"/>
      <c r="M678" s="364" t="n"/>
      <c r="N678" s="377" t="n"/>
      <c r="O678" s="377" t="n"/>
      <c r="P678" s="377" t="n"/>
      <c r="Q678" s="377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33" t="n">
        <v>45607</v>
      </c>
      <c r="C679" s="314" t="n">
        <v>1</v>
      </c>
      <c r="D679" s="326" t="inlineStr">
        <is>
          <t>Starlink Kit</t>
        </is>
      </c>
      <c r="E679" s="326" t="n"/>
      <c r="F679" s="323" t="n">
        <v>5583200</v>
      </c>
      <c r="G679" s="314" t="inlineStr">
        <is>
          <t>IDR</t>
        </is>
      </c>
      <c r="H679" s="345" t="n">
        <v>1</v>
      </c>
      <c r="I679" s="320" t="n"/>
      <c r="J679" s="321" t="n"/>
      <c r="K679" s="321" t="n"/>
      <c r="L679" s="321" t="n"/>
      <c r="M679" s="319" t="n"/>
      <c r="N679" s="329" t="n">
        <v>5583200</v>
      </c>
      <c r="O679" s="321" t="n"/>
      <c r="P679" s="321" t="n"/>
      <c r="Q679" s="321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A680" s="346" t="n"/>
      <c r="B680" s="381" t="n"/>
      <c r="C680" s="375" t="n"/>
      <c r="D680" s="382" t="inlineStr">
        <is>
          <t>Pelican Case 1650 TMA</t>
        </is>
      </c>
      <c r="E680" s="383" t="n"/>
      <c r="F680" s="395" t="n"/>
      <c r="G680" s="375" t="n"/>
      <c r="H680" s="375" t="n"/>
      <c r="I680" s="364" t="n"/>
      <c r="J680" s="377" t="n"/>
      <c r="K680" s="377" t="n"/>
      <c r="L680" s="377" t="n"/>
      <c r="M680" s="376" t="n"/>
      <c r="N680" s="377" t="n"/>
      <c r="O680" s="377" t="n"/>
      <c r="P680" s="377" t="n"/>
      <c r="Q680" s="377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91" t="n"/>
      <c r="C681" s="392" t="n"/>
      <c r="D681" s="393" t="inlineStr">
        <is>
          <t>Allowance</t>
        </is>
      </c>
      <c r="E681" s="393" t="n"/>
      <c r="F681" s="394" t="n"/>
      <c r="G681" s="392" t="n"/>
      <c r="H681" s="392" t="n"/>
      <c r="I681" s="374" t="n"/>
      <c r="J681" s="374" t="n"/>
      <c r="K681" s="374" t="n"/>
      <c r="L681" s="374" t="n"/>
      <c r="M681" s="374" t="n"/>
      <c r="N681" s="374" t="n"/>
      <c r="O681" s="374" t="n"/>
      <c r="P681" s="374" t="n"/>
      <c r="Q681" s="374" t="n"/>
      <c r="R681" s="373" t="n"/>
      <c r="S681" s="373" t="n"/>
      <c r="T681" s="373" t="n"/>
      <c r="U681" s="373" t="n"/>
      <c r="V681" s="373" t="n"/>
      <c r="W681" s="373" t="n"/>
      <c r="X681" s="373" t="n"/>
    </row>
    <row r="682" ht="15.5" customHeight="1" s="297">
      <c r="B682" s="381" t="n">
        <v>45585</v>
      </c>
      <c r="C682" s="375" t="n">
        <v>8</v>
      </c>
      <c r="D682" s="382" t="inlineStr">
        <is>
          <t>Non trip 3rd (follow up MCU concul &amp; visit KPP and Graha Elnusa)_AC</t>
        </is>
      </c>
      <c r="E682" s="383" t="n"/>
      <c r="F682" s="395" t="n">
        <v>1800</v>
      </c>
      <c r="G682" s="375" t="inlineStr">
        <is>
          <t>USD</t>
        </is>
      </c>
      <c r="H682" s="375" t="n">
        <v>15849</v>
      </c>
      <c r="I682" s="389">
        <f>H626*F626</f>
        <v/>
      </c>
      <c r="J682" s="377" t="n"/>
      <c r="K682" s="377" t="n"/>
      <c r="L682" s="377" t="n"/>
      <c r="M682" s="377" t="n"/>
      <c r="N682" s="377" t="n"/>
      <c r="O682" s="377" t="n"/>
      <c r="P682" s="377" t="n"/>
      <c r="Q682" s="377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385" t="n">
        <v>45596</v>
      </c>
      <c r="C683" s="386" t="n">
        <v>1</v>
      </c>
      <c r="D683" s="387" t="inlineStr">
        <is>
          <t>Medicine lanjutan</t>
        </is>
      </c>
      <c r="E683" s="387" t="n"/>
      <c r="F683" s="338" t="n">
        <v>604000</v>
      </c>
      <c r="G683" s="314" t="inlineStr">
        <is>
          <t>IDR</t>
        </is>
      </c>
      <c r="H683" s="345" t="n">
        <v>1</v>
      </c>
      <c r="I683" s="321" t="n"/>
      <c r="J683" s="321" t="n"/>
      <c r="K683" s="321" t="n"/>
      <c r="L683" s="321" t="n"/>
      <c r="M683" s="321" t="n"/>
      <c r="N683" s="321" t="n"/>
      <c r="O683" s="321" t="n"/>
      <c r="P683" s="329" t="n">
        <v>604000</v>
      </c>
      <c r="Q683" s="321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33" t="n"/>
      <c r="C684" s="314" t="n"/>
      <c r="D684" s="330" t="inlineStr">
        <is>
          <t>Medical</t>
        </is>
      </c>
      <c r="E684" s="367" t="n"/>
      <c r="F684" s="317" t="n"/>
      <c r="G684" s="314" t="n"/>
      <c r="H684" s="314" t="n"/>
      <c r="I684" s="321" t="n"/>
      <c r="J684" s="321" t="n"/>
      <c r="K684" s="321" t="n"/>
      <c r="L684" s="321" t="n"/>
      <c r="M684" s="321" t="n"/>
      <c r="N684" s="321" t="n"/>
      <c r="O684" s="321" t="n"/>
      <c r="P684" s="321" t="n"/>
      <c r="Q684" s="321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33" t="n">
        <v>45628</v>
      </c>
      <c r="C685" s="314" t="n">
        <v>2</v>
      </c>
      <c r="D685" s="326" t="inlineStr">
        <is>
          <t>Biaya Konsul Dokter Jantung 3rdPenyakit dalam</t>
        </is>
      </c>
      <c r="E685" s="326" t="n"/>
      <c r="F685" s="323" t="n">
        <v>799000</v>
      </c>
      <c r="G685" s="314" t="inlineStr">
        <is>
          <t>IDR</t>
        </is>
      </c>
      <c r="H685" s="345" t="n">
        <v>1</v>
      </c>
      <c r="I685" s="319" t="n"/>
      <c r="J685" s="321" t="n"/>
      <c r="K685" s="321" t="n"/>
      <c r="L685" s="321" t="n"/>
      <c r="M685" s="321" t="n"/>
      <c r="N685" s="321" t="n"/>
      <c r="O685" s="321" t="n"/>
      <c r="P685" s="329" t="n">
        <v>799000</v>
      </c>
      <c r="Q685" s="321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33" t="n"/>
      <c r="C686" s="314" t="n"/>
      <c r="D686" s="330" t="inlineStr">
        <is>
          <t>Transportation</t>
        </is>
      </c>
      <c r="E686" s="367" t="n"/>
      <c r="F686" s="317" t="n"/>
      <c r="G686" s="314" t="n"/>
      <c r="H686" s="314" t="n"/>
      <c r="I686" s="321" t="n"/>
      <c r="J686" s="321" t="n"/>
      <c r="K686" s="321" t="n"/>
      <c r="L686" s="321" t="n"/>
      <c r="M686" s="321" t="n"/>
      <c r="N686" s="321" t="n"/>
      <c r="O686" s="321" t="n"/>
      <c r="P686" s="321" t="n"/>
      <c r="Q686" s="321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33" t="n">
        <v>45627</v>
      </c>
      <c r="C687" s="314" t="n">
        <v>3</v>
      </c>
      <c r="D687" s="326" t="inlineStr">
        <is>
          <t>Biaya Konsul dokter Kulit a/n Diofavian</t>
        </is>
      </c>
      <c r="E687" s="326" t="n"/>
      <c r="F687" s="323" t="n">
        <v>1582141</v>
      </c>
      <c r="G687" s="314" t="inlineStr">
        <is>
          <t>IDR</t>
        </is>
      </c>
      <c r="H687" s="345" t="n">
        <v>1</v>
      </c>
      <c r="I687" s="319" t="n"/>
      <c r="J687" s="321" t="n"/>
      <c r="K687" s="321" t="n"/>
      <c r="L687" s="321" t="n"/>
      <c r="M687" s="321" t="n"/>
      <c r="N687" s="321" t="n"/>
      <c r="O687" s="321" t="n"/>
      <c r="P687" s="329" t="n">
        <v>1582141</v>
      </c>
      <c r="Q687" s="321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33" t="n">
        <v>45627</v>
      </c>
      <c r="C688" s="314" t="n">
        <v>4</v>
      </c>
      <c r="D688" s="326" t="inlineStr">
        <is>
          <t>Biaya Konsul Dokter mata a/n Eva linda</t>
        </is>
      </c>
      <c r="E688" s="326" t="n"/>
      <c r="F688" s="323" t="n">
        <v>970767</v>
      </c>
      <c r="G688" s="314" t="inlineStr">
        <is>
          <t>IDR</t>
        </is>
      </c>
      <c r="H688" s="345" t="n">
        <v>1</v>
      </c>
      <c r="I688" s="319" t="n"/>
      <c r="J688" s="321" t="n"/>
      <c r="K688" s="321" t="n"/>
      <c r="L688" s="321" t="n"/>
      <c r="M688" s="321" t="n"/>
      <c r="N688" s="321" t="n"/>
      <c r="O688" s="321" t="n"/>
      <c r="P688" s="329" t="n">
        <v>970767</v>
      </c>
      <c r="Q688" s="321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33" t="n">
        <v>45627</v>
      </c>
      <c r="C689" s="314" t="n">
        <v>5</v>
      </c>
      <c r="D689" s="326" t="inlineStr">
        <is>
          <t>Medicine lanjutan</t>
        </is>
      </c>
      <c r="E689" s="326" t="n"/>
      <c r="F689" s="323" t="n">
        <v>157000</v>
      </c>
      <c r="G689" s="314" t="inlineStr">
        <is>
          <t>IDR</t>
        </is>
      </c>
      <c r="H689" s="345" t="n">
        <v>1</v>
      </c>
      <c r="I689" s="319" t="n"/>
      <c r="J689" s="321" t="n"/>
      <c r="K689" s="321" t="n"/>
      <c r="L689" s="321" t="n"/>
      <c r="M689" s="321" t="n"/>
      <c r="N689" s="321" t="n"/>
      <c r="O689" s="321" t="n"/>
      <c r="P689" s="329" t="n">
        <v>157000</v>
      </c>
      <c r="Q689" s="321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33" t="n">
        <v>45627</v>
      </c>
      <c r="C690" s="314" t="n">
        <v>6</v>
      </c>
      <c r="D690" s="326" t="inlineStr">
        <is>
          <t>Medicine lanjutan</t>
        </is>
      </c>
      <c r="E690" s="326" t="n"/>
      <c r="F690" s="323" t="n">
        <v>152000</v>
      </c>
      <c r="G690" s="314" t="inlineStr">
        <is>
          <t>IDR</t>
        </is>
      </c>
      <c r="H690" s="345" t="n">
        <v>1</v>
      </c>
      <c r="I690" s="319" t="n"/>
      <c r="J690" s="321" t="n"/>
      <c r="K690" s="321" t="n"/>
      <c r="L690" s="321" t="n"/>
      <c r="M690" s="319" t="n"/>
      <c r="N690" s="321" t="n"/>
      <c r="O690" s="321" t="n"/>
      <c r="P690" s="329" t="n">
        <v>152000</v>
      </c>
      <c r="Q690" s="321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33" t="n">
        <v>45628</v>
      </c>
      <c r="C691" s="314" t="n">
        <v>7</v>
      </c>
      <c r="D691" s="326" t="inlineStr">
        <is>
          <t>Medicine after konsul jantung 3rd</t>
        </is>
      </c>
      <c r="E691" s="326" t="n"/>
      <c r="F691" s="323" t="n">
        <v>190309.5</v>
      </c>
      <c r="G691" s="314" t="inlineStr">
        <is>
          <t>IDR</t>
        </is>
      </c>
      <c r="H691" s="345" t="n">
        <v>1</v>
      </c>
      <c r="I691" s="319" t="n"/>
      <c r="J691" s="321" t="n"/>
      <c r="K691" s="321" t="n"/>
      <c r="L691" s="321" t="n"/>
      <c r="M691" s="319" t="n"/>
      <c r="N691" s="321" t="n"/>
      <c r="O691" s="321" t="n"/>
      <c r="P691" s="329" t="n">
        <v>190309.5</v>
      </c>
      <c r="Q691" s="321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85" t="n">
        <v>45637</v>
      </c>
      <c r="C692" s="386" t="n">
        <v>8</v>
      </c>
      <c r="D692" s="387" t="inlineStr">
        <is>
          <t>Medicine after konsul jantung 3rd</t>
        </is>
      </c>
      <c r="E692" s="387" t="n"/>
      <c r="F692" s="338" t="n">
        <v>417600</v>
      </c>
      <c r="G692" s="314" t="inlineStr">
        <is>
          <t>IDR</t>
        </is>
      </c>
      <c r="H692" s="345" t="n">
        <v>1</v>
      </c>
      <c r="I692" s="321" t="n"/>
      <c r="J692" s="321" t="n"/>
      <c r="K692" s="321" t="n"/>
      <c r="L692" s="321" t="n"/>
      <c r="M692" s="319" t="n"/>
      <c r="N692" s="321" t="n"/>
      <c r="O692" s="321" t="n"/>
      <c r="P692" s="329" t="n">
        <v>417600</v>
      </c>
      <c r="Q692" s="321" t="n"/>
      <c r="R692" s="322" t="n"/>
      <c r="S692" s="322" t="n"/>
      <c r="T692" s="322" t="n"/>
      <c r="U692" s="322" t="n"/>
      <c r="V692" s="322" t="n"/>
      <c r="W692" s="322" t="n"/>
      <c r="X692" s="322" t="n"/>
    </row>
    <row r="693" hidden="1" ht="15.5" customHeight="1" s="297">
      <c r="B693" s="449" t="n"/>
      <c r="C693" s="450" t="n"/>
      <c r="D693" s="451" t="n"/>
      <c r="E693" s="451" t="n"/>
      <c r="F693" s="452" t="n"/>
      <c r="G693" s="392" t="n"/>
      <c r="H693" s="392" t="n"/>
      <c r="I693" s="374" t="n"/>
      <c r="J693" s="374" t="n"/>
      <c r="K693" s="374" t="n"/>
      <c r="L693" s="374" t="n"/>
      <c r="M693" s="374" t="n"/>
      <c r="N693" s="380" t="n"/>
      <c r="O693" s="374" t="n"/>
      <c r="P693" s="374" t="n"/>
      <c r="Q693" s="374" t="n"/>
      <c r="R693" s="373" t="n"/>
      <c r="S693" s="373" t="n"/>
      <c r="T693" s="373" t="n"/>
      <c r="U693" s="373" t="n"/>
      <c r="V693" s="373" t="n"/>
      <c r="W693" s="373" t="n"/>
      <c r="X693" s="373" t="n"/>
    </row>
    <row r="694" ht="15.5" customHeight="1" s="297">
      <c r="B694" s="453" t="n">
        <v>45607</v>
      </c>
      <c r="C694" s="454" t="n">
        <v>9</v>
      </c>
      <c r="D694" s="455" t="inlineStr">
        <is>
          <t>Fuel diesel visit consul to KPP pajak</t>
        </is>
      </c>
      <c r="E694" s="455" t="n"/>
      <c r="F694" s="456" t="n">
        <v>276216</v>
      </c>
      <c r="G694" s="314" t="inlineStr">
        <is>
          <t>IDR</t>
        </is>
      </c>
      <c r="H694" s="345" t="n">
        <v>1</v>
      </c>
      <c r="I694" s="321" t="n"/>
      <c r="J694" s="329" t="n">
        <v>276216</v>
      </c>
      <c r="K694" s="321" t="n"/>
      <c r="L694" s="321" t="n"/>
      <c r="M694" s="319" t="n"/>
      <c r="N694" s="321" t="n"/>
      <c r="O694" s="321" t="n"/>
      <c r="P694" s="321" t="n"/>
      <c r="Q694" s="321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453" t="n">
        <v>45607</v>
      </c>
      <c r="C695" s="454" t="n">
        <v>10</v>
      </c>
      <c r="D695" s="455" t="inlineStr">
        <is>
          <t>toll gate</t>
        </is>
      </c>
      <c r="E695" s="455" t="n"/>
      <c r="F695" s="457" t="n">
        <v>79500</v>
      </c>
      <c r="G695" s="314" t="inlineStr">
        <is>
          <t>IDR</t>
        </is>
      </c>
      <c r="H695" s="345" t="n">
        <v>1</v>
      </c>
      <c r="I695" s="321" t="n"/>
      <c r="J695" s="329" t="n">
        <v>79500</v>
      </c>
      <c r="K695" s="321" t="n"/>
      <c r="L695" s="321" t="n"/>
      <c r="M695" s="319" t="n"/>
      <c r="N695" s="321" t="n"/>
      <c r="O695" s="321" t="n"/>
      <c r="P695" s="321" t="n"/>
      <c r="Q695" s="321" t="n"/>
      <c r="R695" s="322" t="n"/>
      <c r="S695" s="322" t="n"/>
      <c r="T695" s="322" t="n"/>
      <c r="U695" s="322" t="n"/>
      <c r="V695" s="322" t="n"/>
      <c r="W695" s="322" t="n"/>
      <c r="X695" s="322" t="n"/>
    </row>
    <row r="696" hidden="1" ht="15.5" customHeight="1" s="297">
      <c r="B696" s="458" t="n"/>
      <c r="C696" s="450" t="n"/>
      <c r="D696" s="459" t="n"/>
      <c r="E696" s="459" t="n"/>
      <c r="F696" s="460" t="n"/>
      <c r="G696" s="392" t="n"/>
      <c r="H696" s="392" t="n"/>
      <c r="I696" s="380" t="n"/>
      <c r="J696" s="374" t="n"/>
      <c r="K696" s="374" t="n"/>
      <c r="L696" s="374" t="n"/>
      <c r="M696" s="380" t="n"/>
      <c r="N696" s="374" t="n"/>
      <c r="O696" s="374" t="n"/>
      <c r="P696" s="374" t="n"/>
      <c r="Q696" s="374" t="n"/>
      <c r="R696" s="373" t="n"/>
      <c r="S696" s="373" t="n"/>
      <c r="T696" s="373" t="n"/>
      <c r="U696" s="373" t="n"/>
      <c r="V696" s="373" t="n"/>
      <c r="W696" s="373" t="n"/>
      <c r="X696" s="373" t="n"/>
    </row>
    <row r="697" ht="15.5" customHeight="1" s="297">
      <c r="B697" s="453" t="n">
        <v>45622</v>
      </c>
      <c r="C697" s="454" t="n">
        <v>11</v>
      </c>
      <c r="D697" s="455" t="inlineStr">
        <is>
          <t>Parkir Graha Elnusa (HSE tool hall meeting) at Elnusa (graha Elnusa)</t>
        </is>
      </c>
      <c r="E697" s="455" t="n"/>
      <c r="F697" s="461" t="n">
        <v>29000</v>
      </c>
      <c r="G697" s="314" t="inlineStr">
        <is>
          <t>IDR</t>
        </is>
      </c>
      <c r="H697" s="345" t="n">
        <v>1</v>
      </c>
      <c r="I697" s="319" t="n"/>
      <c r="J697" s="329" t="n">
        <v>29000</v>
      </c>
      <c r="K697" s="321" t="n"/>
      <c r="L697" s="321" t="n"/>
      <c r="M697" s="319" t="n"/>
      <c r="N697" s="321" t="n"/>
      <c r="O697" s="321" t="n"/>
      <c r="P697" s="321" t="n"/>
      <c r="Q697" s="321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453" t="n">
        <v>45622</v>
      </c>
      <c r="C698" s="454" t="n">
        <v>12</v>
      </c>
      <c r="D698" s="455" t="inlineStr">
        <is>
          <t>toll gate</t>
        </is>
      </c>
      <c r="E698" s="455" t="n"/>
      <c r="F698" s="461" t="n">
        <v>17000</v>
      </c>
      <c r="G698" s="314" t="inlineStr">
        <is>
          <t>IDR</t>
        </is>
      </c>
      <c r="H698" s="345" t="n">
        <v>1</v>
      </c>
      <c r="I698" s="321" t="n"/>
      <c r="J698" s="329" t="n">
        <v>17000</v>
      </c>
      <c r="K698" s="321" t="n"/>
      <c r="L698" s="321" t="n"/>
      <c r="M698" s="319" t="n"/>
      <c r="N698" s="321" t="n"/>
      <c r="O698" s="321" t="n"/>
      <c r="P698" s="321" t="n"/>
      <c r="Q698" s="321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A699" s="346" t="n"/>
      <c r="B699" s="462" t="n">
        <v>45636</v>
      </c>
      <c r="C699" s="463" t="n">
        <v>13</v>
      </c>
      <c r="D699" s="464" t="inlineStr">
        <is>
          <t>Meeting presentasi With Elnusa - Bandung &amp;Pembelian Sparepart dari Pei-Genesis.</t>
        </is>
      </c>
      <c r="E699" s="465" t="n"/>
      <c r="F699" s="466" t="n">
        <v>155680</v>
      </c>
      <c r="G699" s="375" t="inlineStr">
        <is>
          <t>IDR</t>
        </is>
      </c>
      <c r="H699" s="411" t="n">
        <v>1</v>
      </c>
      <c r="I699" s="377" t="n"/>
      <c r="J699" s="412" t="n">
        <v>155680</v>
      </c>
      <c r="K699" s="377" t="n"/>
      <c r="L699" s="377" t="n"/>
      <c r="M699" s="376" t="n"/>
      <c r="N699" s="377" t="n"/>
      <c r="O699" s="377" t="n"/>
      <c r="P699" s="377" t="n"/>
      <c r="Q699" s="377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A700" s="346" t="n"/>
      <c r="B700" s="453" t="n">
        <v>45650</v>
      </c>
      <c r="C700" s="454" t="n">
        <v>1</v>
      </c>
      <c r="D700" s="455" t="inlineStr">
        <is>
          <t>payment for hotel Grand Dafam and</t>
        </is>
      </c>
      <c r="E700" s="455" t="n"/>
      <c r="F700" s="461" t="n">
        <v>4913283</v>
      </c>
      <c r="G700" s="314" t="inlineStr">
        <is>
          <t>IDR</t>
        </is>
      </c>
      <c r="H700" s="345" t="n">
        <v>1</v>
      </c>
      <c r="I700" s="321" t="n"/>
      <c r="J700" s="329" t="n"/>
      <c r="K700" s="321" t="n"/>
      <c r="L700" s="321" t="n"/>
      <c r="M700" s="325" t="n">
        <v>4913283</v>
      </c>
      <c r="N700" s="321" t="n"/>
      <c r="O700" s="321" t="n"/>
      <c r="P700" s="321" t="n"/>
      <c r="Q700" s="321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453" t="n">
        <v>45646</v>
      </c>
      <c r="C701" s="454" t="n">
        <v>2</v>
      </c>
      <c r="D701" s="455" t="inlineStr">
        <is>
          <t>Meal</t>
        </is>
      </c>
      <c r="E701" s="455" t="n"/>
      <c r="F701" s="461" t="n">
        <v>195585</v>
      </c>
      <c r="G701" s="314" t="inlineStr">
        <is>
          <t>IDR</t>
        </is>
      </c>
      <c r="H701" s="345" t="n">
        <v>1</v>
      </c>
      <c r="I701" s="319" t="n"/>
      <c r="J701" s="329" t="n">
        <v>195585</v>
      </c>
      <c r="K701" s="321" t="n"/>
      <c r="L701" s="321" t="n"/>
      <c r="M701" s="319" t="n"/>
      <c r="N701" s="321" t="n"/>
      <c r="O701" s="321" t="n"/>
      <c r="P701" s="321" t="n"/>
      <c r="Q701" s="321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453" t="n">
        <v>45647</v>
      </c>
      <c r="C702" s="454" t="n">
        <v>3</v>
      </c>
      <c r="D702" s="455" t="inlineStr">
        <is>
          <t>Meal</t>
        </is>
      </c>
      <c r="E702" s="455" t="n"/>
      <c r="F702" s="461" t="n">
        <v>299900</v>
      </c>
      <c r="G702" s="314" t="inlineStr">
        <is>
          <t>IDR</t>
        </is>
      </c>
      <c r="H702" s="345" t="n">
        <v>1</v>
      </c>
      <c r="I702" s="321" t="n"/>
      <c r="J702" s="329" t="n">
        <v>299900</v>
      </c>
      <c r="K702" s="321" t="n"/>
      <c r="L702" s="321" t="n"/>
      <c r="M702" s="319" t="n"/>
      <c r="N702" s="321" t="n"/>
      <c r="O702" s="321" t="n"/>
      <c r="P702" s="321" t="n"/>
      <c r="Q702" s="321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453" t="n">
        <v>45646</v>
      </c>
      <c r="C703" s="454" t="n">
        <v>4</v>
      </c>
      <c r="D703" s="455" t="inlineStr">
        <is>
          <t>Traveling Jakarta - Bandung</t>
        </is>
      </c>
      <c r="E703" s="455" t="n"/>
      <c r="F703" s="461" t="n">
        <v>160000</v>
      </c>
      <c r="G703" s="314" t="inlineStr">
        <is>
          <t>IDR</t>
        </is>
      </c>
      <c r="H703" s="345" t="n">
        <v>1</v>
      </c>
      <c r="I703" s="319" t="n"/>
      <c r="J703" s="329" t="n">
        <v>160000</v>
      </c>
      <c r="K703" s="321" t="n"/>
      <c r="L703" s="321" t="n"/>
      <c r="M703" s="319" t="n"/>
      <c r="N703" s="321" t="n"/>
      <c r="O703" s="321" t="n"/>
      <c r="P703" s="321" t="n"/>
      <c r="Q703" s="321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453" t="n">
        <v>45647</v>
      </c>
      <c r="C704" s="454" t="n">
        <v>5</v>
      </c>
      <c r="D704" s="455" t="inlineStr">
        <is>
          <t>Taksi around the Bandung city for 2 days</t>
        </is>
      </c>
      <c r="E704" s="455" t="n"/>
      <c r="F704" s="461" t="n">
        <v>200000</v>
      </c>
      <c r="G704" s="314" t="inlineStr">
        <is>
          <t>IDR</t>
        </is>
      </c>
      <c r="H704" s="345" t="n">
        <v>1</v>
      </c>
      <c r="I704" s="319" t="n"/>
      <c r="J704" s="329" t="n">
        <v>200000</v>
      </c>
      <c r="K704" s="321" t="n"/>
      <c r="L704" s="321" t="n"/>
      <c r="M704" s="319" t="n"/>
      <c r="N704" s="321" t="n"/>
      <c r="O704" s="321" t="n"/>
      <c r="P704" s="321" t="n"/>
      <c r="Q704" s="321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453" t="n">
        <v>45647</v>
      </c>
      <c r="C705" s="454" t="n">
        <v>6</v>
      </c>
      <c r="D705" s="455" t="inlineStr">
        <is>
          <t>Traveling Bandung - Jakarta</t>
        </is>
      </c>
      <c r="E705" s="455" t="n"/>
      <c r="F705" s="461" t="n">
        <v>160000</v>
      </c>
      <c r="G705" s="314" t="inlineStr">
        <is>
          <t>IDR</t>
        </is>
      </c>
      <c r="H705" s="345" t="n">
        <v>1</v>
      </c>
      <c r="I705" s="319" t="n"/>
      <c r="J705" s="329" t="n">
        <v>160000</v>
      </c>
      <c r="K705" s="321" t="n"/>
      <c r="L705" s="321" t="n"/>
      <c r="M705" s="319" t="n"/>
      <c r="N705" s="321" t="n"/>
      <c r="O705" s="321" t="n"/>
      <c r="P705" s="321" t="n"/>
      <c r="Q705" s="321" t="n"/>
      <c r="R705" s="322" t="n"/>
      <c r="S705" s="322" t="n"/>
      <c r="T705" s="322" t="n"/>
      <c r="U705" s="322" t="n"/>
      <c r="V705" s="322" t="n"/>
      <c r="W705" s="322" t="n"/>
      <c r="X705" s="322" t="n"/>
    </row>
    <row r="706" hidden="1" ht="15.5" customHeight="1" s="297">
      <c r="B706" s="458" t="n"/>
      <c r="C706" s="450" t="n"/>
      <c r="D706" s="459" t="n"/>
      <c r="E706" s="459" t="n"/>
      <c r="F706" s="460" t="n"/>
      <c r="G706" s="392" t="n"/>
      <c r="H706" s="392" t="n"/>
      <c r="I706" s="380" t="n"/>
      <c r="J706" s="374" t="n"/>
      <c r="K706" s="374" t="n"/>
      <c r="L706" s="374" t="n"/>
      <c r="M706" s="374" t="n"/>
      <c r="N706" s="374" t="n"/>
      <c r="O706" s="374" t="n"/>
      <c r="P706" s="374" t="n"/>
      <c r="Q706" s="374" t="n"/>
      <c r="R706" s="373" t="n"/>
      <c r="S706" s="373" t="n"/>
      <c r="T706" s="373" t="n"/>
      <c r="U706" s="373" t="n"/>
      <c r="V706" s="373" t="n"/>
      <c r="W706" s="373" t="n"/>
      <c r="X706" s="373" t="n"/>
    </row>
    <row r="707" hidden="1" ht="15.5" customHeight="1" s="297">
      <c r="B707" s="458" t="n"/>
      <c r="C707" s="450" t="n"/>
      <c r="D707" s="459" t="n"/>
      <c r="E707" s="459" t="n"/>
      <c r="F707" s="460" t="n"/>
      <c r="G707" s="392" t="n"/>
      <c r="H707" s="392" t="n"/>
      <c r="I707" s="374" t="n"/>
      <c r="J707" s="374" t="n"/>
      <c r="K707" s="374" t="n"/>
      <c r="L707" s="374" t="n"/>
      <c r="M707" s="380" t="n"/>
      <c r="N707" s="374" t="n"/>
      <c r="O707" s="374" t="n"/>
      <c r="P707" s="374" t="n"/>
      <c r="Q707" s="374" t="n"/>
      <c r="R707" s="373" t="n"/>
      <c r="S707" s="373" t="n"/>
      <c r="T707" s="373" t="n"/>
      <c r="U707" s="373" t="n"/>
      <c r="V707" s="373" t="n"/>
      <c r="W707" s="373" t="n"/>
      <c r="X707" s="373" t="n"/>
    </row>
    <row r="708" hidden="1" ht="15.5" customHeight="1" s="297">
      <c r="B708" s="458" t="n"/>
      <c r="C708" s="450" t="n"/>
      <c r="D708" s="459" t="n"/>
      <c r="E708" s="459" t="n"/>
      <c r="F708" s="460" t="n"/>
      <c r="G708" s="392" t="n"/>
      <c r="H708" s="392" t="n"/>
      <c r="I708" s="372" t="n"/>
      <c r="J708" s="374" t="n"/>
      <c r="K708" s="374" t="n"/>
      <c r="L708" s="374" t="n"/>
      <c r="M708" s="380" t="n"/>
      <c r="N708" s="374" t="n"/>
      <c r="O708" s="374" t="n"/>
      <c r="P708" s="374" t="n"/>
      <c r="Q708" s="374" t="n"/>
      <c r="R708" s="373" t="n"/>
      <c r="S708" s="373" t="n"/>
      <c r="T708" s="373" t="n"/>
      <c r="U708" s="373" t="n"/>
      <c r="V708" s="373" t="n"/>
      <c r="W708" s="373" t="n"/>
      <c r="X708" s="373" t="n"/>
    </row>
    <row r="709" hidden="1" ht="15.5" customHeight="1" s="297">
      <c r="B709" s="458" t="n"/>
      <c r="C709" s="450" t="n"/>
      <c r="D709" s="459" t="n"/>
      <c r="E709" s="459" t="n"/>
      <c r="F709" s="460" t="n"/>
      <c r="G709" s="392" t="n"/>
      <c r="H709" s="392" t="n"/>
      <c r="I709" s="374" t="n"/>
      <c r="J709" s="374" t="n"/>
      <c r="K709" s="374" t="n"/>
      <c r="L709" s="374" t="n"/>
      <c r="M709" s="380" t="n"/>
      <c r="N709" s="374" t="n"/>
      <c r="O709" s="374" t="n"/>
      <c r="P709" s="374" t="n"/>
      <c r="Q709" s="374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A710" s="346" t="n"/>
      <c r="B710" s="462" t="n"/>
      <c r="C710" s="463" t="n"/>
      <c r="D710" s="464" t="inlineStr">
        <is>
          <t>General Operation_Year 2024 - AM</t>
        </is>
      </c>
      <c r="E710" s="465" t="n"/>
      <c r="F710" s="467" t="n"/>
      <c r="G710" s="375" t="n"/>
      <c r="H710" s="375" t="n"/>
      <c r="I710" s="377" t="n"/>
      <c r="J710" s="377" t="n"/>
      <c r="K710" s="377" t="n"/>
      <c r="L710" s="377" t="n"/>
      <c r="M710" s="376" t="n"/>
      <c r="N710" s="377" t="n"/>
      <c r="O710" s="377" t="n"/>
      <c r="P710" s="377" t="n"/>
      <c r="Q710" s="377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A711" s="346" t="n"/>
      <c r="B711" s="453" t="n"/>
      <c r="C711" s="454" t="n"/>
      <c r="D711" s="468" t="inlineStr">
        <is>
          <t>IT Services</t>
        </is>
      </c>
      <c r="E711" s="455" t="n"/>
      <c r="F711" s="469" t="n"/>
      <c r="G711" s="314" t="n"/>
      <c r="H711" s="314" t="n"/>
      <c r="I711" s="321" t="n"/>
      <c r="J711" s="321" t="n"/>
      <c r="K711" s="321" t="n"/>
      <c r="L711" s="321" t="n"/>
      <c r="M711" s="319" t="n"/>
      <c r="N711" s="321" t="n"/>
      <c r="O711" s="321" t="n"/>
      <c r="P711" s="321" t="n"/>
      <c r="Q711" s="321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A712" s="346" t="n"/>
      <c r="B712" s="453" t="n"/>
      <c r="C712" s="454" t="n"/>
      <c r="D712" s="468" t="inlineStr">
        <is>
          <t>Training</t>
        </is>
      </c>
      <c r="E712" s="455" t="n"/>
      <c r="F712" s="469" t="n"/>
      <c r="G712" s="314" t="n"/>
      <c r="H712" s="314" t="n"/>
      <c r="I712" s="321" t="n"/>
      <c r="J712" s="321" t="n"/>
      <c r="K712" s="321" t="n"/>
      <c r="L712" s="321" t="n"/>
      <c r="M712" s="319" t="n"/>
      <c r="N712" s="321" t="n"/>
      <c r="O712" s="321" t="n"/>
      <c r="P712" s="321" t="n"/>
      <c r="Q712" s="321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70" t="n"/>
      <c r="C713" s="454" t="n"/>
      <c r="D713" s="330" t="inlineStr">
        <is>
          <t>Trip</t>
        </is>
      </c>
      <c r="E713" s="471" t="n"/>
      <c r="F713" s="469" t="n"/>
      <c r="G713" s="314" t="n"/>
      <c r="H713" s="314" t="n"/>
      <c r="I713" s="426" t="n"/>
      <c r="J713" s="426" t="n"/>
      <c r="K713" s="426" t="n"/>
      <c r="L713" s="426" t="n"/>
      <c r="M713" s="426" t="n"/>
      <c r="N713" s="426" t="n"/>
      <c r="O713" s="426" t="n"/>
      <c r="P713" s="426" t="n"/>
      <c r="Q713" s="426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3" t="n">
        <v>45307</v>
      </c>
      <c r="C714" s="454" t="n">
        <v>1</v>
      </c>
      <c r="D714" s="455" t="inlineStr">
        <is>
          <t>Google Workspace PT. EWI</t>
        </is>
      </c>
      <c r="E714" s="455" t="n"/>
      <c r="F714" s="461" t="n">
        <v>306982</v>
      </c>
      <c r="G714" s="314" t="inlineStr">
        <is>
          <t>IDR</t>
        </is>
      </c>
      <c r="H714" s="345" t="n">
        <v>1</v>
      </c>
      <c r="I714" s="319" t="n"/>
      <c r="J714" s="426" t="n"/>
      <c r="K714" s="426" t="n"/>
      <c r="L714" s="426" t="n"/>
      <c r="M714" s="427" t="n">
        <v>306982</v>
      </c>
      <c r="N714" s="426" t="n"/>
      <c r="O714" s="426" t="n"/>
      <c r="P714" s="426" t="n"/>
      <c r="Q714" s="426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3" t="n">
        <v>45338</v>
      </c>
      <c r="C715" s="454" t="n">
        <v>2</v>
      </c>
      <c r="D715" s="455" t="inlineStr">
        <is>
          <t>Google Workspace PT. EWI</t>
        </is>
      </c>
      <c r="E715" s="455" t="n"/>
      <c r="F715" s="461" t="n">
        <v>306982</v>
      </c>
      <c r="G715" s="314" t="inlineStr">
        <is>
          <t>IDR</t>
        </is>
      </c>
      <c r="H715" s="345" t="n">
        <v>1</v>
      </c>
      <c r="I715" s="319" t="n"/>
      <c r="J715" s="426" t="n"/>
      <c r="K715" s="426" t="n"/>
      <c r="L715" s="426" t="n"/>
      <c r="M715" s="427" t="n">
        <v>306982</v>
      </c>
      <c r="N715" s="426" t="n"/>
      <c r="O715" s="426" t="n"/>
      <c r="P715" s="426" t="n"/>
      <c r="Q715" s="426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3" t="n">
        <v>45367</v>
      </c>
      <c r="C716" s="454" t="n">
        <v>3</v>
      </c>
      <c r="D716" s="455" t="inlineStr">
        <is>
          <t>Google Workspace PT. EWI</t>
        </is>
      </c>
      <c r="E716" s="455" t="n"/>
      <c r="F716" s="461" t="n">
        <v>306982</v>
      </c>
      <c r="G716" s="314" t="inlineStr">
        <is>
          <t>IDR</t>
        </is>
      </c>
      <c r="H716" s="345" t="n">
        <v>1</v>
      </c>
      <c r="I716" s="319" t="n"/>
      <c r="J716" s="426" t="n"/>
      <c r="K716" s="426" t="n"/>
      <c r="L716" s="426" t="n"/>
      <c r="M716" s="427" t="n">
        <v>306982</v>
      </c>
      <c r="N716" s="426" t="n"/>
      <c r="O716" s="426" t="n"/>
      <c r="P716" s="426" t="n"/>
      <c r="Q716" s="426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3" t="n">
        <v>45398</v>
      </c>
      <c r="C717" s="454" t="n">
        <v>4</v>
      </c>
      <c r="D717" s="455" t="inlineStr">
        <is>
          <t>Google Workspace PT. EWI</t>
        </is>
      </c>
      <c r="E717" s="455" t="n"/>
      <c r="F717" s="461" t="n">
        <v>306982</v>
      </c>
      <c r="G717" s="314" t="inlineStr">
        <is>
          <t>IDR</t>
        </is>
      </c>
      <c r="H717" s="345" t="n">
        <v>1</v>
      </c>
      <c r="I717" s="319" t="n"/>
      <c r="J717" s="426" t="n"/>
      <c r="K717" s="426" t="n"/>
      <c r="L717" s="426" t="n"/>
      <c r="M717" s="427" t="n">
        <v>306982</v>
      </c>
      <c r="N717" s="426" t="n"/>
      <c r="O717" s="426" t="n"/>
      <c r="P717" s="426" t="n"/>
      <c r="Q717" s="426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3" t="n">
        <v>45428</v>
      </c>
      <c r="C718" s="454" t="n">
        <v>5</v>
      </c>
      <c r="D718" s="455" t="inlineStr">
        <is>
          <t>Google Workspace PT. EWI</t>
        </is>
      </c>
      <c r="E718" s="455" t="n"/>
      <c r="F718" s="461" t="n">
        <v>306982</v>
      </c>
      <c r="G718" s="314" t="inlineStr">
        <is>
          <t>IDR</t>
        </is>
      </c>
      <c r="H718" s="345" t="n">
        <v>1</v>
      </c>
      <c r="I718" s="319" t="n"/>
      <c r="J718" s="426" t="n"/>
      <c r="K718" s="426" t="n"/>
      <c r="L718" s="426" t="n"/>
      <c r="M718" s="427" t="n">
        <v>306982</v>
      </c>
      <c r="N718" s="426" t="n"/>
      <c r="O718" s="426" t="n"/>
      <c r="P718" s="426" t="n"/>
      <c r="Q718" s="426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3" t="n">
        <v>45646</v>
      </c>
      <c r="C719" s="454" t="n">
        <v>6</v>
      </c>
      <c r="D719" s="455" t="inlineStr">
        <is>
          <t>Taxi Home to KCIC Train station</t>
        </is>
      </c>
      <c r="E719" s="455" t="n"/>
      <c r="F719" s="461" t="n">
        <v>100000</v>
      </c>
      <c r="G719" s="314" t="inlineStr">
        <is>
          <t>IDR</t>
        </is>
      </c>
      <c r="H719" s="345" t="n">
        <v>1</v>
      </c>
      <c r="I719" s="319" t="n"/>
      <c r="J719" s="427" t="n">
        <v>100000</v>
      </c>
      <c r="K719" s="426" t="n"/>
      <c r="L719" s="426" t="n"/>
      <c r="M719" s="426" t="n"/>
      <c r="N719" s="426" t="n"/>
      <c r="O719" s="426" t="n"/>
      <c r="P719" s="426" t="n"/>
      <c r="Q719" s="426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>
        <v>45646</v>
      </c>
      <c r="C720" s="454" t="n">
        <v>7</v>
      </c>
      <c r="D720" s="455" t="inlineStr">
        <is>
          <t>Train Round trip Jakarta - Bandung @200K/trip</t>
        </is>
      </c>
      <c r="E720" s="455" t="n"/>
      <c r="F720" s="461" t="n">
        <v>400000</v>
      </c>
      <c r="G720" s="314" t="inlineStr">
        <is>
          <t>IDR</t>
        </is>
      </c>
      <c r="H720" s="345" t="n">
        <v>1</v>
      </c>
      <c r="I720" s="319" t="n"/>
      <c r="J720" s="427" t="n">
        <v>400000</v>
      </c>
      <c r="K720" s="426" t="n"/>
      <c r="L720" s="426" t="n"/>
      <c r="M720" s="426" t="n"/>
      <c r="N720" s="426" t="n"/>
      <c r="O720" s="426" t="n"/>
      <c r="P720" s="426" t="n"/>
      <c r="Q720" s="426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53" t="n">
        <v>45647</v>
      </c>
      <c r="C721" s="454" t="n">
        <v>8</v>
      </c>
      <c r="D721" s="455" t="inlineStr">
        <is>
          <t>Hotel 1 night 20 - 21 Dec 2024</t>
        </is>
      </c>
      <c r="E721" s="455" t="n"/>
      <c r="F721" s="461" t="n">
        <v>784000</v>
      </c>
      <c r="G721" s="314" t="inlineStr">
        <is>
          <t>IDR</t>
        </is>
      </c>
      <c r="H721" s="345" t="n">
        <v>1</v>
      </c>
      <c r="I721" s="319" t="n"/>
      <c r="J721" s="427" t="n">
        <v>784000</v>
      </c>
      <c r="K721" s="426" t="n"/>
      <c r="L721" s="426" t="n"/>
      <c r="M721" s="426" t="n"/>
      <c r="N721" s="426" t="n"/>
      <c r="O721" s="426" t="n"/>
      <c r="P721" s="426" t="n"/>
      <c r="Q721" s="426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72" t="n">
        <v>45647</v>
      </c>
      <c r="C722" s="386" t="n">
        <v>9</v>
      </c>
      <c r="D722" s="473" t="inlineStr">
        <is>
          <t>Taxi from KCIC Stationa Halim to Home</t>
        </is>
      </c>
      <c r="E722" s="473" t="n"/>
      <c r="F722" s="474" t="n">
        <v>100000</v>
      </c>
      <c r="G722" s="386" t="inlineStr">
        <is>
          <t>IDR</t>
        </is>
      </c>
      <c r="H722" s="475" t="n">
        <v>1</v>
      </c>
      <c r="I722" s="426" t="n"/>
      <c r="J722" s="427" t="n">
        <v>100000</v>
      </c>
      <c r="K722" s="426" t="n"/>
      <c r="L722" s="426" t="n"/>
      <c r="M722" s="426" t="n"/>
      <c r="N722" s="426" t="n"/>
      <c r="O722" s="426" t="n"/>
      <c r="P722" s="426" t="n"/>
      <c r="Q722" s="426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313" t="n">
        <v>45647</v>
      </c>
      <c r="C723" s="314" t="n">
        <v>10</v>
      </c>
      <c r="D723" s="316" t="inlineStr">
        <is>
          <t>Meals 2 days @ 150,000/day</t>
        </is>
      </c>
      <c r="E723" s="316" t="n"/>
      <c r="F723" s="323" t="n">
        <v>300000</v>
      </c>
      <c r="G723" s="316" t="inlineStr">
        <is>
          <t>IDR</t>
        </is>
      </c>
      <c r="H723" s="345" t="n">
        <v>1</v>
      </c>
      <c r="I723" s="426" t="n"/>
      <c r="J723" s="427" t="n">
        <v>300000</v>
      </c>
      <c r="K723" s="426" t="n"/>
      <c r="L723" s="426" t="n"/>
      <c r="M723" s="426" t="n"/>
      <c r="N723" s="426" t="n"/>
      <c r="O723" s="426" t="n"/>
      <c r="P723" s="426" t="n"/>
      <c r="Q723" s="426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72" t="n">
        <v>45335</v>
      </c>
      <c r="C724" s="386" t="n">
        <v>11</v>
      </c>
      <c r="D724" s="473" t="inlineStr">
        <is>
          <t>Shipment Benchmark DTR to Malaysia</t>
        </is>
      </c>
      <c r="E724" s="473" t="n"/>
      <c r="F724" s="474" t="n">
        <v>13201183.322</v>
      </c>
      <c r="G724" s="386" t="inlineStr">
        <is>
          <t>MYR</t>
        </is>
      </c>
      <c r="H724" s="475" t="n">
        <v>3636.89</v>
      </c>
      <c r="I724" s="426" t="n"/>
      <c r="J724" s="427" t="n">
        <v>13201183.322</v>
      </c>
      <c r="K724" s="426" t="n"/>
      <c r="L724" s="426" t="n"/>
      <c r="M724" s="426" t="n"/>
      <c r="N724" s="426" t="n"/>
      <c r="O724" s="426" t="n"/>
      <c r="P724" s="426" t="n"/>
      <c r="Q724" s="426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390" t="n">
        <v>45362</v>
      </c>
      <c r="C725" s="314" t="n">
        <v>12</v>
      </c>
      <c r="D725" s="476" t="inlineStr">
        <is>
          <t>Taxi Home - CGK Airport</t>
        </is>
      </c>
      <c r="E725" s="476" t="n"/>
      <c r="F725" s="474" t="n">
        <v>200000</v>
      </c>
      <c r="G725" s="386" t="inlineStr">
        <is>
          <t>IDR</t>
        </is>
      </c>
      <c r="H725" s="475" t="n">
        <v>1</v>
      </c>
      <c r="I725" s="426" t="n"/>
      <c r="J725" s="427" t="n">
        <v>200000</v>
      </c>
      <c r="K725" s="426" t="n"/>
      <c r="L725" s="426" t="n"/>
      <c r="M725" s="426" t="n"/>
      <c r="N725" s="426" t="n"/>
      <c r="O725" s="426" t="n"/>
      <c r="P725" s="426" t="n"/>
      <c r="Q725" s="426" t="n"/>
      <c r="R725" s="322" t="n"/>
      <c r="S725" s="322" t="n"/>
      <c r="T725" s="322" t="n"/>
      <c r="U725" s="322" t="n"/>
      <c r="V725" s="322" t="n"/>
      <c r="W725" s="322" t="n"/>
      <c r="X725" s="322" t="n"/>
    </row>
    <row r="726" ht="15.5" customHeight="1" s="297">
      <c r="B726" s="385" t="n">
        <v>45362</v>
      </c>
      <c r="C726" s="386" t="n">
        <v>13</v>
      </c>
      <c r="D726" s="387" t="inlineStr">
        <is>
          <t>Flight CGK-KUL + Hotel 1 night</t>
        </is>
      </c>
      <c r="E726" s="387" t="n"/>
      <c r="F726" s="474" t="n">
        <v>1803353</v>
      </c>
      <c r="G726" s="386" t="inlineStr">
        <is>
          <t>IDR</t>
        </is>
      </c>
      <c r="H726" s="475" t="n">
        <v>1</v>
      </c>
      <c r="I726" s="426" t="n"/>
      <c r="J726" s="427" t="n">
        <v>1803353</v>
      </c>
      <c r="K726" s="426" t="n"/>
      <c r="L726" s="426" t="n"/>
      <c r="M726" s="426" t="n"/>
      <c r="N726" s="426" t="n"/>
      <c r="O726" s="426" t="n"/>
      <c r="P726" s="426" t="n"/>
      <c r="Q726" s="426" t="n"/>
      <c r="R726" s="322" t="n"/>
      <c r="S726" s="322" t="n"/>
      <c r="T726" s="322" t="n"/>
      <c r="U726" s="322" t="n"/>
      <c r="V726" s="322" t="n"/>
      <c r="W726" s="322" t="n"/>
      <c r="X726" s="322" t="n"/>
    </row>
    <row r="727" hidden="1" ht="15.5" customHeight="1" s="297">
      <c r="B727" s="477" t="n"/>
      <c r="C727" s="477" t="n"/>
      <c r="D727" s="478" t="n"/>
      <c r="E727" s="478" t="n"/>
      <c r="F727" s="477" t="n"/>
      <c r="G727" s="479" t="n"/>
      <c r="H727" s="479" t="n"/>
      <c r="I727" s="480" t="n"/>
      <c r="J727" s="480" t="n"/>
      <c r="K727" s="480" t="n"/>
      <c r="L727" s="480" t="n"/>
      <c r="M727" s="480" t="n"/>
      <c r="N727" s="480" t="n"/>
      <c r="O727" s="480" t="n"/>
      <c r="P727" s="480" t="n"/>
      <c r="Q727" s="480" t="n"/>
      <c r="R727" s="373" t="n"/>
      <c r="S727" s="373" t="n"/>
      <c r="T727" s="373" t="n"/>
      <c r="U727" s="373" t="n"/>
      <c r="V727" s="373" t="n"/>
      <c r="W727" s="373" t="n"/>
      <c r="X727" s="373" t="n"/>
    </row>
    <row r="728" ht="15.5" customHeight="1" s="297">
      <c r="B728" s="313" t="n">
        <v>45362</v>
      </c>
      <c r="C728" s="314" t="n">
        <v>14</v>
      </c>
      <c r="D728" s="316" t="inlineStr">
        <is>
          <t>Train KLIA Airport to Hyperseal</t>
        </is>
      </c>
      <c r="E728" s="316" t="n"/>
      <c r="F728" s="323" t="n">
        <v>181844.5</v>
      </c>
      <c r="G728" s="314" t="inlineStr">
        <is>
          <t>MYR</t>
        </is>
      </c>
      <c r="H728" s="345" t="n">
        <v>3636.89</v>
      </c>
      <c r="I728" s="426" t="n"/>
      <c r="J728" s="427" t="n">
        <v>181844.5</v>
      </c>
      <c r="K728" s="426" t="n"/>
      <c r="L728" s="426" t="n"/>
      <c r="M728" s="426" t="n"/>
      <c r="N728" s="426" t="n"/>
      <c r="O728" s="426" t="n"/>
      <c r="P728" s="426" t="n"/>
      <c r="Q728" s="426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313" t="n">
        <v>45363</v>
      </c>
      <c r="C729" s="314" t="n">
        <v>15</v>
      </c>
      <c r="D729" s="316" t="inlineStr">
        <is>
          <t>Flight KUL- CGK</t>
        </is>
      </c>
      <c r="E729" s="316" t="n"/>
      <c r="F729" s="323" t="n">
        <v>1897983</v>
      </c>
      <c r="G729" s="314" t="inlineStr">
        <is>
          <t>IDR</t>
        </is>
      </c>
      <c r="H729" s="345" t="n">
        <v>1</v>
      </c>
      <c r="I729" s="426" t="n"/>
      <c r="J729" s="427" t="n">
        <v>1897983</v>
      </c>
      <c r="K729" s="426" t="n"/>
      <c r="L729" s="426" t="n"/>
      <c r="M729" s="426" t="n"/>
      <c r="N729" s="426" t="n"/>
      <c r="O729" s="426" t="n"/>
      <c r="P729" s="426" t="n"/>
      <c r="Q729" s="426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313" t="n">
        <v>45363</v>
      </c>
      <c r="C730" s="314" t="n">
        <v>16</v>
      </c>
      <c r="D730" s="316" t="inlineStr">
        <is>
          <t>Train Hyperseal to KLIA Airport</t>
        </is>
      </c>
      <c r="E730" s="316" t="n"/>
      <c r="F730" s="323" t="n">
        <v>181844.5</v>
      </c>
      <c r="G730" s="314" t="inlineStr">
        <is>
          <t>MYR</t>
        </is>
      </c>
      <c r="H730" s="345" t="n">
        <v>3636.89</v>
      </c>
      <c r="I730" s="426" t="n"/>
      <c r="J730" s="427" t="n">
        <v>181844.5</v>
      </c>
      <c r="K730" s="426" t="n"/>
      <c r="L730" s="426" t="n"/>
      <c r="M730" s="426" t="n"/>
      <c r="N730" s="426" t="n"/>
      <c r="O730" s="426" t="n"/>
      <c r="P730" s="426" t="n"/>
      <c r="Q730" s="426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313" t="n">
        <v>45363</v>
      </c>
      <c r="C731" s="314" t="n">
        <v>17</v>
      </c>
      <c r="D731" s="316" t="inlineStr">
        <is>
          <t>Taxi CGK Airport to Home</t>
        </is>
      </c>
      <c r="E731" s="316" t="n"/>
      <c r="F731" s="323" t="n">
        <v>200000</v>
      </c>
      <c r="G731" s="314" t="inlineStr">
        <is>
          <t>IDR</t>
        </is>
      </c>
      <c r="H731" s="345" t="n">
        <v>1</v>
      </c>
      <c r="I731" s="426" t="n"/>
      <c r="J731" s="427" t="n">
        <v>200000</v>
      </c>
      <c r="K731" s="426" t="n"/>
      <c r="L731" s="426" t="n"/>
      <c r="M731" s="426" t="n"/>
      <c r="N731" s="426" t="n"/>
      <c r="O731" s="426" t="n"/>
      <c r="P731" s="426" t="n"/>
      <c r="Q731" s="426" t="n"/>
      <c r="R731" s="322" t="n"/>
      <c r="S731" s="322" t="n"/>
      <c r="T731" s="322" t="n"/>
      <c r="U731" s="322" t="n"/>
      <c r="V731" s="322" t="n"/>
      <c r="W731" s="322" t="n"/>
      <c r="X731" s="322" t="n"/>
    </row>
    <row r="732" ht="15.5" customHeight="1" s="297">
      <c r="B732" s="313" t="n">
        <v>45363</v>
      </c>
      <c r="C732" s="314" t="n">
        <v>18</v>
      </c>
      <c r="D732" s="316" t="inlineStr">
        <is>
          <t>Meals 2 days @ 300,000/day</t>
        </is>
      </c>
      <c r="E732" s="316" t="n"/>
      <c r="F732" s="323" t="n">
        <v>600000</v>
      </c>
      <c r="G732" s="314" t="inlineStr">
        <is>
          <t>IDR</t>
        </is>
      </c>
      <c r="H732" s="345" t="n">
        <v>1</v>
      </c>
      <c r="I732" s="426" t="n"/>
      <c r="J732" s="427" t="n">
        <v>600000</v>
      </c>
      <c r="K732" s="426" t="n"/>
      <c r="L732" s="426" t="n"/>
      <c r="M732" s="426" t="n"/>
      <c r="N732" s="426" t="n"/>
      <c r="O732" s="426" t="n"/>
      <c r="P732" s="426" t="n"/>
      <c r="Q732" s="426" t="n"/>
      <c r="R732" s="322" t="n"/>
      <c r="S732" s="322" t="n"/>
      <c r="T732" s="322" t="n"/>
      <c r="U732" s="322" t="n"/>
      <c r="V732" s="322" t="n"/>
      <c r="W732" s="322" t="n"/>
      <c r="X732" s="322" t="n"/>
    </row>
    <row r="733" ht="15.5" customHeight="1" s="297">
      <c r="B733" s="313" t="n">
        <v>45404</v>
      </c>
      <c r="C733" s="314" t="n">
        <v>19</v>
      </c>
      <c r="D733" s="316" t="inlineStr">
        <is>
          <t>Car 22-23 Apr 2024 (2 days) incl. Fuel &amp; Tol</t>
        </is>
      </c>
      <c r="E733" s="316" t="n"/>
      <c r="F733" s="323" t="n">
        <v>3000000</v>
      </c>
      <c r="G733" s="314" t="inlineStr">
        <is>
          <t>IDR</t>
        </is>
      </c>
      <c r="H733" s="345" t="n">
        <v>1</v>
      </c>
      <c r="I733" s="426" t="n"/>
      <c r="J733" s="427" t="n">
        <v>3000000</v>
      </c>
      <c r="K733" s="426" t="n"/>
      <c r="L733" s="426" t="n"/>
      <c r="M733" s="426" t="n"/>
      <c r="N733" s="426" t="n"/>
      <c r="O733" s="426" t="n"/>
      <c r="P733" s="426" t="n"/>
      <c r="Q733" s="426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313" t="n">
        <v>45405</v>
      </c>
      <c r="C734" s="314" t="n">
        <v>20</v>
      </c>
      <c r="D734" s="316" t="inlineStr">
        <is>
          <t>Tunjangan Lapangan @ 1.5 juta/day x 2 days</t>
        </is>
      </c>
      <c r="E734" s="316" t="n"/>
      <c r="F734" s="323" t="n">
        <v>3000000</v>
      </c>
      <c r="G734" s="314" t="inlineStr">
        <is>
          <t>IDR</t>
        </is>
      </c>
      <c r="H734" s="345" t="n">
        <v>1</v>
      </c>
      <c r="I734" s="426" t="n"/>
      <c r="J734" s="427" t="n">
        <v>3000000</v>
      </c>
      <c r="K734" s="426" t="n"/>
      <c r="L734" s="426" t="n"/>
      <c r="M734" s="426" t="n"/>
      <c r="N734" s="426" t="n"/>
      <c r="O734" s="426" t="n"/>
      <c r="P734" s="426" t="n"/>
      <c r="Q734" s="426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313" t="n">
        <v>45405</v>
      </c>
      <c r="C735" s="314" t="n">
        <v>21</v>
      </c>
      <c r="D735" s="316" t="inlineStr">
        <is>
          <t>Meals 2 days @ 150,000/day</t>
        </is>
      </c>
      <c r="E735" s="316" t="n"/>
      <c r="F735" s="323" t="n">
        <v>300000</v>
      </c>
      <c r="G735" s="314" t="inlineStr">
        <is>
          <t>IDR</t>
        </is>
      </c>
      <c r="H735" s="345" t="n">
        <v>1</v>
      </c>
      <c r="I735" s="426" t="n"/>
      <c r="J735" s="427" t="n">
        <v>300000</v>
      </c>
      <c r="K735" s="426" t="n"/>
      <c r="L735" s="426" t="n"/>
      <c r="M735" s="426" t="n"/>
      <c r="N735" s="426" t="n"/>
      <c r="O735" s="426" t="n"/>
      <c r="P735" s="426" t="n"/>
      <c r="Q735" s="426" t="n"/>
      <c r="R735" s="322" t="n"/>
      <c r="S735" s="322" t="n"/>
      <c r="T735" s="322" t="n"/>
      <c r="U735" s="322" t="n"/>
      <c r="V735" s="322" t="n"/>
      <c r="W735" s="322" t="n"/>
      <c r="X735" s="322" t="n"/>
    </row>
    <row r="736" hidden="1" ht="15.5" customHeight="1" s="297">
      <c r="B736" s="391" t="n"/>
      <c r="C736" s="392" t="n"/>
      <c r="D736" s="432" t="n"/>
      <c r="E736" s="432" t="n"/>
      <c r="F736" s="394" t="n"/>
      <c r="G736" s="392" t="n"/>
      <c r="H736" s="392" t="n"/>
      <c r="I736" s="480" t="n"/>
      <c r="J736" s="480" t="n"/>
      <c r="K736" s="480" t="n"/>
      <c r="L736" s="480" t="n"/>
      <c r="M736" s="480" t="n"/>
      <c r="N736" s="480" t="n"/>
      <c r="O736" s="480" t="n"/>
      <c r="P736" s="480" t="n"/>
      <c r="Q736" s="480" t="n"/>
      <c r="R736" s="373" t="n"/>
      <c r="S736" s="373" t="n"/>
      <c r="T736" s="373" t="n"/>
      <c r="U736" s="373" t="n"/>
      <c r="V736" s="373" t="n"/>
      <c r="W736" s="373" t="n"/>
      <c r="X736" s="373" t="n"/>
    </row>
    <row r="737" ht="15.5" customHeight="1" s="297">
      <c r="B737" s="333" t="n">
        <v>45412</v>
      </c>
      <c r="C737" s="314" t="n">
        <v>22</v>
      </c>
      <c r="D737" s="326" t="inlineStr">
        <is>
          <t>Car 30 Apr-01 May 2024 (2 days) incl. Fuel &amp; Tol</t>
        </is>
      </c>
      <c r="E737" s="326" t="n"/>
      <c r="F737" s="323" t="n">
        <v>3000000</v>
      </c>
      <c r="G737" s="314" t="inlineStr">
        <is>
          <t>IDR</t>
        </is>
      </c>
      <c r="H737" s="345" t="n">
        <v>1</v>
      </c>
      <c r="I737" s="319" t="n"/>
      <c r="J737" s="427" t="n">
        <v>3000000</v>
      </c>
      <c r="K737" s="426" t="n"/>
      <c r="L737" s="426" t="n"/>
      <c r="M737" s="426" t="n"/>
      <c r="N737" s="426" t="n"/>
      <c r="O737" s="426" t="n"/>
      <c r="P737" s="426" t="n"/>
      <c r="Q737" s="426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391" t="n"/>
      <c r="C738" s="392" t="n"/>
      <c r="D738" s="402" t="n"/>
      <c r="E738" s="402" t="n"/>
      <c r="F738" s="394" t="n"/>
      <c r="G738" s="392" t="n"/>
      <c r="H738" s="392" t="n"/>
      <c r="I738" s="380" t="n"/>
      <c r="J738" s="480" t="n"/>
      <c r="K738" s="480" t="n"/>
      <c r="L738" s="480" t="n"/>
      <c r="M738" s="480" t="n"/>
      <c r="N738" s="480" t="n"/>
      <c r="O738" s="480" t="n"/>
      <c r="P738" s="480" t="n"/>
      <c r="Q738" s="480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391" t="n"/>
      <c r="C739" s="392" t="n"/>
      <c r="D739" s="402" t="n"/>
      <c r="E739" s="402" t="n"/>
      <c r="F739" s="394" t="n"/>
      <c r="G739" s="392" t="n"/>
      <c r="H739" s="392" t="n"/>
      <c r="I739" s="380" t="n"/>
      <c r="J739" s="480" t="n"/>
      <c r="K739" s="480" t="n"/>
      <c r="L739" s="480" t="n"/>
      <c r="M739" s="480" t="n"/>
      <c r="N739" s="480" t="n"/>
      <c r="O739" s="480" t="n"/>
      <c r="P739" s="480" t="n"/>
      <c r="Q739" s="480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391" t="n"/>
      <c r="C740" s="392" t="n"/>
      <c r="D740" s="402" t="n"/>
      <c r="E740" s="402" t="n"/>
      <c r="F740" s="394" t="n"/>
      <c r="G740" s="392" t="n"/>
      <c r="H740" s="392" t="n"/>
      <c r="I740" s="380" t="n"/>
      <c r="J740" s="480" t="n"/>
      <c r="K740" s="480" t="n"/>
      <c r="L740" s="480" t="n"/>
      <c r="M740" s="480" t="n"/>
      <c r="N740" s="480" t="n"/>
      <c r="O740" s="480" t="n"/>
      <c r="P740" s="480" t="n"/>
      <c r="Q740" s="480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391" t="n"/>
      <c r="C741" s="392" t="n"/>
      <c r="D741" s="402" t="n"/>
      <c r="E741" s="402" t="n"/>
      <c r="F741" s="394" t="n"/>
      <c r="G741" s="392" t="n"/>
      <c r="H741" s="392" t="n"/>
      <c r="I741" s="380" t="n"/>
      <c r="J741" s="480" t="n"/>
      <c r="K741" s="480" t="n"/>
      <c r="L741" s="480" t="n"/>
      <c r="M741" s="480" t="n"/>
      <c r="N741" s="480" t="n"/>
      <c r="O741" s="480" t="n"/>
      <c r="P741" s="480" t="n"/>
      <c r="Q741" s="480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391" t="n"/>
      <c r="C742" s="392" t="n"/>
      <c r="D742" s="402" t="n"/>
      <c r="E742" s="402" t="n"/>
      <c r="F742" s="394" t="n"/>
      <c r="G742" s="392" t="n"/>
      <c r="H742" s="392" t="n"/>
      <c r="I742" s="380" t="n"/>
      <c r="J742" s="480" t="n"/>
      <c r="K742" s="480" t="n"/>
      <c r="L742" s="480" t="n"/>
      <c r="M742" s="480" t="n"/>
      <c r="N742" s="480" t="n"/>
      <c r="O742" s="480" t="n"/>
      <c r="P742" s="480" t="n"/>
      <c r="Q742" s="480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20" t="n"/>
      <c r="C743" s="421" t="n"/>
      <c r="D743" s="422" t="n"/>
      <c r="E743" s="422" t="n"/>
      <c r="F743" s="423" t="n"/>
      <c r="G743" s="424" t="n"/>
      <c r="H743" s="424" t="n"/>
      <c r="I743" s="481" t="n"/>
      <c r="J743" s="481" t="n"/>
      <c r="K743" s="481" t="n"/>
      <c r="L743" s="481" t="n"/>
      <c r="M743" s="481" t="n"/>
      <c r="N743" s="481" t="n"/>
      <c r="O743" s="481" t="n"/>
      <c r="P743" s="481" t="n"/>
      <c r="Q743" s="481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391" t="n"/>
      <c r="C744" s="392" t="n"/>
      <c r="D744" s="432" t="n"/>
      <c r="E744" s="432" t="n"/>
      <c r="F744" s="394" t="n"/>
      <c r="G744" s="392" t="n"/>
      <c r="H744" s="392" t="n"/>
      <c r="I744" s="480" t="n"/>
      <c r="J744" s="480" t="n"/>
      <c r="K744" s="480" t="n"/>
      <c r="L744" s="480" t="n"/>
      <c r="M744" s="480" t="n"/>
      <c r="N744" s="480" t="n"/>
      <c r="O744" s="480" t="n"/>
      <c r="P744" s="480" t="n"/>
      <c r="Q744" s="480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391" t="n"/>
      <c r="C745" s="392" t="n"/>
      <c r="D745" s="402" t="n"/>
      <c r="E745" s="402" t="n"/>
      <c r="F745" s="394" t="n"/>
      <c r="G745" s="392" t="n"/>
      <c r="H745" s="392" t="n"/>
      <c r="I745" s="380" t="n"/>
      <c r="J745" s="480" t="n"/>
      <c r="K745" s="480" t="n"/>
      <c r="L745" s="480" t="n"/>
      <c r="M745" s="480" t="n"/>
      <c r="N745" s="480" t="n"/>
      <c r="O745" s="480" t="n"/>
      <c r="P745" s="480" t="n"/>
      <c r="Q745" s="480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391" t="n"/>
      <c r="C746" s="392" t="n"/>
      <c r="D746" s="402" t="n"/>
      <c r="E746" s="402" t="n"/>
      <c r="F746" s="394" t="n"/>
      <c r="G746" s="392" t="n"/>
      <c r="H746" s="392" t="n"/>
      <c r="I746" s="380" t="n"/>
      <c r="J746" s="480" t="n"/>
      <c r="K746" s="480" t="n"/>
      <c r="L746" s="480" t="n"/>
      <c r="M746" s="480" t="n"/>
      <c r="N746" s="480" t="n"/>
      <c r="O746" s="480" t="n"/>
      <c r="P746" s="480" t="n"/>
      <c r="Q746" s="480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391" t="n"/>
      <c r="C747" s="392" t="n"/>
      <c r="D747" s="402" t="n"/>
      <c r="E747" s="402" t="n"/>
      <c r="F747" s="394" t="n"/>
      <c r="G747" s="392" t="n"/>
      <c r="H747" s="392" t="n"/>
      <c r="I747" s="380" t="n"/>
      <c r="J747" s="480" t="n"/>
      <c r="K747" s="480" t="n"/>
      <c r="L747" s="480" t="n"/>
      <c r="M747" s="480" t="n"/>
      <c r="N747" s="480" t="n"/>
      <c r="O747" s="480" t="n"/>
      <c r="P747" s="480" t="n"/>
      <c r="Q747" s="480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391" t="n"/>
      <c r="C748" s="392" t="n"/>
      <c r="D748" s="393" t="n"/>
      <c r="E748" s="393" t="n"/>
      <c r="F748" s="394" t="n"/>
      <c r="G748" s="392" t="n"/>
      <c r="H748" s="392" t="n"/>
      <c r="I748" s="480" t="n"/>
      <c r="J748" s="480" t="n"/>
      <c r="K748" s="480" t="n"/>
      <c r="L748" s="480" t="n"/>
      <c r="M748" s="480" t="n"/>
      <c r="N748" s="480" t="n"/>
      <c r="O748" s="480" t="n"/>
      <c r="P748" s="480" t="n"/>
      <c r="Q748" s="480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391" t="n"/>
      <c r="C749" s="392" t="n"/>
      <c r="D749" s="402" t="n"/>
      <c r="E749" s="402" t="n"/>
      <c r="F749" s="394" t="n"/>
      <c r="G749" s="392" t="n"/>
      <c r="H749" s="392" t="n"/>
      <c r="I749" s="480" t="n"/>
      <c r="J749" s="480" t="n"/>
      <c r="K749" s="480" t="n"/>
      <c r="L749" s="480" t="n"/>
      <c r="M749" s="480" t="n"/>
      <c r="N749" s="480" t="n"/>
      <c r="O749" s="480" t="n"/>
      <c r="P749" s="480" t="n"/>
      <c r="Q749" s="480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391" t="n"/>
      <c r="C750" s="392" t="n"/>
      <c r="D750" s="402" t="n"/>
      <c r="E750" s="402" t="n"/>
      <c r="F750" s="394" t="n"/>
      <c r="G750" s="392" t="n"/>
      <c r="H750" s="392" t="n"/>
      <c r="I750" s="480" t="n">
        <v>991500000</v>
      </c>
      <c r="J750" s="480" t="n">
        <v>1165223146.932</v>
      </c>
      <c r="K750" s="480" t="n">
        <v>356012003</v>
      </c>
      <c r="L750" s="480" t="n">
        <v>367745000</v>
      </c>
      <c r="M750" s="480" t="n">
        <v>8769780</v>
      </c>
      <c r="N750" s="480" t="n">
        <v>200517570</v>
      </c>
      <c r="O750" s="480" t="n">
        <v>4995000</v>
      </c>
      <c r="P750" s="480" t="n">
        <v>38548717.5</v>
      </c>
      <c r="Q750" s="480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391" t="n"/>
      <c r="C751" s="392" t="n"/>
      <c r="D751" s="393" t="n"/>
      <c r="E751" s="393" t="n"/>
      <c r="F751" s="394" t="n"/>
      <c r="G751" s="392" t="n"/>
      <c r="H751" s="392" t="n"/>
      <c r="I751" s="480" t="n"/>
      <c r="J751" s="480" t="n"/>
      <c r="K751" s="480" t="n"/>
      <c r="L751" s="480" t="n"/>
      <c r="M751" s="480" t="n"/>
      <c r="N751" s="480" t="n"/>
      <c r="O751" s="480" t="n"/>
      <c r="P751" s="480" t="n"/>
      <c r="Q751" s="480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391" t="n"/>
      <c r="C752" s="392" t="n"/>
      <c r="D752" s="402" t="n"/>
      <c r="E752" s="402" t="n"/>
      <c r="F752" s="394" t="n"/>
      <c r="G752" s="392" t="n"/>
      <c r="H752" s="392" t="n"/>
      <c r="I752" s="480" t="n"/>
      <c r="J752" s="480" t="n"/>
      <c r="K752" s="480" t="n"/>
      <c r="L752" s="480" t="n"/>
      <c r="M752" s="480" t="n"/>
      <c r="N752" s="480" t="n"/>
      <c r="O752" s="480" t="n"/>
      <c r="P752" s="480" t="n"/>
      <c r="Q752" s="480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391" t="n"/>
      <c r="C753" s="392" t="n"/>
      <c r="D753" s="402" t="n"/>
      <c r="E753" s="402" t="n"/>
      <c r="F753" s="394" t="n"/>
      <c r="G753" s="392" t="n"/>
      <c r="H753" s="392" t="n"/>
      <c r="I753" s="480" t="n"/>
      <c r="J753" s="480" t="n"/>
      <c r="K753" s="480" t="n"/>
      <c r="L753" s="480" t="n"/>
      <c r="M753" s="480" t="n"/>
      <c r="N753" s="480" t="n"/>
      <c r="O753" s="480" t="n"/>
      <c r="P753" s="480" t="n"/>
      <c r="Q753" s="480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20" t="n"/>
      <c r="C754" s="424" t="n"/>
      <c r="D754" s="482" t="n"/>
      <c r="E754" s="482" t="n"/>
      <c r="F754" s="423" t="n"/>
      <c r="G754" s="424" t="n"/>
      <c r="H754" s="424" t="n"/>
      <c r="I754" s="481" t="n"/>
      <c r="J754" s="481" t="n"/>
      <c r="K754" s="481" t="n"/>
      <c r="L754" s="481" t="n"/>
      <c r="M754" s="481" t="n"/>
      <c r="N754" s="481" t="n"/>
      <c r="O754" s="481" t="n"/>
      <c r="P754" s="481" t="n"/>
      <c r="Q754" s="481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B755" s="442" t="n"/>
      <c r="C755" s="375" t="n"/>
      <c r="D755" s="442" t="inlineStr">
        <is>
          <t>Non trip - Training BSS - AC</t>
        </is>
      </c>
      <c r="E755" s="483" t="n"/>
      <c r="F755" s="395" t="n"/>
      <c r="G755" s="375" t="n"/>
      <c r="H755" s="375" t="n"/>
      <c r="I755" s="484" t="n"/>
      <c r="J755" s="484" t="n"/>
      <c r="K755" s="484" t="n"/>
      <c r="L755" s="484" t="n"/>
      <c r="M755" s="484" t="n"/>
      <c r="N755" s="484" t="n"/>
      <c r="O755" s="484" t="n"/>
      <c r="P755" s="484" t="n"/>
      <c r="Q755" s="484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485" t="n">
        <v>45636</v>
      </c>
      <c r="C756" s="327" t="n">
        <v>1</v>
      </c>
      <c r="D756" s="486" t="inlineStr">
        <is>
          <t>Traning Basic Sea Survival (BSS)</t>
        </is>
      </c>
      <c r="E756" s="486" t="n"/>
      <c r="F756" s="487" t="n">
        <v>2700000</v>
      </c>
      <c r="G756" s="327" t="inlineStr">
        <is>
          <t>IDR</t>
        </is>
      </c>
      <c r="H756" s="488" t="n">
        <v>1</v>
      </c>
      <c r="I756" s="319" t="n"/>
      <c r="J756" s="427" t="n">
        <v>2700000</v>
      </c>
      <c r="K756" s="426" t="n"/>
      <c r="L756" s="426" t="n"/>
      <c r="M756" s="426" t="n"/>
      <c r="N756" s="426" t="n"/>
      <c r="O756" s="426" t="n"/>
      <c r="P756" s="426" t="n"/>
      <c r="Q756" s="426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A757" s="346" t="n"/>
      <c r="B757" s="489" t="n"/>
      <c r="C757" s="362" t="n"/>
      <c r="D757" s="490" t="inlineStr">
        <is>
          <t>Trip Rakan : BSTTraining at HSSE Training Center PT Pertamina EP Zone 7 Cirebon</t>
        </is>
      </c>
      <c r="E757" s="491" t="n"/>
      <c r="F757" s="492" t="n"/>
      <c r="G757" s="362" t="n"/>
      <c r="H757" s="362" t="n"/>
      <c r="I757" s="376" t="n"/>
      <c r="J757" s="484" t="n"/>
      <c r="K757" s="484" t="n"/>
      <c r="L757" s="484" t="n"/>
      <c r="M757" s="484" t="n"/>
      <c r="N757" s="484" t="n"/>
      <c r="O757" s="484" t="n"/>
      <c r="P757" s="484" t="n"/>
      <c r="Q757" s="484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85" t="n">
        <v>45656</v>
      </c>
      <c r="C758" s="327" t="n">
        <v>1</v>
      </c>
      <c r="D758" s="486" t="inlineStr">
        <is>
          <t>Meal Allowance 2 Days (29 - 30 December 2024)@ 150 rb</t>
        </is>
      </c>
      <c r="E758" s="486" t="n"/>
      <c r="F758" s="487" t="n">
        <v>300000</v>
      </c>
      <c r="G758" s="327" t="inlineStr">
        <is>
          <t>IDR</t>
        </is>
      </c>
      <c r="H758" s="488" t="n">
        <v>1</v>
      </c>
      <c r="I758" s="319" t="n"/>
      <c r="J758" s="427" t="n">
        <v>300000</v>
      </c>
      <c r="K758" s="426" t="n"/>
      <c r="L758" s="426" t="n"/>
      <c r="M758" s="426" t="n"/>
      <c r="N758" s="426" t="n"/>
      <c r="O758" s="426" t="n"/>
      <c r="P758" s="426" t="n"/>
      <c r="Q758" s="426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85" t="n">
        <v>45655</v>
      </c>
      <c r="C759" s="327" t="n">
        <v>2</v>
      </c>
      <c r="D759" s="486" t="inlineStr">
        <is>
          <t>Transport Train, (Jakarta to Cirebon)</t>
        </is>
      </c>
      <c r="E759" s="486" t="n"/>
      <c r="F759" s="487" t="n">
        <v>200000</v>
      </c>
      <c r="G759" s="327" t="inlineStr">
        <is>
          <t>IDR</t>
        </is>
      </c>
      <c r="H759" s="488" t="n">
        <v>1</v>
      </c>
      <c r="I759" s="319" t="n"/>
      <c r="J759" s="427" t="n">
        <v>200000</v>
      </c>
      <c r="K759" s="426" t="n"/>
      <c r="L759" s="426" t="n"/>
      <c r="M759" s="426" t="n"/>
      <c r="N759" s="426" t="n"/>
      <c r="O759" s="426" t="n"/>
      <c r="P759" s="426" t="n"/>
      <c r="Q759" s="426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85" t="n">
        <v>45655</v>
      </c>
      <c r="C760" s="327" t="n">
        <v>3</v>
      </c>
      <c r="D760" s="493" t="inlineStr">
        <is>
          <t>Gojek (Cirendeu to Gambir Station)</t>
        </is>
      </c>
      <c r="E760" s="493" t="n"/>
      <c r="F760" s="487" t="n">
        <v>61500</v>
      </c>
      <c r="G760" s="327" t="inlineStr">
        <is>
          <t>IDR</t>
        </is>
      </c>
      <c r="H760" s="488" t="n">
        <v>1</v>
      </c>
      <c r="I760" s="319" t="n"/>
      <c r="J760" s="427" t="n">
        <v>61500</v>
      </c>
      <c r="K760" s="426" t="n"/>
      <c r="L760" s="426" t="n"/>
      <c r="M760" s="426" t="n"/>
      <c r="N760" s="426" t="n"/>
      <c r="O760" s="426" t="n"/>
      <c r="P760" s="426" t="n"/>
      <c r="Q760" s="426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85" t="n">
        <v>45655</v>
      </c>
      <c r="C761" s="327" t="n">
        <v>4</v>
      </c>
      <c r="D761" s="493" t="inlineStr">
        <is>
          <t>Gojek (Cirebon Station to Hotel)</t>
        </is>
      </c>
      <c r="E761" s="493" t="n"/>
      <c r="F761" s="487" t="n">
        <v>12500</v>
      </c>
      <c r="G761" s="327" t="inlineStr">
        <is>
          <t>IDR</t>
        </is>
      </c>
      <c r="H761" s="488" t="n">
        <v>1</v>
      </c>
      <c r="I761" s="319" t="n"/>
      <c r="J761" s="427" t="n">
        <v>12500</v>
      </c>
      <c r="K761" s="426" t="n"/>
      <c r="L761" s="426" t="n"/>
      <c r="M761" s="426" t="n"/>
      <c r="N761" s="426" t="n"/>
      <c r="O761" s="426" t="n"/>
      <c r="P761" s="426" t="n"/>
      <c r="Q761" s="426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85" t="n">
        <v>45655</v>
      </c>
      <c r="C762" s="327" t="n">
        <v>5</v>
      </c>
      <c r="D762" s="486" t="inlineStr">
        <is>
          <t>Accomodation Hotel (Pia Hotel 29 - 30 des, 1 Night)</t>
        </is>
      </c>
      <c r="E762" s="486" t="n"/>
      <c r="F762" s="487" t="n">
        <v>224000</v>
      </c>
      <c r="G762" s="327" t="inlineStr">
        <is>
          <t>IDR</t>
        </is>
      </c>
      <c r="H762" s="488" t="n">
        <v>1</v>
      </c>
      <c r="I762" s="319" t="n"/>
      <c r="J762" s="427" t="n">
        <v>224000</v>
      </c>
      <c r="K762" s="426" t="n"/>
      <c r="L762" s="426" t="n"/>
      <c r="M762" s="426" t="n"/>
      <c r="N762" s="426" t="n"/>
      <c r="O762" s="426" t="n"/>
      <c r="P762" s="426" t="n"/>
      <c r="Q762" s="426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85" t="n">
        <v>45656</v>
      </c>
      <c r="C763" s="327" t="n">
        <v>6</v>
      </c>
      <c r="D763" s="486" t="inlineStr">
        <is>
          <t>Transport Train (Cirebon to Jakarta)</t>
        </is>
      </c>
      <c r="E763" s="486" t="n"/>
      <c r="F763" s="487" t="n">
        <v>140000</v>
      </c>
      <c r="G763" s="327" t="inlineStr">
        <is>
          <t>IDR</t>
        </is>
      </c>
      <c r="H763" s="488" t="n">
        <v>1</v>
      </c>
      <c r="I763" s="319" t="n"/>
      <c r="J763" s="427" t="n">
        <v>140000</v>
      </c>
      <c r="K763" s="426" t="n"/>
      <c r="L763" s="426" t="n"/>
      <c r="M763" s="426" t="n"/>
      <c r="N763" s="426" t="n"/>
      <c r="O763" s="426" t="n"/>
      <c r="P763" s="426" t="n"/>
      <c r="Q763" s="426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85" t="n">
        <v>45656</v>
      </c>
      <c r="C764" s="327" t="n">
        <v>7</v>
      </c>
      <c r="D764" s="493" t="inlineStr">
        <is>
          <t>Gojek (Hotel to HSSE Training Center PEP Zone 7)</t>
        </is>
      </c>
      <c r="E764" s="493" t="n"/>
      <c r="F764" s="487" t="n">
        <v>11000</v>
      </c>
      <c r="G764" s="327" t="inlineStr">
        <is>
          <t>IDR</t>
        </is>
      </c>
      <c r="H764" s="488" t="n">
        <v>1</v>
      </c>
      <c r="I764" s="426" t="n"/>
      <c r="J764" s="427" t="n">
        <v>11000</v>
      </c>
      <c r="K764" s="426" t="n"/>
      <c r="L764" s="426" t="n"/>
      <c r="M764" s="426" t="n"/>
      <c r="N764" s="426" t="n"/>
      <c r="O764" s="426" t="n"/>
      <c r="P764" s="426" t="n"/>
      <c r="Q764" s="426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94" t="n"/>
      <c r="C765" s="327" t="n"/>
      <c r="D765" s="495" t="inlineStr">
        <is>
          <t>Allowance</t>
        </is>
      </c>
      <c r="E765" s="494" t="n"/>
      <c r="F765" s="496" t="n"/>
      <c r="G765" s="327" t="n"/>
      <c r="H765" s="327" t="n"/>
      <c r="I765" s="426" t="n"/>
      <c r="J765" s="426" t="n"/>
      <c r="K765" s="426" t="n"/>
      <c r="L765" s="426" t="n"/>
      <c r="M765" s="426" t="n"/>
      <c r="N765" s="426" t="n"/>
      <c r="O765" s="426" t="n"/>
      <c r="P765" s="426" t="n"/>
      <c r="Q765" s="426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97" t="n">
        <v>45656</v>
      </c>
      <c r="C766" s="327" t="n">
        <v>8</v>
      </c>
      <c r="D766" s="486" t="inlineStr">
        <is>
          <t>Gojek (CSB to Cirebon Train Station)</t>
        </is>
      </c>
      <c r="E766" s="486" t="n"/>
      <c r="F766" s="487" t="n">
        <v>11000</v>
      </c>
      <c r="G766" s="327" t="inlineStr">
        <is>
          <t>IDR</t>
        </is>
      </c>
      <c r="H766" s="488" t="n">
        <v>1</v>
      </c>
      <c r="I766" s="319" t="n"/>
      <c r="J766" s="427" t="n">
        <v>11000</v>
      </c>
      <c r="K766" s="426" t="n"/>
      <c r="L766" s="426" t="n"/>
      <c r="M766" s="426" t="n"/>
      <c r="N766" s="426" t="n"/>
      <c r="O766" s="426" t="n"/>
      <c r="P766" s="426" t="n"/>
      <c r="Q766" s="426" t="n"/>
      <c r="R766" s="322" t="n"/>
      <c r="S766" s="322" t="n"/>
      <c r="T766" s="322" t="n"/>
      <c r="U766" s="322" t="n"/>
      <c r="V766" s="322" t="n"/>
      <c r="W766" s="322" t="n"/>
      <c r="X766" s="322" t="n"/>
    </row>
    <row r="767" s="297">
      <c r="B767" s="485" t="n">
        <v>45656</v>
      </c>
      <c r="C767" s="327" t="n">
        <v>9</v>
      </c>
      <c r="D767" s="486" t="inlineStr">
        <is>
          <t>Gojek (Gambir Station to Cirendeu)</t>
        </is>
      </c>
      <c r="E767" s="486" t="n"/>
      <c r="F767" s="487" t="n">
        <v>66000</v>
      </c>
      <c r="G767" s="327" t="inlineStr">
        <is>
          <t>IDR</t>
        </is>
      </c>
      <c r="H767" s="488" t="n">
        <v>1</v>
      </c>
      <c r="I767" s="426" t="n"/>
      <c r="J767" s="427" t="n">
        <v>66000</v>
      </c>
      <c r="K767" s="426" t="n"/>
      <c r="L767" s="426" t="n"/>
      <c r="M767" s="426" t="n"/>
      <c r="N767" s="426" t="n"/>
      <c r="O767" s="426" t="n"/>
      <c r="P767" s="426" t="n"/>
      <c r="Q767" s="426" t="n"/>
      <c r="R767" s="322" t="n"/>
      <c r="S767" s="322" t="n"/>
      <c r="T767" s="322" t="n"/>
      <c r="U767" s="322" t="n"/>
      <c r="V767" s="322" t="n"/>
      <c r="W767" s="322" t="n"/>
      <c r="X767" s="322" t="n"/>
    </row>
    <row r="768" s="297">
      <c r="A768" s="346" t="n"/>
      <c r="B768" s="498" t="inlineStr">
        <is>
          <t>TOTAL</t>
        </is>
      </c>
      <c r="C768" s="327" t="n"/>
      <c r="D768" s="499" t="inlineStr">
        <is>
          <t>Biaya Operasi</t>
        </is>
      </c>
      <c r="E768" s="486" t="n"/>
      <c r="F768" s="496" t="n"/>
      <c r="G768" s="327" t="n"/>
      <c r="H768" s="327" t="n"/>
      <c r="I768" s="500" t="n">
        <v>1350714403.75</v>
      </c>
      <c r="J768" s="500" t="n">
        <v>1164019333.182</v>
      </c>
      <c r="K768" s="500" t="n">
        <v>0</v>
      </c>
      <c r="L768" s="500" t="n">
        <v>367745000</v>
      </c>
      <c r="M768" s="500" t="n">
        <v>6771193</v>
      </c>
      <c r="N768" s="500" t="n">
        <v>200517570</v>
      </c>
      <c r="O768" s="500" t="n">
        <v>4995000</v>
      </c>
      <c r="P768" s="500" t="n">
        <v>38548717.5</v>
      </c>
      <c r="Q768" s="500" t="n">
        <v>202920000</v>
      </c>
      <c r="R768" s="315" t="n">
        <v>0</v>
      </c>
      <c r="S768" s="315" t="n">
        <v>0</v>
      </c>
      <c r="T768" s="315" t="n">
        <v>0</v>
      </c>
      <c r="U768" s="315" t="n">
        <v>0</v>
      </c>
      <c r="V768" s="315" t="n">
        <v>0</v>
      </c>
      <c r="W768" s="315" t="n">
        <v>0</v>
      </c>
      <c r="X768" s="315" t="n">
        <v>0</v>
      </c>
    </row>
    <row r="769">
      <c r="B769" s="157" t="n">
        <v>45405</v>
      </c>
      <c r="C769" s="64" t="inlineStr">
        <is>
          <t>N/A</t>
        </is>
      </c>
      <c r="D769" s="160" t="inlineStr">
        <is>
          <t>Meals 2 days @ 150,000/day</t>
        </is>
      </c>
      <c r="E769" s="160" t="n"/>
      <c r="F769" s="159" t="n">
        <v>300000</v>
      </c>
      <c r="G769" s="64" t="inlineStr">
        <is>
          <t>IDR</t>
        </is>
      </c>
      <c r="H769" s="64" t="n">
        <v>1</v>
      </c>
      <c r="I769" s="120">
        <f>F706</f>
        <v/>
      </c>
      <c r="J769" s="120" t="n"/>
      <c r="K769" s="120" t="n"/>
      <c r="L769" s="120" t="n"/>
      <c r="M769" s="120" t="n"/>
      <c r="N769" s="120" t="n"/>
      <c r="O769" s="120" t="n"/>
      <c r="P769" s="120" t="n"/>
      <c r="Q769" s="120" t="n"/>
    </row>
    <row r="770">
      <c r="B770" s="156" t="n"/>
      <c r="C770" s="64" t="n"/>
      <c r="D770" s="156" t="inlineStr">
        <is>
          <t>Trip</t>
        </is>
      </c>
      <c r="E770" s="156" t="n"/>
      <c r="F770" s="159" t="n"/>
      <c r="G770" s="64" t="n"/>
      <c r="H770" s="64" t="n"/>
      <c r="I770" s="120" t="n"/>
      <c r="J770" s="120" t="n"/>
      <c r="K770" s="120" t="n"/>
      <c r="L770" s="120" t="n"/>
      <c r="M770" s="120" t="n"/>
      <c r="N770" s="120" t="n"/>
      <c r="O770" s="120" t="n"/>
      <c r="P770" s="120" t="n"/>
      <c r="Q770" s="120" t="n"/>
    </row>
    <row r="771">
      <c r="B771" s="157" t="n">
        <v>45412</v>
      </c>
      <c r="C771" s="64" t="inlineStr">
        <is>
          <t>N/A</t>
        </is>
      </c>
      <c r="D771" s="158" t="inlineStr">
        <is>
          <t>Car 30 Apr-01 May 2024 (2 days) incl. Fuel &amp; Tol</t>
        </is>
      </c>
      <c r="E771" s="158" t="n"/>
      <c r="F771" s="159" t="n">
        <v>3000000</v>
      </c>
      <c r="G771" s="64" t="inlineStr">
        <is>
          <t>IDR</t>
        </is>
      </c>
      <c r="H771" s="64" t="n">
        <v>1</v>
      </c>
      <c r="I771" s="61">
        <f>$H708*$F708</f>
        <v/>
      </c>
      <c r="J771" s="120" t="n"/>
      <c r="K771" s="120" t="n"/>
      <c r="L771" s="120" t="n"/>
      <c r="M771" s="120" t="n"/>
      <c r="N771" s="120" t="n"/>
      <c r="O771" s="120" t="n"/>
      <c r="P771" s="120" t="n"/>
      <c r="Q771" s="120" t="n"/>
    </row>
    <row r="772">
      <c r="B772" s="156" t="n"/>
      <c r="C772" s="64" t="n"/>
      <c r="D772" s="156" t="inlineStr">
        <is>
          <t>Training</t>
        </is>
      </c>
      <c r="E772" s="156" t="n"/>
      <c r="F772" s="159" t="n"/>
      <c r="G772" s="64" t="n"/>
      <c r="H772" s="64" t="n"/>
      <c r="I772" s="120" t="n"/>
      <c r="J772" s="120" t="n"/>
      <c r="K772" s="120" t="n"/>
      <c r="L772" s="120" t="n"/>
      <c r="M772" s="120" t="n"/>
      <c r="N772" s="120" t="n"/>
      <c r="O772" s="120" t="n"/>
      <c r="P772" s="120" t="n"/>
      <c r="Q772" s="120" t="n"/>
    </row>
    <row r="773">
      <c r="B773" s="161" t="n">
        <v>45646</v>
      </c>
      <c r="C773" s="64" t="inlineStr">
        <is>
          <t>N/A</t>
        </is>
      </c>
      <c r="D773" s="158" t="inlineStr">
        <is>
          <t>Taxi Home to KCIC Train station</t>
        </is>
      </c>
      <c r="E773" s="158" t="n"/>
      <c r="F773" s="159" t="n">
        <v>100000</v>
      </c>
      <c r="G773" s="64" t="inlineStr">
        <is>
          <t>IDR</t>
        </is>
      </c>
      <c r="H773" s="64" t="n">
        <v>1</v>
      </c>
      <c r="I773" s="61">
        <f>$H710*$F710</f>
        <v/>
      </c>
      <c r="J773" s="120" t="n"/>
      <c r="K773" s="120" t="n"/>
      <c r="L773" s="120" t="n"/>
      <c r="M773" s="120" t="n"/>
      <c r="N773" s="120" t="n"/>
      <c r="O773" s="120" t="n"/>
      <c r="P773" s="120" t="n"/>
      <c r="Q773" s="120" t="n"/>
    </row>
    <row r="774">
      <c r="B774" s="161" t="n">
        <v>45646</v>
      </c>
      <c r="C774" s="64" t="inlineStr">
        <is>
          <t>N/A</t>
        </is>
      </c>
      <c r="D774" s="158" t="inlineStr">
        <is>
          <t>Train Round trip Jakarta - Bandung @200K/trip</t>
        </is>
      </c>
      <c r="E774" s="158" t="n"/>
      <c r="F774" s="159" t="n">
        <v>400000</v>
      </c>
      <c r="G774" s="64" t="inlineStr">
        <is>
          <t>IDR</t>
        </is>
      </c>
      <c r="H774" s="64" t="n">
        <v>1</v>
      </c>
      <c r="I774" s="61">
        <f>$H711*$F711</f>
        <v/>
      </c>
      <c r="J774" s="120" t="n"/>
      <c r="K774" s="120" t="n"/>
      <c r="L774" s="120" t="n"/>
      <c r="M774" s="120" t="n"/>
      <c r="N774" s="120" t="n"/>
      <c r="O774" s="120" t="n"/>
      <c r="P774" s="120" t="n"/>
      <c r="Q774" s="120" t="n"/>
    </row>
    <row r="775">
      <c r="B775" s="161" t="n">
        <v>45647</v>
      </c>
      <c r="C775" s="64" t="n">
        <v>4</v>
      </c>
      <c r="D775" s="160" t="inlineStr">
        <is>
          <t>Hotel 1 night 20 - 21 Dec 2024</t>
        </is>
      </c>
      <c r="E775" s="160" t="n"/>
      <c r="F775" s="159" t="n">
        <v>784000</v>
      </c>
      <c r="G775" s="64" t="inlineStr">
        <is>
          <t>IDR</t>
        </is>
      </c>
      <c r="H775" s="64" t="n">
        <v>1</v>
      </c>
      <c r="I775" s="120">
        <f>F712</f>
        <v/>
      </c>
      <c r="J775" s="120" t="n"/>
      <c r="K775" s="120" t="n"/>
      <c r="L775" s="120" t="n"/>
      <c r="M775" s="120" t="n"/>
      <c r="N775" s="120" t="n"/>
      <c r="O775" s="120" t="n"/>
      <c r="P775" s="120" t="n"/>
      <c r="Q775" s="120" t="n"/>
    </row>
    <row r="776">
      <c r="B776" s="161" t="n">
        <v>45647</v>
      </c>
      <c r="C776" s="64" t="inlineStr">
        <is>
          <t>N/A</t>
        </is>
      </c>
      <c r="D776" s="160" t="inlineStr">
        <is>
          <t>Taxi from KCIC Stationa Halim to Home</t>
        </is>
      </c>
      <c r="E776" s="160" t="n"/>
      <c r="F776" s="159" t="n">
        <v>100000</v>
      </c>
      <c r="G776" s="64" t="inlineStr">
        <is>
          <t>IDR</t>
        </is>
      </c>
      <c r="H776" s="64" t="n">
        <v>1</v>
      </c>
      <c r="I776" s="61">
        <f>$H713*$F713</f>
        <v/>
      </c>
      <c r="J776" s="120" t="n"/>
      <c r="K776" s="120" t="n"/>
      <c r="L776" s="120" t="n"/>
      <c r="M776" s="120" t="n"/>
      <c r="N776" s="120" t="n"/>
      <c r="O776" s="120" t="n"/>
      <c r="P776" s="120" t="n"/>
      <c r="Q776" s="120" t="n"/>
    </row>
    <row r="777">
      <c r="B777" s="161" t="n">
        <v>45647</v>
      </c>
      <c r="C777" s="64" t="inlineStr">
        <is>
          <t>N/A</t>
        </is>
      </c>
      <c r="D777" s="160" t="inlineStr">
        <is>
          <t>Meals 2 days @ 150,000/day</t>
        </is>
      </c>
      <c r="E777" s="160" t="n"/>
      <c r="F777" s="159" t="n">
        <v>300000</v>
      </c>
      <c r="G777" s="64" t="inlineStr">
        <is>
          <t>IDR</t>
        </is>
      </c>
      <c r="H777" s="64" t="n">
        <v>1</v>
      </c>
      <c r="I777" s="120">
        <f>F714</f>
        <v/>
      </c>
      <c r="J777" s="120" t="n"/>
      <c r="K777" s="120" t="n"/>
      <c r="L777" s="120" t="n"/>
      <c r="M777" s="120" t="n"/>
      <c r="N777" s="120" t="n"/>
      <c r="O777" s="120" t="n"/>
      <c r="P777" s="120" t="n"/>
      <c r="Q777" s="120" t="n"/>
    </row>
    <row r="778">
      <c r="B778" s="156" t="n"/>
      <c r="C778" s="64" t="n"/>
      <c r="D778" s="156" t="inlineStr">
        <is>
          <t>IT Services</t>
        </is>
      </c>
      <c r="E778" s="156" t="n"/>
      <c r="F778" s="159" t="n"/>
      <c r="G778" s="64" t="n"/>
      <c r="H778" s="64" t="n"/>
      <c r="I778" s="120" t="n"/>
      <c r="J778" s="120" t="n"/>
      <c r="K778" s="120" t="n"/>
      <c r="L778" s="120" t="n"/>
      <c r="M778" s="120" t="n"/>
      <c r="N778" s="120" t="n"/>
      <c r="O778" s="120" t="n"/>
      <c r="P778" s="120" t="n"/>
      <c r="Q778" s="120" t="n"/>
    </row>
    <row r="779">
      <c r="B779" s="161" t="n">
        <v>44789</v>
      </c>
      <c r="C779" s="64" t="n">
        <v>5</v>
      </c>
      <c r="D779" s="158" t="inlineStr">
        <is>
          <t>Domain PT. Exspan Wireline Indonesia</t>
        </is>
      </c>
      <c r="E779" s="158" t="n"/>
      <c r="F779" s="159" t="n">
        <v>184182</v>
      </c>
      <c r="G779" s="64" t="inlineStr">
        <is>
          <t>IDR</t>
        </is>
      </c>
      <c r="H779" s="64" t="n">
        <v>1</v>
      </c>
      <c r="I779" s="120" t="n"/>
      <c r="J779" s="120" t="n"/>
      <c r="K779" s="120" t="n"/>
      <c r="L779" s="120" t="n"/>
      <c r="M779" s="120">
        <f>F716</f>
        <v/>
      </c>
      <c r="N779" s="120" t="n"/>
      <c r="O779" s="120" t="n"/>
      <c r="P779" s="120" t="n"/>
      <c r="Q779" s="120" t="n"/>
    </row>
    <row r="780">
      <c r="B780" s="161" t="n">
        <v>44820</v>
      </c>
      <c r="C780" s="64" t="n">
        <v>6</v>
      </c>
      <c r="D780" s="158" t="inlineStr">
        <is>
          <t>Google Workspace PT. EWI</t>
        </is>
      </c>
      <c r="E780" s="158" t="n"/>
      <c r="F780" s="159">
        <f>107437*1</f>
        <v/>
      </c>
      <c r="G780" s="64" t="inlineStr">
        <is>
          <t>IDR</t>
        </is>
      </c>
      <c r="H780" s="64" t="n">
        <v>1</v>
      </c>
      <c r="I780" s="120" t="n"/>
      <c r="J780" s="120" t="n"/>
      <c r="K780" s="120" t="n"/>
      <c r="L780" s="120" t="n"/>
      <c r="M780" s="120">
        <f>F717</f>
        <v/>
      </c>
      <c r="N780" s="120" t="n"/>
      <c r="O780" s="120" t="n"/>
      <c r="P780" s="120" t="n"/>
      <c r="Q780" s="120" t="n"/>
    </row>
    <row r="781">
      <c r="B781" s="161" t="n">
        <v>44850</v>
      </c>
      <c r="C781" s="64" t="n">
        <v>7</v>
      </c>
      <c r="D781" s="158" t="inlineStr">
        <is>
          <t>Google Workspace PT. EWI</t>
        </is>
      </c>
      <c r="E781" s="158" t="n"/>
      <c r="F781" s="159" t="n">
        <v>177258</v>
      </c>
      <c r="G781" s="64" t="inlineStr">
        <is>
          <t>IDR</t>
        </is>
      </c>
      <c r="H781" s="64" t="n">
        <v>1</v>
      </c>
      <c r="I781" s="120" t="n"/>
      <c r="J781" s="120" t="n"/>
      <c r="K781" s="120" t="n"/>
      <c r="L781" s="120" t="n"/>
      <c r="M781" s="120">
        <f>F718</f>
        <v/>
      </c>
      <c r="N781" s="120" t="n"/>
      <c r="O781" s="120" t="n"/>
      <c r="P781" s="120" t="n"/>
      <c r="Q781" s="120" t="n"/>
    </row>
    <row r="782">
      <c r="B782" s="161" t="n">
        <v>44881</v>
      </c>
      <c r="C782" s="64" t="n">
        <v>8</v>
      </c>
      <c r="D782" s="158" t="inlineStr">
        <is>
          <t>Google Workspace PT. EWI</t>
        </is>
      </c>
      <c r="E782" s="158" t="n"/>
      <c r="F782" s="159" t="n">
        <v>214896</v>
      </c>
      <c r="G782" s="64" t="inlineStr">
        <is>
          <t>IDR</t>
        </is>
      </c>
      <c r="H782" s="64" t="n">
        <v>1</v>
      </c>
      <c r="I782" s="120" t="n"/>
      <c r="J782" s="120" t="n"/>
      <c r="K782" s="120" t="n"/>
      <c r="L782" s="120" t="n"/>
      <c r="M782" s="120">
        <f>F719</f>
        <v/>
      </c>
      <c r="N782" s="120" t="n"/>
      <c r="O782" s="120" t="n"/>
      <c r="P782" s="120" t="n"/>
      <c r="Q782" s="120" t="n"/>
    </row>
    <row r="783">
      <c r="B783" s="161" t="n">
        <v>44911</v>
      </c>
      <c r="C783" s="64" t="n">
        <v>9</v>
      </c>
      <c r="D783" s="158" t="inlineStr">
        <is>
          <t>Google Workspace PT. EWI</t>
        </is>
      </c>
      <c r="E783" s="158" t="n"/>
      <c r="F783" s="159" t="n">
        <v>214896</v>
      </c>
      <c r="G783" s="64" t="inlineStr">
        <is>
          <t>IDR</t>
        </is>
      </c>
      <c r="H783" s="64" t="n">
        <v>1</v>
      </c>
      <c r="I783" s="120" t="n"/>
      <c r="J783" s="120" t="n"/>
      <c r="K783" s="120" t="n"/>
      <c r="L783" s="120" t="n"/>
      <c r="M783" s="120">
        <f>F720</f>
        <v/>
      </c>
      <c r="N783" s="120" t="n"/>
      <c r="O783" s="120" t="n"/>
      <c r="P783" s="120" t="n"/>
      <c r="Q783" s="120" t="n"/>
    </row>
    <row r="784">
      <c r="B784" s="161" t="n">
        <v>44942</v>
      </c>
      <c r="C784" s="64" t="n">
        <v>10</v>
      </c>
      <c r="D784" s="158" t="inlineStr">
        <is>
          <t>Google Workspace PT. EWI</t>
        </is>
      </c>
      <c r="E784" s="158" t="n"/>
      <c r="F784" s="159" t="n">
        <v>214896</v>
      </c>
      <c r="G784" s="64" t="inlineStr">
        <is>
          <t>IDR</t>
        </is>
      </c>
      <c r="H784" s="64" t="n">
        <v>1</v>
      </c>
      <c r="I784" s="120" t="n"/>
      <c r="J784" s="120" t="n"/>
      <c r="K784" s="120" t="n"/>
      <c r="L784" s="120" t="n"/>
      <c r="M784" s="120">
        <f>F721</f>
        <v/>
      </c>
      <c r="N784" s="120" t="n"/>
      <c r="O784" s="120" t="n"/>
      <c r="P784" s="120" t="n"/>
      <c r="Q784" s="120" t="n"/>
    </row>
    <row r="785">
      <c r="B785" s="161" t="n">
        <v>44973</v>
      </c>
      <c r="C785" s="64" t="n">
        <v>11</v>
      </c>
      <c r="D785" s="158" t="inlineStr">
        <is>
          <t>Google Workspace PT. EWI</t>
        </is>
      </c>
      <c r="E785" s="158" t="n"/>
      <c r="F785" s="159" t="n">
        <v>214896</v>
      </c>
      <c r="G785" s="64" t="inlineStr">
        <is>
          <t>IDR</t>
        </is>
      </c>
      <c r="H785" s="64" t="n">
        <v>1</v>
      </c>
      <c r="I785" s="120" t="n"/>
      <c r="J785" s="120" t="n"/>
      <c r="K785" s="120" t="n"/>
      <c r="L785" s="120" t="n"/>
      <c r="M785" s="120">
        <f>F722</f>
        <v/>
      </c>
      <c r="N785" s="120" t="n"/>
      <c r="O785" s="120" t="n"/>
      <c r="P785" s="120" t="n"/>
      <c r="Q785" s="120" t="n"/>
    </row>
    <row r="786">
      <c r="B786" s="161" t="n">
        <v>45001</v>
      </c>
      <c r="C786" s="64" t="n">
        <v>12</v>
      </c>
      <c r="D786" s="158" t="inlineStr">
        <is>
          <t>Google Workspace PT. EWI</t>
        </is>
      </c>
      <c r="E786" s="158" t="n"/>
      <c r="F786" s="159" t="n">
        <v>214896</v>
      </c>
      <c r="G786" s="64" t="inlineStr">
        <is>
          <t>IDR</t>
        </is>
      </c>
      <c r="H786" s="64" t="n">
        <v>1</v>
      </c>
      <c r="I786" s="120" t="n"/>
      <c r="J786" s="120" t="n"/>
      <c r="K786" s="120" t="n"/>
      <c r="L786" s="120" t="n"/>
      <c r="M786" s="120">
        <f>F723</f>
        <v/>
      </c>
      <c r="N786" s="120" t="n"/>
      <c r="O786" s="120" t="n"/>
      <c r="P786" s="120" t="n"/>
      <c r="Q786" s="120" t="n"/>
    </row>
    <row r="787">
      <c r="B787" s="161" t="n">
        <v>45032</v>
      </c>
      <c r="C787" s="64" t="n">
        <v>13</v>
      </c>
      <c r="D787" s="158" t="inlineStr">
        <is>
          <t>Google Workspace PT. EWI</t>
        </is>
      </c>
      <c r="E787" s="158" t="n"/>
      <c r="F787" s="159" t="n">
        <v>214896</v>
      </c>
      <c r="G787" s="64" t="inlineStr">
        <is>
          <t>IDR</t>
        </is>
      </c>
      <c r="H787" s="64" t="n">
        <v>1</v>
      </c>
      <c r="I787" s="120" t="n"/>
      <c r="J787" s="120" t="n"/>
      <c r="K787" s="120" t="n"/>
      <c r="L787" s="120" t="n"/>
      <c r="M787" s="120">
        <f>F724</f>
        <v/>
      </c>
      <c r="N787" s="120" t="n"/>
      <c r="O787" s="120" t="n"/>
      <c r="P787" s="120" t="n"/>
      <c r="Q787" s="120" t="n"/>
    </row>
    <row r="788">
      <c r="B788" s="161" t="n">
        <v>45062</v>
      </c>
      <c r="C788" s="64" t="n">
        <v>14</v>
      </c>
      <c r="D788" s="158" t="inlineStr">
        <is>
          <t>Google Workspace PT. EWI</t>
        </is>
      </c>
      <c r="E788" s="158" t="n"/>
      <c r="F788" s="159" t="n">
        <v>214896</v>
      </c>
      <c r="G788" s="64" t="inlineStr">
        <is>
          <t>IDR</t>
        </is>
      </c>
      <c r="H788" s="64" t="n">
        <v>1</v>
      </c>
      <c r="I788" s="120" t="n"/>
      <c r="J788" s="120" t="n"/>
      <c r="K788" s="120" t="n"/>
      <c r="L788" s="120" t="n"/>
      <c r="M788" s="120">
        <f>F725</f>
        <v/>
      </c>
      <c r="N788" s="120" t="n"/>
      <c r="O788" s="120" t="n"/>
      <c r="P788" s="120" t="n"/>
      <c r="Q788" s="120" t="n"/>
    </row>
    <row r="789">
      <c r="B789" s="161" t="n">
        <v>45093</v>
      </c>
      <c r="C789" s="64" t="n">
        <v>15</v>
      </c>
      <c r="D789" s="158" t="inlineStr">
        <is>
          <t>Google Workspace PT. EWI</t>
        </is>
      </c>
      <c r="E789" s="158" t="n"/>
      <c r="F789" s="159" t="n">
        <v>214896</v>
      </c>
      <c r="G789" s="64" t="inlineStr">
        <is>
          <t>IDR</t>
        </is>
      </c>
      <c r="H789" s="64" t="n">
        <v>1</v>
      </c>
      <c r="I789" s="120" t="n"/>
      <c r="J789" s="120" t="n"/>
      <c r="K789" s="120" t="n"/>
      <c r="L789" s="120" t="n"/>
      <c r="M789" s="120">
        <f>F726</f>
        <v/>
      </c>
      <c r="N789" s="120" t="n"/>
      <c r="O789" s="120" t="n"/>
      <c r="P789" s="120" t="n"/>
      <c r="Q789" s="120" t="n"/>
    </row>
    <row r="790">
      <c r="B790" s="161" t="n">
        <v>45123</v>
      </c>
      <c r="C790" s="64" t="n">
        <v>16</v>
      </c>
      <c r="D790" s="158" t="inlineStr">
        <is>
          <t>Google Workspace PT. EWI</t>
        </is>
      </c>
      <c r="E790" s="158" t="n"/>
      <c r="F790" s="159" t="n">
        <v>214896</v>
      </c>
      <c r="G790" s="64" t="inlineStr">
        <is>
          <t>IDR</t>
        </is>
      </c>
      <c r="H790" s="64" t="n">
        <v>1</v>
      </c>
      <c r="I790" s="120" t="n"/>
      <c r="J790" s="120" t="n"/>
      <c r="K790" s="120" t="n"/>
      <c r="L790" s="120" t="n"/>
      <c r="M790" s="120">
        <f>F727</f>
        <v/>
      </c>
      <c r="N790" s="120" t="n"/>
      <c r="O790" s="120" t="n"/>
      <c r="P790" s="120" t="n"/>
      <c r="Q790" s="120" t="n"/>
    </row>
    <row r="791">
      <c r="B791" s="161" t="n">
        <v>45154</v>
      </c>
      <c r="C791" s="64" t="n">
        <v>17</v>
      </c>
      <c r="D791" s="158" t="inlineStr">
        <is>
          <t>Domain + Google Workspace PT. EWI</t>
        </is>
      </c>
      <c r="E791" s="158" t="n"/>
      <c r="F791" s="159" t="n">
        <v>399078</v>
      </c>
      <c r="G791" s="64" t="inlineStr">
        <is>
          <t>IDR</t>
        </is>
      </c>
      <c r="H791" s="64" t="n">
        <v>1</v>
      </c>
      <c r="I791" s="120" t="n"/>
      <c r="J791" s="120" t="n"/>
      <c r="K791" s="120" t="n"/>
      <c r="L791" s="120" t="n"/>
      <c r="M791" s="120">
        <f>F728</f>
        <v/>
      </c>
      <c r="N791" s="120" t="n"/>
      <c r="O791" s="120" t="n"/>
      <c r="P791" s="120" t="n"/>
      <c r="Q791" s="120" t="n"/>
    </row>
    <row r="792">
      <c r="B792" s="161" t="n">
        <v>45185</v>
      </c>
      <c r="C792" s="64" t="n">
        <v>18</v>
      </c>
      <c r="D792" s="158" t="inlineStr">
        <is>
          <t>Google Workspace PT. EWI</t>
        </is>
      </c>
      <c r="E792" s="158" t="n"/>
      <c r="F792" s="159" t="n">
        <v>214896</v>
      </c>
      <c r="G792" s="64" t="inlineStr">
        <is>
          <t>IDR</t>
        </is>
      </c>
      <c r="H792" s="64" t="n">
        <v>1</v>
      </c>
      <c r="I792" s="120" t="n"/>
      <c r="J792" s="120" t="n"/>
      <c r="K792" s="120" t="n"/>
      <c r="L792" s="120" t="n"/>
      <c r="M792" s="120">
        <f>F729</f>
        <v/>
      </c>
      <c r="N792" s="120" t="n"/>
      <c r="O792" s="120" t="n"/>
      <c r="P792" s="120" t="n"/>
      <c r="Q792" s="120" t="n"/>
    </row>
    <row r="793">
      <c r="B793" s="161" t="n">
        <v>45215</v>
      </c>
      <c r="C793" s="64" t="n">
        <v>19</v>
      </c>
      <c r="D793" s="158" t="inlineStr">
        <is>
          <t>Google Workspace PT. EWI</t>
        </is>
      </c>
      <c r="E793" s="158" t="n"/>
      <c r="F793" s="159" t="n">
        <v>306982</v>
      </c>
      <c r="G793" s="64" t="inlineStr">
        <is>
          <t>IDR</t>
        </is>
      </c>
      <c r="H793" s="64" t="n">
        <v>1</v>
      </c>
      <c r="I793" s="120" t="n"/>
      <c r="J793" s="120" t="n"/>
      <c r="K793" s="120" t="n"/>
      <c r="L793" s="120" t="n"/>
      <c r="M793" s="120">
        <f>F730</f>
        <v/>
      </c>
      <c r="N793" s="120" t="n"/>
      <c r="O793" s="120" t="n"/>
      <c r="P793" s="120" t="n"/>
      <c r="Q793" s="120" t="n"/>
    </row>
    <row r="794">
      <c r="B794" s="161" t="n">
        <v>45246</v>
      </c>
      <c r="C794" s="64" t="n">
        <v>20</v>
      </c>
      <c r="D794" s="158" t="inlineStr">
        <is>
          <t>Google Workspace PT. EWI</t>
        </is>
      </c>
      <c r="E794" s="158" t="n"/>
      <c r="F794" s="159" t="n">
        <v>306982</v>
      </c>
      <c r="G794" s="64" t="inlineStr">
        <is>
          <t>IDR</t>
        </is>
      </c>
      <c r="H794" s="64" t="n">
        <v>1</v>
      </c>
      <c r="I794" s="120" t="n"/>
      <c r="J794" s="120" t="n"/>
      <c r="K794" s="120" t="n"/>
      <c r="L794" s="120" t="n"/>
      <c r="M794" s="120">
        <f>F731</f>
        <v/>
      </c>
      <c r="N794" s="120" t="n"/>
      <c r="O794" s="120" t="n"/>
      <c r="P794" s="120" t="n"/>
      <c r="Q794" s="120" t="n"/>
    </row>
    <row r="795">
      <c r="B795" s="161" t="n">
        <v>45276</v>
      </c>
      <c r="C795" s="64" t="n">
        <v>21</v>
      </c>
      <c r="D795" s="158" t="inlineStr">
        <is>
          <t>Google Workspace PT. EWI</t>
        </is>
      </c>
      <c r="E795" s="158" t="n"/>
      <c r="F795" s="159" t="n">
        <v>306982</v>
      </c>
      <c r="G795" s="64" t="inlineStr">
        <is>
          <t>IDR</t>
        </is>
      </c>
      <c r="H795" s="64" t="n">
        <v>1</v>
      </c>
      <c r="I795" s="120" t="n"/>
      <c r="J795" s="120" t="n"/>
      <c r="K795" s="120" t="n"/>
      <c r="L795" s="120" t="n"/>
      <c r="M795" s="120">
        <f>F732</f>
        <v/>
      </c>
      <c r="N795" s="120" t="n"/>
      <c r="O795" s="120" t="n"/>
      <c r="P795" s="120" t="n"/>
      <c r="Q795" s="120" t="n"/>
    </row>
    <row r="796">
      <c r="B796" s="161" t="n">
        <v>45307</v>
      </c>
      <c r="C796" s="64" t="n">
        <v>22</v>
      </c>
      <c r="D796" s="158" t="inlineStr">
        <is>
          <t>Google Workspace PT. EWI</t>
        </is>
      </c>
      <c r="E796" s="158" t="n"/>
      <c r="F796" s="159" t="n">
        <v>306982</v>
      </c>
      <c r="G796" s="64" t="inlineStr">
        <is>
          <t>IDR</t>
        </is>
      </c>
      <c r="H796" s="64" t="n">
        <v>1</v>
      </c>
      <c r="I796" s="120" t="n"/>
      <c r="J796" s="120" t="n"/>
      <c r="K796" s="120" t="n"/>
      <c r="L796" s="120" t="n"/>
      <c r="M796" s="120">
        <f>F733</f>
        <v/>
      </c>
      <c r="N796" s="120" t="n"/>
      <c r="O796" s="120" t="n"/>
      <c r="P796" s="120" t="n"/>
      <c r="Q796" s="120" t="n"/>
    </row>
    <row r="797">
      <c r="B797" s="161" t="n">
        <v>45338</v>
      </c>
      <c r="C797" s="64" t="n">
        <v>23</v>
      </c>
      <c r="D797" s="158" t="inlineStr">
        <is>
          <t>Google Workspace PT. EWI</t>
        </is>
      </c>
      <c r="E797" s="158" t="n"/>
      <c r="F797" s="159" t="n">
        <v>306982</v>
      </c>
      <c r="G797" s="64" t="inlineStr">
        <is>
          <t>IDR</t>
        </is>
      </c>
      <c r="H797" s="64" t="n">
        <v>1</v>
      </c>
      <c r="I797" s="120" t="n"/>
      <c r="J797" s="120" t="n"/>
      <c r="K797" s="120" t="n"/>
      <c r="L797" s="120" t="n"/>
      <c r="M797" s="120">
        <f>F734</f>
        <v/>
      </c>
      <c r="N797" s="120" t="n"/>
      <c r="O797" s="120" t="n"/>
      <c r="P797" s="120" t="n"/>
      <c r="Q797" s="120" t="n"/>
    </row>
    <row r="798">
      <c r="B798" s="161" t="n">
        <v>45367</v>
      </c>
      <c r="C798" s="64" t="n">
        <v>24</v>
      </c>
      <c r="D798" s="158" t="inlineStr">
        <is>
          <t>Google Workspace PT. EWI</t>
        </is>
      </c>
      <c r="E798" s="158" t="n"/>
      <c r="F798" s="159" t="n">
        <v>306982</v>
      </c>
      <c r="G798" s="64" t="inlineStr">
        <is>
          <t>IDR</t>
        </is>
      </c>
      <c r="H798" s="64" t="n">
        <v>1</v>
      </c>
      <c r="I798" s="120" t="n"/>
      <c r="J798" s="120" t="n"/>
      <c r="K798" s="120" t="n"/>
      <c r="L798" s="120" t="n"/>
      <c r="M798" s="120">
        <f>F735</f>
        <v/>
      </c>
      <c r="N798" s="120" t="n"/>
      <c r="O798" s="120" t="n"/>
      <c r="P798" s="120" t="n"/>
      <c r="Q798" s="120" t="n"/>
    </row>
    <row r="799">
      <c r="B799" s="161" t="n">
        <v>45398</v>
      </c>
      <c r="C799" s="64" t="n">
        <v>25</v>
      </c>
      <c r="D799" s="158" t="inlineStr">
        <is>
          <t>Google Workspace PT. EWI</t>
        </is>
      </c>
      <c r="E799" s="158" t="n"/>
      <c r="F799" s="159" t="n">
        <v>306982</v>
      </c>
      <c r="G799" s="64" t="inlineStr">
        <is>
          <t>IDR</t>
        </is>
      </c>
      <c r="H799" s="64" t="n">
        <v>1</v>
      </c>
      <c r="I799" s="120" t="n"/>
      <c r="J799" s="120" t="n"/>
      <c r="K799" s="120" t="n"/>
      <c r="L799" s="120" t="n"/>
      <c r="M799" s="120">
        <f>F736</f>
        <v/>
      </c>
      <c r="N799" s="120" t="n"/>
      <c r="O799" s="120" t="n"/>
      <c r="P799" s="120" t="n"/>
      <c r="Q799" s="120" t="n"/>
    </row>
    <row r="800">
      <c r="B800" s="161" t="n">
        <v>45428</v>
      </c>
      <c r="C800" s="64" t="n">
        <v>26</v>
      </c>
      <c r="D800" s="158" t="inlineStr">
        <is>
          <t>Google Workspace PT. EWI</t>
        </is>
      </c>
      <c r="E800" s="158" t="n"/>
      <c r="F800" s="159" t="n">
        <v>306982</v>
      </c>
      <c r="G800" s="64" t="inlineStr">
        <is>
          <t>IDR</t>
        </is>
      </c>
      <c r="H800" s="64" t="n">
        <v>1</v>
      </c>
      <c r="I800" s="120" t="n"/>
      <c r="J800" s="120" t="n"/>
      <c r="K800" s="120" t="n"/>
      <c r="L800" s="120" t="n"/>
      <c r="M800" s="120">
        <f>F737</f>
        <v/>
      </c>
      <c r="N800" s="120" t="n"/>
      <c r="O800" s="120" t="n"/>
      <c r="P800" s="120" t="n"/>
      <c r="Q800" s="120" t="n"/>
    </row>
    <row r="801">
      <c r="A801" s="162" t="n"/>
      <c r="B801" s="78" t="inlineStr">
        <is>
          <t>Expense#46</t>
        </is>
      </c>
      <c r="C801" s="85" t="inlineStr">
        <is>
          <t>:</t>
        </is>
      </c>
      <c r="D801" s="112" t="inlineStr">
        <is>
          <t>Non trip - Training BSS - AC</t>
        </is>
      </c>
      <c r="E801" s="112" t="n"/>
      <c r="F801" s="87" t="n"/>
      <c r="G801" s="73" t="n"/>
      <c r="H801" s="73" t="n"/>
      <c r="I801" s="152" t="n"/>
      <c r="J801" s="152" t="n"/>
      <c r="K801" s="152" t="n"/>
      <c r="L801" s="152" t="n"/>
      <c r="M801" s="152" t="n"/>
      <c r="N801" s="152" t="n"/>
      <c r="O801" s="152" t="n"/>
      <c r="P801" s="152" t="n"/>
      <c r="Q801" s="152" t="n"/>
    </row>
    <row r="802">
      <c r="B802" s="14" t="n">
        <v>45636</v>
      </c>
      <c r="C802" s="15" t="n">
        <v>1</v>
      </c>
      <c r="D802" s="18" t="inlineStr">
        <is>
          <t>Traning Basic Sea Survival (BSS)</t>
        </is>
      </c>
      <c r="E802" s="18" t="n"/>
      <c r="F802" s="21" t="n">
        <v>2700000</v>
      </c>
      <c r="G802" s="15" t="inlineStr">
        <is>
          <t>IDR</t>
        </is>
      </c>
      <c r="H802" s="15" t="n">
        <v>1</v>
      </c>
      <c r="I802" s="61">
        <f>$F739*$H739</f>
        <v/>
      </c>
      <c r="J802" s="120" t="n"/>
      <c r="K802" s="120" t="n"/>
      <c r="L802" s="120" t="n"/>
      <c r="M802" s="120" t="n"/>
      <c r="N802" s="120" t="n"/>
      <c r="O802" s="120" t="n"/>
      <c r="P802" s="120" t="n"/>
      <c r="Q802" s="120" t="n"/>
    </row>
    <row r="803">
      <c r="B803" s="78" t="inlineStr">
        <is>
          <t>Expense#47</t>
        </is>
      </c>
      <c r="C803" s="163" t="n"/>
      <c r="D803" s="164" t="inlineStr">
        <is>
          <t>Trip Rakan : BSTTraining at HSSE Training Center PT Pertamina EP Zone 7 Cirebon</t>
        </is>
      </c>
      <c r="E803" s="164" t="n"/>
      <c r="F803" s="163" t="n"/>
      <c r="G803" s="163" t="n"/>
      <c r="H803" s="163" t="n"/>
      <c r="I803" s="163" t="n"/>
      <c r="J803" s="163" t="n"/>
      <c r="K803" s="163" t="n"/>
      <c r="L803" s="163" t="n"/>
      <c r="M803" s="163" t="n"/>
      <c r="N803" s="163" t="n"/>
      <c r="O803" s="163" t="n"/>
      <c r="P803" s="152" t="n"/>
      <c r="Q803" s="152" t="n"/>
    </row>
    <row r="804">
      <c r="B804" s="165" t="n">
        <v>45655</v>
      </c>
      <c r="C804" s="60" t="n">
        <v>1</v>
      </c>
      <c r="D804" s="166" t="inlineStr">
        <is>
          <t xml:space="preserve">Transport Train, (Jakarta to Cirebon) </t>
        </is>
      </c>
      <c r="E804" s="166" t="n"/>
      <c r="F804" s="167" t="n">
        <v>200000</v>
      </c>
      <c r="G804" s="60" t="inlineStr">
        <is>
          <t>IDR</t>
        </is>
      </c>
      <c r="H804" s="60" t="n">
        <v>1</v>
      </c>
      <c r="I804" s="61">
        <f>$H741*$F741</f>
        <v/>
      </c>
      <c r="J804" s="501" t="n"/>
      <c r="K804" s="501" t="n"/>
      <c r="L804" s="501" t="n"/>
      <c r="M804" s="501" t="n"/>
      <c r="N804" s="501" t="n"/>
      <c r="O804" s="501" t="n"/>
      <c r="P804" s="120" t="n"/>
      <c r="Q804" s="120" t="n"/>
    </row>
    <row r="805">
      <c r="B805" s="165" t="n">
        <v>45655</v>
      </c>
      <c r="C805" s="15" t="n">
        <v>2</v>
      </c>
      <c r="D805" s="166" t="inlineStr">
        <is>
          <t>Gojek (Cirendeu to Gambir Station)</t>
        </is>
      </c>
      <c r="E805" s="166" t="n"/>
      <c r="F805" s="180" t="n">
        <v>61500</v>
      </c>
      <c r="G805" s="15" t="inlineStr">
        <is>
          <t>IDR</t>
        </is>
      </c>
      <c r="H805" s="15" t="n">
        <v>1</v>
      </c>
      <c r="I805" s="61">
        <f>$H742*$F742</f>
        <v/>
      </c>
      <c r="J805" s="502" t="n"/>
      <c r="K805" s="502" t="n"/>
      <c r="L805" s="501" t="n"/>
      <c r="M805" s="502" t="n"/>
      <c r="N805" s="502" t="n"/>
      <c r="O805" s="501" t="n"/>
      <c r="P805" s="120" t="n"/>
      <c r="Q805" s="120" t="n"/>
    </row>
    <row r="806">
      <c r="B806" s="165" t="n">
        <v>45655</v>
      </c>
      <c r="C806" s="15" t="n">
        <v>3</v>
      </c>
      <c r="D806" s="166" t="inlineStr">
        <is>
          <t xml:space="preserve">Gojek (Cirebon Station to Hotel) </t>
        </is>
      </c>
      <c r="E806" s="166" t="n"/>
      <c r="F806" s="180" t="n">
        <v>12500</v>
      </c>
      <c r="G806" s="15" t="inlineStr">
        <is>
          <t>IDR</t>
        </is>
      </c>
      <c r="H806" s="15" t="n">
        <v>1</v>
      </c>
      <c r="I806" s="61">
        <f>$H743*$F743</f>
        <v/>
      </c>
      <c r="J806" s="502" t="n"/>
      <c r="K806" s="502" t="n"/>
      <c r="L806" s="501" t="n"/>
      <c r="M806" s="502" t="n"/>
      <c r="N806" s="502" t="n"/>
      <c r="O806" s="501" t="n"/>
      <c r="P806" s="120" t="n"/>
      <c r="Q806" s="120" t="n"/>
    </row>
    <row r="807">
      <c r="B807" s="165" t="n">
        <v>45655</v>
      </c>
      <c r="C807" s="15" t="n">
        <v>4</v>
      </c>
      <c r="D807" s="166" t="inlineStr">
        <is>
          <t>Accomodation Hotel (Pia Hotel 29 - 30 des, 1 Night)</t>
        </is>
      </c>
      <c r="E807" s="166" t="n"/>
      <c r="F807" s="180" t="n">
        <v>224000</v>
      </c>
      <c r="G807" s="15" t="inlineStr">
        <is>
          <t>IDR</t>
        </is>
      </c>
      <c r="H807" s="15" t="n">
        <v>1</v>
      </c>
      <c r="I807" s="61">
        <f>$H744*$F744</f>
        <v/>
      </c>
      <c r="J807" s="502" t="n"/>
      <c r="K807" s="502" t="n"/>
      <c r="L807" s="501" t="n"/>
      <c r="M807" s="502" t="n"/>
      <c r="N807" s="502" t="n"/>
      <c r="O807" s="501" t="n"/>
      <c r="P807" s="120" t="n"/>
      <c r="Q807" s="120" t="n"/>
    </row>
    <row r="808">
      <c r="B808" s="165" t="n">
        <v>45656</v>
      </c>
      <c r="C808" s="15" t="n">
        <v>6</v>
      </c>
      <c r="D808" s="166" t="inlineStr">
        <is>
          <t>Transport Train (Cirebon to Jakarta)</t>
        </is>
      </c>
      <c r="E808" s="166" t="n"/>
      <c r="F808" s="180" t="n">
        <v>140000</v>
      </c>
      <c r="G808" s="15" t="inlineStr">
        <is>
          <t>IDR</t>
        </is>
      </c>
      <c r="H808" s="15" t="n">
        <v>1</v>
      </c>
      <c r="I808" s="61">
        <f>$H745*$F745</f>
        <v/>
      </c>
      <c r="J808" s="502" t="n"/>
      <c r="K808" s="502" t="n"/>
      <c r="L808" s="501" t="n"/>
      <c r="M808" s="502" t="n"/>
      <c r="N808" s="502" t="n"/>
      <c r="O808" s="501" t="n"/>
      <c r="P808" s="120" t="n"/>
      <c r="Q808" s="120" t="n"/>
    </row>
    <row r="809">
      <c r="B809" s="165" t="n">
        <v>45656</v>
      </c>
      <c r="C809" s="15" t="n">
        <v>7</v>
      </c>
      <c r="D809" s="166" t="inlineStr">
        <is>
          <t xml:space="preserve">Gojek (Hotel to HSSE Training Center PEP Zone 7) </t>
        </is>
      </c>
      <c r="E809" s="166" t="n"/>
      <c r="F809" s="180" t="n">
        <v>11000</v>
      </c>
      <c r="G809" s="15" t="inlineStr">
        <is>
          <t>IDR</t>
        </is>
      </c>
      <c r="H809" s="15" t="n">
        <v>1</v>
      </c>
      <c r="I809" s="61">
        <f>$H746*$F746</f>
        <v/>
      </c>
      <c r="J809" s="502" t="n"/>
      <c r="K809" s="502" t="n"/>
      <c r="L809" s="501" t="n"/>
      <c r="M809" s="502" t="n"/>
      <c r="N809" s="502" t="n"/>
      <c r="O809" s="501" t="n"/>
      <c r="P809" s="120" t="n"/>
      <c r="Q809" s="120" t="n"/>
    </row>
    <row r="810">
      <c r="B810" s="165" t="n">
        <v>45656</v>
      </c>
      <c r="C810" s="15" t="n">
        <v>8</v>
      </c>
      <c r="D810" s="166" t="inlineStr">
        <is>
          <t xml:space="preserve">Gojek (CSB to Cirebon Train Station) </t>
        </is>
      </c>
      <c r="E810" s="166" t="n"/>
      <c r="F810" s="180" t="n">
        <v>11000</v>
      </c>
      <c r="G810" s="15" t="inlineStr">
        <is>
          <t>IDR</t>
        </is>
      </c>
      <c r="H810" s="15" t="n">
        <v>1</v>
      </c>
      <c r="I810" s="61">
        <f>$H747*$F747</f>
        <v/>
      </c>
      <c r="J810" s="502" t="n"/>
      <c r="K810" s="502" t="n"/>
      <c r="L810" s="501" t="n"/>
      <c r="M810" s="502" t="n"/>
      <c r="N810" s="502" t="n"/>
      <c r="O810" s="501" t="n"/>
      <c r="P810" s="120" t="n"/>
      <c r="Q810" s="120" t="n"/>
    </row>
    <row r="811">
      <c r="B811" s="165" t="n">
        <v>45656</v>
      </c>
      <c r="C811" s="15" t="n">
        <v>9</v>
      </c>
      <c r="D811" s="166" t="inlineStr">
        <is>
          <t xml:space="preserve">Gojek (Gambir Station to Cirendeu) </t>
        </is>
      </c>
      <c r="E811" s="166" t="n"/>
      <c r="F811" s="180" t="n">
        <v>66000</v>
      </c>
      <c r="G811" s="15" t="inlineStr">
        <is>
          <t>IDR</t>
        </is>
      </c>
      <c r="H811" s="15" t="n">
        <v>1</v>
      </c>
      <c r="I811" s="61">
        <f>$H748*$F748</f>
        <v/>
      </c>
      <c r="J811" s="502" t="n"/>
      <c r="K811" s="502" t="n"/>
      <c r="L811" s="501" t="n"/>
      <c r="M811" s="502" t="n"/>
      <c r="N811" s="502" t="n"/>
      <c r="O811" s="501" t="n"/>
      <c r="P811" s="120" t="n"/>
      <c r="Q811" s="120" t="n"/>
    </row>
    <row r="812">
      <c r="B812" s="165" t="n">
        <v>45656</v>
      </c>
      <c r="C812" s="15" t="n">
        <v>10</v>
      </c>
      <c r="D812" s="166" t="inlineStr">
        <is>
          <t>Meal Allowance 2 Days (29 - 30 December 2024)@ 150 rb</t>
        </is>
      </c>
      <c r="E812" s="166" t="n"/>
      <c r="F812" s="180" t="n">
        <v>300000</v>
      </c>
      <c r="G812" s="15" t="inlineStr">
        <is>
          <t>IDR</t>
        </is>
      </c>
      <c r="H812" s="15" t="n">
        <v>1</v>
      </c>
      <c r="I812" s="61">
        <f>$H749*$F749</f>
        <v/>
      </c>
      <c r="J812" s="502" t="n"/>
      <c r="K812" s="502" t="n"/>
      <c r="L812" s="502" t="n"/>
      <c r="M812" s="502" t="n"/>
      <c r="N812" s="502" t="n"/>
      <c r="O812" s="501" t="n"/>
      <c r="P812" s="120" t="n"/>
      <c r="Q812" s="120" t="n"/>
    </row>
    <row r="813">
      <c r="B813" s="128" t="n"/>
      <c r="C813" s="277" t="inlineStr">
        <is>
          <t>TOTAL</t>
        </is>
      </c>
      <c r="D813" s="278" t="n"/>
      <c r="E813" s="278" t="n"/>
      <c r="F813" s="278" t="n"/>
      <c r="G813" s="278" t="n"/>
      <c r="H813" s="279" t="n"/>
      <c r="I813" s="120">
        <f>SUM(I41:I749)</f>
        <v/>
      </c>
      <c r="J813" s="120">
        <f>SUM(J41:J749)</f>
        <v/>
      </c>
      <c r="K813" s="120">
        <f>SUM(K41:K749)</f>
        <v/>
      </c>
      <c r="L813" s="120">
        <f>SUM(L41:L749)</f>
        <v/>
      </c>
      <c r="M813" s="120">
        <f>SUM(M41:M749)</f>
        <v/>
      </c>
      <c r="N813" s="120">
        <f>SUM(N41:N749)</f>
        <v/>
      </c>
      <c r="O813" s="120">
        <f>SUM(O41:O749)</f>
        <v/>
      </c>
      <c r="P813" s="120">
        <f>SUM(P41:P749)</f>
        <v/>
      </c>
      <c r="Q813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503" t="n"/>
      <c r="B1" s="503" t="n"/>
      <c r="C1" s="503" t="n"/>
      <c r="D1" s="503" t="n"/>
      <c r="E1" s="504" t="n"/>
    </row>
    <row r="2" ht="37.25" customHeight="1" s="297">
      <c r="A2" s="503" t="n"/>
      <c r="B2" s="503" t="n"/>
      <c r="C2" s="503" t="n"/>
      <c r="D2" s="503" t="n"/>
      <c r="E2" s="504" t="n"/>
    </row>
    <row r="3" ht="33.65" customHeight="1" s="297">
      <c r="A3" s="503" t="n"/>
      <c r="B3" s="505" t="inlineStr">
        <is>
          <t>PT. EXSPAN WIRELINE INDONESIA</t>
        </is>
      </c>
      <c r="F3" s="506" t="n"/>
      <c r="G3" s="507" t="inlineStr">
        <is>
          <t>PT. EXSPAN WIRELINE INDONESIA</t>
        </is>
      </c>
      <c r="H3" s="507" t="n"/>
      <c r="I3" s="507" t="n"/>
      <c r="J3" s="507" t="n"/>
    </row>
    <row r="4" ht="20.5" customHeight="1" s="297">
      <c r="A4" s="503" t="n"/>
      <c r="B4" s="508" t="inlineStr">
        <is>
          <t>LABA RUGI | TAHUN 2024</t>
        </is>
      </c>
      <c r="F4" s="506" t="n"/>
      <c r="G4" s="509" t="inlineStr">
        <is>
          <t>NERACA | TAHUN YANG BERAKHIR, 31 DESEMBER 2024</t>
        </is>
      </c>
      <c r="H4" s="509" t="n"/>
      <c r="I4" s="509" t="n"/>
      <c r="J4" s="509" t="n"/>
      <c r="K4" s="510" t="inlineStr">
        <is>
          <t>CATATAN KEAMANAN</t>
        </is>
      </c>
    </row>
    <row r="5" ht="6" customHeight="1" s="297">
      <c r="A5" s="503" t="n"/>
      <c r="B5" s="503" t="n"/>
      <c r="C5" s="503" t="n"/>
      <c r="D5" s="503" t="n"/>
      <c r="E5" s="504" t="n"/>
      <c r="F5" s="506" t="n"/>
      <c r="G5" s="506" t="n"/>
      <c r="H5" s="511" t="n"/>
      <c r="I5" s="511" t="n"/>
      <c r="J5" s="511" t="n"/>
      <c r="K5" t="inlineStr">
        <is>
          <t>Kolom ini aman dari overwrite sistem.</t>
        </is>
      </c>
    </row>
    <row r="6" ht="15.5" customHeight="1" s="297">
      <c r="A6" s="503" t="n"/>
      <c r="B6" s="512" t="n"/>
      <c r="C6" s="513" t="n"/>
      <c r="D6" s="514" t="inlineStr">
        <is>
          <t>PT. Exspan Wireline Indonesia</t>
        </is>
      </c>
      <c r="E6" s="289" t="n"/>
      <c r="F6" s="506" t="n"/>
      <c r="G6" s="515" t="n"/>
      <c r="H6" s="516" t="n"/>
      <c r="I6" s="514" t="inlineStr">
        <is>
          <t>PT. Exspan Wireline Indonesia</t>
        </is>
      </c>
      <c r="J6" s="289" t="n"/>
      <c r="K6" t="inlineStr">
        <is>
          <t>Diverifikasi pada: 2026-03-29 20:24</t>
        </is>
      </c>
    </row>
    <row r="7" ht="15.5" customHeight="1" s="297">
      <c r="A7" s="503" t="n"/>
      <c r="B7" s="517" t="n"/>
      <c r="C7" s="518" t="n"/>
      <c r="D7" s="519" t="inlineStr">
        <is>
          <t>(Rp)</t>
        </is>
      </c>
      <c r="E7" s="290" t="n"/>
      <c r="F7" s="506" t="n"/>
      <c r="G7" s="520" t="n"/>
      <c r="H7" s="521" t="n"/>
      <c r="I7" s="519" t="inlineStr">
        <is>
          <t>(Rp)</t>
        </is>
      </c>
      <c r="J7" s="290" t="n"/>
    </row>
    <row r="8">
      <c r="A8" s="503" t="n"/>
      <c r="B8" s="522" t="inlineStr">
        <is>
          <t>PENDAPATAN</t>
        </is>
      </c>
      <c r="C8" s="523" t="n"/>
      <c r="D8" s="524" t="n"/>
      <c r="E8" s="525" t="n"/>
      <c r="F8" s="506" t="n"/>
      <c r="G8" s="526" t="inlineStr">
        <is>
          <t>AKTIVA</t>
        </is>
      </c>
      <c r="H8" s="527" t="n"/>
      <c r="I8" s="528" t="n"/>
      <c r="J8" s="529" t="n"/>
    </row>
    <row r="9">
      <c r="A9" s="503" t="n"/>
      <c r="B9" s="530" t="n"/>
      <c r="C9" s="523" t="inlineStr">
        <is>
          <t>PENDAPATAN LANGSUNG</t>
        </is>
      </c>
      <c r="D9" s="530" t="inlineStr">
        <is>
          <t>Rp</t>
        </is>
      </c>
      <c r="E9" s="531">
        <f>SUM('Revenue-Cost_2024'!F8:F20)</f>
        <v/>
      </c>
      <c r="F9" s="506" t="n"/>
      <c r="G9" s="532" t="inlineStr">
        <is>
          <t>AKTIVA LANCAR</t>
        </is>
      </c>
      <c r="H9" s="533" t="n"/>
      <c r="I9" s="532" t="n"/>
      <c r="J9" s="534" t="n"/>
    </row>
    <row r="10">
      <c r="A10" s="503" t="n"/>
      <c r="B10" s="530" t="n"/>
      <c r="C10" s="523" t="inlineStr">
        <is>
          <t>PENDAPATAN LAIN LAIN</t>
        </is>
      </c>
      <c r="D10" s="530" t="inlineStr">
        <is>
          <t>Rp</t>
        </is>
      </c>
      <c r="E10" s="531">
        <f>SUM('Revenue-Cost_2024'!F21)</f>
        <v/>
      </c>
      <c r="F10" s="506" t="n"/>
      <c r="G10" s="535" t="n"/>
      <c r="H10" s="536" t="inlineStr">
        <is>
          <t>KAS DAN SETARA KAS TAHUN SEBELUMNYA</t>
        </is>
      </c>
      <c r="I10" s="530" t="inlineStr">
        <is>
          <t>Rp</t>
        </is>
      </c>
      <c r="J10" s="537" t="n">
        <v>0</v>
      </c>
    </row>
    <row r="11">
      <c r="A11" s="503" t="n"/>
      <c r="B11" s="530" t="n"/>
      <c r="C11" s="523" t="n"/>
      <c r="D11" s="538" t="n"/>
      <c r="E11" s="539" t="n"/>
      <c r="F11" s="506" t="n"/>
      <c r="G11" s="535" t="n"/>
      <c r="H11" s="536" t="inlineStr">
        <is>
          <t>KAS DAN SETARA KAS TAHUN LAPORAN</t>
        </is>
      </c>
      <c r="I11" s="530" t="inlineStr">
        <is>
          <t>Rp</t>
        </is>
      </c>
      <c r="J11" s="537">
        <f>E46-'Business Summary'!E13</f>
        <v/>
      </c>
    </row>
    <row r="12">
      <c r="A12" s="503" t="n"/>
      <c r="B12" s="540" t="inlineStr">
        <is>
          <t>TOTALPENDAPATAN</t>
        </is>
      </c>
      <c r="C12" s="541" t="n"/>
      <c r="D12" s="542" t="inlineStr">
        <is>
          <t>Rp</t>
        </is>
      </c>
      <c r="E12" s="543">
        <f>SUM(E9:E11)</f>
        <v/>
      </c>
      <c r="F12" s="506" t="n"/>
      <c r="G12" s="535" t="n"/>
      <c r="H12" s="536" t="inlineStr">
        <is>
          <t>PIUTANG USAHA</t>
        </is>
      </c>
      <c r="I12" s="530" t="inlineStr">
        <is>
          <t>Rp</t>
        </is>
      </c>
      <c r="J12" s="537" t="n">
        <v>0</v>
      </c>
    </row>
    <row r="13">
      <c r="A13" s="503" t="n"/>
      <c r="B13" s="530" t="n"/>
      <c r="C13" s="523" t="n"/>
      <c r="D13" s="524" t="n"/>
      <c r="E13" s="544" t="n"/>
      <c r="F13" s="506" t="n"/>
      <c r="G13" s="535" t="n"/>
      <c r="H13" s="536" t="inlineStr">
        <is>
          <t>PAJAK BAYAR DI MUKA (pph23)</t>
        </is>
      </c>
      <c r="I13" s="530" t="inlineStr">
        <is>
          <t>Rp</t>
        </is>
      </c>
      <c r="J13" s="537" t="n">
        <v>0</v>
      </c>
    </row>
    <row r="14">
      <c r="A14" s="503" t="n"/>
      <c r="B14" s="545" t="inlineStr">
        <is>
          <t>BEBAN LANGSUNG</t>
        </is>
      </c>
      <c r="C14" s="523" t="n"/>
      <c r="D14" s="530" t="n"/>
      <c r="E14" s="546" t="n"/>
      <c r="F14" s="506" t="n"/>
      <c r="G14" s="535" t="n"/>
      <c r="H14" s="536" t="inlineStr">
        <is>
          <t>BIAYA BAYAR DI MUKA</t>
        </is>
      </c>
      <c r="I14" s="530" t="inlineStr">
        <is>
          <t>Rp</t>
        </is>
      </c>
      <c r="J14" s="537" t="n">
        <v>0</v>
      </c>
    </row>
    <row r="15">
      <c r="A15" s="503" t="n"/>
      <c r="B15" s="547" t="n"/>
      <c r="C15" s="523" t="inlineStr">
        <is>
          <t xml:space="preserve">Biaya Operasi </t>
        </is>
      </c>
      <c r="D15" s="530" t="inlineStr">
        <is>
          <t>Rp</t>
        </is>
      </c>
      <c r="E15" s="546">
        <f>'Revenue-Cost_2024'!I750</f>
        <v/>
      </c>
      <c r="F15" s="506" t="n"/>
      <c r="G15" s="548" t="n"/>
      <c r="H15" s="536" t="inlineStr">
        <is>
          <t>PIUTANG LAIN LAIN</t>
        </is>
      </c>
      <c r="I15" s="530" t="inlineStr">
        <is>
          <t>Rp</t>
        </is>
      </c>
      <c r="J15" s="537" t="n">
        <v>0</v>
      </c>
    </row>
    <row r="16">
      <c r="A16" s="503" t="n"/>
      <c r="B16" s="547" t="n"/>
      <c r="C16" s="523" t="inlineStr">
        <is>
          <t>Biaya research (R &amp; D)</t>
        </is>
      </c>
      <c r="D16" s="530" t="inlineStr">
        <is>
          <t>Rp</t>
        </is>
      </c>
      <c r="E16" s="546">
        <f>'Revenue-Cost_2024'!J750</f>
        <v/>
      </c>
      <c r="F16" s="506" t="n"/>
      <c r="G16" s="549" t="n"/>
      <c r="H16" s="550" t="inlineStr">
        <is>
          <t>TOTAL AKTIVA LANCAR</t>
        </is>
      </c>
      <c r="I16" s="542" t="inlineStr">
        <is>
          <t>Rp</t>
        </is>
      </c>
      <c r="J16" s="551">
        <f>SUM(J10:J15)</f>
        <v/>
      </c>
    </row>
    <row r="17">
      <c r="A17" s="503" t="n"/>
      <c r="B17" s="547" t="n"/>
      <c r="C17" s="523" t="inlineStr">
        <is>
          <t>BIAYA SEWA PERALATAN</t>
        </is>
      </c>
      <c r="D17" s="530" t="inlineStr">
        <is>
          <t>Rp</t>
        </is>
      </c>
      <c r="E17" s="546">
        <f>'Revenue-Cost_2024'!K750</f>
        <v/>
      </c>
      <c r="F17" s="506" t="n"/>
      <c r="G17" s="535" t="n"/>
      <c r="H17" s="536" t="n"/>
      <c r="I17" s="552" t="n"/>
      <c r="J17" s="553" t="n"/>
    </row>
    <row r="18">
      <c r="A18" s="503" t="n"/>
      <c r="B18" s="547" t="n"/>
      <c r="C18" s="523" t="inlineStr">
        <is>
          <t>BIAYA Data Processing</t>
        </is>
      </c>
      <c r="D18" s="530" t="inlineStr">
        <is>
          <t>Rp</t>
        </is>
      </c>
      <c r="E18" s="546">
        <f>'Revenue-Cost_2024'!L750</f>
        <v/>
      </c>
      <c r="F18" s="506" t="n"/>
      <c r="G18" s="532" t="inlineStr">
        <is>
          <t>ACTIVA TETAP</t>
        </is>
      </c>
      <c r="H18" s="554" t="n"/>
      <c r="I18" s="526" t="n"/>
      <c r="J18" s="537" t="n"/>
    </row>
    <row r="19">
      <c r="A19" s="503" t="n"/>
      <c r="B19" s="547" t="n"/>
      <c r="C19" s="523" t="n"/>
      <c r="D19" s="530" t="n"/>
      <c r="E19" s="546" t="n"/>
      <c r="F19" s="506" t="n"/>
      <c r="G19" s="532" t="n"/>
      <c r="H19" s="554" t="n"/>
      <c r="I19" s="526" t="n"/>
      <c r="J19" s="537" t="n"/>
    </row>
    <row r="20">
      <c r="A20" s="503" t="n"/>
      <c r="B20" s="547" t="n"/>
      <c r="C20" s="523" t="n"/>
      <c r="D20" s="538" t="n"/>
      <c r="E20" s="555" t="n"/>
      <c r="F20" s="506" t="n"/>
      <c r="G20" s="535" t="n"/>
      <c r="H20" s="536" t="inlineStr">
        <is>
          <t>INVENTARIS KANTOR</t>
        </is>
      </c>
      <c r="I20" s="530" t="inlineStr">
        <is>
          <t>Rp</t>
        </is>
      </c>
      <c r="J20" s="537" t="n">
        <v>0</v>
      </c>
    </row>
    <row r="21">
      <c r="A21" s="503" t="n"/>
      <c r="B21" s="540" t="inlineStr">
        <is>
          <t>TOTAL BIAYA LANGSUNG</t>
        </is>
      </c>
      <c r="C21" s="541" t="n"/>
      <c r="D21" s="542" t="inlineStr">
        <is>
          <t>Rp</t>
        </is>
      </c>
      <c r="E21" s="556">
        <f>SUM(E15:E20)</f>
        <v/>
      </c>
      <c r="F21" s="506" t="n"/>
      <c r="G21" s="535" t="n"/>
      <c r="H21" s="554" t="n"/>
      <c r="I21" s="557" t="n"/>
      <c r="J21" s="558" t="n"/>
    </row>
    <row r="22">
      <c r="A22" s="503" t="n"/>
      <c r="B22" s="530" t="n"/>
      <c r="C22" s="523" t="n"/>
      <c r="D22" s="524" t="n"/>
      <c r="E22" s="559" t="n"/>
      <c r="F22" s="506" t="n"/>
      <c r="G22" s="549" t="n"/>
      <c r="H22" s="550" t="inlineStr">
        <is>
          <t>TOTAL AKTIVA TETAP</t>
        </is>
      </c>
      <c r="I22" s="542" t="inlineStr">
        <is>
          <t>Rp</t>
        </is>
      </c>
      <c r="J22" s="551">
        <f>J20</f>
        <v/>
      </c>
    </row>
    <row r="23">
      <c r="A23" s="503" t="n"/>
      <c r="B23" s="545" t="inlineStr">
        <is>
          <t>BEBAN TIDAK LANGSUNG</t>
        </is>
      </c>
      <c r="C23" s="523" t="n"/>
      <c r="D23" s="530" t="n"/>
      <c r="E23" s="546">
        <f>'Revenue-Cost_2024'!Q750</f>
        <v/>
      </c>
      <c r="F23" s="506" t="n"/>
      <c r="G23" s="535" t="n"/>
      <c r="H23" s="536" t="n"/>
      <c r="I23" s="552" t="n"/>
      <c r="J23" s="529" t="n"/>
    </row>
    <row r="24">
      <c r="A24" s="503" t="n"/>
      <c r="B24" s="530" t="n"/>
      <c r="C24" s="523" t="n"/>
      <c r="D24" s="530" t="n"/>
      <c r="E24" s="546" t="n"/>
      <c r="F24" s="506" t="n"/>
      <c r="G24" s="532" t="inlineStr">
        <is>
          <t>ACTIVA LAIN LAIN</t>
        </is>
      </c>
      <c r="H24" s="554" t="n"/>
      <c r="I24" s="526" t="n"/>
      <c r="J24" s="537" t="n">
        <v>0</v>
      </c>
    </row>
    <row r="25">
      <c r="A25" s="503" t="n"/>
      <c r="B25" s="530" t="n"/>
      <c r="C25" s="523" t="n"/>
      <c r="D25" s="530" t="inlineStr">
        <is>
          <t>Rp</t>
        </is>
      </c>
      <c r="E25" s="546" t="n"/>
      <c r="F25" s="506" t="n"/>
      <c r="G25" s="535" t="n"/>
      <c r="H25" s="536" t="n"/>
      <c r="I25" s="560" t="n"/>
      <c r="J25" s="561" t="n">
        <v>0</v>
      </c>
    </row>
    <row r="26">
      <c r="A26" s="503" t="n"/>
      <c r="B26" s="530" t="n"/>
      <c r="C26" s="523" t="n"/>
      <c r="D26" s="538" t="n"/>
      <c r="E26" s="555" t="n"/>
      <c r="F26" s="506" t="n"/>
      <c r="G26" s="549" t="n"/>
      <c r="H26" s="550" t="inlineStr">
        <is>
          <t>TOTAL AKTIVA LAIN LAIN</t>
        </is>
      </c>
      <c r="I26" s="542" t="inlineStr">
        <is>
          <t>Rp</t>
        </is>
      </c>
      <c r="J26" s="551">
        <f>SUM(J25:J25)</f>
        <v/>
      </c>
    </row>
    <row r="27">
      <c r="A27" s="503" t="n"/>
      <c r="B27" s="540" t="inlineStr">
        <is>
          <t>TOTAL BIAYA TIDAK LANGSUNG</t>
        </is>
      </c>
      <c r="C27" s="541" t="n"/>
      <c r="D27" s="542" t="inlineStr">
        <is>
          <t>Rp</t>
        </is>
      </c>
      <c r="E27" s="556">
        <f>SUM(E22:E26)</f>
        <v/>
      </c>
      <c r="F27" s="506" t="n"/>
      <c r="G27" s="535" t="n"/>
      <c r="H27" s="536" t="n"/>
      <c r="I27" s="562" t="n"/>
      <c r="J27" s="563" t="n"/>
    </row>
    <row r="28">
      <c r="A28" s="503" t="n"/>
      <c r="B28" s="530" t="n"/>
      <c r="C28" s="523" t="n"/>
      <c r="D28" s="524" t="n"/>
      <c r="E28" s="559" t="n"/>
      <c r="F28" s="506" t="n"/>
      <c r="G28" s="540" t="inlineStr">
        <is>
          <t>TOTAL AKTIVA</t>
        </is>
      </c>
      <c r="H28" s="541" t="n"/>
      <c r="I28" s="542" t="inlineStr">
        <is>
          <t>Rp</t>
        </is>
      </c>
      <c r="J28" s="564">
        <f>J26+J22+J16</f>
        <v/>
      </c>
    </row>
    <row r="29">
      <c r="A29" s="503" t="n"/>
      <c r="B29" s="545" t="inlineStr">
        <is>
          <t>BIAYA ADMINISTRASI DAN UMUM</t>
        </is>
      </c>
      <c r="C29" s="523" t="n"/>
      <c r="D29" s="530" t="n"/>
      <c r="E29" s="546" t="n"/>
      <c r="F29" s="506" t="n"/>
      <c r="G29" s="565" t="n"/>
      <c r="H29" s="566" t="n"/>
      <c r="I29" s="565" t="n"/>
      <c r="J29" s="553" t="n"/>
    </row>
    <row r="30">
      <c r="A30" s="503" t="n"/>
      <c r="B30" s="547" t="n"/>
      <c r="C30" s="523" t="inlineStr">
        <is>
          <t>BIAYA ADMINISTRASI</t>
        </is>
      </c>
      <c r="D30" s="530" t="inlineStr">
        <is>
          <t>Rp</t>
        </is>
      </c>
      <c r="E30" s="546">
        <f>'Revenue-Cost_2024'!M750</f>
        <v/>
      </c>
      <c r="F30" s="506" t="n"/>
      <c r="G30" s="567" t="inlineStr">
        <is>
          <t>HUTANG DAN MODAL</t>
        </is>
      </c>
      <c r="H30" s="527" t="n"/>
      <c r="I30" s="567" t="n"/>
      <c r="J30" s="568" t="n"/>
    </row>
    <row r="31">
      <c r="A31" s="503" t="n"/>
      <c r="B31" s="547" t="n"/>
      <c r="C31" s="523" t="inlineStr">
        <is>
          <t>BIAYA PEMBELIAN Barang</t>
        </is>
      </c>
      <c r="D31" s="530" t="inlineStr">
        <is>
          <t>Rp</t>
        </is>
      </c>
      <c r="E31" s="546">
        <f>'Revenue-Cost_2024'!N750</f>
        <v/>
      </c>
      <c r="F31" s="506" t="n"/>
      <c r="G31" s="567" t="n"/>
      <c r="H31" s="527" t="n"/>
      <c r="I31" s="567" t="n"/>
      <c r="J31" s="568" t="n"/>
    </row>
    <row r="32">
      <c r="A32" s="503" t="n"/>
      <c r="B32" s="547" t="n"/>
      <c r="C32" s="523" t="inlineStr">
        <is>
          <t>BIAYA SEWA KANTOR</t>
        </is>
      </c>
      <c r="D32" s="530" t="inlineStr">
        <is>
          <t>Rp</t>
        </is>
      </c>
      <c r="E32" s="546">
        <f>'Revenue-Cost_2024'!O750</f>
        <v/>
      </c>
      <c r="F32" s="506" t="n"/>
      <c r="G32" s="532" t="inlineStr">
        <is>
          <t>HUTANG LANCAR</t>
        </is>
      </c>
      <c r="H32" s="533" t="n"/>
      <c r="I32" s="532" t="n"/>
      <c r="J32" s="534" t="n"/>
    </row>
    <row r="33">
      <c r="A33" s="503" t="n"/>
      <c r="B33" s="547" t="n"/>
      <c r="C33" s="523" t="inlineStr">
        <is>
          <t>BIAYA KESEHATAN</t>
        </is>
      </c>
      <c r="D33" s="530" t="inlineStr">
        <is>
          <t>Rp</t>
        </is>
      </c>
      <c r="E33" s="546">
        <f>'Revenue-Cost_2024'!P750</f>
        <v/>
      </c>
      <c r="F33" s="506" t="n"/>
      <c r="G33" s="535" t="n"/>
      <c r="H33" s="536" t="inlineStr">
        <is>
          <t>HUTANG USAHA</t>
        </is>
      </c>
      <c r="I33" s="530" t="inlineStr">
        <is>
          <t>Rp</t>
        </is>
      </c>
      <c r="J33" s="537" t="n">
        <v>0</v>
      </c>
    </row>
    <row r="34">
      <c r="A34" s="503" t="n"/>
      <c r="B34" s="547" t="n"/>
      <c r="C34" s="523" t="n"/>
      <c r="D34" s="538" t="n"/>
      <c r="E34" s="555" t="n"/>
      <c r="F34" s="506" t="n"/>
      <c r="G34" s="535" t="n"/>
      <c r="H34" s="569" t="inlineStr">
        <is>
          <t>HUTANG GAJI</t>
        </is>
      </c>
      <c r="I34" s="530" t="inlineStr">
        <is>
          <t>Rp</t>
        </is>
      </c>
      <c r="J34" s="537" t="n">
        <v>0</v>
      </c>
    </row>
    <row r="35">
      <c r="A35" s="503" t="n"/>
      <c r="B35" s="540" t="inlineStr">
        <is>
          <t>TOTAL BIAYA ADMINISTRASI DAN UMUM</t>
        </is>
      </c>
      <c r="C35" s="541" t="n"/>
      <c r="D35" s="542" t="inlineStr">
        <is>
          <t>Rp</t>
        </is>
      </c>
      <c r="E35" s="543">
        <f>SUM(E30:E34)</f>
        <v/>
      </c>
      <c r="F35" s="506" t="n"/>
      <c r="G35" s="535" t="n"/>
      <c r="H35" s="536" t="inlineStr">
        <is>
          <t>HUTANG PEMEGANG SAHAM</t>
        </is>
      </c>
      <c r="I35" s="530" t="inlineStr">
        <is>
          <t>Rp</t>
        </is>
      </c>
      <c r="J35" s="537" t="n">
        <v>0</v>
      </c>
    </row>
    <row r="36">
      <c r="A36" s="503" t="n"/>
      <c r="B36" s="547" t="n"/>
      <c r="C36" s="523" t="n"/>
      <c r="D36" s="542" t="n"/>
      <c r="E36" s="570" t="n"/>
      <c r="F36" s="506" t="n"/>
      <c r="G36" s="535" t="n"/>
      <c r="H36" s="536" t="inlineStr">
        <is>
          <t>BIAYA YANG MASIH HARUS DI BAYAR</t>
        </is>
      </c>
      <c r="I36" s="530" t="inlineStr">
        <is>
          <t>Rp</t>
        </is>
      </c>
      <c r="J36" s="537" t="n">
        <v>0</v>
      </c>
    </row>
    <row r="37">
      <c r="A37" s="503" t="n"/>
      <c r="B37" s="540" t="inlineStr">
        <is>
          <t>TOTAL BIAYA</t>
        </is>
      </c>
      <c r="C37" s="541" t="n"/>
      <c r="D37" s="542" t="inlineStr">
        <is>
          <t>Rp</t>
        </is>
      </c>
      <c r="E37" s="543">
        <f>E35+E21+E27</f>
        <v/>
      </c>
      <c r="F37" s="506" t="n"/>
      <c r="G37" s="571" t="n"/>
      <c r="H37" s="572" t="n"/>
      <c r="I37" s="571" t="n"/>
      <c r="J37" s="573" t="n"/>
    </row>
    <row r="38">
      <c r="A38" s="503" t="n"/>
      <c r="B38" s="522" t="n"/>
      <c r="C38" s="574" t="n"/>
      <c r="D38" s="524" t="n"/>
      <c r="E38" s="575" t="n"/>
      <c r="F38" s="506" t="n"/>
      <c r="G38" s="549" t="n"/>
      <c r="H38" s="550" t="inlineStr">
        <is>
          <t>TOTAL HUTANG LANCAR</t>
        </is>
      </c>
      <c r="I38" s="576" t="n"/>
      <c r="J38" s="551">
        <f>SUM(J33:J36)</f>
        <v/>
      </c>
    </row>
    <row r="39">
      <c r="A39" s="503" t="n"/>
      <c r="B39" s="545" t="inlineStr">
        <is>
          <t xml:space="preserve">PENDAPATAN/BEBAN LAIN LAIN </t>
        </is>
      </c>
      <c r="C39" s="523" t="n"/>
      <c r="D39" s="530" t="inlineStr">
        <is>
          <t>Rp</t>
        </is>
      </c>
      <c r="E39" s="577" t="n"/>
      <c r="F39" s="506" t="n"/>
      <c r="G39" s="535" t="n"/>
      <c r="H39" s="554" t="n"/>
      <c r="I39" s="578" t="n"/>
      <c r="J39" s="529" t="n"/>
    </row>
    <row r="40">
      <c r="A40" s="503" t="n"/>
      <c r="B40" s="545" t="n"/>
      <c r="C40" s="523" t="inlineStr">
        <is>
          <t>PENDAPATAN LAINNYA</t>
        </is>
      </c>
      <c r="D40" s="530" t="inlineStr">
        <is>
          <t>Rp</t>
        </is>
      </c>
      <c r="E40" s="531" t="n">
        <v>0</v>
      </c>
      <c r="F40" s="506" t="n"/>
      <c r="G40" s="532" t="inlineStr">
        <is>
          <t>MODAL</t>
        </is>
      </c>
      <c r="H40" s="533" t="n"/>
      <c r="I40" s="532" t="n"/>
      <c r="J40" s="534" t="n"/>
    </row>
    <row r="41">
      <c r="A41" s="503" t="n"/>
      <c r="B41" s="545" t="n"/>
      <c r="C41" s="523" t="n"/>
      <c r="D41" s="538" t="n"/>
      <c r="E41" s="579" t="n"/>
      <c r="F41" s="506" t="n"/>
      <c r="G41" s="535" t="n"/>
      <c r="H41" s="536" t="inlineStr">
        <is>
          <t>MODAL SAHAM</t>
        </is>
      </c>
      <c r="I41" s="530" t="inlineStr">
        <is>
          <t>Rp</t>
        </is>
      </c>
      <c r="J41" s="537" t="n">
        <v>0</v>
      </c>
    </row>
    <row r="42">
      <c r="A42" s="503" t="n"/>
      <c r="B42" s="540" t="inlineStr">
        <is>
          <t>LABA RUGI SEBELUM PAJAK</t>
        </is>
      </c>
      <c r="C42" s="541" t="n"/>
      <c r="D42" s="542" t="inlineStr">
        <is>
          <t>Rp</t>
        </is>
      </c>
      <c r="E42" s="543">
        <f>E12-E37</f>
        <v/>
      </c>
      <c r="F42" s="506" t="n"/>
      <c r="G42" s="535" t="n"/>
      <c r="H42" s="536" t="inlineStr">
        <is>
          <t>LABA DI TAHAN</t>
        </is>
      </c>
      <c r="I42" s="530" t="inlineStr">
        <is>
          <t>Rp</t>
        </is>
      </c>
      <c r="J42" s="537" t="n">
        <v>0</v>
      </c>
    </row>
    <row r="43">
      <c r="A43" s="503" t="n"/>
      <c r="B43" s="580" t="n"/>
      <c r="C43" s="574" t="n"/>
      <c r="D43" s="524" t="n"/>
      <c r="E43" s="544" t="n"/>
      <c r="F43" s="506" t="n"/>
      <c r="G43" s="532" t="n"/>
      <c r="H43" s="536" t="inlineStr">
        <is>
          <t>TOTAL LABA (RUGI) DITAHAN</t>
        </is>
      </c>
      <c r="I43" s="538" t="inlineStr">
        <is>
          <t>Rp</t>
        </is>
      </c>
      <c r="J43" s="561">
        <f>J28-J38-J41-J42</f>
        <v/>
      </c>
    </row>
    <row r="44">
      <c r="A44" s="503" t="n"/>
      <c r="B44" s="545" t="inlineStr">
        <is>
          <t>CORPORATE TAX (PPh 29)</t>
        </is>
      </c>
      <c r="D44" s="530" t="inlineStr">
        <is>
          <t>Rp</t>
        </is>
      </c>
      <c r="E44" s="531" t="n">
        <v>0</v>
      </c>
      <c r="F44" s="506" t="n"/>
      <c r="G44" s="549" t="n"/>
      <c r="H44" s="550" t="inlineStr">
        <is>
          <t>TOTAL MODAL</t>
        </is>
      </c>
      <c r="I44" s="542" t="inlineStr">
        <is>
          <t>Rp</t>
        </is>
      </c>
      <c r="J44" s="551">
        <f>SUM(J41:J43)</f>
        <v/>
      </c>
    </row>
    <row r="45">
      <c r="A45" s="503" t="n"/>
      <c r="B45" s="545" t="n"/>
      <c r="C45" s="523" t="n"/>
      <c r="D45" s="538" t="n"/>
      <c r="E45" s="579" t="n"/>
      <c r="F45" s="506" t="n"/>
      <c r="G45" s="535" t="n"/>
      <c r="H45" s="536" t="n"/>
      <c r="I45" s="562" t="n"/>
      <c r="J45" s="563" t="n"/>
    </row>
    <row r="46" ht="15" customHeight="1" s="297">
      <c r="A46" s="503" t="n"/>
      <c r="B46" s="581" t="inlineStr">
        <is>
          <t>LABA / RUGI BERSIH</t>
        </is>
      </c>
      <c r="C46" s="303" t="n"/>
      <c r="D46" s="582" t="n"/>
      <c r="E46" s="583">
        <f>E42-E44</f>
        <v/>
      </c>
      <c r="F46" s="506" t="n"/>
      <c r="G46" s="584" t="inlineStr">
        <is>
          <t>TOTAL HUTANG DAN MODAL</t>
        </is>
      </c>
      <c r="H46" s="585" t="n"/>
      <c r="I46" s="582" t="inlineStr">
        <is>
          <t>Rp</t>
        </is>
      </c>
      <c r="J46" s="586">
        <f>J44+J38</f>
        <v/>
      </c>
    </row>
    <row r="47" ht="4.5" customHeight="1" s="297">
      <c r="A47" s="503" t="n"/>
      <c r="F47" s="506" t="n"/>
    </row>
    <row r="48" ht="50.65" customHeight="1" s="297">
      <c r="A48" s="503" t="n"/>
      <c r="F48" s="506" t="n"/>
      <c r="G48" s="587" t="n"/>
    </row>
    <row r="49" ht="16.75" customHeight="1" s="297">
      <c r="A49" s="503" t="n"/>
      <c r="B49" s="588" t="n"/>
      <c r="F49" s="506" t="n"/>
      <c r="G49" s="588" t="n"/>
    </row>
    <row r="50" ht="15.65" customHeight="1" s="297">
      <c r="A50" s="523" t="n"/>
      <c r="B50" s="589" t="inlineStr">
        <is>
          <t>Direktur</t>
        </is>
      </c>
      <c r="F50" s="506" t="n"/>
      <c r="G50" s="589" t="inlineStr">
        <is>
          <t>Direktur</t>
        </is>
      </c>
    </row>
    <row r="51">
      <c r="A51" s="523" t="n"/>
      <c r="F51" s="506" t="n"/>
    </row>
    <row r="52">
      <c r="A52" s="523" t="n"/>
      <c r="F52" s="506" t="n"/>
      <c r="J52" s="59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503" t="n"/>
      <c r="B1" s="503" t="n"/>
      <c r="C1" s="503" t="n"/>
      <c r="D1" s="503" t="n"/>
      <c r="E1" s="504" t="n"/>
    </row>
    <row r="2" ht="37.25" customHeight="1" s="297">
      <c r="A2" s="503" t="n"/>
      <c r="B2" s="503" t="n"/>
      <c r="C2" s="503" t="n"/>
      <c r="D2" s="503" t="n"/>
      <c r="E2" s="504" t="n"/>
    </row>
    <row r="3" ht="33.65" customHeight="1" s="297">
      <c r="A3" s="503" t="n"/>
      <c r="B3" s="505" t="inlineStr">
        <is>
          <t>PT. EXSPAN WIRELINE INDONESIA</t>
        </is>
      </c>
      <c r="F3" s="506" t="n"/>
    </row>
    <row r="4" ht="20.5" customHeight="1" s="297">
      <c r="A4" s="503" t="n"/>
      <c r="B4" s="508" t="inlineStr">
        <is>
          <t>BUSINESS SUMMARY | TAHUN 2024</t>
        </is>
      </c>
      <c r="F4" s="506" t="n"/>
    </row>
    <row r="5" ht="6" customHeight="1" s="297">
      <c r="A5" s="503" t="n"/>
      <c r="B5" s="503" t="n"/>
      <c r="C5" s="503" t="n"/>
      <c r="D5" s="503" t="n"/>
      <c r="E5" s="504" t="n"/>
      <c r="F5" s="506" t="n"/>
    </row>
    <row r="6" ht="19" customHeight="1" s="297">
      <c r="A6" s="503" t="n"/>
      <c r="B6" s="591" t="inlineStr">
        <is>
          <t>#</t>
        </is>
      </c>
      <c r="C6" s="591" t="inlineStr">
        <is>
          <t>Items</t>
        </is>
      </c>
      <c r="D6" s="592" t="inlineStr">
        <is>
          <t>Amount</t>
        </is>
      </c>
      <c r="E6" s="279" t="n"/>
      <c r="F6" s="506" t="n"/>
    </row>
    <row r="7" ht="19" customHeight="1" s="297">
      <c r="A7" s="503" t="n"/>
      <c r="B7" s="593" t="n">
        <v>1</v>
      </c>
      <c r="C7" s="594" t="inlineStr">
        <is>
          <t>Revenue</t>
        </is>
      </c>
      <c r="D7" s="595" t="inlineStr">
        <is>
          <t>Rp</t>
        </is>
      </c>
      <c r="E7" s="596">
        <f>'Revenue-Cost_2024'!F22</f>
        <v/>
      </c>
      <c r="F7" s="506" t="n"/>
    </row>
    <row r="8" ht="19" customHeight="1" s="297">
      <c r="A8" s="503" t="n"/>
      <c r="B8" s="593" t="n">
        <v>2</v>
      </c>
      <c r="C8" s="594" t="inlineStr">
        <is>
          <t>Revenue Diterima (Setelah Pajak)</t>
        </is>
      </c>
      <c r="D8" s="595" t="inlineStr">
        <is>
          <t>Rp</t>
        </is>
      </c>
      <c r="E8" s="596">
        <f>E7-'Revenue-Cost_2024'!N22</f>
        <v/>
      </c>
      <c r="F8" s="506" t="n"/>
    </row>
    <row r="9" ht="19" customHeight="1" s="297">
      <c r="A9" s="503" t="n"/>
      <c r="B9" s="593" t="n">
        <v>3</v>
      </c>
      <c r="C9" s="594" t="inlineStr">
        <is>
          <t>Biaya</t>
        </is>
      </c>
      <c r="D9" s="595" t="inlineStr">
        <is>
          <t>Rp</t>
        </is>
      </c>
      <c r="E9" s="596">
        <f>SUM('Revenue-Cost_2024'!I750:Q750)</f>
        <v/>
      </c>
      <c r="F9" s="506" t="n"/>
    </row>
    <row r="10" ht="19" customHeight="1" s="297">
      <c r="A10" s="503" t="n"/>
      <c r="B10" s="593" t="n">
        <v>4</v>
      </c>
      <c r="C10" s="594" t="inlineStr">
        <is>
          <t>Profit SebelumTax</t>
        </is>
      </c>
      <c r="D10" s="595" t="inlineStr">
        <is>
          <t>Rp</t>
        </is>
      </c>
      <c r="E10" s="596">
        <f>E7-E9</f>
        <v/>
      </c>
      <c r="F10" s="506" t="n"/>
    </row>
    <row r="11" ht="19" customHeight="1" s="297">
      <c r="A11" s="503" t="n"/>
      <c r="B11" s="593" t="n">
        <v>5</v>
      </c>
      <c r="C11" s="594" t="inlineStr">
        <is>
          <t>PPh Badan (22%*50%)</t>
        </is>
      </c>
      <c r="D11" s="595" t="inlineStr">
        <is>
          <t>Rp</t>
        </is>
      </c>
      <c r="E11" s="596">
        <f>E10*22%*50%</f>
        <v/>
      </c>
      <c r="F11" s="506" t="n"/>
    </row>
    <row r="12" ht="19" customHeight="1" s="297">
      <c r="A12" s="503" t="n"/>
      <c r="B12" s="593" t="n">
        <v>6</v>
      </c>
      <c r="C12" s="594" t="inlineStr">
        <is>
          <t>PPh 23 Dipotong oleh client</t>
        </is>
      </c>
      <c r="D12" s="595" t="inlineStr">
        <is>
          <t>Rp</t>
        </is>
      </c>
      <c r="E12" s="596">
        <f>'Revenue-Cost_2024'!N22</f>
        <v/>
      </c>
      <c r="F12" s="506" t="n"/>
    </row>
    <row r="13" ht="19" customHeight="1" s="297">
      <c r="A13" s="503" t="n"/>
      <c r="B13" s="593" t="n">
        <v>7</v>
      </c>
      <c r="C13" s="594" t="inlineStr">
        <is>
          <t>Kekurangan Bayar PPh Badan</t>
        </is>
      </c>
      <c r="D13" s="595" t="inlineStr">
        <is>
          <t>Rp</t>
        </is>
      </c>
      <c r="E13" s="597">
        <f>E11-E12</f>
        <v/>
      </c>
      <c r="F13" s="506" t="n"/>
    </row>
    <row r="14" ht="19" customHeight="1" s="297">
      <c r="A14" s="503" t="n"/>
      <c r="B14" s="593" t="n">
        <v>8</v>
      </c>
      <c r="C14" s="594" t="inlineStr">
        <is>
          <t>Profit After Tax</t>
        </is>
      </c>
      <c r="D14" s="595" t="inlineStr">
        <is>
          <t>Rp</t>
        </is>
      </c>
      <c r="E14" s="596">
        <f>E10-E13</f>
        <v/>
      </c>
      <c r="F14" s="506" t="n"/>
    </row>
    <row r="15" ht="19" customHeight="1" s="297">
      <c r="A15" s="503" t="n"/>
      <c r="B15" s="593" t="n">
        <v>9</v>
      </c>
      <c r="C15" s="594" t="inlineStr">
        <is>
          <t>Deviden Dibagi</t>
        </is>
      </c>
      <c r="D15" s="595" t="inlineStr">
        <is>
          <t>Rp</t>
        </is>
      </c>
      <c r="E15" s="596">
        <f>E14-E16</f>
        <v/>
      </c>
      <c r="F15" s="506" t="n"/>
    </row>
    <row r="16" ht="19" customHeight="1" s="297">
      <c r="A16" s="503" t="n"/>
      <c r="B16" s="593" t="n">
        <v>10</v>
      </c>
      <c r="C16" s="594" t="inlineStr">
        <is>
          <t>Profit Ditahan</t>
        </is>
      </c>
      <c r="D16" s="595" t="inlineStr">
        <is>
          <t>Rp</t>
        </is>
      </c>
      <c r="E16" s="596" t="n">
        <v>33763737</v>
      </c>
      <c r="F16" s="506" t="n"/>
    </row>
    <row r="17">
      <c r="A17" s="503" t="n"/>
      <c r="B17" s="503" t="n"/>
      <c r="C17" s="503" t="n"/>
      <c r="D17" s="503" t="n"/>
      <c r="E17" s="504" t="n"/>
      <c r="F17" s="506" t="n"/>
    </row>
    <row r="18" ht="18" customHeight="1" s="297">
      <c r="A18" s="503" t="n"/>
      <c r="B18" s="598" t="inlineStr">
        <is>
          <t>DEVIDEN</t>
        </is>
      </c>
      <c r="F18" s="506" t="n"/>
    </row>
    <row r="19" ht="19" customHeight="1" s="297">
      <c r="A19" s="503" t="n"/>
      <c r="B19" s="599" t="inlineStr">
        <is>
          <t>#</t>
        </is>
      </c>
      <c r="C19" s="599" t="inlineStr">
        <is>
          <t>Nama Lengkap</t>
        </is>
      </c>
      <c r="D19" s="599" t="inlineStr"/>
      <c r="E19" s="600" t="inlineStr">
        <is>
          <t>Amount</t>
        </is>
      </c>
      <c r="F19" s="506" t="inlineStr"/>
      <c r="G19" s="601" t="inlineStr">
        <is>
          <t>Pajak</t>
        </is>
      </c>
    </row>
    <row r="20" ht="19" customHeight="1" s="297">
      <c r="A20" s="503" t="n"/>
      <c r="B20" s="602" t="n">
        <v>1</v>
      </c>
      <c r="C20" s="603" t="inlineStr">
        <is>
          <t>Anevril Chairulsyah</t>
        </is>
      </c>
      <c r="D20" s="603" t="inlineStr">
        <is>
          <t>Rp</t>
        </is>
      </c>
      <c r="E20" s="604">
        <f>IF(C20="","",INT($E$15/COUNTA($C$20:$C$21)))</f>
        <v/>
      </c>
      <c r="F20" s="506" t="n"/>
      <c r="G20" s="605" t="inlineStr">
        <is>
          <t>Pajak 10%</t>
        </is>
      </c>
    </row>
    <row r="21" ht="48.75" customHeight="1" s="297">
      <c r="A21" s="523" t="n"/>
      <c r="B21" s="606" t="n">
        <v>2</v>
      </c>
      <c r="C21" s="606" t="inlineStr">
        <is>
          <t>Alan Muhadjir</t>
        </is>
      </c>
      <c r="D21" s="606" t="inlineStr">
        <is>
          <t>Rp</t>
        </is>
      </c>
      <c r="E21" s="607">
        <f>IF(C21="","",INT($E$15/COUNTA($C$20:$C$21)))</f>
        <v/>
      </c>
      <c r="F21" s="506" t="n"/>
      <c r="G21" t="inlineStr">
        <is>
          <t>Pajak 10%</t>
        </is>
      </c>
    </row>
    <row r="22">
      <c r="A22" s="523" t="n"/>
      <c r="F22" s="50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2026-03-29T13:24:13Z</dcterms:modified>
  <cp:lastModifiedBy>Diofavian - Student</cp:lastModifiedBy>
</cp:coreProperties>
</file>